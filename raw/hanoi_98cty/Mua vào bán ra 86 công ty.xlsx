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148" windowHeight="10044" tabRatio="743" firstSheet="36" activeTab="36"/>
  </bookViews>
  <sheets>
    <sheet name="100MST" sheetId="8" state="hidden" r:id="rId1"/>
    <sheet name="BCTC_2021" sheetId="3" state="hidden" r:id="rId2"/>
    <sheet name="HĐ_Đầu_Vào" sheetId="4" state="hidden" r:id="rId3"/>
    <sheet name="HĐ_Bán_Ra" sheetId="7" state="hidden" r:id="rId4"/>
    <sheet name="2021" sheetId="9" r:id="rId5"/>
    <sheet name="0100100590" sheetId="10" r:id="rId6"/>
    <sheet name="0100101072" sheetId="11" r:id="rId7"/>
    <sheet name="0100101308" sheetId="14" r:id="rId8"/>
    <sheet name="0100101403" sheetId="15" r:id="rId9"/>
    <sheet name="0100105503" sheetId="16" r:id="rId10"/>
    <sheet name="0100113494" sheetId="17" r:id="rId11"/>
    <sheet name="0100373485" sheetId="18" r:id="rId12"/>
    <sheet name="0100680623" sheetId="19" r:id="rId13"/>
    <sheet name="0100902202" sheetId="20" r:id="rId14"/>
    <sheet name="0101056111" sheetId="21" r:id="rId15"/>
    <sheet name="0101225306" sheetId="22" r:id="rId16"/>
    <sheet name="0101329672" sheetId="23" r:id="rId17"/>
    <sheet name="0101377820" sheetId="24" r:id="rId18"/>
    <sheet name="0101380936" sheetId="25" r:id="rId19"/>
    <sheet name="0101435247" sheetId="26" r:id="rId20"/>
    <sheet name="0101437981" sheetId="27" r:id="rId21"/>
    <sheet name="0101452549" sheetId="28" r:id="rId22"/>
    <sheet name="0101454070" sheetId="29" r:id="rId23"/>
    <sheet name="0101598393" sheetId="30" r:id="rId24"/>
    <sheet name="0101601092" sheetId="31" r:id="rId25"/>
    <sheet name="0101639000" sheetId="32" r:id="rId26"/>
    <sheet name="0101770848" sheetId="33" r:id="rId27"/>
    <sheet name="0102159423" sheetId="34" r:id="rId28"/>
    <sheet name="0102191498" sheetId="35" r:id="rId29"/>
    <sheet name="0102264812" sheetId="36" r:id="rId30"/>
    <sheet name="0102311149" sheetId="37" r:id="rId31"/>
    <sheet name="0102331787" sheetId="38" r:id="rId32"/>
    <sheet name="0102625829" sheetId="39" r:id="rId33"/>
    <sheet name="0102712091" sheetId="40" r:id="rId34"/>
    <sheet name="0103240765" sheetId="41" r:id="rId35"/>
    <sheet name="0103711478" sheetId="42" r:id="rId36"/>
    <sheet name="0103769372" sheetId="43" r:id="rId37"/>
    <sheet name="0104141407" sheetId="44" r:id="rId38"/>
    <sheet name="0104220419" sheetId="45" r:id="rId39"/>
    <sheet name="0104380966" sheetId="46" r:id="rId40"/>
    <sheet name="0104630172" sheetId="47" r:id="rId41"/>
    <sheet name="0104976614" sheetId="48" r:id="rId42"/>
    <sheet name="0105189320" sheetId="49" r:id="rId43"/>
    <sheet name="0105294741" sheetId="50" r:id="rId44"/>
    <sheet name="0105327316" sheetId="51" r:id="rId45"/>
    <sheet name="0105492983" sheetId="52" r:id="rId46"/>
    <sheet name="0105853894" sheetId="53" r:id="rId47"/>
    <sheet name="0105908818" sheetId="54" r:id="rId48"/>
    <sheet name="0106112810" sheetId="55" r:id="rId49"/>
    <sheet name="0106116043" sheetId="56" r:id="rId50"/>
    <sheet name="0106187171" sheetId="57" r:id="rId51"/>
    <sheet name="0106255939" sheetId="58" r:id="rId52"/>
    <sheet name="0106300187" sheetId="59" r:id="rId53"/>
    <sheet name="0106395904" sheetId="60" r:id="rId54"/>
    <sheet name="0106399994" sheetId="61" r:id="rId55"/>
    <sheet name="0106467242" sheetId="62" r:id="rId56"/>
    <sheet name="0106682049" sheetId="63" r:id="rId57"/>
    <sheet name="0106980045" sheetId="64" r:id="rId58"/>
    <sheet name="0107383796" sheetId="65" r:id="rId59"/>
    <sheet name="0107422036" sheetId="66" r:id="rId60"/>
    <sheet name="0107572987" sheetId="67" r:id="rId61"/>
    <sheet name="0107658306" sheetId="68" r:id="rId62"/>
    <sheet name="0107720360" sheetId="69" r:id="rId63"/>
    <sheet name="0107720402" sheetId="70" r:id="rId64"/>
    <sheet name="0107721413" sheetId="71" r:id="rId65"/>
    <sheet name="0107832875" sheetId="72" r:id="rId66"/>
    <sheet name="0107833244" sheetId="73" r:id="rId67"/>
    <sheet name="0108076653" sheetId="74" r:id="rId68"/>
    <sheet name="0108261864" sheetId="75" r:id="rId69"/>
    <sheet name="0108394624" sheetId="76" r:id="rId70"/>
    <sheet name="0108568493" sheetId="77" r:id="rId71"/>
    <sheet name="0108742656" sheetId="78" r:id="rId72"/>
    <sheet name="0108831225" sheetId="79" r:id="rId73"/>
    <sheet name="0109009554" sheetId="80" r:id="rId74"/>
    <sheet name="0109082787" sheetId="81" r:id="rId75"/>
    <sheet name="0109119042" sheetId="82" r:id="rId76"/>
    <sheet name="0109281574" sheetId="83" r:id="rId77"/>
    <sheet name="0109509638" sheetId="84" r:id="rId78"/>
    <sheet name="0109528912" sheetId="85" r:id="rId79"/>
    <sheet name="0109534352" sheetId="86" r:id="rId80"/>
    <sheet name="0500415210" sheetId="87" r:id="rId81"/>
    <sheet name="0500416750" sheetId="88" r:id="rId82"/>
    <sheet name="0500436556" sheetId="89" r:id="rId83"/>
    <sheet name="0500448216" sheetId="90" r:id="rId84"/>
    <sheet name="0500467547" sheetId="91" r:id="rId85"/>
    <sheet name="0500469512" sheetId="92" r:id="rId86"/>
    <sheet name="0500556370" sheetId="93" r:id="rId87"/>
    <sheet name="02500214518" sheetId="94" r:id="rId88"/>
    <sheet name="02500230213" sheetId="95" r:id="rId89"/>
    <sheet name="02500243660" sheetId="96" r:id="rId90"/>
    <sheet name="05200886602" sheetId="97" r:id="rId9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2" i="97" l="1"/>
  <c r="I112" i="97"/>
  <c r="G112" i="97"/>
  <c r="J58" i="97"/>
  <c r="I58" i="97"/>
  <c r="G58" i="97"/>
  <c r="J112" i="96"/>
  <c r="I112" i="96"/>
  <c r="G112" i="96"/>
  <c r="J58" i="96"/>
  <c r="I58" i="96"/>
  <c r="G58" i="96"/>
  <c r="J112" i="95"/>
  <c r="I112" i="95"/>
  <c r="G112" i="95"/>
  <c r="J58" i="95"/>
  <c r="I58" i="95"/>
  <c r="G58" i="95"/>
  <c r="J112" i="94"/>
  <c r="I112" i="94"/>
  <c r="G112" i="94"/>
  <c r="J58" i="94"/>
  <c r="I58" i="94"/>
  <c r="G58" i="94"/>
  <c r="J112" i="93"/>
  <c r="I112" i="93"/>
  <c r="G112" i="93"/>
  <c r="J58" i="93"/>
  <c r="I58" i="93"/>
  <c r="G58" i="93"/>
  <c r="J112" i="92"/>
  <c r="I112" i="92"/>
  <c r="G112" i="92"/>
  <c r="J58" i="92"/>
  <c r="I58" i="92"/>
  <c r="G58" i="92"/>
  <c r="J112" i="91"/>
  <c r="I112" i="91"/>
  <c r="G112" i="91"/>
  <c r="J58" i="91"/>
  <c r="I58" i="91"/>
  <c r="G58" i="91"/>
  <c r="J112" i="90"/>
  <c r="I112" i="90"/>
  <c r="G112" i="90"/>
  <c r="J58" i="90"/>
  <c r="I58" i="90"/>
  <c r="G58" i="90"/>
  <c r="J112" i="89"/>
  <c r="I112" i="89"/>
  <c r="G112" i="89"/>
  <c r="J58" i="89"/>
  <c r="I58" i="89"/>
  <c r="G58" i="89"/>
  <c r="J112" i="88"/>
  <c r="I112" i="88"/>
  <c r="G112" i="88"/>
  <c r="J58" i="88"/>
  <c r="I58" i="88"/>
  <c r="G58" i="88"/>
  <c r="J112" i="87"/>
  <c r="I112" i="87"/>
  <c r="G112" i="87"/>
  <c r="J58" i="87"/>
  <c r="I58" i="87"/>
  <c r="G58" i="87"/>
  <c r="J112" i="86"/>
  <c r="I112" i="86"/>
  <c r="G112" i="86"/>
  <c r="J58" i="86"/>
  <c r="I58" i="86"/>
  <c r="G58" i="86"/>
  <c r="J112" i="85"/>
  <c r="I112" i="85"/>
  <c r="G112" i="85"/>
  <c r="J58" i="85"/>
  <c r="I58" i="85"/>
  <c r="G58" i="85"/>
  <c r="J112" i="84"/>
  <c r="I112" i="84"/>
  <c r="G112" i="84"/>
  <c r="J58" i="84"/>
  <c r="I58" i="84"/>
  <c r="G58" i="84"/>
  <c r="J112" i="83"/>
  <c r="I112" i="83"/>
  <c r="G112" i="83"/>
  <c r="J58" i="83"/>
  <c r="I58" i="83"/>
  <c r="G58" i="83"/>
  <c r="J112" i="82"/>
  <c r="I112" i="82"/>
  <c r="G112" i="82"/>
  <c r="J58" i="82"/>
  <c r="I58" i="82"/>
  <c r="G58" i="82"/>
  <c r="J112" i="81"/>
  <c r="I112" i="81"/>
  <c r="G112" i="81"/>
  <c r="J58" i="81"/>
  <c r="I58" i="81"/>
  <c r="G58" i="81"/>
  <c r="J112" i="80"/>
  <c r="I112" i="80"/>
  <c r="G112" i="80"/>
  <c r="J58" i="80"/>
  <c r="I58" i="80"/>
  <c r="G58" i="80"/>
  <c r="J112" i="79"/>
  <c r="I112" i="79"/>
  <c r="G112" i="79"/>
  <c r="J58" i="79"/>
  <c r="I58" i="79"/>
  <c r="G58" i="79"/>
  <c r="J112" i="78"/>
  <c r="I112" i="78"/>
  <c r="G112" i="78"/>
  <c r="J58" i="78"/>
  <c r="I58" i="78"/>
  <c r="G58" i="78"/>
  <c r="J112" i="77"/>
  <c r="I112" i="77"/>
  <c r="G112" i="77"/>
  <c r="J58" i="77"/>
  <c r="I58" i="77"/>
  <c r="G58" i="77"/>
  <c r="J112" i="76"/>
  <c r="I112" i="76"/>
  <c r="G112" i="76"/>
  <c r="J58" i="76"/>
  <c r="I58" i="76"/>
  <c r="G58" i="76"/>
  <c r="J112" i="75"/>
  <c r="I112" i="75"/>
  <c r="G112" i="75"/>
  <c r="J58" i="75"/>
  <c r="I58" i="75"/>
  <c r="G58" i="75"/>
  <c r="J112" i="74"/>
  <c r="I112" i="74"/>
  <c r="G112" i="74"/>
  <c r="J58" i="74"/>
  <c r="I58" i="74"/>
  <c r="G58" i="74"/>
  <c r="J112" i="73"/>
  <c r="I112" i="73"/>
  <c r="G112" i="73"/>
  <c r="J58" i="73"/>
  <c r="I58" i="73"/>
  <c r="G58" i="73"/>
  <c r="J112" i="72"/>
  <c r="I112" i="72"/>
  <c r="G112" i="72"/>
  <c r="J58" i="72"/>
  <c r="I58" i="72"/>
  <c r="G58" i="72"/>
  <c r="J112" i="71"/>
  <c r="I112" i="71"/>
  <c r="G112" i="71"/>
  <c r="J58" i="71"/>
  <c r="I58" i="71"/>
  <c r="G58" i="71"/>
  <c r="J112" i="70"/>
  <c r="I112" i="70"/>
  <c r="G112" i="70"/>
  <c r="J58" i="70"/>
  <c r="I58" i="70"/>
  <c r="G58" i="70"/>
  <c r="J112" i="69"/>
  <c r="I112" i="69"/>
  <c r="G112" i="69"/>
  <c r="J58" i="69"/>
  <c r="I58" i="69"/>
  <c r="G58" i="69"/>
  <c r="J112" i="68"/>
  <c r="I112" i="68"/>
  <c r="G112" i="68"/>
  <c r="J58" i="68"/>
  <c r="I58" i="68"/>
  <c r="G58" i="68"/>
  <c r="J112" i="67"/>
  <c r="I112" i="67"/>
  <c r="G112" i="67"/>
  <c r="J58" i="67"/>
  <c r="I58" i="67"/>
  <c r="G58" i="67"/>
  <c r="J112" i="66"/>
  <c r="I112" i="66"/>
  <c r="G112" i="66"/>
  <c r="J58" i="66"/>
  <c r="I58" i="66"/>
  <c r="G58" i="66"/>
  <c r="J112" i="65"/>
  <c r="I112" i="65"/>
  <c r="G112" i="65"/>
  <c r="J58" i="65"/>
  <c r="I58" i="65"/>
  <c r="G58" i="65"/>
  <c r="J112" i="64"/>
  <c r="I112" i="64"/>
  <c r="G112" i="64"/>
  <c r="J58" i="64"/>
  <c r="I58" i="64"/>
  <c r="G58" i="64"/>
  <c r="J112" i="63"/>
  <c r="I112" i="63"/>
  <c r="G112" i="63"/>
  <c r="J58" i="63"/>
  <c r="I58" i="63"/>
  <c r="G58" i="63"/>
  <c r="J112" i="62"/>
  <c r="I112" i="62"/>
  <c r="G112" i="62"/>
  <c r="J58" i="62"/>
  <c r="I58" i="62"/>
  <c r="G58" i="62"/>
  <c r="J112" i="61"/>
  <c r="I112" i="61"/>
  <c r="G112" i="61"/>
  <c r="J58" i="61"/>
  <c r="I58" i="61"/>
  <c r="G58" i="61"/>
  <c r="J112" i="60"/>
  <c r="I112" i="60"/>
  <c r="G112" i="60"/>
  <c r="J58" i="60"/>
  <c r="I58" i="60"/>
  <c r="G58" i="60"/>
  <c r="J112" i="59"/>
  <c r="I112" i="59"/>
  <c r="G112" i="59"/>
  <c r="J58" i="59"/>
  <c r="I58" i="59"/>
  <c r="G58" i="59"/>
  <c r="J112" i="58"/>
  <c r="I112" i="58"/>
  <c r="G112" i="58"/>
  <c r="J58" i="58"/>
  <c r="I58" i="58"/>
  <c r="G58" i="58"/>
  <c r="J112" i="57"/>
  <c r="I112" i="57"/>
  <c r="G112" i="57"/>
  <c r="J58" i="57"/>
  <c r="I58" i="57"/>
  <c r="G58" i="57"/>
  <c r="J112" i="56"/>
  <c r="I112" i="56"/>
  <c r="G112" i="56"/>
  <c r="J58" i="56"/>
  <c r="I58" i="56"/>
  <c r="G58" i="56"/>
  <c r="J112" i="55"/>
  <c r="I112" i="55"/>
  <c r="G112" i="55"/>
  <c r="J58" i="55"/>
  <c r="I58" i="55"/>
  <c r="G58" i="55"/>
  <c r="J112" i="54"/>
  <c r="I112" i="54"/>
  <c r="G112" i="54"/>
  <c r="J58" i="54"/>
  <c r="I58" i="54"/>
  <c r="G58" i="54"/>
  <c r="J112" i="53"/>
  <c r="I112" i="53"/>
  <c r="G112" i="53"/>
  <c r="J58" i="53"/>
  <c r="I58" i="53"/>
  <c r="G58" i="53"/>
  <c r="J112" i="52"/>
  <c r="I112" i="52"/>
  <c r="G112" i="52"/>
  <c r="J58" i="52"/>
  <c r="I58" i="52"/>
  <c r="G58" i="52"/>
  <c r="J112" i="51"/>
  <c r="I112" i="51"/>
  <c r="G112" i="51"/>
  <c r="J58" i="51"/>
  <c r="I58" i="51"/>
  <c r="G58" i="51"/>
  <c r="J112" i="50"/>
  <c r="I112" i="50"/>
  <c r="G112" i="50"/>
  <c r="J58" i="50"/>
  <c r="I58" i="50"/>
  <c r="G58" i="50"/>
  <c r="J112" i="49"/>
  <c r="I112" i="49"/>
  <c r="G112" i="49"/>
  <c r="J58" i="49"/>
  <c r="I58" i="49"/>
  <c r="G58" i="49"/>
  <c r="J112" i="48"/>
  <c r="I112" i="48"/>
  <c r="G112" i="48"/>
  <c r="J58" i="48"/>
  <c r="I58" i="48"/>
  <c r="G58" i="48"/>
  <c r="J112" i="47"/>
  <c r="I112" i="47"/>
  <c r="G112" i="47"/>
  <c r="J58" i="47"/>
  <c r="I58" i="47"/>
  <c r="G58" i="47"/>
  <c r="J112" i="46"/>
  <c r="I112" i="46"/>
  <c r="G112" i="46"/>
  <c r="J58" i="46"/>
  <c r="I58" i="46"/>
  <c r="G58" i="46"/>
  <c r="J112" i="45"/>
  <c r="I112" i="45"/>
  <c r="G112" i="45"/>
  <c r="J58" i="45"/>
  <c r="I58" i="45"/>
  <c r="G58" i="45"/>
  <c r="J112" i="44"/>
  <c r="I112" i="44"/>
  <c r="G112" i="44"/>
  <c r="J58" i="44"/>
  <c r="I58" i="44"/>
  <c r="G58" i="44"/>
  <c r="J112" i="43"/>
  <c r="I112" i="43"/>
  <c r="G112" i="43"/>
  <c r="J58" i="43"/>
  <c r="I58" i="43"/>
  <c r="G58" i="43"/>
  <c r="J112" i="42"/>
  <c r="I112" i="42"/>
  <c r="G112" i="42"/>
  <c r="J58" i="42"/>
  <c r="I58" i="42"/>
  <c r="G58" i="42"/>
  <c r="J112" i="41"/>
  <c r="I112" i="41"/>
  <c r="G112" i="41"/>
  <c r="J58" i="41"/>
  <c r="I58" i="41"/>
  <c r="G58" i="41"/>
  <c r="J112" i="40"/>
  <c r="I112" i="40"/>
  <c r="G112" i="40"/>
  <c r="J58" i="40"/>
  <c r="I58" i="40"/>
  <c r="G58" i="40"/>
  <c r="J112" i="39"/>
  <c r="I112" i="39"/>
  <c r="G112" i="39"/>
  <c r="J58" i="39"/>
  <c r="I58" i="39"/>
  <c r="G58" i="39"/>
  <c r="J112" i="38"/>
  <c r="I112" i="38"/>
  <c r="G112" i="38"/>
  <c r="J58" i="38"/>
  <c r="I58" i="38"/>
  <c r="G58" i="38"/>
  <c r="J112" i="37"/>
  <c r="I112" i="37"/>
  <c r="G112" i="37"/>
  <c r="J58" i="37"/>
  <c r="I58" i="37"/>
  <c r="G58" i="37"/>
  <c r="J112" i="36"/>
  <c r="I112" i="36"/>
  <c r="G112" i="36"/>
  <c r="J58" i="36"/>
  <c r="I58" i="36"/>
  <c r="G58" i="36"/>
  <c r="J112" i="35"/>
  <c r="I112" i="35"/>
  <c r="G112" i="35"/>
  <c r="J58" i="35"/>
  <c r="I58" i="35"/>
  <c r="G58" i="35"/>
  <c r="J112" i="34"/>
  <c r="I112" i="34"/>
  <c r="G112" i="34"/>
  <c r="J58" i="34"/>
  <c r="I58" i="34"/>
  <c r="G58" i="34"/>
  <c r="J112" i="33"/>
  <c r="I112" i="33"/>
  <c r="G112" i="33"/>
  <c r="J58" i="33"/>
  <c r="I58" i="33"/>
  <c r="G58" i="33"/>
  <c r="J112" i="32"/>
  <c r="I112" i="32"/>
  <c r="G112" i="32"/>
  <c r="J58" i="32"/>
  <c r="I58" i="32"/>
  <c r="G58" i="32"/>
  <c r="J112" i="31"/>
  <c r="I112" i="31"/>
  <c r="G112" i="31"/>
  <c r="J58" i="31"/>
  <c r="I58" i="31"/>
  <c r="G58" i="31"/>
  <c r="J112" i="30"/>
  <c r="I112" i="30"/>
  <c r="G112" i="30"/>
  <c r="J58" i="30"/>
  <c r="I58" i="30"/>
  <c r="G58" i="30"/>
  <c r="J112" i="29"/>
  <c r="I112" i="29"/>
  <c r="G112" i="29"/>
  <c r="J58" i="29"/>
  <c r="I58" i="29"/>
  <c r="G58" i="29"/>
  <c r="J112" i="28"/>
  <c r="I112" i="28"/>
  <c r="G112" i="28"/>
  <c r="J58" i="28"/>
  <c r="I58" i="28"/>
  <c r="G58" i="28"/>
  <c r="J112" i="27"/>
  <c r="I112" i="27"/>
  <c r="G112" i="27"/>
  <c r="J58" i="27"/>
  <c r="I58" i="27"/>
  <c r="G58" i="27"/>
  <c r="J122" i="26"/>
  <c r="I122" i="26"/>
  <c r="G122" i="26"/>
  <c r="J68" i="26"/>
  <c r="I68" i="26"/>
  <c r="G68" i="26"/>
  <c r="J117" i="25"/>
  <c r="I117" i="25"/>
  <c r="G117" i="25"/>
  <c r="J63" i="25"/>
  <c r="I63" i="25"/>
  <c r="G63" i="25"/>
  <c r="J117" i="24"/>
  <c r="I117" i="24"/>
  <c r="G117" i="24"/>
  <c r="J63" i="24"/>
  <c r="I63" i="24"/>
  <c r="G63" i="24"/>
  <c r="J132" i="23"/>
  <c r="I132" i="23"/>
  <c r="G132" i="23"/>
  <c r="J78" i="23"/>
  <c r="I78" i="23"/>
  <c r="G78" i="23"/>
  <c r="J182" i="22"/>
  <c r="I182" i="22"/>
  <c r="G182" i="22"/>
  <c r="J108" i="22"/>
  <c r="I108" i="22"/>
  <c r="G108" i="22"/>
  <c r="J122" i="21"/>
  <c r="I122" i="21"/>
  <c r="G122" i="21"/>
  <c r="J68" i="21"/>
  <c r="I68" i="21"/>
  <c r="G68" i="21"/>
  <c r="J112" i="20"/>
  <c r="I112" i="20"/>
  <c r="G112" i="20"/>
  <c r="J58" i="20"/>
  <c r="I58" i="20"/>
  <c r="G58" i="20"/>
  <c r="J132" i="19"/>
  <c r="I132" i="19"/>
  <c r="G132" i="19"/>
  <c r="J78" i="19"/>
  <c r="I78" i="19"/>
  <c r="G78" i="19"/>
  <c r="J117" i="18"/>
  <c r="I117" i="18"/>
  <c r="G117" i="18"/>
  <c r="J63" i="18"/>
  <c r="I63" i="18"/>
  <c r="G63" i="18"/>
  <c r="J132" i="17"/>
  <c r="I132" i="17"/>
  <c r="G132" i="17"/>
  <c r="J78" i="17"/>
  <c r="I78" i="17"/>
  <c r="G78" i="17"/>
  <c r="J122" i="16"/>
  <c r="I122" i="16"/>
  <c r="G122" i="16"/>
  <c r="J68" i="16"/>
  <c r="I68" i="16"/>
  <c r="G68" i="16"/>
  <c r="J132" i="15"/>
  <c r="I132" i="15"/>
  <c r="G132" i="15"/>
  <c r="J78" i="15"/>
  <c r="I78" i="15"/>
  <c r="G78" i="15"/>
  <c r="J182" i="14"/>
  <c r="I182" i="14"/>
  <c r="G182" i="14"/>
  <c r="J108" i="14"/>
  <c r="I108" i="14"/>
  <c r="G108" i="14"/>
  <c r="J212" i="11"/>
  <c r="I212" i="11"/>
  <c r="G212" i="11"/>
  <c r="J128" i="11"/>
  <c r="I128" i="11"/>
  <c r="G128" i="11"/>
  <c r="J113" i="10"/>
  <c r="I113" i="10"/>
  <c r="G113" i="10"/>
  <c r="J58" i="10"/>
  <c r="I58" i="10"/>
  <c r="G58" i="10"/>
  <c r="G44" i="4"/>
  <c r="F44" i="4"/>
  <c r="E44" i="4"/>
  <c r="G43" i="4"/>
  <c r="F43" i="4"/>
  <c r="E43" i="4"/>
  <c r="G42" i="4"/>
  <c r="F42" i="4"/>
  <c r="E42" i="4"/>
  <c r="K18" i="4"/>
  <c r="J18" i="4"/>
  <c r="K17" i="4"/>
  <c r="J17" i="4"/>
  <c r="K16" i="4"/>
  <c r="J16" i="4"/>
  <c r="J39" i="4"/>
  <c r="K39" i="4" s="1"/>
  <c r="J38" i="4"/>
  <c r="K38" i="4" s="1"/>
  <c r="J37" i="4"/>
  <c r="K37" i="4" s="1"/>
  <c r="J36" i="4"/>
  <c r="K36" i="4" s="1"/>
  <c r="J35" i="4"/>
  <c r="K35" i="4" s="1"/>
  <c r="J34" i="4"/>
  <c r="K34" i="4" s="1"/>
  <c r="K33" i="4"/>
  <c r="J33" i="4"/>
  <c r="J32" i="4"/>
  <c r="K32" i="4" s="1"/>
  <c r="J31" i="4"/>
  <c r="K31" i="4" s="1"/>
  <c r="J30" i="4"/>
  <c r="K30" i="4" s="1"/>
  <c r="K29" i="4"/>
  <c r="J29" i="4"/>
  <c r="J28" i="4"/>
  <c r="K28" i="4" s="1"/>
  <c r="J27" i="4"/>
  <c r="K27" i="4" s="1"/>
  <c r="J26" i="4"/>
  <c r="K26" i="4" s="1"/>
  <c r="J25" i="4"/>
  <c r="K25" i="4" s="1"/>
  <c r="J24" i="4"/>
  <c r="K24" i="4" s="1"/>
  <c r="J23" i="4"/>
  <c r="K23" i="4" s="1"/>
  <c r="J22" i="4"/>
  <c r="K22" i="4" s="1"/>
  <c r="J21" i="4"/>
  <c r="K21" i="4" s="1"/>
  <c r="J20" i="4"/>
  <c r="D45" i="7"/>
  <c r="C45" i="7"/>
  <c r="D44" i="7"/>
  <c r="C44" i="7"/>
  <c r="C42" i="7"/>
  <c r="C41" i="7"/>
  <c r="E38" i="7"/>
  <c r="D38" i="7"/>
  <c r="C38" i="7"/>
  <c r="B38" i="7"/>
  <c r="E37" i="7"/>
  <c r="D37" i="7"/>
  <c r="C37" i="7"/>
  <c r="E36" i="7"/>
  <c r="D36" i="7"/>
  <c r="C36" i="7"/>
  <c r="E35" i="7"/>
  <c r="D35" i="7"/>
  <c r="C35" i="7"/>
  <c r="E34" i="7"/>
  <c r="D34" i="7"/>
  <c r="C34" i="7"/>
  <c r="L30" i="7"/>
  <c r="K30" i="7"/>
  <c r="L29" i="7"/>
  <c r="K29" i="7"/>
  <c r="L28" i="7"/>
  <c r="K28" i="7"/>
  <c r="L27" i="7"/>
  <c r="K27" i="7"/>
  <c r="L26" i="7"/>
  <c r="K26" i="7"/>
  <c r="L25" i="7"/>
  <c r="K25" i="7"/>
  <c r="L24" i="7"/>
  <c r="K24" i="7"/>
  <c r="L23" i="7"/>
  <c r="K23" i="7"/>
  <c r="L22" i="7"/>
  <c r="K22" i="7"/>
  <c r="L21" i="7"/>
  <c r="K21" i="7"/>
  <c r="L20" i="7"/>
  <c r="K20" i="7"/>
  <c r="L19" i="7"/>
  <c r="K19" i="7"/>
  <c r="L18" i="7"/>
  <c r="K18" i="7"/>
  <c r="L17" i="7"/>
  <c r="K17" i="7"/>
  <c r="L16" i="7"/>
  <c r="K16" i="7"/>
  <c r="L15" i="7"/>
  <c r="K15" i="7"/>
  <c r="L14" i="7"/>
  <c r="K14" i="7"/>
  <c r="L13" i="7"/>
  <c r="K13" i="7"/>
  <c r="L12" i="7"/>
  <c r="K12" i="7"/>
  <c r="L11" i="7"/>
  <c r="K11" i="7"/>
  <c r="L10" i="7"/>
  <c r="K10" i="7"/>
  <c r="L9" i="7"/>
  <c r="K9" i="7"/>
  <c r="L8" i="7"/>
  <c r="K8" i="7"/>
  <c r="L7" i="7"/>
  <c r="K7" i="7"/>
  <c r="L6" i="7"/>
  <c r="K6" i="7"/>
  <c r="D70" i="3"/>
  <c r="C70" i="3"/>
  <c r="B70" i="3"/>
  <c r="D69" i="3"/>
  <c r="C69" i="3"/>
  <c r="B69" i="3"/>
  <c r="D68" i="3"/>
  <c r="C68" i="3"/>
  <c r="B68" i="3"/>
  <c r="C65" i="3"/>
  <c r="C49" i="3"/>
  <c r="C48" i="3"/>
  <c r="D58" i="3"/>
  <c r="C58" i="3"/>
  <c r="B58" i="3"/>
  <c r="D57" i="3"/>
  <c r="C57" i="3"/>
  <c r="D56" i="3"/>
  <c r="D55" i="3"/>
  <c r="C55" i="3"/>
  <c r="D48" i="3" s="1"/>
  <c r="D54" i="3"/>
  <c r="D53" i="3"/>
  <c r="D52" i="3"/>
  <c r="D51" i="3"/>
  <c r="C51" i="3"/>
  <c r="D50" i="3"/>
  <c r="D49" i="3"/>
  <c r="B48" i="3"/>
  <c r="D45" i="3"/>
  <c r="C45" i="3"/>
  <c r="D44" i="3"/>
  <c r="C43" i="3"/>
  <c r="D43" i="3" s="1"/>
  <c r="C41" i="3"/>
  <c r="D42" i="3"/>
  <c r="D40" i="3"/>
  <c r="D39" i="3"/>
  <c r="D38" i="3"/>
  <c r="D37" i="3"/>
  <c r="D36" i="3"/>
  <c r="D35" i="3"/>
  <c r="D30" i="3"/>
  <c r="C30" i="3"/>
  <c r="B30" i="3"/>
  <c r="D29" i="3"/>
  <c r="D28" i="3"/>
  <c r="B28" i="3"/>
  <c r="D27" i="3"/>
  <c r="C27" i="3"/>
  <c r="D26" i="3"/>
  <c r="C26" i="3"/>
  <c r="B26" i="3"/>
  <c r="D25" i="3"/>
  <c r="C25" i="3"/>
  <c r="B25" i="3"/>
  <c r="D24" i="3"/>
  <c r="D23" i="3"/>
  <c r="D22" i="3"/>
  <c r="C22" i="3"/>
  <c r="B22" i="3"/>
  <c r="D21" i="3"/>
  <c r="D20" i="3"/>
  <c r="D19" i="3"/>
  <c r="D18" i="3"/>
  <c r="D17" i="3"/>
  <c r="D16" i="3"/>
  <c r="C16" i="3"/>
  <c r="B16" i="3"/>
  <c r="D15" i="3"/>
  <c r="D14" i="3"/>
  <c r="D13" i="3"/>
  <c r="D12" i="3"/>
  <c r="D11" i="3"/>
  <c r="D10" i="3"/>
  <c r="C10" i="3"/>
  <c r="B10" i="3"/>
  <c r="D9" i="3"/>
  <c r="D8" i="3"/>
  <c r="J15" i="4"/>
  <c r="K15" i="4" s="1"/>
  <c r="J14" i="4"/>
  <c r="K14" i="4" s="1"/>
  <c r="J13" i="4"/>
  <c r="K13" i="4" s="1"/>
  <c r="J12" i="4"/>
  <c r="K12" i="4" s="1"/>
  <c r="J11" i="4"/>
  <c r="K11" i="4" s="1"/>
  <c r="J10" i="4"/>
  <c r="K10" i="4" s="1"/>
  <c r="J9" i="4"/>
  <c r="K9" i="4" s="1"/>
  <c r="J8" i="4"/>
  <c r="K8" i="4" s="1"/>
  <c r="J7" i="4"/>
  <c r="K7" i="4" s="1"/>
  <c r="J6" i="4"/>
  <c r="K6" i="4" s="1"/>
  <c r="J5" i="4"/>
  <c r="K20" i="4" l="1"/>
  <c r="K5" i="4"/>
  <c r="C47" i="4"/>
  <c r="C48" i="4" s="1"/>
  <c r="C34" i="3"/>
  <c r="D34" i="3" s="1"/>
  <c r="D41" i="3"/>
</calcChain>
</file>

<file path=xl/sharedStrings.xml><?xml version="1.0" encoding="utf-8"?>
<sst xmlns="http://schemas.openxmlformats.org/spreadsheetml/2006/main" count="51089" uniqueCount="1996">
  <si>
    <t>STT</t>
  </si>
  <si>
    <t>Nội dung hóa đơn</t>
  </si>
  <si>
    <t>Số hóa đơn</t>
  </si>
  <si>
    <t>Thuế suất GTGT</t>
  </si>
  <si>
    <t>25/01/2021</t>
  </si>
  <si>
    <t>15/02/2021</t>
  </si>
  <si>
    <t>25/02/2021</t>
  </si>
  <si>
    <t>15/03/2021</t>
  </si>
  <si>
    <t>31/03/2021</t>
  </si>
  <si>
    <t>25/04/2021</t>
  </si>
  <si>
    <t>15/05/2021</t>
  </si>
  <si>
    <t>31/05/2021</t>
  </si>
  <si>
    <t>15/06/2021</t>
  </si>
  <si>
    <t>25/06/2021</t>
  </si>
  <si>
    <t>30/06/2021</t>
  </si>
  <si>
    <t>15/07/2021</t>
  </si>
  <si>
    <t>30/07/2021</t>
  </si>
  <si>
    <t>20/08/2021</t>
  </si>
  <si>
    <t>31/08/2021</t>
  </si>
  <si>
    <t>15/09/2021</t>
  </si>
  <si>
    <t>25/09/2021</t>
  </si>
  <si>
    <t>30/09/2021</t>
  </si>
  <si>
    <t>20/10/2021</t>
  </si>
  <si>
    <t>25/11/2021</t>
  </si>
  <si>
    <t>15/12/2021</t>
  </si>
  <si>
    <t>31/12/2021</t>
  </si>
  <si>
    <t>Ghi chú</t>
  </si>
  <si>
    <t>TỔNG CỘNG</t>
  </si>
  <si>
    <t>DANH SÁCH HÓA ĐƠN ĐẦU VÀO — GIẢ LẬP 2021</t>
  </si>
  <si>
    <t>Màu đỏ = HĐ khống | Màu vàng = Nâng khống | Không tô = HĐ thực</t>
  </si>
  <si>
    <t>Kịch bản</t>
  </si>
  <si>
    <t>Ngày xuất HĐ</t>
  </si>
  <si>
    <t>MST người bán</t>
  </si>
  <si>
    <t>Tên NCC</t>
  </si>
  <si>
    <t>Tiền chưa thuế (VNĐ)</t>
  </si>
  <si>
    <t>Tiền thuế GTGT</t>
  </si>
  <si>
    <t>Tổng tiền thanh toán</t>
  </si>
  <si>
    <t>Hình thức TT</t>
  </si>
  <si>
    <t>Trạng thái HĐ (thực tế)</t>
  </si>
  <si>
    <t>Nhãn AI (label)</t>
  </si>
  <si>
    <t>Loại khống</t>
  </si>
  <si>
    <t>A - Khống</t>
  </si>
  <si>
    <t>Dich vu tu van quan tri doanh nghiep thang 1/2021</t>
  </si>
  <si>
    <t>Tiền mặt</t>
  </si>
  <si>
    <t>Không có giao dịch thực tế</t>
  </si>
  <si>
    <t>Khống hoàn toàn</t>
  </si>
  <si>
    <t>Dich vu tu van quan tri doanh nghiep thang 2/2021</t>
  </si>
  <si>
    <t>Dich vu tu van quan tri doanh nghiep thang 3/2021</t>
  </si>
  <si>
    <t>Dich vu thue phan mem quan ly noi bo Q2/2021</t>
  </si>
  <si>
    <t>Dich vu thue phan mem quan ly noi bo Q3/2021</t>
  </si>
  <si>
    <t>Dich vu thue phan mem quan ly noi bo Q4/2021</t>
  </si>
  <si>
    <t>B - Nhập khống</t>
  </si>
  <si>
    <t>Hang hoa: may moc thiet bi van phong (bo)</t>
  </si>
  <si>
    <t>Hàng hóa không tồn tại (nhập kho ảo)</t>
  </si>
  <si>
    <t>Nhập hàng giả</t>
  </si>
  <si>
    <t>Nguyen vat lieu san xuat: sat thep cuon (tan)</t>
  </si>
  <si>
    <t>C - Nâng khống</t>
  </si>
  <si>
    <t>Dich vu quang cao tren mang xa hoi T1-T2/2021</t>
  </si>
  <si>
    <t>Chuyển khoản</t>
  </si>
  <si>
    <t>Giao dịch thực 1 tỷ, khai khống 1,3 tỷ (+30%)</t>
  </si>
  <si>
    <t>Nâng khống 30%</t>
  </si>
  <si>
    <t>Hợp lệ</t>
  </si>
  <si>
    <t>BÁO CÁO TÀI CHÍNH - PHÂN TÍCH VI PHẠM HOÁ ĐƠN KHỐNG</t>
  </si>
  <si>
    <t>Công ty TNHH Thương Mại Dịch Vụ AZURA HÀ NỘI  |  MST: 0109082787  |  Năm tài chính: 2021</t>
  </si>
  <si>
    <t>Đơn vị: VNĐ</t>
  </si>
  <si>
    <t>① SỐ LIỆU DN NỘP
(Theo BCTC gốc 2021)</t>
  </si>
  <si>
    <t>② SAU KHI LOẠI BỎ
CHI PHÍ KHỐNG</t>
  </si>
  <si>
    <t>③ CHÊNH LỆCH
(① - ②)</t>
  </si>
  <si>
    <t>CHỈ TIÊU</t>
  </si>
  <si>
    <t>Giá trị (VNĐ)</t>
  </si>
  <si>
    <t>I. KẾT QUẢ HOẠT ĐỘNG KINH DOANH (B02-DN)</t>
  </si>
  <si>
    <t>1. Doanh thu bán hàng và cung cấp DV [Mã 01]</t>
  </si>
  <si>
    <t>2. Các khoản giảm trừ doanh thu [Mã 02]</t>
  </si>
  <si>
    <t>3. Doanh thu thuần [Mã 10 = 01-02]</t>
  </si>
  <si>
    <t>4. Giá vốn hàng bán [Mã 11]</t>
  </si>
  <si>
    <t xml:space="preserve">    - Trong đó: Chi phí hóa đơn khống bị loại bỏ</t>
  </si>
  <si>
    <t xml:space="preserve">    • Kịch bản A: HĐ dịch vụ khống (NCC ma)</t>
  </si>
  <si>
    <t xml:space="preserve">    • Kịch bản B: HĐ nhập hàng giả (kho ảo)</t>
  </si>
  <si>
    <t xml:space="preserve">    • Kịch bản C: HĐ nâng khống +30% giá trị</t>
  </si>
  <si>
    <t>5. Lợi nhuận gộp [Mã 20 = 10-11]</t>
  </si>
  <si>
    <t>6. Doanh thu hoạt động tài chính [Mã 21]</t>
  </si>
  <si>
    <t>7. Chi phí tài chính [Mã 22]</t>
  </si>
  <si>
    <t xml:space="preserve">    - Trong đó: Chi phí lãi vay [Mã 23]</t>
  </si>
  <si>
    <t>8. Chi phí bán hàng [Mã 25]</t>
  </si>
  <si>
    <t>9. Chi phí quản lý doanh nghiệp [Mã 26]</t>
  </si>
  <si>
    <t>10. Lợi nhuận thuần từ HKD [Mã 30]</t>
  </si>
  <si>
    <t>11. Thu nhập khác [Mã 31]</t>
  </si>
  <si>
    <t>12. Chi phí khác [Mã 32]</t>
  </si>
  <si>
    <t>13. Lợi nhuận khác [Mã 40 = 31-32]</t>
  </si>
  <si>
    <t>14. Tổng lợi nhuận kế toán trước thuế [Mã 50]</t>
  </si>
  <si>
    <t>15. Chi phí thuế TNDN hiện hành [Mã 51] (thuế suất 20%)</t>
  </si>
  <si>
    <t xml:space="preserve">    → Thuế suất thực tế khai</t>
  </si>
  <si>
    <t>16. Chi phí thuế TNDN hoãn lại [Mã 52]</t>
  </si>
  <si>
    <t>17. Lợi nhuận sau thuế TNDN [Mã 60]</t>
  </si>
  <si>
    <t>II. BẢNG CÂN ĐỐI KẾTOÁN (B01-DN) - 31/12/2021</t>
  </si>
  <si>
    <t>TÀI SẢN</t>
  </si>
  <si>
    <t>Số cuối năm (DN khai)</t>
  </si>
  <si>
    <t>Sau điều chỉnh</t>
  </si>
  <si>
    <t>Chênh lệch</t>
  </si>
  <si>
    <t>A. TÀI SẢN NGẮN HẠN [Mã 100]</t>
  </si>
  <si>
    <t xml:space="preserve">  I. Tiền và tương đương tiền [Mã 110]</t>
  </si>
  <si>
    <t xml:space="preserve">  II. Đầu tư TC ngắn hạn [Mã 120]</t>
  </si>
  <si>
    <t xml:space="preserve">  III. Phải thu ngắn hạn [Mã 130]</t>
  </si>
  <si>
    <t xml:space="preserve">    1. Phải thu khách hàng [Mã 131]</t>
  </si>
  <si>
    <t xml:space="preserve">    2. Phải thu ngắn hạn khác [Mã 136]</t>
  </si>
  <si>
    <t xml:space="preserve">  IV. Hàng tồn kho [Mã 140]</t>
  </si>
  <si>
    <t xml:space="preserve">  V. Tài sản ngắn hạn khác [Mã 150]</t>
  </si>
  <si>
    <t xml:space="preserve">    1. Chi phí trả trước ngắn hạn [Mã 151]</t>
  </si>
  <si>
    <t xml:space="preserve">    2. Thuế GTGT được khấu trừ [Mã 152] ← KHỒNG</t>
  </si>
  <si>
    <t>B. TÀI SẢN DÀI HẠN [Mã 200]</t>
  </si>
  <si>
    <t>TỔNG CỘNG TÀI SẢN [Mã 270]</t>
  </si>
  <si>
    <t>NGUỒN VỐN</t>
  </si>
  <si>
    <t>C. NỢ PHẢI TRẢ [Mã 300]</t>
  </si>
  <si>
    <t xml:space="preserve">  I. Nợ ngắn hạn [Mã 310]</t>
  </si>
  <si>
    <t xml:space="preserve">    1. Vay và nợ TC ngắn hạn [Mã 320]</t>
  </si>
  <si>
    <t xml:space="preserve">    2. Thuế và các khoản phải nộp NN ← BIếN ĐỘNG</t>
  </si>
  <si>
    <t xml:space="preserve">    - GTGT phải nộp thêm (khấu trừ giả)</t>
  </si>
  <si>
    <t xml:space="preserve">    - TNDN phải nộp thêm</t>
  </si>
  <si>
    <t xml:space="preserve">  II. Nợ dài hạn [Mã 330]</t>
  </si>
  <si>
    <t>D. VỐN CHỦ SỞ Hữu [Mã 400]</t>
  </si>
  <si>
    <t xml:space="preserve">  1. Vốn góp của chủ sở hữu [Mã 411]</t>
  </si>
  <si>
    <t xml:space="preserve">  2. LN sau thuế chưa phân phối [Mã 421] ← BIếN ĐỘNG</t>
  </si>
  <si>
    <t>TỔNG CỘNG NGUỒN VỐN [Mã 440]</t>
  </si>
  <si>
    <t>III. TÓM TẮT VI PHẠM - PHÂN TÍCH RỦI RO THUế</t>
  </si>
  <si>
    <t>Loại vi phạm</t>
  </si>
  <si>
    <t>Mô tả</t>
  </si>
  <si>
    <t>Tác động</t>
  </si>
  <si>
    <t>Kịch bản A</t>
  </si>
  <si>
    <t>HĐ dịch vụ tư vấn/phần mềm từ NCC ma (6 hóa đơn)</t>
  </si>
  <si>
    <t>Khai tăng GVHB, giảm LNTT 11,09 tỷ</t>
  </si>
  <si>
    <t>Kịch bản B</t>
  </si>
  <si>
    <t>HĐ nhập hàng hóa giả vào kho ảo (4 hóa đơn)</t>
  </si>
  <si>
    <t>Khai tăng GVHB, giảm LNTT 24,73 tỷ</t>
  </si>
  <si>
    <t>Kịch bản C</t>
  </si>
  <si>
    <t>Nâng khống giá trị HĐ có thật lên +30% (4 hóa đơn)</t>
  </si>
  <si>
    <t>Khai tăng GVHB, giảm LNTT 11,10 tỷ</t>
  </si>
  <si>
    <t>TỔNG HÓA ĐƠN KHỐNG</t>
  </si>
  <si>
    <t>14 hóa đơn vi phạm / 17 hóa đơn (82%)</t>
  </si>
  <si>
    <t>Phương pháp: Loại khỏi GVHB + tính lại thuế</t>
  </si>
  <si>
    <t>HỬU QUẢ THUế (kết quả tính lại)</t>
  </si>
  <si>
    <t>Thuế DN khai</t>
  </si>
  <si>
    <t>Thuế đúng (20%)</t>
  </si>
  <si>
    <t>Trốn thuế</t>
  </si>
  <si>
    <t>Thuế GTGT đầu vào khấu trừ sai</t>
  </si>
  <si>
    <t>Thuế TNDN khai nộp</t>
  </si>
  <si>
    <t>TỔNG THUế VI PHẠM ƯỚC TÍNH</t>
  </si>
  <si>
    <t>Ghi chú: Số liệu cột ① lấy trực tiếp từ BCTC Cty AZURA (nộp tháng 02/2022). Cột ② = loại bỏ toàn bộ hóa đơn màu đỏ trong sheet HĐ_Đầu_Vào. Cột ③ = chênh lệch thuế phải nộp bổ sung.</t>
  </si>
  <si>
    <t>DANH SÁCH HÓA ĐƠN BÁN RA — GIẢ LẬP 2021</t>
  </si>
  <si>
    <t>Công ty TNHH Thương Mại Dịch Vụ AZURA Hà Nội | MST: 0109082787 | Tổng doanh thu: 223,288,917,677 đ</t>
  </si>
  <si>
    <t>Ghi chú: Tất cả hóa đơn bán ra đều hợp lệ (Label = 0) — DN dùng HĐ đầu vào khống để giảm thuế TNDN/GTGT</t>
  </si>
  <si>
    <t>Quý</t>
  </si>
  <si>
    <t>MST Khách hàng</t>
  </si>
  <si>
    <t>Tên khách hàng</t>
  </si>
  <si>
    <t>Nội dung hàng hóa / dịch vụ</t>
  </si>
  <si>
    <t>Loại</t>
  </si>
  <si>
    <t>Nhãn AI</t>
  </si>
  <si>
    <t>HD-BAN001-2021</t>
  </si>
  <si>
    <t>Q1</t>
  </si>
  <si>
    <t>Cung cap thiet bi van phong &amp; noi that van phong (lo 1)</t>
  </si>
  <si>
    <t>Hàng hóa</t>
  </si>
  <si>
    <t>HD-BAN002-2021</t>
  </si>
  <si>
    <t>Cung cap may tinh xach tay, man hinh (lo 1)</t>
  </si>
  <si>
    <t>HD-BAN003-2021</t>
  </si>
  <si>
    <t>Dich vu cai dat va bao tri he thong mang T1-T2/2021</t>
  </si>
  <si>
    <t>Dịch vụ</t>
  </si>
  <si>
    <t>HD-BAN004-2021</t>
  </si>
  <si>
    <t>Cung cap vat tu xay dung, sat thep cuon (lo 1)</t>
  </si>
  <si>
    <t>HD-BAN005-2021</t>
  </si>
  <si>
    <t>Cung cap vat tu xay dung, sat thep cuon (lo 2)</t>
  </si>
  <si>
    <t>HD-BAN006-2021</t>
  </si>
  <si>
    <t>Cung cap nguyen vat lieu san xuat thang 3/2021</t>
  </si>
  <si>
    <t>HD-BAN007-2021</t>
  </si>
  <si>
    <t>Q2</t>
  </si>
  <si>
    <t>Cung cap thiet bi van phong &amp; noi that van phong (lo 2)</t>
  </si>
  <si>
    <t>HD-BAN008-2021</t>
  </si>
  <si>
    <t>Cung cap may tinh xach tay, man hinh (lo 2)</t>
  </si>
  <si>
    <t>HD-BAN009-2021</t>
  </si>
  <si>
    <t>Cung cap vat tu xay dung, sat thep cuon (lo 3)</t>
  </si>
  <si>
    <t>HD-BAN010-2021</t>
  </si>
  <si>
    <t>Dich vu van chuyen va luu kho hang hoa Q1/2021</t>
  </si>
  <si>
    <t>HD-BAN011-2021</t>
  </si>
  <si>
    <t>HD-BAN012-2021</t>
  </si>
  <si>
    <t>Dich vu phat trien phan mem, gia su phong Q2</t>
  </si>
  <si>
    <t>HD-BAN013-2021</t>
  </si>
  <si>
    <t>Cung cap nguyen vat lieu san xuat Q2/2021</t>
  </si>
  <si>
    <t>HD-BAN014-2021</t>
  </si>
  <si>
    <t>Q3</t>
  </si>
  <si>
    <t>Cung cap thiet bi van phong &amp; noi that van phong (lo 3)</t>
  </si>
  <si>
    <t>HD-BAN015-2021</t>
  </si>
  <si>
    <t>Cung cap vat tu xay dung, sat thep cuon (lo 4)</t>
  </si>
  <si>
    <t>HD-BAN016-2021</t>
  </si>
  <si>
    <t>Cung cap may tinh xach tay, man hinh (lo 3)</t>
  </si>
  <si>
    <t>HD-BAN017-2021</t>
  </si>
  <si>
    <t>Dich vu van chuyen va luu kho hang hoa Q2-Q3</t>
  </si>
  <si>
    <t>HD-BAN018-2021</t>
  </si>
  <si>
    <t>HD-BAN019-2021</t>
  </si>
  <si>
    <t>Dich vu tu van chuyen doi so Q3/2021</t>
  </si>
  <si>
    <t>HD-BAN020-2021</t>
  </si>
  <si>
    <t>Cung cap nguyen vat lieu san xuat Q3/2021</t>
  </si>
  <si>
    <t>HD-BAN021-2021</t>
  </si>
  <si>
    <t>Q4</t>
  </si>
  <si>
    <t>Cung cap thiet bi van phong &amp; noi that van phong (lo 4)</t>
  </si>
  <si>
    <t>HD-BAN022-2021</t>
  </si>
  <si>
    <t>Cung cap vat tu xay dung, sat thep cuon (lo 5)</t>
  </si>
  <si>
    <t>HD-BAN023-2021</t>
  </si>
  <si>
    <t>Cung cap may tinh xach tay, man hinh (lo 4)</t>
  </si>
  <si>
    <t>HD-BAN024-2021</t>
  </si>
  <si>
    <t>Dich vu van chuyen va luu kho hang hoa Q4/2021</t>
  </si>
  <si>
    <t>HD-BAN025-2021</t>
  </si>
  <si>
    <t>Cung cap vat tu xay dung va giao nhan cuoi nam</t>
  </si>
  <si>
    <t>TỔNG HỢP ĐẦU RA</t>
  </si>
  <si>
    <t>Theo quý</t>
  </si>
  <si>
    <t>Số HĐ</t>
  </si>
  <si>
    <t>Doanh thu chưa thuế</t>
  </si>
  <si>
    <t>VAT đầu ra</t>
  </si>
  <si>
    <t>Tổng tiền</t>
  </si>
  <si>
    <t>Qý 1/2021</t>
  </si>
  <si>
    <t>Qý 2/2021</t>
  </si>
  <si>
    <t>Qý 3/2021</t>
  </si>
  <si>
    <t>Qý 4/2021</t>
  </si>
  <si>
    <t>TỔNG NĂM 2021</t>
  </si>
  <si>
    <t>Đối chiếu BCTC:</t>
  </si>
  <si>
    <t>Doanh thu thuần theo BCTC</t>
  </si>
  <si>
    <t>Tổng doanh thu HĐ bán ra giả lập</t>
  </si>
  <si>
    <t>✅</t>
  </si>
  <si>
    <t>Chênh lệch (phải = 0)</t>
  </si>
  <si>
    <t>Phân tích loại giao dịch:</t>
  </si>
  <si>
    <t>Hàng hóa (18 HĐ)</t>
  </si>
  <si>
    <t>Dịch vụ (7 HĐ)</t>
  </si>
  <si>
    <t>Lưu ý để phát hiện bất thường:</t>
  </si>
  <si>
    <t>• Tất cả HĐ bán ra đều thanh toán qua ngân hàng (trái ngược HĐ đầu vào dùng tiền mặt)</t>
  </si>
  <si>
    <t>• GTGT đầu ra (22,3 tỷ) &gt;&gt; GTGT đầu vào khấu trừ (5,7 tỷ) → Tỷ lệ 223%: dấu hiệu rửa tiền vạch thuế</t>
  </si>
  <si>
    <t>• Biên lợi nhuận gộp khai: 2,8% trên doanh thu 223 tỷ → rất thấp với ngành TM-DV</t>
  </si>
  <si>
    <t>--- HÓA ĐƠN HỢP LỆ (GIAO DỊCH THỰC Tế — LABEL = 0) ---</t>
  </si>
  <si>
    <t>Hợp lệ — Thiết bị IT</t>
  </si>
  <si>
    <t>Mua may tinh xach tay DELL Latitude, man hinh (lo 1)</t>
  </si>
  <si>
    <t>HĐ hợp lệ, có hợp đồng + phiếu nhập kho</t>
  </si>
  <si>
    <t>Mua thiet bi server, storage rack (bo)</t>
  </si>
  <si>
    <t>HĐ hợp lệ, NCC lớn có trong hệ thống hải quan</t>
  </si>
  <si>
    <t>Mua may tinh xach tay DELL Latitude, man hinh (lo 2)</t>
  </si>
  <si>
    <t>Mua may tinh xach tay DELL Latitude, man hinh (lo 3)</t>
  </si>
  <si>
    <t>Mua may tinh xach tay DELL Latitude, man hinh (lo 4)</t>
  </si>
  <si>
    <t>Mua thiet bi server, storage rack (bo 2)</t>
  </si>
  <si>
    <t>Hợp lệ — Vật tư XD</t>
  </si>
  <si>
    <t>Mua ton, thep cuon cam ket (lot 1 - don Hung Thinh)</t>
  </si>
  <si>
    <t>HĐ hợp lệ, NCC niêm yết HSX</t>
  </si>
  <si>
    <t>Mua thep cuon, thep hinh (lot 1 - don Delta)</t>
  </si>
  <si>
    <t>HĐ hợp lệ, NCC niêm yết HOSE</t>
  </si>
  <si>
    <t>Mua ton, thep cuon cam ket (lot 2 - don Hung Thinh)</t>
  </si>
  <si>
    <t>Mua thep cuon, thep hinh (lot 2 - don Delta)</t>
  </si>
  <si>
    <t>Mua ton, thep cuon cam ket (lot 3 - don Hung Thinh)</t>
  </si>
  <si>
    <t>Mua thep cuon, thep hinh (lot 3 - don Delta)</t>
  </si>
  <si>
    <t>Mua ton, thep cuon (lot 4 - don Hung Thinh + Delta)</t>
  </si>
  <si>
    <t>Hợp lệ — NVL sản xuất</t>
  </si>
  <si>
    <t>Mua nguyen vat lieu san xuat (thang 1-3/2021)</t>
  </si>
  <si>
    <t>HĐ hợp lệ, có hợp đồng khung + phiếu nhập kho</t>
  </si>
  <si>
    <t>Mua nguyen vat lieu san xuat (thang 4-6/2021)</t>
  </si>
  <si>
    <t>Mua nguyen vat lieu san xuat (thang 7-12/2021)</t>
  </si>
  <si>
    <t>Hợp lệ — Logistics</t>
  </si>
  <si>
    <t>Dich vu van tai, giao nhan hang hoa 6 thang dau nam 2021</t>
  </si>
  <si>
    <t>HĐ hợp lệ, NCC niêm yết HoSE, hợp đồng 6 tháng</t>
  </si>
  <si>
    <t>Dich vu van tai, giao nhan hang hoa 6 thang cuoi nam 2021</t>
  </si>
  <si>
    <t>Hợp lệ — Nhỏ lẻ</t>
  </si>
  <si>
    <t>Cuoc dien thoai, Internet van phong 6 thang dau 2021</t>
  </si>
  <si>
    <t>HĐ hợp lệ, NCC lớn — tự động xuất định kỳ</t>
  </si>
  <si>
    <t>Van phong pham, hop, muc in toan nam 2021</t>
  </si>
  <si>
    <t>HĐ hợp lệ giá trị nhỏ</t>
  </si>
  <si>
    <t>TỔNG HỢP ĐẦU VÀO</t>
  </si>
  <si>
    <t>Phân loại</t>
  </si>
  <si>
    <t>Số HVĐ</t>
  </si>
  <si>
    <t>Tiền chưa thuế</t>
  </si>
  <si>
    <t>VAT khấu trừ</t>
  </si>
  <si>
    <t>Tổng thanh toán</t>
  </si>
  <si>
    <t>🔴 Vi phạm</t>
  </si>
  <si>
    <t>Kịch bản A (khống dịch vụ) + B (nhập khống) + C (nâng khống)</t>
  </si>
  <si>
    <t>Thuế gián lậu ước tính: TNDN 9,38 tỷ + VAT 4,69 tỷ</t>
  </si>
  <si>
    <t>✅ Hợp lệ</t>
  </si>
  <si>
    <t>20 HĐ giao dịch thực tế: thiết bị IT, vật tư XD, NVL SX, logistics</t>
  </si>
  <si>
    <t>GVHB thực ước tính: 170,022,387,994 đ</t>
  </si>
  <si>
    <t>34 hóa đơn đầu vào năm 2021</t>
  </si>
  <si>
    <t>GVHB khai trong KQKD (mã 11)</t>
  </si>
  <si>
    <t>Tổng HVĐ (đầu vào chưa thuế)</t>
  </si>
  <si>
    <t>HĐ hợp lệ, NCC niêm yết HoSE, hợp đồng dịch vụ 6 tháng (giá trị cao do khối lượng vận chuyển tăng)</t>
  </si>
  <si>
    <t>Dich vu van chuyen hang hoa, giao nhan Q1/2021 (gia khai khong 30%)</t>
  </si>
  <si>
    <t>Giao dịch thật 1,5 tỷ, khai khống 1,95 tỷ (+30%)</t>
  </si>
  <si>
    <t>Dich vu van chuyen hang hoa, giao nhan Q2-Q3/2021 (gia khai khong 30%)</t>
  </si>
  <si>
    <t>Giao dịch thật 2,6 tỷ, khai khống 3,38 tỷ (+30%)</t>
  </si>
  <si>
    <t>Dich vu van chuyen hang hoa, giao nhan Q4/2021 (gia khai khong 30%)</t>
  </si>
  <si>
    <t>Giao dịch thật 3,45 tỷ, khai khống 4,48 tỷ (+30%)</t>
  </si>
  <si>
    <t>So sánh GVHB khai: 216.945.387.994 đ — Khớp = 0</t>
  </si>
  <si>
    <t>File nguồn</t>
  </si>
  <si>
    <t>Tên người nộp thuế</t>
  </si>
  <si>
    <t>Mã số thuế</t>
  </si>
  <si>
    <t>Lĩnh vực hoạt động</t>
  </si>
  <si>
    <t>Địa chỉ</t>
  </si>
  <si>
    <t>Ngày báo cáo</t>
  </si>
  <si>
    <t>Thông tư</t>
  </si>
  <si>
    <t>Doanh thu bán hàng (đồng)</t>
  </si>
  <si>
    <t>Giá vốn hàng bán (đồng)</t>
  </si>
  <si>
    <t>Tổng LN kế toán trước thuế (đồng)</t>
  </si>
  <si>
    <t>ETAX11320220135159138.xml</t>
  </si>
  <si>
    <t>CÔNG TY CỔ PHẦN DỆT 10/10</t>
  </si>
  <si>
    <t>Sản xuất dệt may</t>
  </si>
  <si>
    <t>Số 9/253 Minh Khai, Phường Vĩnh Tuy, Hai Bà Trưng, Hà Nội</t>
  </si>
  <si>
    <t>TT200</t>
  </si>
  <si>
    <t>ETAX11320230190461133.xml</t>
  </si>
  <si>
    <t>Số 9/253 Minh Khai, Phường Vĩnh Tuy, Quận Hai Bà Trưng, Hà Nội</t>
  </si>
  <si>
    <t>31/12/2022</t>
  </si>
  <si>
    <t>ETAX11320240248598336.xml</t>
  </si>
  <si>
    <t>31/12/2023</t>
  </si>
  <si>
    <t>ETAX11320250308654589.xml</t>
  </si>
  <si>
    <t>31/12/2024</t>
  </si>
  <si>
    <t>ETAX20220220000107922.xml</t>
  </si>
  <si>
    <t>Tổng công ty Công nghiệp Hoá chất mỏ - Vinacomin</t>
  </si>
  <si>
    <t>Sản xuất hóa chất mỏ / khai khoáng</t>
  </si>
  <si>
    <t>Ngõ 1 Phan Đình Giót, Quận Thanh Xuân, Hà Nội</t>
  </si>
  <si>
    <t>ETAX20220230000060372.xml</t>
  </si>
  <si>
    <t>ETAX20220240000045523.xml</t>
  </si>
  <si>
    <t>Tổng Công ty công nghiệp hóa chất mỏ - Vinacomin</t>
  </si>
  <si>
    <t>ETAX20220250000043743.xml</t>
  </si>
  <si>
    <t>ETAX20220260000033224.xml</t>
  </si>
  <si>
    <t>31/12/2025</t>
  </si>
  <si>
    <t>ETAX11320220134705544.xml</t>
  </si>
  <si>
    <t>Tổng công ty May 10 – CTCP</t>
  </si>
  <si>
    <t>Sản xuất hàng may mặc</t>
  </si>
  <si>
    <t>Phường Sài Đồng, Long Biên, Hà Nội</t>
  </si>
  <si>
    <t>ETAX11320230190262087.xml</t>
  </si>
  <si>
    <t>Phường Sài Đồng, Quận Long Biên, Hà Nội</t>
  </si>
  <si>
    <t>ETAX11320240250709641.xml</t>
  </si>
  <si>
    <t>ETAX11320250311822688.xml</t>
  </si>
  <si>
    <t>ETAX11320220129071727.xml</t>
  </si>
  <si>
    <t>Tổng công ty Đức Giang - CTCP</t>
  </si>
  <si>
    <t>Số 59 Phố Đức Giang, phường Đức Giang, Long Biên, Hà Nội</t>
  </si>
  <si>
    <t>ETAX11320230184950610.xml</t>
  </si>
  <si>
    <t>Số 59 Phố Đức Giang, phường Đức Giang, Quận Long Biên, Hà Nội</t>
  </si>
  <si>
    <t>ETAX11320240246831582.xml</t>
  </si>
  <si>
    <t>ETAX11320250305397576.xml</t>
  </si>
  <si>
    <t>ETAX11320220130579234.xml</t>
  </si>
  <si>
    <t>Công ty cổ phần xây dựng và đầu tư Visicons</t>
  </si>
  <si>
    <t>Xây dựng &amp; đầu tư</t>
  </si>
  <si>
    <t>Tầng 5, phố Hoàng Đạo Thúy, phường Trung Hòa, Cầu Giấy, Hà Nội</t>
  </si>
  <si>
    <t>ETAX11320230185687049.xml</t>
  </si>
  <si>
    <t>Tầng 5, tòa nhà 29T2, phố Hoàng Đạo Thúy, phường Trung Hòa, Quận Cầu Giấy, Hà Nội</t>
  </si>
  <si>
    <t>ETAX11320240243050771.xml</t>
  </si>
  <si>
    <t>ETAX11320250307611472.xml</t>
  </si>
  <si>
    <t>ETAX11320240244118656.xml</t>
  </si>
  <si>
    <t>Tổng công ty Hàng Không Việt Nam - CTCP</t>
  </si>
  <si>
    <t>Hàng không</t>
  </si>
  <si>
    <t>200 Nguyễn Sơn, Quận Long Biên, Hà Nội</t>
  </si>
  <si>
    <t>ETAX11320240248436215.xml</t>
  </si>
  <si>
    <t>ETAX11320220131894167.xml</t>
  </si>
  <si>
    <t>Công ty TNHH Quốc tế VINATA</t>
  </si>
  <si>
    <t>Thương mại quốc tế</t>
  </si>
  <si>
    <t>đường Khuất Duy Tiến, phường Trung Hòa,, Cầu Giấy, Hà Nội</t>
  </si>
  <si>
    <t>ETAX11320230186370838.xml</t>
  </si>
  <si>
    <t>đường Khuất Duy Tiến, phường Trung Hòa,, Quận Cầu Giấy, Hà Nội</t>
  </si>
  <si>
    <t>ETAX11320240248307961.xml</t>
  </si>
  <si>
    <t>ETAX11320250308597537.xml</t>
  </si>
  <si>
    <t>ETAX11320220149049602.xml</t>
  </si>
  <si>
    <t>Công ty TNHH hệ thống dây Sumi-Hanel</t>
  </si>
  <si>
    <t>Sản xuất hệ thống dây điện ô tô</t>
  </si>
  <si>
    <t>Đường CN 4, KCN Sài Đồng B, Phường Thạch Bàn, Long Biên, Hà Nội</t>
  </si>
  <si>
    <t>31/03/2022</t>
  </si>
  <si>
    <t>ETAX11320230201431027.xml</t>
  </si>
  <si>
    <t>Công ty TNHH Hệ thống dây Sumi-Hanel</t>
  </si>
  <si>
    <t>Đường Công nghiệp 4, khu Công nghiệp Sài Đồng B, phường Thạch Bàn, Quận Long Biên, Hà Nội</t>
  </si>
  <si>
    <t>31/03/2023</t>
  </si>
  <si>
    <t>ETAX11320240263398286.xml</t>
  </si>
  <si>
    <t>Đường CN 4, KCN Sài Đồng B, Phường Thạch Bàn, Quận Long Biên, Hà Nội</t>
  </si>
  <si>
    <t>31/03/2024</t>
  </si>
  <si>
    <t>ETAX11320250326454744.xml</t>
  </si>
  <si>
    <t>Đường CN4, KCN Sài Đồng B, Thạch Bàn, Quận Long Biên, Hà Nội</t>
  </si>
  <si>
    <t>31/03/2025</t>
  </si>
  <si>
    <t>ETAX11320220149356329.xml</t>
  </si>
  <si>
    <t>Công ty TNHH Hitachi Energy Việt Nam</t>
  </si>
  <si>
    <t>Sản xuất &amp; kinh doanh thiết bị điện</t>
  </si>
  <si>
    <t>Km số 9, Quốc lộ 1A - Phường Hoàng Liệt, Hoàng Mai, Hà Nội</t>
  </si>
  <si>
    <t>ETAX11320230201605534.xml</t>
  </si>
  <si>
    <t>Km số 9, Quốc lộ 1A, Phường Hoàng Liệt, Quận Hoàng Mai, Thành phố Hà Nội, Việt Nam, Quận Hoàng Mai, Hà Nội</t>
  </si>
  <si>
    <t>ETAX11320240263771609.xml</t>
  </si>
  <si>
    <t>Km số 9, Quốc lộ 1A, Phường Hoàng Liệt, Quận Hoàng Mai, Thành phố Hà Nội, Việ, Quận Hoàng Mai, Hà Nội</t>
  </si>
  <si>
    <t>ETAX11320250326968654.xml</t>
  </si>
  <si>
    <t>Km số 9, Quốc lộ 1A, Phường  Hoàng Mai, Thành phố Hà Nội, Việt Nam, Thành phố Hà Nội</t>
  </si>
  <si>
    <t>ETAX11320220149069290.xml</t>
  </si>
  <si>
    <t>Công ty TNHH Khu Công Nghiệp Thăng Long</t>
  </si>
  <si>
    <t>Phát triển &amp; kinh doanh khu công nghiệp</t>
  </si>
  <si>
    <t>Khu Công Nghiệp Thăng Long, xã Kim Chung, Đông Anh, Hà Nội.</t>
  </si>
  <si>
    <t>ETAX11320230201517146.xml</t>
  </si>
  <si>
    <t>Khu Công Nghiệp Thăng Long, Kim Chung, Huyện Đông Anh, Hà Nội</t>
  </si>
  <si>
    <t>ETAX11320240263581555.xml</t>
  </si>
  <si>
    <t>Công ty TNHH Khu Công nghiệp Thăng Long</t>
  </si>
  <si>
    <t>KCN Thăng Long, Xã Kim Chung, Huyện Đông Anh, Hà Nội</t>
  </si>
  <si>
    <t>ETAX11320250326786291.xml</t>
  </si>
  <si>
    <t>ETAX11320220130741897.xml</t>
  </si>
  <si>
    <t>Công ty TNHH Kỹ thuật và Thương mại Ban Mai</t>
  </si>
  <si>
    <t>Kỹ thuật &amp; thương mại</t>
  </si>
  <si>
    <t>Số 19 Lê Văn Hưu, Phường Phạm Đình Hổ, Quận Hai Bà Trưng, TP Hà Nội</t>
  </si>
  <si>
    <t>ETAX11320230184513379.xml</t>
  </si>
  <si>
    <t>Số 19 Lê Văn Hưu, Phường Phạm Đình Hổ, Quận Hai Bà Trưng, Hà Nội</t>
  </si>
  <si>
    <t>ETAX11320240242708561.xml</t>
  </si>
  <si>
    <t>ETAX11320250307693126.xml</t>
  </si>
  <si>
    <t>ETAX11320230184835394.xml</t>
  </si>
  <si>
    <t>Công Ty TNHH một thành viên 76</t>
  </si>
  <si>
    <t>Công nghiệp quốc phòng / sản xuất</t>
  </si>
  <si>
    <t>Kiêu Kỵ, Huyện Gia Lâm, Hà Nội</t>
  </si>
  <si>
    <t>ETAX11320240244560626.xml</t>
  </si>
  <si>
    <t>ETAX11320250304714885.xml</t>
  </si>
  <si>
    <t>ETAX11320220129225151.xml</t>
  </si>
  <si>
    <t>Công ty TNHH Nhà thép tiền chế Zamil Việt Nam</t>
  </si>
  <si>
    <t>Sản xuất &amp; lắp dựng nhà thép tiền chế</t>
  </si>
  <si>
    <t>Khu công nghiệp Nội Bài, xã Quang Tiến, Huyện Sóc Sơn, Hà Nội</t>
  </si>
  <si>
    <t>ETAX11320230188168607.xml</t>
  </si>
  <si>
    <t>ETAX11320240247147318.xml</t>
  </si>
  <si>
    <t>Khu công nghiệp Nội Bài, xã Quang Tiến, Huyện Sóc sơn, Hà Nội</t>
  </si>
  <si>
    <t>ETAX11320250308715733.xml</t>
  </si>
  <si>
    <t>KCN Nội Bài, xã Quang Tiến, Huyện Sóc sơn, Hà Nội</t>
  </si>
  <si>
    <t>ETAX11320220126658423.xml</t>
  </si>
  <si>
    <t>Công ty TNHH Dynapac (Hà Nội)</t>
  </si>
  <si>
    <t>Sản xuất bao bì giấy &amp; carton</t>
  </si>
  <si>
    <t>Đường công nghiệp 6, khu CN Sài Đồng B, phường Thạch Bàn, Long Biên, Hà Nội</t>
  </si>
  <si>
    <t>ETAX11320230183914322.xml</t>
  </si>
  <si>
    <t>Đường công nghiệp 6, khu CN Sài Đồng B, phường Thạch Bàn, Quận Long Biên, Hà Nội</t>
  </si>
  <si>
    <t>ETAX11320240243835651.xml</t>
  </si>
  <si>
    <t>ETAX11320250304870386.xml</t>
  </si>
  <si>
    <t>ETAX11320220127343371.xml</t>
  </si>
  <si>
    <t>Công ty cổ phần Thương mại đầu tư HB</t>
  </si>
  <si>
    <t>Thương mại &amp; đầu tư</t>
  </si>
  <si>
    <t>Số 23 K Hai Bà Trưng, Phường Tràng Tiền, Hoàn Kiếm, Hà Nội</t>
  </si>
  <si>
    <t>ETAX11320230180230606.xml</t>
  </si>
  <si>
    <t>Số 23 K Hai Bà Trưng, Phường Tràng Tiền, Quận Hoàn Kiếm, Hà Nội</t>
  </si>
  <si>
    <t>ETAX11320240248334952.xml</t>
  </si>
  <si>
    <t>Công ty Cổ phần Thương mại Đầu tư HB</t>
  </si>
  <si>
    <t>Số 23K Hai Bà Trưng, phường Tràng Tiền, Quận Hoàn Kiếm, Hà Nội</t>
  </si>
  <si>
    <t>ETAX11320250302779795.xml</t>
  </si>
  <si>
    <t>ETAX11320220148157826.xml</t>
  </si>
  <si>
    <t>Công ty TNHH Nissan Automotive Technology Việt Nam</t>
  </si>
  <si>
    <t>Công nghệ ô tô (R&amp;D)</t>
  </si>
  <si>
    <t>Tầng 26, Keangnam Hanoi Landmark Tower, Lô E6, KĐTM Cầu Giấy, Phường Mễ Trì, Nam Từ Liêm, Hà Nội</t>
  </si>
  <si>
    <t>ETAX11320230200869686.xml</t>
  </si>
  <si>
    <t>Tầng 26, Keangnam Hanoi Landmark Tower, Lô E6, KĐTM Cầu Giấy, Phường Mễ Trì, Quận Nam Từ Liêm, Hà Nội</t>
  </si>
  <si>
    <t>ETAX11320240262828263.xml</t>
  </si>
  <si>
    <t>ETAX11320250325763254.xml</t>
  </si>
  <si>
    <t>Tầng 26, Keangnam Landmark 72, Lô E6, Đường Phạm Hùng, P.Mễ Trì, Quận Nam Từ Liêm, Hà Nội</t>
  </si>
  <si>
    <t>ETAX11320220135186481.xml</t>
  </si>
  <si>
    <t>CÔNG TY TNHH TOTO VIỆT NAM</t>
  </si>
  <si>
    <t>Sản xuất thiết bị vệ sinh</t>
  </si>
  <si>
    <t>LÔ F1, KCN THĂNG LONG, ĐÔNG ANH, HÀ NỘI</t>
  </si>
  <si>
    <t>ETAX11320230190551095.xml</t>
  </si>
  <si>
    <t>LÔ F1, KCN THĂNG LONG, Huyện Đông Anh, Hà Nội</t>
  </si>
  <si>
    <t>ETAX11320240250666944.xml</t>
  </si>
  <si>
    <t>LÔ F1,F2,F3,F4 - KHU CÔNG NGHIỆP THĂNG LONG, XÃ KIM CHUNG, Huyện Đông Anh, Hà Nội</t>
  </si>
  <si>
    <t>ETAX11320250312553619.xml</t>
  </si>
  <si>
    <t>ETAX11320220127794274.xml</t>
  </si>
  <si>
    <t>Công ty TNHH HAL Việt Nam</t>
  </si>
  <si>
    <t>Sản xuất công nghiệp</t>
  </si>
  <si>
    <t>Lô B19, Khu Công nghiệp Thăng Long, Đông Anh, Hà Nội</t>
  </si>
  <si>
    <t>ETAX11320230185862230.xml</t>
  </si>
  <si>
    <t>CÔNG TY TNHH HAL VIỆT NAM</t>
  </si>
  <si>
    <t>ETAX11320240244985931.xml</t>
  </si>
  <si>
    <t>ETAX11320250304528696.xml</t>
  </si>
  <si>
    <t>ETAX11320220124524849.xml</t>
  </si>
  <si>
    <t>Công ty TNHH Kyoei Việt Nam</t>
  </si>
  <si>
    <t>Sản xuất phụ tùng &amp; linh kiện ô tô, xe máy</t>
  </si>
  <si>
    <t>Lô 02-03 &amp; Lô 83-84 KCN Nội Bài xã Quang Tiến, Sóc Sơn, Hà Nội</t>
  </si>
  <si>
    <t>ETAX11320230181237492.xml</t>
  </si>
  <si>
    <t>Lô 02-03 &amp; Lô 83-84 KCN Nội Bài-Xã Quang Tiến, Huyện Sóc sơn, Hà Nội</t>
  </si>
  <si>
    <t>ETAX11320240242120705.xml</t>
  </si>
  <si>
    <t>ETAX11320250300572490.xml</t>
  </si>
  <si>
    <t>ETAX11320220134576497.xml</t>
  </si>
  <si>
    <t>Công ty Cổ phần Mỹ nghệ Viễn Đông</t>
  </si>
  <si>
    <t>Sản xuất &amp; kinh doanh mỹ nghệ</t>
  </si>
  <si>
    <t>Số 9, ngách 10, ngõ 106 đường Hoàng Quốc Việt, Phường Nghĩa Đô,, Quận Cầu Giấy,, TP Hà Nội</t>
  </si>
  <si>
    <t>TT133</t>
  </si>
  <si>
    <t>ETAX11320230190111625.xml</t>
  </si>
  <si>
    <t>Tầng 4 tòa nhà Vimeco Lô E9, đường Phạm Hùng - Phường Trung Hoà, Quận Cầu Giấy, Hà Nội</t>
  </si>
  <si>
    <t>ETAX11320240250908168.xml</t>
  </si>
  <si>
    <t>Tầng 4,  toà nhà Vimeco Lô E9, đường Phạm Hùng, Phường Trung Hòa, Quận Cầu Giấy, Hà Nội, Quận Cầu Giấy, Hà Nội</t>
  </si>
  <si>
    <t>ETAX11320250307020143.xml</t>
  </si>
  <si>
    <t>14-15A, Tầng 7, Tòa nhà Charmvit, số 117 Trần Duy Hưng, Phường Trung Hoà, Quận Cầu Giấy, Hà Nội, Quận Cầu Giấy, Hà Nội</t>
  </si>
  <si>
    <t>ETAX11320220149148279.xml</t>
  </si>
  <si>
    <t>Công ty TNHH Panasonic Appliances Việt Nam</t>
  </si>
  <si>
    <t>Sản xuất thiết bị điện gia dụng</t>
  </si>
  <si>
    <t>Lô B6 Khu CN Thăng Long - Xã Võng La, Đông Anh, Hà Nội</t>
  </si>
  <si>
    <t>ETAX11320230201090178.xml</t>
  </si>
  <si>
    <t>Lô B6 - Khu Công nghiệp Thăng Long, Xã Võng La, Huyện Đông Anh, Hà Nội</t>
  </si>
  <si>
    <t>ETAX11320240263613103.xml</t>
  </si>
  <si>
    <t>Lô B6 – KCN Thăng Long Đông Anh - Xã Võng La, Huyện Đông Anh, Hà Nội</t>
  </si>
  <si>
    <t>ETAX11320250326317966.xml</t>
  </si>
  <si>
    <t>Lô B6, KCN Thăng Long, Xã Võng La, Huyện Đông Anh, Hà Nội</t>
  </si>
  <si>
    <t>ETAX11320220131575882.xml</t>
  </si>
  <si>
    <t>CÔNG TY CỔ PHẦN XUẤT NHẬP KHẨU MINH TÂM</t>
  </si>
  <si>
    <t>Xuất nhập khẩu</t>
  </si>
  <si>
    <t>Số nhà 22, Ngõ 41 Phố Vọng, Phường Đồng Tâm, Hai Bà Trưng, TP. Hà Nội</t>
  </si>
  <si>
    <t>ETAX11320230188539789.xml</t>
  </si>
  <si>
    <t>Số nhà 22, Ngõ 41 Phố Vọng, Phường Đồng Tâm, Quận Hai Bà Trưng, Hà Nội</t>
  </si>
  <si>
    <t>ETAX11320240247212601.xml</t>
  </si>
  <si>
    <t>ETAX11320250298665830.xml</t>
  </si>
  <si>
    <t>ETAX11320230222549951.xml</t>
  </si>
  <si>
    <t>CÔNG TY CỔ PHẦN SẢN XUẤT VÀ THƯƠNG MẠI P.P</t>
  </si>
  <si>
    <t>Sản xuất &amp; thương mại</t>
  </si>
  <si>
    <t>Số 101A Nguyễn Khuyến, P. Văn Miếu, Q. Đống Đa, TP Hà Nội, Quận Đống đa, Hà Nội</t>
  </si>
  <si>
    <t>31/12/2019</t>
  </si>
  <si>
    <t>ETAX11320220147437096.xml</t>
  </si>
  <si>
    <t>336 tổ 7 xóm Mới, phường Thanh Xuân Trung, Thanh Xuân, Hà Nội</t>
  </si>
  <si>
    <t>31/12/2020</t>
  </si>
  <si>
    <t>ETAX11320220135707550.xml</t>
  </si>
  <si>
    <t>ETAX11320230190697044.xml</t>
  </si>
  <si>
    <t>ETAX11320240249705241.xml</t>
  </si>
  <si>
    <t>ETAX11320250309524934.xml</t>
  </si>
  <si>
    <t>Số 101A Nguyễn Khuyến, Phường Văn Miếu-Quốc Tử Giám, Quận Đống Đa, Thành phố Hà Nội, Việt Nam, Quận Đống đa, Hà Nội</t>
  </si>
  <si>
    <t>ETAX11320220144513453.xml</t>
  </si>
  <si>
    <t>Công Ty Cổ phần Sản xuất hàng thể thao</t>
  </si>
  <si>
    <t>Sản xuất hàng thể thao</t>
  </si>
  <si>
    <t>Phòng 505-06, tầng 5, số 83B, phố Lý Thường Kiệt, Phường Trần Hưng Đạo, quậ, Hoàn Kiếm, Hà Nội</t>
  </si>
  <si>
    <t>ETAX11320220132048976.xml</t>
  </si>
  <si>
    <t>ETAX11320230188646247.xml</t>
  </si>
  <si>
    <t>Tầng 12, tháp 2, Tòa nhà Capital Place, số 29 phố Liễu Giai, Phường Ngọc Khánh, Quận Ba Đình, Thành phố Hà Nội, Việt Nam, Quận Ba Đình, Hà Nội</t>
  </si>
  <si>
    <t>ETAX11320240247350452.xml</t>
  </si>
  <si>
    <t>Tầng 12, Tháp 2,Tòa nhà Capital Place, Số 29 Phố Liễu Giai, Phường Ngọc Khánh, Quận Ba Đình, Hà Nội</t>
  </si>
  <si>
    <t>ETAX11320250307379857.xml</t>
  </si>
  <si>
    <t>ETAX11320220133018228.xml</t>
  </si>
  <si>
    <t>Cong ty TNHH Che a Chau</t>
  </si>
  <si>
    <t>Trồng chè &amp; dịch vụ nông lâm nghiệp</t>
  </si>
  <si>
    <t>P1603, nha 17T3, Khu DTM Trung Hoa - Nhan Chinh, P. Trung Hoa, Cau Giay, Ha Noi</t>
  </si>
  <si>
    <t>ETAX11320230188199602.xml</t>
  </si>
  <si>
    <t>Cong ty TNHH Che A Chau</t>
  </si>
  <si>
    <t>P1603, nha 17T3, Khu DTM Trung Hoa - Nhan Chinh, P. Trung Hoa, Quận Cầu Giấy, Hà Nội</t>
  </si>
  <si>
    <t>ETAX11320240245925786.xml</t>
  </si>
  <si>
    <t>ETAX11320250309440692.xml</t>
  </si>
  <si>
    <t>CONG TY TNHH CHE A CHAU</t>
  </si>
  <si>
    <t>P1603 nha 17T3 khu DTM Trung Hoa- Nhan Chinh, P.Trung Hoa,, Quận Cầu Giấy, Hà Nội</t>
  </si>
  <si>
    <t>ETAX11320220130749029.xml</t>
  </si>
  <si>
    <t>Công ty TNHH sản xuất phụ tùng Yamaha motor Việt Nam</t>
  </si>
  <si>
    <t>Sản xuất phụ tùng xe máy</t>
  </si>
  <si>
    <t>Lô G1-G2, KCN Thăng Long, xã Võng La, Đông Anh, Hà Nội</t>
  </si>
  <si>
    <t>ETAX11320230184888725.xml</t>
  </si>
  <si>
    <t>Lô G1-G2, KCN Thăng Long, xã Võng La, Huyện Đông Anh, Hà Nội</t>
  </si>
  <si>
    <t>ETAX11320240241994910.xml</t>
  </si>
  <si>
    <t>ETAX11320250302553833.xml</t>
  </si>
  <si>
    <t>ETAX11320230219827367.xml</t>
  </si>
  <si>
    <t>Công ty TNHH Phần mềm FPT</t>
  </si>
  <si>
    <t>Phát triển phần mềm</t>
  </si>
  <si>
    <t>Tòa nhà FPT Cầu Giấy, phố Duy Tân, phường Dịch Vọng Hậu, Quận Cầu Giấy, Hà Nội</t>
  </si>
  <si>
    <t>ETAX11320220133402017.xml</t>
  </si>
  <si>
    <t>Tòa nhà FPT Cầu Giấy, phố Duy Tân, phường Dịch Vọng Hậu, Cầu Giấy, Hà Nội</t>
  </si>
  <si>
    <t>ETAX11320230189291964.xml</t>
  </si>
  <si>
    <t>ETAX11320240248239274.xml</t>
  </si>
  <si>
    <t>ETAX11320220133013823.xml</t>
  </si>
  <si>
    <t>Công ty cổ phần dầu khí An Pha</t>
  </si>
  <si>
    <t>Kinh doanh dầu khí</t>
  </si>
  <si>
    <t>Lô CN 03-07 cụm CN Ninh Hiệp, xã Ninh Hiệp, Gia Lâm, Hà Nội</t>
  </si>
  <si>
    <t>ETAX11320230187413941.xml</t>
  </si>
  <si>
    <t>CÔNG TY CỔ PHẦN DẦU KHÍ AN PHA</t>
  </si>
  <si>
    <t>Lô CN 03-07, cụm CN Ninh Hiệp, xã Ninh Hiệp, Huyện Gia Lâm, Hà Nội</t>
  </si>
  <si>
    <t>ETAX11320240248498871.xml</t>
  </si>
  <si>
    <t>ETAX11320250306932488.xml</t>
  </si>
  <si>
    <t>ETAX11320220131444671.xml</t>
  </si>
  <si>
    <t>Công ty cổ phần sản xuất và xuất nhập khẩu bao bì Thăng Long</t>
  </si>
  <si>
    <t>Sản xuất bao bì &amp; xuất nhập khẩu</t>
  </si>
  <si>
    <t>Số 246, Nguyễn Khoái, Phường Thanh Lương, Hai Bà Trưng, Hà Nội</t>
  </si>
  <si>
    <t>ETAX11320220148747318.xml</t>
  </si>
  <si>
    <t>Công ty TNHH FCC Việt Nam</t>
  </si>
  <si>
    <t>Sản xuất phụ tùng &amp; bộ phận phụ trợ cho xe có động cơ</t>
  </si>
  <si>
    <t>Lô A5 Khu Công nghiệp Thăng Long, xã Võng La, Ðông Anh, Hà nội</t>
  </si>
  <si>
    <t>ETAX11320230201442880.xml</t>
  </si>
  <si>
    <t>Lô A5 Khu Công nghiệp Thăng Long, xã Võng La, Huyện Đông Anh, Hà Nội</t>
  </si>
  <si>
    <t>ETAX11320240262488138.xml</t>
  </si>
  <si>
    <t>ETAX11320250326234861.xml</t>
  </si>
  <si>
    <t>ETAX11320220132766523.xml</t>
  </si>
  <si>
    <t>CÔNG TY CP CÔNG NGHỆ VÀ THƯƠNG MẠI SYSTECH</t>
  </si>
  <si>
    <t>Công nghệ &amp; thương mại</t>
  </si>
  <si>
    <t>Số 119 Hồ Đắc Di, Phường Nam Đồng, Quận Đống Đa, TP Hà Nội</t>
  </si>
  <si>
    <t>ETAX11320230180919005.xml</t>
  </si>
  <si>
    <t>Số 119 Hồ Đắc Di, Phường Nam Đồng, Quận Đống đa, Hà Nội</t>
  </si>
  <si>
    <t>ETAX11320240237591391.xml</t>
  </si>
  <si>
    <t>ETAX11320250298638749.xml</t>
  </si>
  <si>
    <t>CÔNG TY CỔ PHẦN CÔNG NGHỆ VÀ THƯƠNG MẠI SYSTECH</t>
  </si>
  <si>
    <t>ETAX11320220125820707.xml</t>
  </si>
  <si>
    <t>Công Ty TNHH Babeeni Việt Nam</t>
  </si>
  <si>
    <t>Sản xuất hàng dệt may / quần áo trẻ em</t>
  </si>
  <si>
    <t>Số 66 Phố Việt Hưng, P.Việt Hưng, Long Biên, Hà Nội</t>
  </si>
  <si>
    <t>ETAX11320230180226684.xml</t>
  </si>
  <si>
    <t>Số 66 Phố Việt Hưng, P.Việt Hưng, Quận Long Biên, Hà Nội</t>
  </si>
  <si>
    <t>ETAX11320240240685865.xml</t>
  </si>
  <si>
    <t>ETAX11320250309532706.xml</t>
  </si>
  <si>
    <t>ETAX11320220128511545.xml</t>
  </si>
  <si>
    <t>Công ty TNHH công nghệ công trình Sheng Huei</t>
  </si>
  <si>
    <t>Công nghệ công trình / cơ điện</t>
  </si>
  <si>
    <t>Tầng 8, tòa nhà Hapulico, số 1 Nguyễn Huy Tưởng, P. nhân chính, Thanh Xuân, Hà Nội</t>
  </si>
  <si>
    <t>ETAX11320230184304854.xml</t>
  </si>
  <si>
    <t>Tầng 23, tòa nhà Hapulico, số 1 Nguyễn Huy Tưởng, Phường Thanh Xuân Trung, Quận Thanh Xuân, Hà Nội</t>
  </si>
  <si>
    <t>ETAX11320240245126791.xml</t>
  </si>
  <si>
    <t>ETAX11320250305841676.xml</t>
  </si>
  <si>
    <t>CÔNG TY TNHH CÔNG NGHỆ CÔNG TRÌNH SHENG HUEI</t>
  </si>
  <si>
    <t>Tầng 23, tòa nhà Hapulico, số 1 Nguyễn Huy Tưởng, P. Thanh Xuân Trung, Quận Thanh Xuân, Hà Nội</t>
  </si>
  <si>
    <t>ETAX11320230202179251.xml</t>
  </si>
  <si>
    <t>Cong ty Co phan kinh doanh LPG Viet Nam</t>
  </si>
  <si>
    <t>Kinh doanh khí hóa lỏng LPG</t>
  </si>
  <si>
    <t>Tang 11, Toa nha Vien Dau Khi, 167 Trung kinh, Yen Hoa, Cau Giay, Ha Noi, Quận Cầu Giấy, Hà Nội</t>
  </si>
  <si>
    <t>31/12/2017</t>
  </si>
  <si>
    <t>ETAX11320230202179291.xml</t>
  </si>
  <si>
    <t>31/12/2018</t>
  </si>
  <si>
    <t>ETAX11320220132890428.xml</t>
  </si>
  <si>
    <t>Tang 11, Toa nha Vien Dau Khi, 167 Trung kinh, Yen Hoa, Cau Giay, Ha Noi, Cau Giay, Ha Noi</t>
  </si>
  <si>
    <t>ETAX11320230190196617.xml</t>
  </si>
  <si>
    <t>ETAX11320240247427085.xml</t>
  </si>
  <si>
    <t>Cong ty co phan kinh doanh LPG Viet Nam</t>
  </si>
  <si>
    <t>Tang 11, Toa nha Vien Dau Khi, so 167 Trung Kinh, Yen Hoa, Cau Giay, Ha Noi, Quận Cầu Giấy, Hà Nội</t>
  </si>
  <si>
    <t>ETAX11320250305675290.xml</t>
  </si>
  <si>
    <t>Tang 11, toa nha Vien Dau Khi, so 167 Trung Kinh, Yen Hoa, Cau Giay, HN, Quận Cầu Giấy, Hà Nội</t>
  </si>
  <si>
    <t>ETAX11320220133699011.xml</t>
  </si>
  <si>
    <t>Công ty Cổ Phần May Mặc QTNP</t>
  </si>
  <si>
    <t>Ô số 18, lô 8, khu tái định cư, phường Long Biên, Long Biên, Hà Nội</t>
  </si>
  <si>
    <t>ETAX11320230190214189.xml</t>
  </si>
  <si>
    <t>Ô số 18, lô 8, khu tái định cư, phường Long Biên, Quận Long Biên, Hà Nội</t>
  </si>
  <si>
    <t>ETAX11320240248051297.xml</t>
  </si>
  <si>
    <t>ETAX11320250297878941.xml</t>
  </si>
  <si>
    <t>ETAX11320220151924653.xml</t>
  </si>
  <si>
    <t>CÔNG TY TNHH VINACOMPOUND</t>
  </si>
  <si>
    <t>Sản xuất hợp chất polyme</t>
  </si>
  <si>
    <t>34B hẻm 6/12/5 Đội Nhân, phường Vĩnh Phúc, Ba Đình, Hà Nội</t>
  </si>
  <si>
    <t>ETAX11320220128798578.xml</t>
  </si>
  <si>
    <t>ETAX11320230187489495.xml</t>
  </si>
  <si>
    <t>ETAX11320240248351087.xml</t>
  </si>
  <si>
    <t>34B hẻm 6/12/5 Đội Nhân, phường Vĩnh Phúc, Quận Ba Đình, Hà Nội</t>
  </si>
  <si>
    <t>ETAX11320250297267562.xml</t>
  </si>
  <si>
    <t>ETAX11320220149300197.xml</t>
  </si>
  <si>
    <t>Công ty TNHH Honda Trading Việt Nam</t>
  </si>
  <si>
    <t>Thương mại ô tô / phụ tùng Honda</t>
  </si>
  <si>
    <t>Tầng 8, tòa nhà Mặt Trời Sông Hồng, số 23 Phan Chu Trinh, P.Phan Chu Trinh, Hoàn Kiếm, Hà Nội</t>
  </si>
  <si>
    <t>ETAX11320230201582338.xml</t>
  </si>
  <si>
    <t>Tầng 8, tòa nhà Mặt Trời Sông Hồng, số 23 Phan Chu Trinh, P.Phan Chu Trinh, Quận Hoàn Kiếm, Hà Nội</t>
  </si>
  <si>
    <t>ETAX11320240263599622.xml</t>
  </si>
  <si>
    <t>ETAX11320250326634226.xml</t>
  </si>
  <si>
    <t>ETAX11320220133738480.xml</t>
  </si>
  <si>
    <t>Công ty Cổ phần Đầu Tư và Xây Dựng VINACO</t>
  </si>
  <si>
    <t>Đầu tư &amp; xây dựng</t>
  </si>
  <si>
    <t>Lô A2-26, tổ 3, cụm Sòi, phường Nhân Chính, Thanh Xuân, Hà Nội</t>
  </si>
  <si>
    <t>ETAX11320230186950234.xml</t>
  </si>
  <si>
    <t>Lô A2-26, tổ 3, cụm Sòi, phường Nhân Chính, Quận Thanh Xuân, Hà Nội</t>
  </si>
  <si>
    <t>ETAX11320240249801576.xml</t>
  </si>
  <si>
    <t>ETAX11320250311636031.xml</t>
  </si>
  <si>
    <t>ETAX11320220131000523.xml</t>
  </si>
  <si>
    <t>CÔNG TY CỔ PHẦN SẢN XUẤT VÀ XUẤT NHẬP KHẨU LONG ĐẠT</t>
  </si>
  <si>
    <t>Sản xuất &amp; xuất nhập khẩu</t>
  </si>
  <si>
    <t>SỐ 6, NGÕ 59 ĐƯỜNG HỒ TÙNG MẬU. PHƯỜNG MAI DỊCH, CẦU GIẤY, HÀ NỘI</t>
  </si>
  <si>
    <t>ETAX11320230190385862.xml</t>
  </si>
  <si>
    <t>SỐ 6, NGÕ 59 ĐƯỜNG HỒ TÙNG MẬU. PHƯỜNG MAI DỊCH, Quận Cầu Giấy, Hà Nội</t>
  </si>
  <si>
    <t>ETAX11320240249317731.xml</t>
  </si>
  <si>
    <t>ETAX11320250306622678.xml</t>
  </si>
  <si>
    <t>Số 6, ngõ 59, đường Hồ Tùng Mậu, Phường Mai Dịch, Quận Cầu Giấy, TP. Hà Nội, Việt Nam, Quận Cầu Giấy, Hà Nội</t>
  </si>
  <si>
    <t>ETAX11320220135093338.xml</t>
  </si>
  <si>
    <t>Công ty cổ phần xây dựng Hợp Lực</t>
  </si>
  <si>
    <t>Xây dựng</t>
  </si>
  <si>
    <t>B8, Lô BT04, Khu đô thị mới Việt Hưng, Đường Nguyễn Cao Luyện, Phường Giang Biên, Quận Long Biên, TP Hà Nội</t>
  </si>
  <si>
    <t>ETAX11320230189059719.xml</t>
  </si>
  <si>
    <t>B8, lô BT04, khu ĐTM Việt Hưng, đường Nguyễn Cao Luyện, phường Giang Biên, Quận Long Biên, Hà Nội</t>
  </si>
  <si>
    <t>ETAX11320240248772745.xml</t>
  </si>
  <si>
    <t>ETAX11320250309791326.xml</t>
  </si>
  <si>
    <t>Tầng 10 Tòa nhà Lotus Building, số 2 Phố Duy Tân - Phường Dịch Vọng Hậu, Quận Cầu Giấy, Hà Nội</t>
  </si>
  <si>
    <t>ETAX11320220129097765.xml</t>
  </si>
  <si>
    <t>Công ty TNHH xuất nhập khẩu Thanh Hùng</t>
  </si>
  <si>
    <t>K06-4T1-CT15 Khu đô thị Việt Hưng, Phường Giang Biên, Quận Long Biên, Thành phố Hà Nội</t>
  </si>
  <si>
    <t>ETAX11320230184515577.xml</t>
  </si>
  <si>
    <t>K06-4T1-CT15 Khu đô thị Việt Hưng, Phường Giang Biên, Quận Long Biên, Hà Nội</t>
  </si>
  <si>
    <t>ETAX11320240242859730.xml</t>
  </si>
  <si>
    <t>ETAX11320250298973600.xml</t>
  </si>
  <si>
    <t>ETAX11320220112492447.xml</t>
  </si>
  <si>
    <t>CÔNG TY CỔ PHẦN ĐẦU TƯ XÂY DỰNG VÀ CÔNG NGHỆ VIỆT NHẬT</t>
  </si>
  <si>
    <t>Đầu tư xây dựng &amp; công nghệ</t>
  </si>
  <si>
    <t>Số 43 Ngõ 260 Đường Cầu Giấy, Phường Quan Hoa, Cầu Giấy, Hà Nội</t>
  </si>
  <si>
    <t>ETAX11320220112488340.xml</t>
  </si>
  <si>
    <t>ETAX11320220112488061.xml</t>
  </si>
  <si>
    <t>ETAX11320220133300362.xml</t>
  </si>
  <si>
    <t>ETAX11320230188161694.xml</t>
  </si>
  <si>
    <t>Số 43 Ngõ 260 Đường Cầu Giấy, Phường Quan Hoa, Quận Cầu Giấy, Hà Nội</t>
  </si>
  <si>
    <t>ETAX11320240249213497.xml</t>
  </si>
  <si>
    <t>ETAX11320250308582466.xml</t>
  </si>
  <si>
    <t>Số 43 ngõ 260 đường Cầu Giấy, Phường Quan Hoa, Quận Cầu Giấy, Hà Nội</t>
  </si>
  <si>
    <t>ETAX11320220129924926.xml</t>
  </si>
  <si>
    <t>Công ty TNHH Xuất Nhập Khẩu &amp; Thương Mại Hải Linh</t>
  </si>
  <si>
    <t>Xuất nhập khẩu &amp; thương mại</t>
  </si>
  <si>
    <t>274 Hà Huy Tập - TT Yên Viên, Gia Lâm, Hà Nội</t>
  </si>
  <si>
    <t>ETAX11320230186335532.xml</t>
  </si>
  <si>
    <t>274 Hà Huy Tập - TT Yên Viên, Huyện Gia Lâm, Hà Nội</t>
  </si>
  <si>
    <t>ETAX11320240249212927.xml</t>
  </si>
  <si>
    <t>ETAX11320250310378060.xml</t>
  </si>
  <si>
    <t>ETAX11320250351849640.xml</t>
  </si>
  <si>
    <t>274 Hà Huy Tập, Thành phố Hà Nội</t>
  </si>
  <si>
    <t>28/11/2025</t>
  </si>
  <si>
    <t>ETAX11320220124416928.xml</t>
  </si>
  <si>
    <t>Công ty TNHH CMS Vina</t>
  </si>
  <si>
    <t>Lô 10A, KCN Quang Minh, Thị trấn Quang Minh, Mê Linh, Hà Nội</t>
  </si>
  <si>
    <t>ETAX11320230184238427.xml</t>
  </si>
  <si>
    <t>Lô 10A, KCN Quang Minh, Thị trấn Quang Minh, Huyện Mê Linh, Hà Nội</t>
  </si>
  <si>
    <t>ETAX11320240241195836.xml</t>
  </si>
  <si>
    <t>ETAX11320250303953000.xml</t>
  </si>
  <si>
    <t>ETAX11320220130508655.xml</t>
  </si>
  <si>
    <t>CÔNG TY TNHH THƯƠNG MẠI QUỐC TẾ PHƯƠNG LINH</t>
  </si>
  <si>
    <t>SỐ 173 THANH NHÀN, PHƯỜNG QUỲNH LÔI, QUẬN HAI BÀ TRƯNG, TP. HÀ NỘI</t>
  </si>
  <si>
    <t>ETAX11320230187798084.xml</t>
  </si>
  <si>
    <t>173 Thanh Nhàn, P Quỳnh Lôi, Quận Hai Bà Trưng, Hà Nội</t>
  </si>
  <si>
    <t>ETAX11320240247074645.xml</t>
  </si>
  <si>
    <t>Số nhà 33 ngõ 100 phố Dịch Vọng Hậu, Phường Dịch Vọng Hậu, Quận Cầu Giấy, Hà Nội</t>
  </si>
  <si>
    <t>ETAX11320250312423359.xml</t>
  </si>
  <si>
    <t>ETAX11320220128778754.xml</t>
  </si>
  <si>
    <t>CÔNG TY CỔ PHẦN TẬP ĐOÀN INVESTCORP</t>
  </si>
  <si>
    <t>Đầu tư tài chính</t>
  </si>
  <si>
    <t>Tòa nhà INVESTCORP, Lô A15 -16, Khu Đấu giá quyền sử dụng đất Vạn Phúc, Phường Vạn Phúc, Hà Đông, Hà Nội</t>
  </si>
  <si>
    <t>ETAX11320230185657320.xml</t>
  </si>
  <si>
    <t>Tòa nhà INVESTCORP, Lô A15 -16, Khu Đấu giá quyền sử dụng đất Vạn Phúc, Phường Vạn Phúc, Quận Hà Đông, Hà Nội</t>
  </si>
  <si>
    <t>ETAX11320240244267516.xml</t>
  </si>
  <si>
    <t>Tòa nhà INVESTCORP, Lô A15 -16, Khu Đấu giá quyền sử dụng Đất Vạn Phúc, Phường Vạn Phúc,, Quận Hà Đông, Hà Nội</t>
  </si>
  <si>
    <t>ETAX11320250305554962.xml</t>
  </si>
  <si>
    <t>ETAX20220220000112755.xml</t>
  </si>
  <si>
    <t>Công ty cổ phần TVL</t>
  </si>
  <si>
    <t>Sản xuất thép không gỉ &amp; bất động sản</t>
  </si>
  <si>
    <t>Số 14B ngõ 6 Vạn Phúc, phường Kim Mã, Ba Đình, Hà Nội</t>
  </si>
  <si>
    <t>ETAX20220230000077183.xml</t>
  </si>
  <si>
    <t>Số 14B ngõ 6 Vạn Phúc, phường Kim Mã, Quận Ba Đình, Hà Nội</t>
  </si>
  <si>
    <t>ETAX20220240000045616.xml</t>
  </si>
  <si>
    <t>ETAX11320250306021670.xml</t>
  </si>
  <si>
    <t>ETAX11320220134035057.xml</t>
  </si>
  <si>
    <t>Công ty TNHH phát triển xây dựng Việt Nam Kiến Hưng</t>
  </si>
  <si>
    <t>Xây dựng &amp; phát triển bất động sản</t>
  </si>
  <si>
    <t>Tòa nhà Golden Palace K1, Đường Mễ Trì, Phường Mễ Trì, Nam Từ Liêm, Hà Nội</t>
  </si>
  <si>
    <t>ETAX11320230187303051.xml</t>
  </si>
  <si>
    <t>Tòa nhà Golden Palace K1, Đường Mễ Trì, Phường Mễ Trì, Quận Nam Từ Liêm, Hà Nội</t>
  </si>
  <si>
    <t>ETAX11320240244459726.xml</t>
  </si>
  <si>
    <t>ETAX11320250305342367.xml</t>
  </si>
  <si>
    <t>ETAX11320220149067745.xml</t>
  </si>
  <si>
    <t>Cong ty TNHH Varroc lighting systems Viet Nam</t>
  </si>
  <si>
    <t>Sản xuất hệ thống đèn xe</t>
  </si>
  <si>
    <t>Lo 16, KCN Quang Minh, thi tran Quang Minh, Me Linh, Ha Noi</t>
  </si>
  <si>
    <t>ETAX11320230201465119.xml</t>
  </si>
  <si>
    <t>CÔNG TY TNHH VARROC VIỆT NAM</t>
  </si>
  <si>
    <t>Lô 24+25, Khu Công nghiệp Quang Minh - Thị trấn Quang Minh, Huyện Mê Linh, Hà Nội</t>
  </si>
  <si>
    <t>ETAX11320240263637104.xml</t>
  </si>
  <si>
    <t>Công ty TNHH Varroc Việt Nam</t>
  </si>
  <si>
    <t>Lô 24+25, KCN Quang Minh, thị trấn Quang Minh, Huyện Mê Linh, Hà Nội</t>
  </si>
  <si>
    <t>ETAX11320250326141214.xml</t>
  </si>
  <si>
    <t>ETAX11320220137282435.xml</t>
  </si>
  <si>
    <t>Công ty Cổ Phần Đầu Tư A&amp;B Việt Nam</t>
  </si>
  <si>
    <t>Đầu tư &amp; thương mại</t>
  </si>
  <si>
    <t>Số 45 phố Nguyễn Sơn phường Ngọc Lâm, Long Biên, Hà Nội</t>
  </si>
  <si>
    <t>ETAX11320220137283133.xml</t>
  </si>
  <si>
    <t>ETAX11320220125011640.xml</t>
  </si>
  <si>
    <t>ETAX11320220132075999.xml</t>
  </si>
  <si>
    <t>ETAX11320230190102780.xml</t>
  </si>
  <si>
    <t>Số 45 phố Nguyễn Sơn phường Ngọc Lâm, Quận Long Biên, Hà Nội</t>
  </si>
  <si>
    <t>ETAX11320240249579451.xml</t>
  </si>
  <si>
    <t>Số 45 phố Nguyễn Sơn, phường Ngọc Lâm, Quận Long Biên, Hà Nội</t>
  </si>
  <si>
    <t>ETAX11320250306528857.xml</t>
  </si>
  <si>
    <t>ETAX20120210000730911.xml</t>
  </si>
  <si>
    <t>CÔNG TY TNHH KẺ GỖ</t>
  </si>
  <si>
    <t>Sản xuất &amp; kinh doanh gỗ</t>
  </si>
  <si>
    <t>Số 415 Hoàng Tăng Bí, Phường Đức Thắng, Quận Bắc Từ Liêm, Thành phố Hà Nội, Việt Nam, Quận Bắc Từ Liêm, Thành phố Hà Nội</t>
  </si>
  <si>
    <t>ETAX20120220000813557.xml</t>
  </si>
  <si>
    <t>Số 415 Hoàng Tăng Bí, Phường Đức Thắng, Quận Bắc Từ Liêm, Thành phố Hà Nội, Việt Nam, Quận Bắc Từ Liêm, Hà Nội</t>
  </si>
  <si>
    <t>ETAX20120230000871954.xml</t>
  </si>
  <si>
    <t>ETAX20120240000924250.xml</t>
  </si>
  <si>
    <t>Số 415, Đường Hoàng Tăng Bí, Phường Đức Thắng, Quận Bắc Từ Liêm, Hà Nội</t>
  </si>
  <si>
    <t>ETAX20120250000996650.xml</t>
  </si>
  <si>
    <t>Số 415 Hoàng Tăng Bí, Phường Đông Ngạc, TP Hà Nội, Việt Nam., Phường Đông Ngạc, Thành phố Hà Nội</t>
  </si>
  <si>
    <t>ETAX11320220133256106.xml</t>
  </si>
  <si>
    <t>CÔNG TY TNHH CƠ ĐIỆN VÀ XÂY DƯNG QUỐC TẾ HOA NAM</t>
  </si>
  <si>
    <t>Cơ điện &amp; xây dựng</t>
  </si>
  <si>
    <t>Căn hộ liền kề 29, C37 Bộ Công An, KĐT mới Phùng Khoang, số 17 đường Tố Hữu, Phường Trung Văn, Quận Nam Từ Liêm, Thành Phố Hà Nội</t>
  </si>
  <si>
    <t>ETAX11320230188922143.xml</t>
  </si>
  <si>
    <t>CÔNG TY TNHH CƠ ĐIỆN VÀ XÂY DỰNG QUỐC TẾ HOA NAM</t>
  </si>
  <si>
    <t>Căn hộ liền kề 29, C37 Bộ Công An, KĐT mới Phùng Khoang, số 17 Tố Hữu, P.Trung Văn, Quận Nam Từ Liêm, Hà Nội</t>
  </si>
  <si>
    <t>ETAX11320240249084525.xml</t>
  </si>
  <si>
    <t>Công ty TNHH Cơ điện và Xây dựng Quốc tế Hoa Nam</t>
  </si>
  <si>
    <t>Căn Shophouse ML6-06A, Khu Vinhomes Green Bay, Số 7 Đại lộ Thăng Long, phường Mễ Trì, Quận Nam Từ Liêm, Hà Nội</t>
  </si>
  <si>
    <t>ETAX11320250309551888.xml</t>
  </si>
  <si>
    <t>ETAX11320220124981097.xml</t>
  </si>
  <si>
    <t>Công ty cổ phần kinh doanh gạch ốp lát Viglacera</t>
  </si>
  <si>
    <t>Kinh doanh vật liệu xây dựng / gạch ốp lát</t>
  </si>
  <si>
    <t>Tầng 2, tòa nhà Viglacera, Số 1 Đại Lộ Thăng Long, Phường Mễ Trì, Nam Từ Liêm, Hà Nội</t>
  </si>
  <si>
    <t>ETAX11320230182262423.xml</t>
  </si>
  <si>
    <t>Tầng 2, tòa nhà Viglacera, Số 1 Đại Lộ Thăng Long, Phường Mễ Trì, Quận Nam Từ Liêm, Hà Nội</t>
  </si>
  <si>
    <t>ETAX11320240241745088.xml</t>
  </si>
  <si>
    <t>ETAX11320250303260280.xml</t>
  </si>
  <si>
    <t>ETAX11320220128469154.xml</t>
  </si>
  <si>
    <t>Công ty TNHH iMarket Việt Nam</t>
  </si>
  <si>
    <t>Thương mại điện tử / phân phối vật tư</t>
  </si>
  <si>
    <t>Tầng 12, tòa nhà Charmvit Tower, số 117 đường Trần Duy Hưng, P.Trung Hòa, Cầu Giấy, Hà Nội</t>
  </si>
  <si>
    <t>ETAX11320230183808808.xml</t>
  </si>
  <si>
    <t>Tầng 12, tòa nhà Charmvit Tower, số 117 đường Trần Duy Hưng, P.Trung Hòa, Quận Cầu Giấy, Hà Nội</t>
  </si>
  <si>
    <t>ETAX11320240242602084.xml</t>
  </si>
  <si>
    <t>ETAX11320250302509612.xml</t>
  </si>
  <si>
    <t>ETAX11320220132076746.xml</t>
  </si>
  <si>
    <t>Tổng công ty Vận tải thủy Petrolimex</t>
  </si>
  <si>
    <t>Vận tải đường thủy / xăng dầu</t>
  </si>
  <si>
    <t>Số 1 Khâm Thiên, Đống Đa, Hà Nội</t>
  </si>
  <si>
    <t>ETAX11320230186052557.xml</t>
  </si>
  <si>
    <t>Tổng công ty Vận tải Thủy Petrolimex</t>
  </si>
  <si>
    <t>Số 1 Khâm Thiên, Quận Đống đa, Hà Nội</t>
  </si>
  <si>
    <t>ETAX11320240247287358.xml</t>
  </si>
  <si>
    <t>ETAX11320220130742709.xml</t>
  </si>
  <si>
    <t>Công ty TNHH Xuất nhập khẩu và Dịch vụ Thương mại Viết Nam</t>
  </si>
  <si>
    <t>Xuất nhập khẩu &amp; dịch vụ thương mại</t>
  </si>
  <si>
    <t>B32-TT17 Khu ĐTM Văn Quán, P.Phúc La, Hà Đông, Hà Nội</t>
  </si>
  <si>
    <t>ETAX11320230181832081.xml</t>
  </si>
  <si>
    <t>CÔNG TY TNHH XUẤT NHẬP KHẨU VÀ DỊCH VỤ THƯƠNG MẠI VIẾT NAM</t>
  </si>
  <si>
    <t>B32 - TT17 Khu ĐTM Văn Quán, Phường Phúc La, Quận Hà Đông, Hà Nội</t>
  </si>
  <si>
    <t>ETAX11320240244802276.xml</t>
  </si>
  <si>
    <t>ETAX11320250311532072.xml</t>
  </si>
  <si>
    <t>ETAX11320220130968635.xml</t>
  </si>
  <si>
    <t>CÔNG TY TNHH SAMSUNG ENGINEERING VIETNAM</t>
  </si>
  <si>
    <t>Kỹ thuật &amp; xây dựng công nghiệp</t>
  </si>
  <si>
    <t>P1909B, tầng 19 keangnam Hanoi Landmark tower, Khu E6, KĐT Cầu Giấy, P. Mễ Trì, Nam Từ Liêm, Hà Nội</t>
  </si>
  <si>
    <t>ETAX11320230181949557.xml</t>
  </si>
  <si>
    <t>P1909B, tầng 19 keangnam Hanoi Landmark tower, Khu E6, KĐT Cầu Giấy, P. Mễ Trì, Quận Nam Từ Liêm, Hà Nội</t>
  </si>
  <si>
    <t>ETAX11320240242029059.xml</t>
  </si>
  <si>
    <t>ETAX11320250303456140.xml</t>
  </si>
  <si>
    <t>CÔNG TY TNHH SAMSUNG E&amp;A VIỆT NAM</t>
  </si>
  <si>
    <t>ETAX11320220135288654.xml</t>
  </si>
  <si>
    <t>Công ty Cổ phần thiết kế và xây dựng Giza Việt Nam</t>
  </si>
  <si>
    <t>Thiết kế &amp; xây dựng</t>
  </si>
  <si>
    <t>Tầng 4 Tòa nhà N01-T5 Khu đoàn ngoại giao, Phường Xuân Tảo, Bắc Từ Liêm, Hà Nội</t>
  </si>
  <si>
    <t>ETAX11320230190254483.xml</t>
  </si>
  <si>
    <t>Tầng 4 Tòa nhà N01-T5 Khu đoàn ngoại giao, Phường Xuân Tảo, Quận Bắc Từ Liêm, Hà Nội</t>
  </si>
  <si>
    <t>ETAX11320240250940888.xml</t>
  </si>
  <si>
    <t>ETAX11320250311638287.xml</t>
  </si>
  <si>
    <t>ETAX11320220132568589.xml</t>
  </si>
  <si>
    <t>CÔNG TY CỔ PHẦN XUẤT NHẬP KHẨU VIỆT AN KHANG</t>
  </si>
  <si>
    <t>P606, Tháp A1, Indochina Plaza HN, 239 Xuân Thủy, P.Dịch Vọng Hậu, Q.Cầu Giấy, TP Hà Nội, Cầu Giấy, Hà Nội</t>
  </si>
  <si>
    <t>ETAX11320230188798948.xml</t>
  </si>
  <si>
    <t>P606, Tháp A1, Indochina Plaza HN, 239 Xuân Thủy, P.Dịch Vọng Hậu, Q.Cầu Giấy, TP Hà Nội, Quận Cầu Giấy, Hà Nội</t>
  </si>
  <si>
    <t>ETAX11320240249269474.xml</t>
  </si>
  <si>
    <t>P606 Tháp A1, Indochina Plaza HN, 239 Xuân Thủy, Phường Dịch Vọng Hậu, Quận Cầu Giấy, Hà Nội</t>
  </si>
  <si>
    <t>ETAX11320250310195991.xml</t>
  </si>
  <si>
    <t>P606, tháp A1, Indochina Plaza HN, 239 Xuân Thủy, Phường Dịch Vọng Hậu, Quận Cầu Giấy, Hà Nội</t>
  </si>
  <si>
    <t>ETAX11320220135154220.xml</t>
  </si>
  <si>
    <t>Công ty cổ phần Sunlink</t>
  </si>
  <si>
    <t>Thương mại &amp; dịch vụ</t>
  </si>
  <si>
    <t>Số 21, ngách 25, ngõ 358 Bùi Xương trạch, P.Khương Đình,, Thanh Xuân, Hà Nội</t>
  </si>
  <si>
    <t>ETAX11320230186004227.xml</t>
  </si>
  <si>
    <t>CÔNG TY CỔ PHẦN SUNLINK</t>
  </si>
  <si>
    <t>Số 21, ngách 25, ngõ 358 Bùi Xương Trạch, phường Khương Đình, Quận Thanh Xuân, Hà Nội</t>
  </si>
  <si>
    <t>ETAX11320240246641503.xml</t>
  </si>
  <si>
    <t>ETAX11320250305176826.xml</t>
  </si>
  <si>
    <t>ETAX11320260362532121.xml</t>
  </si>
  <si>
    <t>Số 21, ngách 25, ngõ 358 Bùi Xương Trạch,, Thành phố Hà Nội</t>
  </si>
  <si>
    <t>ETAX11320220132022198.xml</t>
  </si>
  <si>
    <t>Công ty TNHH Keyence Việt Nam</t>
  </si>
  <si>
    <t>Kinh doanh thiết bị tự động hóa công nghiệp</t>
  </si>
  <si>
    <t>Tầng 19, Tháp 1, tòa nhà Capital Place, Số 29 Đường Liễu Giai,P. Ngọc Khánh, Quận Ba Đình, Hà Nội</t>
  </si>
  <si>
    <t>ETAX11320230188937644.xml</t>
  </si>
  <si>
    <t>Tầng 27 và 28, Tháp 1, tòa nhà Capital Place, Số 29 Liễu Giai,P. Ngọc Khánh, Quận Ba Đình, Hà Nội</t>
  </si>
  <si>
    <t>ETAX11320240248644234.xml</t>
  </si>
  <si>
    <t>ETAX11320250311321144.xml</t>
  </si>
  <si>
    <t>ETAX11320220133344791.xml</t>
  </si>
  <si>
    <t>Công ty TNHH IPADSHOP Việt Nam</t>
  </si>
  <si>
    <t>Kinh doanh thiết bị điện tử / Apple</t>
  </si>
  <si>
    <t>Số 3, Ngõ 178, phố Thái Hà, Phường Trung Liệt, Quận Đống Đa, Thành Phố Hà Nội, Đống Đa, Hà Nội</t>
  </si>
  <si>
    <t>ETAX11320230170973612.xml</t>
  </si>
  <si>
    <t>Số 3, Ngõ 178, phố Thái Hà, Phường Trung Liệt, Quận Đống Đa, Thành Phố Hà Nội, Quận Đống đa, Hà Nội</t>
  </si>
  <si>
    <t>ETAX11320240224516595 (9).xml</t>
  </si>
  <si>
    <t>CÔNG TY TNHH IPADSHOP VIỆT NAM</t>
  </si>
  <si>
    <t>Số 3, Ngõ 178, Phố Thái Hà, Phường Trung Liệt, Quận Đống Đa, Thành phố Hà Nội, Việt Nam</t>
  </si>
  <si>
    <t>ETAX11320250300004037.xml</t>
  </si>
  <si>
    <t>ETAX11320250350605526.xml</t>
  </si>
  <si>
    <t>CÔNG TY TNHH IPADSHOP VIỆT NĂM</t>
  </si>
  <si>
    <t>SO 3, NGO 178 PHO THA HA, Thành phố Hà Nội</t>
  </si>
  <si>
    <t>ETAX11320220130562617.xml</t>
  </si>
  <si>
    <t>Công ty TNHH Một Thành Viên Sơn Hà SSP Việt Nam</t>
  </si>
  <si>
    <t>Sản xuất &amp; kinh doanh thép / bồn nước</t>
  </si>
  <si>
    <t>Lô CN1, Cụm CN Từ Liêm, P.Minh Khai, Bắc Từ Liêm, Hà Nội</t>
  </si>
  <si>
    <t>ETAX11320230189813587.xml</t>
  </si>
  <si>
    <t>Lô CN1, Cụm CN Từ Liêm, P.Minh Khai, Quận Bắc Từ Liêm, Hà Nội</t>
  </si>
  <si>
    <t>ETAX11320240248552879.xml</t>
  </si>
  <si>
    <t>CÔNG TY TNHH MTV SƠN HÀ SSP VIỆT NAM</t>
  </si>
  <si>
    <t>Lô CN1, Cụm CN Từ Liêm, P Minh Khai, Quận Bắc Từ Liêm, Hà Nội</t>
  </si>
  <si>
    <t>ETAX11320250306489408.xml</t>
  </si>
  <si>
    <t>Lô CN1, Cụm công nghiệp Từ Liêm, Phường Minh Khai, Quận Bắc Từ Liêm, Hà Nội</t>
  </si>
  <si>
    <t>ETAX11320220134779862.xml</t>
  </si>
  <si>
    <t>CÔNG TY TNHH DONG HUI</t>
  </si>
  <si>
    <t>Số 1, ngách 371/3 đường La Thành, Phường Ô Chợ Dừa, Đống Đa, Hà Nội</t>
  </si>
  <si>
    <t>ETAX11320230187060809.xml</t>
  </si>
  <si>
    <t>Lô TM số 1, tầng 3 tòa nhà Luxury Park Views,D32 KĐTM Cầu Giấy, P. Yên Hòa, Cầu Giấy, HN, Cầu Giấy, Hà Nội</t>
  </si>
  <si>
    <t>ETAX11320240245327043.xml</t>
  </si>
  <si>
    <t>Lô thương mại số 01 tầng 3 Tòa Luxury Park Views, D32 Khu đô thị mới Cầu Giấy, Phường Yên Hòa, Quận Cầu Giấy, TP. Hà Nội, Việt Nam, Quận Cầu Giấy, Hà Nội</t>
  </si>
  <si>
    <t>ETAX11320250306475107.xml</t>
  </si>
  <si>
    <t>Công ty TNHH Dong Hui</t>
  </si>
  <si>
    <t>Lô thương mại số 01 tầng 03 Tòa nhà Luxury Park Views, D32 Khu đô thị mới Cầu Giấy, Phường Yên Hòa, Quận Cầu Giấy, Hà Nội</t>
  </si>
  <si>
    <t>ETAX11320220133690921.xml</t>
  </si>
  <si>
    <t>Công ty CP giải pháp bao bì thông minh Việt Nam</t>
  </si>
  <si>
    <t>Sản xuất bao bì</t>
  </si>
  <si>
    <t>Tầng 27, khu A, tòa M3-M4, số 91 Nguyễn Chí Thanh, Láng Hạ, Đống Đa, Hà Nội</t>
  </si>
  <si>
    <t>ETAX11320230187296073.xml</t>
  </si>
  <si>
    <t>Tầng 27, khu A, tòa M3-M4, số 91 Nguyễn Chí Thanh, Láng Hạ, Quận Đống đa, Hà Nội</t>
  </si>
  <si>
    <t>ETAX11320240248626604.xml</t>
  </si>
  <si>
    <t>ETAX11320250309772060.xml</t>
  </si>
  <si>
    <t>Tầng 27, khu A, tòa M3-M4, số 91 Nguyễn Chí Thanh, Láng Hạ, Quận Đống Đa, Hà Nội</t>
  </si>
  <si>
    <t>ETAX11320220135181595.xml</t>
  </si>
  <si>
    <t>Công ty TNHH Xây dựng ZYF Việt Nam</t>
  </si>
  <si>
    <t>Tầng 22, tòa nhà PVI, số 1, Phạm Văn Bạch, Phường Yên Hòa, Quận Cầu Giấy, Hà Nội</t>
  </si>
  <si>
    <t>ETAX11320230186727605.xml</t>
  </si>
  <si>
    <t>ETAX11320240247741284.xml</t>
  </si>
  <si>
    <t>ETAX11320250309248523.xml</t>
  </si>
  <si>
    <t>ETAX11320220130792128.xml</t>
  </si>
  <si>
    <t>Công ty cổ phần US MASTERBATCH</t>
  </si>
  <si>
    <t>Sản xuất masterbatch nhựa</t>
  </si>
  <si>
    <t>Thôn Vao, Xã Yên Bình, Huyện Thạch Thất, TP Hà Nội</t>
  </si>
  <si>
    <t>ETAX11320230186772942.xml</t>
  </si>
  <si>
    <t>Thôn 2, Xã Tiến Xuân, Huyện Thạch Thất, Hà Nội</t>
  </si>
  <si>
    <t>ETAX11320240249356096.xml</t>
  </si>
  <si>
    <t>ETAX11320250312637193.xml</t>
  </si>
  <si>
    <t>Công ty Cổ Phần US MASTERBATCH</t>
  </si>
  <si>
    <t>ETAX11320220130469573.xml</t>
  </si>
  <si>
    <t>Công ty TNHH Nishimatsu Việt Nam</t>
  </si>
  <si>
    <t>Xây dựng nhà các loại</t>
  </si>
  <si>
    <t>Tầng 24, Số 1 Phạm Huy Thông, Phường Ngọc Khánh, Ba Đình, Hà Nội</t>
  </si>
  <si>
    <t>ETAX11320230190198299.xml</t>
  </si>
  <si>
    <t>ETAX11320240248627125.xml</t>
  </si>
  <si>
    <t>Tầng 24, Số 1 Phạm Huy Thông, Phường Ngọc Khánh, Quận Ba Đình, Hà Nội</t>
  </si>
  <si>
    <t>ETAX11320250312194306.xml</t>
  </si>
  <si>
    <t>ETAX11320220131550401.xml</t>
  </si>
  <si>
    <t>Công ty TNHH Đầu tư xuất nhập khẩu Minh Thủy</t>
  </si>
  <si>
    <t>Số 115 đường Nguyễn Văn cừ, Phường Ngọc Lâm,, Long biên, Long biên</t>
  </si>
  <si>
    <t>ETAX11320230186674746.xml</t>
  </si>
  <si>
    <t>CÔNG TY TNHH ĐẦU TƯ XUẤT NHẬP KHẨU MINH THỦY</t>
  </si>
  <si>
    <t>Số 115 đường Nguyễn Văn Cừ, P.Ngọc Lâm, Q.Long Biên, TP.Hà Nội, Việt Nam, Quận Long Biên, Hà Nội</t>
  </si>
  <si>
    <t>ETAX11320240244065458.xml</t>
  </si>
  <si>
    <t>ETAX11320250310534382.xml</t>
  </si>
  <si>
    <t>ETAX11220220123779132.xml</t>
  </si>
  <si>
    <t>CôNG TY TNHH MAXPORT LIMITED (VIET NAM)</t>
  </si>
  <si>
    <t>Sản xuất hàng may mặc xuất khẩu</t>
  </si>
  <si>
    <t>Số 88 phố Hạ Đình, Quận Thanh Xuân, Hà Nội</t>
  </si>
  <si>
    <t>ETAX11320230186172327.xml</t>
  </si>
  <si>
    <t>CÔNG TY TNHH MAXPORT LIMITED (VIET NAM)</t>
  </si>
  <si>
    <t>Số 88 phố Hạ Đình, phường Thanh Xuân Trung, quận Thanh Xuân, TP. Hà Nội, Quận Thanh Xuân, Hà Nội</t>
  </si>
  <si>
    <t>ETAX11320240246232713.xml</t>
  </si>
  <si>
    <t>ETAX11320250311670824.xml</t>
  </si>
  <si>
    <t>Số 88 phố Hạ Đình, phường Thanh Xuân Trung, Quận Thanh Xuân, Hà Nội</t>
  </si>
  <si>
    <t>ETAX11320220133262995.xml</t>
  </si>
  <si>
    <t>Công ty Cổ phần Công nghệ và Xây dựng Việt Hàn</t>
  </si>
  <si>
    <t>Công nghệ &amp; xây dựng</t>
  </si>
  <si>
    <t>101+201  Nhà A4 Phố Lạc Chính, Phường Trúc Bạch, Quận Ba Đình, TP Hà Nội, Ba Đình, Hà Nội</t>
  </si>
  <si>
    <t>ETAX11320220133270354.xml</t>
  </si>
  <si>
    <t>ETAX11320230188921139.xml</t>
  </si>
  <si>
    <t>Công ty Cổ phần VKC Group</t>
  </si>
  <si>
    <t>101+201  Nhà A4 Phố Lạc Chính, Phường Trúc Bạch, Quận Ba Đình, TP Hà Nội, Quận Ba Đình, Hà Nội</t>
  </si>
  <si>
    <t>ETAX11320240247462991.xml</t>
  </si>
  <si>
    <t>ETAX11320250307151177.xml</t>
  </si>
  <si>
    <t>ETAX20220220000114051.xml</t>
  </si>
  <si>
    <t>Công ty cổ phần Lam Khang</t>
  </si>
  <si>
    <t>Kinh doanh kim loại &amp; quặng kim loại</t>
  </si>
  <si>
    <t>Số 19 ngách 376 Đường Bưởi, Phường Vĩnh Phúc, Ba Đình, Hà Nội</t>
  </si>
  <si>
    <t>ETAX20220230000076522.xml</t>
  </si>
  <si>
    <t>Số 19 ngách 376 Đường Bưởi, Phường Vĩnh Phúc, Quận Ba Đình, Hà Nội</t>
  </si>
  <si>
    <t>ETAX20220240000043329.xml</t>
  </si>
  <si>
    <t>ETAX11320250311694903.xml</t>
  </si>
  <si>
    <t>ETAX11320220131672553.xml</t>
  </si>
  <si>
    <t>Công ty TNHH Energy Elentec Việt Nam</t>
  </si>
  <si>
    <t>Sản xuất linh kiện điện tử</t>
  </si>
  <si>
    <t>Lô 44D, KCN Quang Minh, TT Chi Đông, Mê Linh, Hà Nội</t>
  </si>
  <si>
    <t>ETAX11320230187257948.xml</t>
  </si>
  <si>
    <t>Lô 44D, KCN Quang Minh, TT Chi Đông, Huyện Mê Linh, Hà Nội</t>
  </si>
  <si>
    <t>ETAX11320240244240120.xml</t>
  </si>
  <si>
    <t>ETAX11320250306122604.xml</t>
  </si>
  <si>
    <t>ETAX11320220126449627.xml</t>
  </si>
  <si>
    <t>Công ty TNHH phát triển thương mại XNK Hà Nội</t>
  </si>
  <si>
    <t>Thương mại xuất nhập khẩu</t>
  </si>
  <si>
    <t>Tầng 15, Khối B Tòa nhà Sông Đà, Đường Phạm Hùng, Phường Mỹ Đình I, Nam Từ Liêm, Hà Nội</t>
  </si>
  <si>
    <t>ETAX11320230183579738.xml</t>
  </si>
  <si>
    <t>Tầng 6, tòa nhà MD complex(tòa VP), Số 68 Nguyễn Cơ Thạch, P.Cầu Diễn, Quận Nam Từ Liêm, Hà Nội</t>
  </si>
  <si>
    <t>ETAX11320240241788631.xml</t>
  </si>
  <si>
    <t>Tầng 16 tòa nhà TNR, số 54A Nguyễn Chí Thanh, P. Láng Thượng, Quận Đống đa, Hà Nội</t>
  </si>
  <si>
    <t>ETAX11320250308576410.xml</t>
  </si>
  <si>
    <t>Công ty TNHH phát triển thương mại xuất nhập khẩu Hà Nội</t>
  </si>
  <si>
    <t>Tầng 16 tòa nhà TNR, số 54A Nguyễn Chí Thanh,Phường Láng Thượng, Quận Đống Đa, Hà Nội</t>
  </si>
  <si>
    <t>ETAX11320220127328813.xml</t>
  </si>
  <si>
    <t>CÔNG TY TNHH MTV XUẤT NHẬP KHẨU TLM VIỆT NAM</t>
  </si>
  <si>
    <t>Xóm 1, thôn An Trai, xã Vân Canh, Huyện Hoài Đức, Thành phố Hà Nội</t>
  </si>
  <si>
    <t>ETAX11320230181413719.xml</t>
  </si>
  <si>
    <t>Xóm 1, thôn An Trai, xã Vân Canh, Huyện Hoài Đức, Hà Nội</t>
  </si>
  <si>
    <t>ETAX11320240245754592.xml</t>
  </si>
  <si>
    <t>ETAX11320250303292935.xml</t>
  </si>
  <si>
    <t>ETAX11320220133559936.xml</t>
  </si>
  <si>
    <t>CÔNG TY TNHH EAGLE INDUSTRIES</t>
  </si>
  <si>
    <t>Sản xuất &amp; kinh doanh đồ gỗ / bán buôn tổng hợp</t>
  </si>
  <si>
    <t>Lô CN5, Cụm Công nghiệp Nguyên Khê, Xã Nguyên Khê, Đông Anh, Hà Nội</t>
  </si>
  <si>
    <t>ETAX11320230185669053.xml</t>
  </si>
  <si>
    <t>Lô CN5, Cụm Công nghiệp Nguyên Khê, Xã Nguyên Khê, Huyện Đông Anh, Hà Nội</t>
  </si>
  <si>
    <t>ETAX11320240249205171.xml</t>
  </si>
  <si>
    <t>Công ty TNHH Eagle Industries</t>
  </si>
  <si>
    <t>Lô CN1, Cụm Công nghiệp Nguyên Khê, xã Nguyên Khê, Huyện Đông Anh, Hà Nội</t>
  </si>
  <si>
    <t>ETAX11320250308647442.xml</t>
  </si>
  <si>
    <t>Lô CN1, Cụm công nghiệp Nguyên Khê, Xã Nguyên Khê, Huyện Đông Anh, Hà Nội</t>
  </si>
  <si>
    <t>ETAX11320220128498649.xml</t>
  </si>
  <si>
    <t>CÔNG TY CỔ PHẦN XUẤT NHẬP KHẨU VÁN ÉP 368</t>
  </si>
  <si>
    <t>Xuất nhập khẩu ván ép / gỗ</t>
  </si>
  <si>
    <t>Phòng 803, Số 112 Mễ Trì Hạ - Phường Mễ Trì, Quận Nam Từ Liêm, Hà Nội</t>
  </si>
  <si>
    <t>ETAX11320230189452834.xml</t>
  </si>
  <si>
    <t>ETAX11320240243427508.xml</t>
  </si>
  <si>
    <t>ETAX11320250312658623.xml</t>
  </si>
  <si>
    <t>Phòng 803, Số 112 Mễ Trì Hạ, Phường Mễ Trì, Quận Nam Từ Liêm, Hà Nội</t>
  </si>
  <si>
    <t>ETAX11320220133395073.xml</t>
  </si>
  <si>
    <t>CÔNG TY CỔ PHẦN QUỐC TẾ SUNHOUSE</t>
  </si>
  <si>
    <t>Sản xuất &amp; kinh doanh thiết bị gia dụng</t>
  </si>
  <si>
    <t>Km22, Cụm công nghiệp Ngọc Liệp, xã Ngọc Liệp, Quốc Oai, Hà Nội</t>
  </si>
  <si>
    <t>ETAX11320230189889796.xml</t>
  </si>
  <si>
    <t>ETAX11320240249250380.xml</t>
  </si>
  <si>
    <t>Km22, Cụm công nghiệp Ngọc Liệp, xã Ngọc Liệp, Huyện Quốc Oai, Hà Nội</t>
  </si>
  <si>
    <t>ETAX11320250311211425.xml</t>
  </si>
  <si>
    <t>ETAX11320220138531254.xml</t>
  </si>
  <si>
    <t>CÔNG TY TNHH CÔNG NGHỆ TOPSTAR (VIỆT NAM)</t>
  </si>
  <si>
    <t>Sản xuất &amp; kinh doanh công nghệ</t>
  </si>
  <si>
    <t>Tầng 12, Tòa nhà Licogi 13, Số 164 Khuất Duy Tiến, Phường Nhân Chính, Thanh Xuân, Hà Nội</t>
  </si>
  <si>
    <t>ETAX11320220138531256.xml</t>
  </si>
  <si>
    <t>ETAX11320220135782909.xml</t>
  </si>
  <si>
    <t>Quận Thanh Xuân, Hà Nội</t>
  </si>
  <si>
    <t>ETAX11320230190360132.xml</t>
  </si>
  <si>
    <t>Tầng 12, Tòa nhà Licogi 13, Số 164 Khuất Duy Tiến, Phường Nhân Chính, Quận Thanh Xuân, Thành phố Hà Nội, Việt Nam, Quận Thanh Xuân, Hà Nội</t>
  </si>
  <si>
    <t>ETAX11320240267639748.xml</t>
  </si>
  <si>
    <t>Tầng 12, tòa nhà Licogi 13, số 164 Khuất Duy Tiến, Phường Nhân Chính, Quận Thanh Xuân, Hà Nội</t>
  </si>
  <si>
    <t>ETAX11320250311954594.xml</t>
  </si>
  <si>
    <t>ETAX11320220131938810.xml</t>
  </si>
  <si>
    <t>CÔNG TY TNHH THƯƠNG MẠI DỊCH VỤ AZURA HÀ NỘI</t>
  </si>
  <si>
    <t>Số 7 Ngõ 53 Yên Lãng, Phường Trung Liệt, Đống Đa, Hà Nội</t>
  </si>
  <si>
    <t>ETAX11320230178517980.xml</t>
  </si>
  <si>
    <t>Số 7 Ngõ 53 Yên Lãng, Phường Trung Liệt, Quận Đống đa, Hà Nội</t>
  </si>
  <si>
    <t>ETAX11320240236400096.xml</t>
  </si>
  <si>
    <t>ETAX11320250298934559.xml</t>
  </si>
  <si>
    <t>ETAX11320220134333126.xml</t>
  </si>
  <si>
    <t>CÔNG TY TNHH XÂY DỰNG TRUNG QUỐC SAUSUM (VIỆT NAM)</t>
  </si>
  <si>
    <t>Tầng 1, Số nhà 25, ngõ 23 Đỗ Quang, Phường Trung Hoà, Cầu Giấy, Hà Nội</t>
  </si>
  <si>
    <t>ETAX11320230188261660.xml</t>
  </si>
  <si>
    <t>Tầng 1, Số nhà 25, ngõ 23 Đỗ Quang, Phường Trung Hoà, Cầu Giấy, Hà Nội, Việt Nam</t>
  </si>
  <si>
    <t>ETAX11320240248802947.xml</t>
  </si>
  <si>
    <t>Tầng 1, Số nhà 25, ngõ 23 Đỗ Quang, Phường Trung Hoà, Quận Cầu Giấy, Hà Nội</t>
  </si>
  <si>
    <t>ETAX11320250310997296.xml</t>
  </si>
  <si>
    <t>Phòng 1808 Tầng 18 Tòa nhà Charmvit Tower, 117 Trần Duy Hưng, Phường Trung Hoà, Quận Cầu Giấy, Hà Nội</t>
  </si>
  <si>
    <t>ETAX11320220126499991.xml</t>
  </si>
  <si>
    <t>Công ty TNHH thương mại xuất nhập khẩu Kim Liên 84</t>
  </si>
  <si>
    <t>Số 158 đường Tân Triều, Xã Tân Triều,, Thanh Trì, Hà Nội</t>
  </si>
  <si>
    <t>ETAX11320230188755350.xml</t>
  </si>
  <si>
    <t>Công ty TNHH thương mại xuất nhập khẩu Kim Liên 85</t>
  </si>
  <si>
    <t>Số 158 đường Tân Triều, Xã Tân Triều,, Huyện Thanh Trì, Hà Nội</t>
  </si>
  <si>
    <t>ETAX11320240249312288.xml</t>
  </si>
  <si>
    <t>Công ty TNHH thương mại xuất nhập khẩu Kim Liên 86</t>
  </si>
  <si>
    <t>Số 158 đường Tân Triều, xã Tân Triều, Huyện Thanh Trì, Hà Nội</t>
  </si>
  <si>
    <t>ETAX11320250309317290.xml</t>
  </si>
  <si>
    <t>ETAX11320220148301317.xml</t>
  </si>
  <si>
    <t>CÔNG TY TNHH SUMITRONICS VIETNAM</t>
  </si>
  <si>
    <t>Sản xuất điện tử / linh kiện</t>
  </si>
  <si>
    <t>Tòa nhà Indochina Plaza Hà Nội, số 241, đường Xuân Thủy, Phường Dịch Vọng Hậu, Cầu Giấy, Hà Nội</t>
  </si>
  <si>
    <t>ETAX11320230201350603.xml</t>
  </si>
  <si>
    <t>ETAX11320240263564937.xml</t>
  </si>
  <si>
    <t>Tòa nhà Indochina Plaza Hà Nội, số 241, đường Xuân Thủy, Phường Dịch Vọng Hậu, Quận Cầu Giấy, Hà Nội</t>
  </si>
  <si>
    <t>ETAX11320250326699869.xml</t>
  </si>
  <si>
    <t>ETAX11320220129054924.xml</t>
  </si>
  <si>
    <t>CÔNG TY CỔ PHẦN CÔNG NGHIỆP Ô TÔ ECONERGY 5.1</t>
  </si>
  <si>
    <t>Công nghiệp ô tô / Phương tiện vận tải</t>
  </si>
  <si>
    <t>Số nhà 25, ngõ 147 Đội Cấn - Phường Đội Cấn, Quận Ba Đình, Hà Nội.</t>
  </si>
  <si>
    <t>ETAX11320230190230552.xml</t>
  </si>
  <si>
    <t>Phòng 1601 Register 04, Tầng 16, tòa nhà Daeha Business Center, Số 360 đường Kim Mã, P.Ngọc Khánh, Q.Ba Đình, Thành phố Hà Nội, Việt Nam, Quận Ba Đình, Hà Nội</t>
  </si>
  <si>
    <t>ETAX11320240249331789.xml</t>
  </si>
  <si>
    <t>Số 12, ngách 100/34 phố Đội Cấn, Phường Đội Cấn, Quận Ba Đình, Thành phố Hà Nội, Việt Nam, Quận Ba Đình, Hà Nội</t>
  </si>
  <si>
    <t>ETAX11320250300042443.xml</t>
  </si>
  <si>
    <t>Số 12, ngách 100/34 phố Đội Cấn, Phường Đội Cấn, Quận Ba Đình, Hà Nội</t>
  </si>
  <si>
    <t>ETAX11320220131957648.xml</t>
  </si>
  <si>
    <t>CÔNG TY TNHH TÂN ĐỆ</t>
  </si>
  <si>
    <t>Số 68, phố Huế, phường Nguyễn Du, quận Hai Bà Trưng, thành phố Hà Nội, Việt Nam, Hai Bà Trưng, Ha Noi</t>
  </si>
  <si>
    <t>ETAX11320230190391892.xml</t>
  </si>
  <si>
    <t>Số 68, phố Huế, phường Nguyễn Du, quận Hai Bà Trưng, thành phố Hà Nội, Việt Nam, Quận Hai Bà Trưng, Hà Nội</t>
  </si>
  <si>
    <t>ETAX11320240247360816.xml</t>
  </si>
  <si>
    <t>CÔNG TY TRÁCH NHIỆM HỮU HẠN TÂN ĐỆ</t>
  </si>
  <si>
    <t>Số 68, phố Huế, Phường Nguyễn Du, Quận Hai Bà Trưng, Hà Nội</t>
  </si>
  <si>
    <t>ETAX11320250307390308.xml</t>
  </si>
  <si>
    <t>ETAX11320260362368520.xml</t>
  </si>
  <si>
    <t>Số 68, phố Huế, Phường Hai Bà Trưng, Thành phố Hà Nội, Thành phố Hà Nội</t>
  </si>
  <si>
    <t>ETAX11320220133056916.xml</t>
  </si>
  <si>
    <t>Công ty TNHH Vận tải quốc tế XNK</t>
  </si>
  <si>
    <t>Dịch vụ quá cảnh / vận tải</t>
  </si>
  <si>
    <t>Số 170 Ngô Gia Tự, Phường Đức Giang, Long Biên, Hà Nội</t>
  </si>
  <si>
    <t>ETAX11320230188495049.xml</t>
  </si>
  <si>
    <t>CÔNG TY TNHH DỊCH VỤ QUÁ CẢNH XNK</t>
  </si>
  <si>
    <t>Số 170 Ngô Gia Tự, Phường Đức Giang, Quận Long Biên, Hà Nội</t>
  </si>
  <si>
    <t>ETAX11320240248378217.xml</t>
  </si>
  <si>
    <t>ETAX11320250300227473.xml</t>
  </si>
  <si>
    <t>P909, tầng 9, tòa nhà Plaschem, số 562 Nguyễn Văn Cừ, Phường Gia Thuỵ, Quận Long Biên, Hà Nội</t>
  </si>
  <si>
    <t>ETAX11320220135395007.xml</t>
  </si>
  <si>
    <t>Công ty TNHH Hóa Dệt Hà Tây</t>
  </si>
  <si>
    <t>Sản xuất hóa chất dệt</t>
  </si>
  <si>
    <t>Xã Tân Lập, Huyện Đan Phượng, TP Hà Nội</t>
  </si>
  <si>
    <t>ETAX11320230190277997.xml</t>
  </si>
  <si>
    <t>Công ty TNHH Hoá dệt Hà Tây</t>
  </si>
  <si>
    <t>Thôn Hạnh Đàn, Huyện Đan Phượng, Hà Nội</t>
  </si>
  <si>
    <t>ETAX11320240250787513.xml</t>
  </si>
  <si>
    <t>ETAX11320250312375981.xml</t>
  </si>
  <si>
    <t>ETAX11320220123899154.xml</t>
  </si>
  <si>
    <t>Công Ty TNHH TCMN và Nội Thất Ngọc Sơn</t>
  </si>
  <si>
    <t>Sản xuất thủ công mỹ nghệ &amp; nội thất</t>
  </si>
  <si>
    <t>Thôn Tràng An- TT. Chúc Sơn, H.Chương Mỹ, TP Hà Nội</t>
  </si>
  <si>
    <t>ETAX11320230186390817.xml</t>
  </si>
  <si>
    <t>Thôn Tràng An- TT. Chúc Sơn, Huyện Chương Mỹ, Hà Nội</t>
  </si>
  <si>
    <t>ETAX11320240248353260.xml</t>
  </si>
  <si>
    <t>ETAX11320250306510754.xml</t>
  </si>
  <si>
    <t>TDP Tràng An- Thị trấn Chúc Sơn, Huyện Chương Mỹ, Hà Nội</t>
  </si>
  <si>
    <t>ETAX11320220131957587.xml</t>
  </si>
  <si>
    <t>Công ty cổ phần may Sơn Hà</t>
  </si>
  <si>
    <t>208 Lê Lợi, Thị xã Sơn Tây, Hà Nội</t>
  </si>
  <si>
    <t>ETAX11320230188977348.xml</t>
  </si>
  <si>
    <t>Cong ty co phan may Son Ha</t>
  </si>
  <si>
    <t>208 Le Loi, Thị xã Sơn Tây, Hà Nội</t>
  </si>
  <si>
    <t>ETAX11320240248656569.xml</t>
  </si>
  <si>
    <t>Công ty CP may Sơn Hà</t>
  </si>
  <si>
    <t>ETAX11320250309317489.xml</t>
  </si>
  <si>
    <t>ETAX11320230218270241.xml</t>
  </si>
  <si>
    <t>Công ty Cổ phần Nhựa Á Đông</t>
  </si>
  <si>
    <t>Sản xuất nhựa</t>
  </si>
  <si>
    <t>Thôn Phương Bảng, Xã Song Phương, Huyện Hoài Đức, Hà Nội</t>
  </si>
  <si>
    <t>ETAX11320220131592569.xml</t>
  </si>
  <si>
    <t>Thôn Phương Bảng, xã Song Phương, huyện Hoài Đức, thành phố Hà Nội, Việt Nam, Hoài Đức, Hà Nội</t>
  </si>
  <si>
    <t>ETAX11320230189939897.xml</t>
  </si>
  <si>
    <t>Công ty Cổ phần  Nhựa Á Đông</t>
  </si>
  <si>
    <t>Số 30/64 đường Lý Ải, Xã Song Phương, Hoài Đức, Hà Nội</t>
  </si>
  <si>
    <t>ETAX11320240251032277.xml</t>
  </si>
  <si>
    <t>Số 30/64, đường Lý Ải- Xã Song Phương, Huyện Hoài Đức, Hà Nội</t>
  </si>
  <si>
    <t>ETAX11320250311349535.xml</t>
  </si>
  <si>
    <t>Số 30/64 đường Lý Ải, Xã Song Phương,, Huyện Hoài Đức, Hà Nội</t>
  </si>
  <si>
    <t>ETAX11320220133613939.xml</t>
  </si>
  <si>
    <t>Công ty TNHH Sản xuất Vinh Quang</t>
  </si>
  <si>
    <t>KCN Thạch Thất- Quốc Oai, Thị trấn Quốc Oai, Quốc Oai, Hà Nội</t>
  </si>
  <si>
    <t>ETAX11320230190052002.xml</t>
  </si>
  <si>
    <t>KCN Thạch Thất- Quốc Oai, Thị trấn Quốc Oai, Huyện Quốc Oai, Hà Nội</t>
  </si>
  <si>
    <t>ETAX11320240245100037.xml</t>
  </si>
  <si>
    <t>Công ty TNHH sản xuất Vinh Quang</t>
  </si>
  <si>
    <t>ETAX11320250301036631.xml</t>
  </si>
  <si>
    <t>ETAX11320220131793904.xml</t>
  </si>
  <si>
    <t>CÔNG TY CỔ PHẦN VICOSTONE</t>
  </si>
  <si>
    <t>Sản xuất đá thạch anh nhân tạo</t>
  </si>
  <si>
    <t>Khu Công Nghệ Cao Hòa Lạc – Thạch Hòa, Thạch Thất, Hà Nội</t>
  </si>
  <si>
    <t>ETAX11320230190209045.xml</t>
  </si>
  <si>
    <t>Khu Công Nghệ Cao Hòa Lạc – Thạch Hòa, Huyện Thạch Thất, Hà Nội</t>
  </si>
  <si>
    <t>ETAX11320240247710655.xml</t>
  </si>
  <si>
    <t>ETAX11320250310460272.xml</t>
  </si>
  <si>
    <t>ETAX11320220131649203.xml</t>
  </si>
  <si>
    <t>CÔNG TY TNHH THỜI TRANG STAR</t>
  </si>
  <si>
    <t>Sản xuất &amp; kinh doanh thời trang</t>
  </si>
  <si>
    <t>Lô CN-B4 - KCN Phú Nghĩa - Xã Phú Nghĩa - Huyện Chương Mỹ - Thành phố Hà Nội, huyện Chương Mỹ, thành phố Hà Nội</t>
  </si>
  <si>
    <t>ETAX11320230188361805.xml</t>
  </si>
  <si>
    <t>Lô CN-B4 - KCN Phú Nghĩa - Xã Phú Nghĩa - Huyện Chương Mỹ - Thành phố Hà Nội, Huyện Chương Mỹ, Hà Nội</t>
  </si>
  <si>
    <t>ETAX11320240245884497.xml</t>
  </si>
  <si>
    <t>ETAX11320250306578207.xml</t>
  </si>
  <si>
    <t>ETAX11320220149261237.xml</t>
  </si>
  <si>
    <t>Công ty TNHH K+K Fashion</t>
  </si>
  <si>
    <t>Sản xuất thời trang / may mặc</t>
  </si>
  <si>
    <t>Cụm CN Ngọc Hoà, thôn Ngọc Giả, xã Ngọc Hoà, Chương Mỹ, Hà Nội</t>
  </si>
  <si>
    <t>ETAX11320230201209214.xml</t>
  </si>
  <si>
    <t>Cụm CN Ngọc Hoà, thôn Ngọc Giả, xã Ngọc Hoà, Huyện Chương Mỹ, Hà Nội</t>
  </si>
  <si>
    <t>ETAX11320240263480862.xml</t>
  </si>
  <si>
    <t>ETAX11320250324943047.xml</t>
  </si>
  <si>
    <t>ETAX11320220134833655.xml</t>
  </si>
  <si>
    <t>CÔNG TY CỔ PHẦN WOODSLAND</t>
  </si>
  <si>
    <t>Sản xuất &amp; xuất khẩu đồ gỗ</t>
  </si>
  <si>
    <t>Lô số 49K, KCN Quang Minh, Thị trấn Chi Đông, huyện Mê Linh, Thành phố Hà Nội, Việt Nam, Mê Linh, Hà Nội</t>
  </si>
  <si>
    <t>ETAX11320230188808471.xml</t>
  </si>
  <si>
    <t>Lô số 49K, KCN Quang Minh, TT Chi Đông, Mê Linh, Hà Nội</t>
  </si>
  <si>
    <t>ETAX11320240247602072.xml</t>
  </si>
  <si>
    <t>Lô số 49K, KCN Quang Minh, TT Chi Đông, Huyện Mê Linh, Hà Nội</t>
  </si>
  <si>
    <t>ETAX11320250308319403.xml</t>
  </si>
  <si>
    <t>Lô 49K, KCN Quang Minh, Huyện Mê Linh, Hà Nội</t>
  </si>
  <si>
    <t>ETAX11320220125878098.xml</t>
  </si>
  <si>
    <t>Công ty TNHH Chế Tạo Động Cơ zongshen Việt Nam</t>
  </si>
  <si>
    <t>Chế tạo động cơ</t>
  </si>
  <si>
    <t>Lô 39G1- KCN Quang Minh - Thị Trấn Quang Minh - Mê Linh Hà Nội, Mê Linh, Hà Nội</t>
  </si>
  <si>
    <t>ETAX11320230184273675.xml</t>
  </si>
  <si>
    <t>CÔNG TY TNHH CHẾ TẠO ĐỘNG CƠ ZONGSHEN VIỆT NAM</t>
  </si>
  <si>
    <t>Lô 39G1, Khu công nghiệp Quang Minh, Thị Trấn Quang Minh, Huyện Mê Linh, Thành phố Hà Nội, Việt Nam, Mê Linh, Hà Nội</t>
  </si>
  <si>
    <t>ETAX11320240239916892.xml</t>
  </si>
  <si>
    <t>Lô 39G1- KCN Quang Minh - Thị Trấn Quang Minh - Mê Linh Hà Nội, Huyện Mê Linh, Hà Nội</t>
  </si>
  <si>
    <t>ETAX11320250303058976.xml</t>
  </si>
  <si>
    <t>Lô 39G1, Khu công nghiệp Quang Minh, Thị Trấn Quang Minh, Huyện Mê Linh,
 Thành phố Hà Nội, Việt Nam, Huyện Mê Linh, Hà Nội</t>
  </si>
  <si>
    <t>ETAX11320260362701568.xml</t>
  </si>
  <si>
    <t>Lô 39G1, Khu công nghiệp Quang Minh, xã Quang Minh, Thành phố Hà Nội, Việt Nam, Thành phố Hà Nội</t>
  </si>
  <si>
    <t>ETAX11320220132197647.xml</t>
  </si>
  <si>
    <t>Công Ty TNHH Elentec Việt Nam</t>
  </si>
  <si>
    <t>Lô 44F, 44J  KCN Quang Minh, TT Chi Đông, H Mê Linh, TP Hà Nội, Mê Linh, Hà Nội</t>
  </si>
  <si>
    <t>ETAX11320230187769089.xml</t>
  </si>
  <si>
    <t>Lô 44F, 44J  KCN Quang Minh, TT Chi Đông, H Mê Linh, TP Hà Nội, Huyện Mê Linh, Hà Nội</t>
  </si>
  <si>
    <t>ETAX11320240248758356.xml</t>
  </si>
  <si>
    <t>ETAX11320250310464186.xml</t>
  </si>
  <si>
    <t>Lô 44F, 44J, 44H, 44G KCN Quang Minh, TT Chi Đông, H Mê Linh, TP Hà Nội, Huyện Mê Linh, Hà Nội</t>
  </si>
  <si>
    <t>ETAX11320230184052406.xml</t>
  </si>
  <si>
    <t>CÔNG TY CỔ PHẦN KHOÁNG SẢN GCC</t>
  </si>
  <si>
    <t>Khai thác &amp; kinh doanh khoáng sản</t>
  </si>
  <si>
    <t>Nhà số 2, Ngõ 30, Đường Ngõ Đình, Thôn 5 - Xã Song Phương, Huyện Hoài Đức, Hà Nội</t>
  </si>
  <si>
    <t>ETAX11320220135083611.xml</t>
  </si>
  <si>
    <t>ETAX11320230187109149.xml</t>
  </si>
  <si>
    <t>ETAX11320240248155127.xml</t>
  </si>
  <si>
    <t>ETAX11320250310780947.xml</t>
  </si>
  <si>
    <t>ETAX11320240250684719.xml</t>
  </si>
  <si>
    <t>Tập đoàn Công nghiệp Than - Khoáng sản Việt Nam</t>
  </si>
  <si>
    <t>Khai thác &amp; kinh doanh than - khoáng sản</t>
  </si>
  <si>
    <t>226 Lê Duẩn, Quận Đống đa, Hà Nội</t>
  </si>
  <si>
    <t>0000001</t>
  </si>
  <si>
    <t>0000002</t>
  </si>
  <si>
    <t>0000003</t>
  </si>
  <si>
    <t>0000021</t>
  </si>
  <si>
    <t>0000022</t>
  </si>
  <si>
    <t>0000023</t>
  </si>
  <si>
    <t>0000045</t>
  </si>
  <si>
    <t>0000046</t>
  </si>
  <si>
    <t>0000047</t>
  </si>
  <si>
    <t>0000048</t>
  </si>
  <si>
    <t>0000100</t>
  </si>
  <si>
    <t>0000101</t>
  </si>
  <si>
    <t>0000102</t>
  </si>
  <si>
    <t>0000103</t>
  </si>
  <si>
    <t>0000203</t>
  </si>
  <si>
    <t>0000204</t>
  </si>
  <si>
    <t>0000205</t>
  </si>
  <si>
    <t>0000206</t>
  </si>
  <si>
    <t>0000207</t>
  </si>
  <si>
    <t>0000208</t>
  </si>
  <si>
    <t>0000209</t>
  </si>
  <si>
    <t>0000210</t>
  </si>
  <si>
    <t>0000211</t>
  </si>
  <si>
    <t>0000212</t>
  </si>
  <si>
    <t>0000213</t>
  </si>
  <si>
    <t>0000214</t>
  </si>
  <si>
    <t>0000215</t>
  </si>
  <si>
    <t>0000216</t>
  </si>
  <si>
    <t>0000217</t>
  </si>
  <si>
    <t>0000218</t>
  </si>
  <si>
    <t>0000219</t>
  </si>
  <si>
    <t>0000220</t>
  </si>
  <si>
    <t>0000221</t>
  </si>
  <si>
    <t>0000222</t>
  </si>
  <si>
    <t>103769372</t>
  </si>
  <si>
    <t>100113945</t>
  </si>
  <si>
    <t>Công ty TNHH hệ thống dây Sumi-Hanel</t>
  </si>
  <si>
    <t>100101072</t>
  </si>
  <si>
    <t>101329672</t>
  </si>
  <si>
    <t>101145668</t>
  </si>
  <si>
    <t>101056111</t>
  </si>
  <si>
    <t>100114441</t>
  </si>
  <si>
    <t>100113494</t>
  </si>
  <si>
    <t>100107518</t>
  </si>
  <si>
    <t>101639000</t>
  </si>
  <si>
    <t>100101308</t>
  </si>
  <si>
    <t>100100590</t>
  </si>
  <si>
    <t>CÔNG TY CỔ PHẦN DỆT 10/10</t>
  </si>
  <si>
    <t>100680623</t>
  </si>
  <si>
    <t>101225306</t>
  </si>
  <si>
    <t>101382443</t>
  </si>
  <si>
    <t>103711478</t>
  </si>
  <si>
    <t>101377820</t>
  </si>
  <si>
    <t>0100100590</t>
  </si>
  <si>
    <t>0100101072</t>
  </si>
  <si>
    <t>0100101308</t>
  </si>
  <si>
    <t>0100101403</t>
  </si>
  <si>
    <t>0100105503</t>
  </si>
  <si>
    <t>0100113494</t>
  </si>
  <si>
    <t>0100373485</t>
  </si>
  <si>
    <t>0100680623</t>
  </si>
  <si>
    <t>0100902202</t>
  </si>
  <si>
    <t>0101056111</t>
  </si>
  <si>
    <t>0101225306</t>
  </si>
  <si>
    <t>0101329672</t>
  </si>
  <si>
    <t>0101377820</t>
  </si>
  <si>
    <t>0101380936</t>
  </si>
  <si>
    <t>0101435247</t>
  </si>
  <si>
    <t>0101437981</t>
  </si>
  <si>
    <t>0101452549</t>
  </si>
  <si>
    <t>0101454070</t>
  </si>
  <si>
    <t>0101598393</t>
  </si>
  <si>
    <t>0101601092</t>
  </si>
  <si>
    <t>0101639000</t>
  </si>
  <si>
    <t>0101770848</t>
  </si>
  <si>
    <t>0102159423</t>
  </si>
  <si>
    <t>0102191498</t>
  </si>
  <si>
    <t>0102264812</t>
  </si>
  <si>
    <t>0102311149</t>
  </si>
  <si>
    <t>0102331787</t>
  </si>
  <si>
    <t>0102625829</t>
  </si>
  <si>
    <t>0102712091</t>
  </si>
  <si>
    <t>0103240765</t>
  </si>
  <si>
    <t>0103711478</t>
  </si>
  <si>
    <t>0103769372</t>
  </si>
  <si>
    <t>0104141407</t>
  </si>
  <si>
    <t>0104220419</t>
  </si>
  <si>
    <t>0104380966</t>
  </si>
  <si>
    <t>0104630172</t>
  </si>
  <si>
    <t>0104976614</t>
  </si>
  <si>
    <t>0105189320</t>
  </si>
  <si>
    <t>0105294741</t>
  </si>
  <si>
    <t>0105327316</t>
  </si>
  <si>
    <t>0105492983</t>
  </si>
  <si>
    <t>0105853894</t>
  </si>
  <si>
    <t>0105908818</t>
  </si>
  <si>
    <t>0106112810</t>
  </si>
  <si>
    <t>0106116043</t>
  </si>
  <si>
    <t>0106187171</t>
  </si>
  <si>
    <t>0106255939</t>
  </si>
  <si>
    <t>0106300187</t>
  </si>
  <si>
    <t>0106395904</t>
  </si>
  <si>
    <t>0106399994</t>
  </si>
  <si>
    <t>0106467242</t>
  </si>
  <si>
    <t>0106682049</t>
  </si>
  <si>
    <t>0106980045</t>
  </si>
  <si>
    <t>0107383796</t>
  </si>
  <si>
    <t>0107422036</t>
  </si>
  <si>
    <t>0107572987</t>
  </si>
  <si>
    <t>0107658306</t>
  </si>
  <si>
    <t>0107720360</t>
  </si>
  <si>
    <t>0107720402</t>
  </si>
  <si>
    <t>0107721413</t>
  </si>
  <si>
    <t>0107832875</t>
  </si>
  <si>
    <t>0107833244</t>
  </si>
  <si>
    <t>0108076653</t>
  </si>
  <si>
    <t>0108261864</t>
  </si>
  <si>
    <t>0108394624</t>
  </si>
  <si>
    <t>0108568493</t>
  </si>
  <si>
    <t>0108742656</t>
  </si>
  <si>
    <t>0108831225</t>
  </si>
  <si>
    <t>0109009554</t>
  </si>
  <si>
    <t>0109082787</t>
  </si>
  <si>
    <t>0109119042</t>
  </si>
  <si>
    <t>0109281574</t>
  </si>
  <si>
    <t>0109509638</t>
  </si>
  <si>
    <t>0109528912</t>
  </si>
  <si>
    <t>0109534352</t>
  </si>
  <si>
    <t>0500415210</t>
  </si>
  <si>
    <t>0500416750</t>
  </si>
  <si>
    <t>0500436556</t>
  </si>
  <si>
    <t>0500448216</t>
  </si>
  <si>
    <t>0500467547</t>
  </si>
  <si>
    <t>0500469512</t>
  </si>
  <si>
    <t>0500556370</t>
  </si>
  <si>
    <t>02500214518</t>
  </si>
  <si>
    <t>02500230213</t>
  </si>
  <si>
    <t>02500243660</t>
  </si>
  <si>
    <t>05200886602</t>
  </si>
  <si>
    <t>MST:</t>
  </si>
  <si>
    <t>NNT:</t>
  </si>
  <si>
    <t>Hóa đơn đầu vào</t>
  </si>
  <si>
    <t>Tên người bán</t>
  </si>
  <si>
    <t>Doanh thu:</t>
  </si>
  <si>
    <t>Ngày hóa đơn</t>
  </si>
  <si>
    <t>Năm:</t>
  </si>
  <si>
    <t>CK</t>
  </si>
  <si>
    <t>Mua bao bì đóng gói sản phẩm</t>
  </si>
  <si>
    <t>TM</t>
  </si>
  <si>
    <t>Công ty Cổ phần kinh doanh LPG Việt Nam</t>
  </si>
  <si>
    <t>Mua điện năng phục vụ sản xuất</t>
  </si>
  <si>
    <t>Tổng cộng</t>
  </si>
  <si>
    <t>0102655453</t>
  </si>
  <si>
    <t>Mua sợi cotton nguyên liệu</t>
  </si>
  <si>
    <t>Mua sợi polyester tổng hợp</t>
  </si>
  <si>
    <t>0000004</t>
  </si>
  <si>
    <t>0000005</t>
  </si>
  <si>
    <t>Mua phụ tùng máy dệt thay thế</t>
  </si>
  <si>
    <t>0000006</t>
  </si>
  <si>
    <t>Mua hóa chất nhuộm và xử lý vải</t>
  </si>
  <si>
    <t>0000007</t>
  </si>
  <si>
    <t>CÔNG TY CỔ PHẦN SX VÀ XUẤT NHẬP KHẨU LONG ĐẠT</t>
  </si>
  <si>
    <t>0000008</t>
  </si>
  <si>
    <t>Mua phụ liệu may (chỉ, khóa, cúc)</t>
  </si>
  <si>
    <t>0000009</t>
  </si>
  <si>
    <t>Dịch vụ xử lý nước thải công nghiệp</t>
  </si>
  <si>
    <t>0000010</t>
  </si>
  <si>
    <t>Dịch vụ gia công nhuộm vải</t>
  </si>
  <si>
    <t>0000011</t>
  </si>
  <si>
    <t>0100107518</t>
  </si>
  <si>
    <t>Mua nước phục vụ sản xuất</t>
  </si>
  <si>
    <t>0000012</t>
  </si>
  <si>
    <t>Mua hóa chất vệ sinh công nghiệp</t>
  </si>
  <si>
    <t>0000013</t>
  </si>
  <si>
    <t>0000014</t>
  </si>
  <si>
    <t>Chi phí vận chuyển hàng hóa nội địa</t>
  </si>
  <si>
    <t>0000015</t>
  </si>
  <si>
    <t>Mua nhãn mác, tem sản phẩm</t>
  </si>
  <si>
    <t>0000016</t>
  </si>
  <si>
    <t>0000017</t>
  </si>
  <si>
    <t>Mua vải dệt kim</t>
  </si>
  <si>
    <t>0000018</t>
  </si>
  <si>
    <t>0000019</t>
  </si>
  <si>
    <t>0000020</t>
  </si>
  <si>
    <t>0101382443</t>
  </si>
  <si>
    <t>0000024</t>
  </si>
  <si>
    <t>0100113945</t>
  </si>
  <si>
    <t>0000025</t>
  </si>
  <si>
    <t>0000026</t>
  </si>
  <si>
    <t>0100151683</t>
  </si>
  <si>
    <t>Mua vải dệt thoi thành phẩm</t>
  </si>
  <si>
    <t>0000027</t>
  </si>
  <si>
    <t>0000028</t>
  </si>
  <si>
    <t>Công ty TNHH Chè A Châu</t>
  </si>
  <si>
    <t>0000029</t>
  </si>
  <si>
    <t>0101858281</t>
  </si>
  <si>
    <t>0000030</t>
  </si>
  <si>
    <t>0000031</t>
  </si>
  <si>
    <t>0000032</t>
  </si>
  <si>
    <t>0000033</t>
  </si>
  <si>
    <t>Dịch vụ logistics xuất khẩu</t>
  </si>
  <si>
    <t>0000034</t>
  </si>
  <si>
    <t>0000035</t>
  </si>
  <si>
    <t>0000036</t>
  </si>
  <si>
    <t>0000037</t>
  </si>
  <si>
    <t>0000038</t>
  </si>
  <si>
    <t>0000039</t>
  </si>
  <si>
    <t>CÔNG TY CP ĐT XD VÀ CÔNG NGHỆ VIỆT NHẬT</t>
  </si>
  <si>
    <t>0000040</t>
  </si>
  <si>
    <t>0000041</t>
  </si>
  <si>
    <t>Dịch vụ kiểm định chất lượng vải</t>
  </si>
  <si>
    <t>0000042</t>
  </si>
  <si>
    <t>Công ty cổ phần sx và XNK bao bì Thăng Long</t>
  </si>
  <si>
    <t>Dịch vụ bảo trì, sửa chữa máy dệt</t>
  </si>
  <si>
    <t>0000043</t>
  </si>
  <si>
    <t>0000044</t>
  </si>
  <si>
    <t>0100114441</t>
  </si>
  <si>
    <t>Mua thuốc tẩy và chất hoàn tất vải</t>
  </si>
  <si>
    <t>0000049</t>
  </si>
  <si>
    <t>0000050</t>
  </si>
  <si>
    <t>Hóa đơn đầu ra</t>
  </si>
  <si>
    <t>MST người mua</t>
  </si>
  <si>
    <t>Tên người mua</t>
  </si>
  <si>
    <t>Bán sản phẩm dệt may nội địa</t>
  </si>
  <si>
    <t>Bán vải dệt thoi thành phẩm</t>
  </si>
  <si>
    <t>Bán sản phẩm may gia công theo đơn hàng</t>
  </si>
  <si>
    <t>Bán vải dệt kim thành phẩm</t>
  </si>
  <si>
    <t>Bán hàng dệt may đặt hàng theo hợp đồng</t>
  </si>
  <si>
    <t>0100598859</t>
  </si>
  <si>
    <t>Bán hàng dệt may xuất khẩu</t>
  </si>
  <si>
    <t>Bán vải thun cotton thành phẩm</t>
  </si>
  <si>
    <t>Bán quần áo may sẵn xuất khẩu</t>
  </si>
  <si>
    <t>Bán sợi thành phẩm</t>
  </si>
  <si>
    <t>Bán vải lót, vải lưới công nghiệp</t>
  </si>
  <si>
    <t>Bán vải khổ rộng công nghiệp</t>
  </si>
  <si>
    <t>0101145668</t>
  </si>
  <si>
    <t>Bán phụ liệu may dư thừa</t>
  </si>
  <si>
    <t>Dịch vụ vận chuyển quặng nội mỏ</t>
  </si>
  <si>
    <t>Mua thiết bị bảo hộ lao động mỏ</t>
  </si>
  <si>
    <t>Mua nhiên liệu dầu diesel phục vụ khai thác</t>
  </si>
  <si>
    <t>Mua vật tư tiêu hao khai thác</t>
  </si>
  <si>
    <t>Mua thuốc nổ công nghiệp</t>
  </si>
  <si>
    <t>Mua phụ tùng máy khoan, máy xúc</t>
  </si>
  <si>
    <t>Mua hóa chất xử lý quặng</t>
  </si>
  <si>
    <t>Dịch vụ khoan thăm dò địa chất</t>
  </si>
  <si>
    <t>Mua vật liệu nổ và phụ kiện nổ mìn</t>
  </si>
  <si>
    <t>Mua hóa chất tuyển khoáng</t>
  </si>
  <si>
    <t>Dịch vụ sửa chữa thiết bị khai thác</t>
  </si>
  <si>
    <t>Mua xi măng chống lò, gia cố hầm lò</t>
  </si>
  <si>
    <t>Dịch vụ logistics vận chuyển hóa chất</t>
  </si>
  <si>
    <t>Mua dây cáp điện và thiết bị điện mỏ</t>
  </si>
  <si>
    <t>Dịch vụ kiểm định an toàn thiết bị mỏ</t>
  </si>
  <si>
    <t>Dịch vụ tư vấn kỹ thuật mỏ</t>
  </si>
  <si>
    <t>Mua nước công nghiệp</t>
  </si>
  <si>
    <t>Mua thép kết cấu công trình mỏ</t>
  </si>
  <si>
    <t>Dịch vụ xử lý nước thải mỏ</t>
  </si>
  <si>
    <t>0000051</t>
  </si>
  <si>
    <t>0000052</t>
  </si>
  <si>
    <t>0000053</t>
  </si>
  <si>
    <t>0000054</t>
  </si>
  <si>
    <t>0000055</t>
  </si>
  <si>
    <t>0000056</t>
  </si>
  <si>
    <t>0000057</t>
  </si>
  <si>
    <t>0000058</t>
  </si>
  <si>
    <t>0000059</t>
  </si>
  <si>
    <t>0000060</t>
  </si>
  <si>
    <t>0000061</t>
  </si>
  <si>
    <t>0000062</t>
  </si>
  <si>
    <t>0000063</t>
  </si>
  <si>
    <t>0000064</t>
  </si>
  <si>
    <t>0000065</t>
  </si>
  <si>
    <t>0000066</t>
  </si>
  <si>
    <t>0000067</t>
  </si>
  <si>
    <t>0000068</t>
  </si>
  <si>
    <t>0000069</t>
  </si>
  <si>
    <t>0000070</t>
  </si>
  <si>
    <t>0000071</t>
  </si>
  <si>
    <t>0000072</t>
  </si>
  <si>
    <t>0000073</t>
  </si>
  <si>
    <t>0000074</t>
  </si>
  <si>
    <t>0000075</t>
  </si>
  <si>
    <t>0000076</t>
  </si>
  <si>
    <t>0000077</t>
  </si>
  <si>
    <t>0000078</t>
  </si>
  <si>
    <t>0000079</t>
  </si>
  <si>
    <t>0000080</t>
  </si>
  <si>
    <t>0000081</t>
  </si>
  <si>
    <t>0000082</t>
  </si>
  <si>
    <t>0000083</t>
  </si>
  <si>
    <t>0000084</t>
  </si>
  <si>
    <t>0000085</t>
  </si>
  <si>
    <t>0000086</t>
  </si>
  <si>
    <t>0000087</t>
  </si>
  <si>
    <t>0000088</t>
  </si>
  <si>
    <t>0000089</t>
  </si>
  <si>
    <t>0000090</t>
  </si>
  <si>
    <t>0000091</t>
  </si>
  <si>
    <t>0000092</t>
  </si>
  <si>
    <t>0000093</t>
  </si>
  <si>
    <t>0000094</t>
  </si>
  <si>
    <t>0000095</t>
  </si>
  <si>
    <t>0000096</t>
  </si>
  <si>
    <t>0000097</t>
  </si>
  <si>
    <t>0000098</t>
  </si>
  <si>
    <t>0000099</t>
  </si>
  <si>
    <t>0000104</t>
  </si>
  <si>
    <t>0000105</t>
  </si>
  <si>
    <t>0000106</t>
  </si>
  <si>
    <t>0000107</t>
  </si>
  <si>
    <t>0000108</t>
  </si>
  <si>
    <t>0000109</t>
  </si>
  <si>
    <t>0000110</t>
  </si>
  <si>
    <t>0000111</t>
  </si>
  <si>
    <t>0000112</t>
  </si>
  <si>
    <t>0000113</t>
  </si>
  <si>
    <t>0000114</t>
  </si>
  <si>
    <t>0000115</t>
  </si>
  <si>
    <t>0000116</t>
  </si>
  <si>
    <t>0000117</t>
  </si>
  <si>
    <t>0000118</t>
  </si>
  <si>
    <t>0000119</t>
  </si>
  <si>
    <t>0000120</t>
  </si>
  <si>
    <t>Bán thuốc nổ ANFO công nghiệp</t>
  </si>
  <si>
    <t>Bán thuốc nổ nhũ tương</t>
  </si>
  <si>
    <t>Bán hóa chất khai khoáng tổng hợp</t>
  </si>
  <si>
    <t>Bán dịch vụ khoan nổ mìn công nghiệp</t>
  </si>
  <si>
    <t>Bán hóa chất xử lý quặng</t>
  </si>
  <si>
    <t>Xuất khẩu thuốc nổ và vật liệu nổ</t>
  </si>
  <si>
    <t>Bán phụ kiện nổ mìn (kíp, dây nổ)</t>
  </si>
  <si>
    <t>Bán hóa chất công nghiệp tổng hợp</t>
  </si>
  <si>
    <t>Bán quặng khoáng sản thô</t>
  </si>
  <si>
    <t>0100905503</t>
  </si>
  <si>
    <t>Bán dịch vụ tư vấn kỹ thuật nổ mìn</t>
  </si>
  <si>
    <t>Bán thiết bị an toàn nổ mìn</t>
  </si>
  <si>
    <t>Bán dịch vụ vận chuyển hóa chất nguy hiểm</t>
  </si>
  <si>
    <t>Ngày HĐ</t>
  </si>
  <si>
    <t>MST NB</t>
  </si>
  <si>
    <t>Nội dung</t>
  </si>
  <si>
    <t>TS GTGT</t>
  </si>
  <si>
    <t>Tiền thuế</t>
  </si>
  <si>
    <t>Tổng TT</t>
  </si>
  <si>
    <t>HT</t>
  </si>
  <si>
    <t>Mua vải nguyên liệu</t>
  </si>
  <si>
    <t>Mua chỉ may và phụ liệu</t>
  </si>
  <si>
    <t>Dịch vụ gia công cắt may</t>
  </si>
  <si>
    <t>Mua hóa chất giặt nhuộm</t>
  </si>
  <si>
    <t>Mua điện năng sản xuất</t>
  </si>
  <si>
    <t>Mua bao bì đóng gói</t>
  </si>
  <si>
    <t>Dịch vụ vận chuyển hàng hóa</t>
  </si>
  <si>
    <t>Công ty cổ phần XD và đầu tư Visicons</t>
  </si>
  <si>
    <t>Công ty cổ phần SX bao bì Thăng Long</t>
  </si>
  <si>
    <t>Công ty TNHH CN công trình Sheng Huei</t>
  </si>
  <si>
    <t>Công ty TNHH XNK Thanh Hùng</t>
  </si>
  <si>
    <t>CÔNG TY CP SX VÀ TM P.P</t>
  </si>
  <si>
    <t>CÔNG TY CP CN VÀ TM SYSTECH</t>
  </si>
  <si>
    <t>Công ty TNHH KCN Thăng Long</t>
  </si>
  <si>
    <t>Công ty CP TM đầu tư HB</t>
  </si>
  <si>
    <t>Công Ty TNHH MTV 76</t>
  </si>
  <si>
    <t>CÔNG TY CP ĐT XD VIỆT NHẬT</t>
  </si>
  <si>
    <t>Công ty CP ĐT XD VINACO</t>
  </si>
  <si>
    <t>CÔNG TY CP XNK MINH TÂM</t>
  </si>
  <si>
    <t>Mua kim khâu và phụ kiện</t>
  </si>
  <si>
    <t>Công ty TNHH Hitachi Energy VN</t>
  </si>
  <si>
    <t>Công ty TNHH Zamil Việt Nam</t>
  </si>
  <si>
    <t>Công ty TNHH Nissan Automotive VN</t>
  </si>
  <si>
    <t>Công ty TNHH Panasonic VN</t>
  </si>
  <si>
    <t>Công ty CP kinh doanh LPG VN</t>
  </si>
  <si>
    <t>Công ty CP dầu khí An Pha</t>
  </si>
  <si>
    <t>CÔNG TY CP SX VÀ XNK LONG ĐẠT</t>
  </si>
  <si>
    <t>Công ty TNHH KT TM Ban Mai</t>
  </si>
  <si>
    <t>Công ty CP Mỹ nghệ Viễn Đông</t>
  </si>
  <si>
    <t>Công ty TNHH Honda Trading VN</t>
  </si>
  <si>
    <t>Công ty TNHH Dynapac HN</t>
  </si>
  <si>
    <t>Công ty CP May Mặc QTNP</t>
  </si>
  <si>
    <t>Công ty CP XD Visicons</t>
  </si>
  <si>
    <t>CÔNG TY CP CN TM SYSTECH</t>
  </si>
  <si>
    <t>Công ty CP SX bao bì Thăng Long</t>
  </si>
  <si>
    <t>Công ty TNHH Nissan VN</t>
  </si>
  <si>
    <t>Công ty CP LPG Việt Nam</t>
  </si>
  <si>
    <t>CÔNG TY TNHH TOTO VN</t>
  </si>
  <si>
    <t>CÔNG TY CP SX XNK LONG ĐẠT</t>
  </si>
  <si>
    <t>Công ty TNHH FCC VN</t>
  </si>
  <si>
    <t>Công ty TNHH CN Sheng Huei</t>
  </si>
  <si>
    <t>Công ty TNHH Kyoei VN</t>
  </si>
  <si>
    <t>Công ty TNHH HAL VN</t>
  </si>
  <si>
    <t>Công ty TNHH Zamil VN</t>
  </si>
  <si>
    <t>MST NM</t>
  </si>
  <si>
    <t>Bán sản phẩm may mặc thành phẩm</t>
  </si>
  <si>
    <t>Công ty CP XD Hợp Lực</t>
  </si>
  <si>
    <t>Bán hàng may mặc xuất khẩu</t>
  </si>
  <si>
    <t>Bán vải và hàng dệt may</t>
  </si>
  <si>
    <t>Bán đồng phục theo đơn hàng</t>
  </si>
  <si>
    <t>Công ty CP SX bao bì TL</t>
  </si>
  <si>
    <t>Công ty CP LPG VN</t>
  </si>
  <si>
    <t>CÔNG TY CP SX TM P.P</t>
  </si>
  <si>
    <t>Mua vật liệu XD (xi măng, sắt thép)</t>
  </si>
  <si>
    <t>Mua gạch đá cát xây dựng</t>
  </si>
  <si>
    <t>Thuê máy móc thiết bị thi công</t>
  </si>
  <si>
    <t>Dịch vụ vận chuyển vật liệu</t>
  </si>
  <si>
    <t>Mua sơn và vật liệu hoàn thiện</t>
  </si>
  <si>
    <t>Dịch vụ thiết kế tư vấn XD</t>
  </si>
  <si>
    <t>Mua điện nước công trình</t>
  </si>
  <si>
    <t>Bán dịch vụ thi công xây dựng</t>
  </si>
  <si>
    <t>Bán công trình xây dựng hoàn thiện</t>
  </si>
  <si>
    <t>Dịch vụ sửa chữa cải tạo công trình</t>
  </si>
  <si>
    <t>Bán vật liệu xây dựng</t>
  </si>
  <si>
    <t>Mua hàng hóa nhập khẩu</t>
  </si>
  <si>
    <t>Chi phí vận chuyển logistics</t>
  </si>
  <si>
    <t>Mua hàng hóa trong nước</t>
  </si>
  <si>
    <t>Chi phí kho bãi</t>
  </si>
  <si>
    <t>Dịch vụ khai thuê hải quan</t>
  </si>
  <si>
    <t>Dịch vụ tư vấn thương mại</t>
  </si>
  <si>
    <t>Bán hàng hóa thương mại nội địa</t>
  </si>
  <si>
    <t>Xuất khẩu hàng hóa</t>
  </si>
  <si>
    <t>Bán hàng hóa theo hợp đồng</t>
  </si>
  <si>
    <t>Cung cấp dịch vụ thương mại</t>
  </si>
  <si>
    <t>Mua nguyên vật liệu sản xuất</t>
  </si>
  <si>
    <t>Mua nhiên liệu phục vụ SX</t>
  </si>
  <si>
    <t>Mua phụ tùng máy móc thay thế</t>
  </si>
  <si>
    <t>Dịch vụ bảo trì thiết bị</t>
  </si>
  <si>
    <t>Mua bao bì đóng gói SP</t>
  </si>
  <si>
    <t>Chi phí vận chuyển hàng hóa</t>
  </si>
  <si>
    <t>Dịch vụ kiểm định chất lượng</t>
  </si>
  <si>
    <t>Bán sản phẩm thành phẩm</t>
  </si>
  <si>
    <t>Bán sản phẩm theo đơn hàng</t>
  </si>
  <si>
    <t>Mua thép kết cấu nhà tiền chế</t>
  </si>
  <si>
    <t>Mua điện sản xuất</t>
  </si>
  <si>
    <t>Mua sơn chống gỉ và phụ kiện</t>
  </si>
  <si>
    <t>Dịch vụ vận chuyển thép</t>
  </si>
  <si>
    <t>Mua phụ kiện lắp dựng</t>
  </si>
  <si>
    <t>Dịch vụ gia công thép</t>
  </si>
  <si>
    <t>Bán nhà thép tiền chế</t>
  </si>
  <si>
    <t>Bán kết cấu thép công nghiệp</t>
  </si>
  <si>
    <t>Dịch vụ lắp dựng nhà thép</t>
  </si>
  <si>
    <t>Công ty TNHH sx phụ tùng Yamaha VN</t>
  </si>
  <si>
    <t>Công ty TNHH Nishimatsu VN</t>
  </si>
  <si>
    <t>Công ty CP gạch ốp lát Viglacera</t>
  </si>
  <si>
    <t>Công ty TNHH Energy Elentec VN</t>
  </si>
  <si>
    <t>CÔNG TY TNHH TM DV AZURA HN</t>
  </si>
  <si>
    <t>Công ty TNHH XD ZYF VN</t>
  </si>
  <si>
    <t>CÔNG TY CP TĐ INVESTCORP</t>
  </si>
  <si>
    <t>Công Ty CP SX hàng thể thao</t>
  </si>
  <si>
    <t>Công ty CP CN XD Việt Hàn</t>
  </si>
  <si>
    <t>TCT Vận tải thủy Petrolimex</t>
  </si>
  <si>
    <t>TCT Công nghiệp Hoá chất mỏ</t>
  </si>
  <si>
    <t>Công ty TNHH VT quốc tế XNK</t>
  </si>
  <si>
    <t>Công ty CP US MASTERBATCH</t>
  </si>
  <si>
    <t>Bán sản phẩm theo đặt hàng</t>
  </si>
  <si>
    <t>Xuất khẩu sản phẩm</t>
  </si>
  <si>
    <t>Tổng công ty May 10</t>
  </si>
  <si>
    <t>Công ty TNHH PT XD Kiến Hưng</t>
  </si>
  <si>
    <t>Công ty TNHH IPADSHOP VN</t>
  </si>
  <si>
    <t>Công ty CP thiết kế XD Giza</t>
  </si>
  <si>
    <t>Công ty TNHH XNK TM Hải Linh</t>
  </si>
  <si>
    <t>Công Ty TNHH Babeeni VN</t>
  </si>
  <si>
    <t>Dịch vụ logistics vận chuyển</t>
  </si>
  <si>
    <t>Phí khai thuê hải quan</t>
  </si>
  <si>
    <t>Chi phí kho bãi lưu trữ</t>
  </si>
  <si>
    <t>CÔNG TY TNHH MTV XNK TLM</t>
  </si>
  <si>
    <t>Công ty CP bao bì TM VN</t>
  </si>
  <si>
    <t>Công ty TNHH iMarket VN</t>
  </si>
  <si>
    <t>CÔNG TY TNHH SAMSUNG ENGINEERING</t>
  </si>
  <si>
    <t>Công ty CP ĐT A&amp;B VN</t>
  </si>
  <si>
    <t>CÔNG TY TNHH MAXPORT VN</t>
  </si>
  <si>
    <t>Công ty TNHH MTV Sơn Hà SSP</t>
  </si>
  <si>
    <t>Tổng công ty Đức Giang</t>
  </si>
  <si>
    <t>CÔNG TY TNHH TM QT PHƯƠNG LINH</t>
  </si>
  <si>
    <t>Công ty Cổ phần Mỹ nghệ VĐ</t>
  </si>
  <si>
    <t>TCT CN Hoá chất mỏ</t>
  </si>
  <si>
    <t>Công ty CP Mỹ nghệ VĐ</t>
  </si>
  <si>
    <t>Mua gỗ nguyên liệu</t>
  </si>
  <si>
    <t>Mua phụ kiện gỗ nội thất</t>
  </si>
  <si>
    <t>Mua sơn varnish bề mặt</t>
  </si>
  <si>
    <t>Dịch vụ gia công chế biến gỗ</t>
  </si>
  <si>
    <t>Mua bao bì đóng gói hàng</t>
  </si>
  <si>
    <t>Bán đồ gỗ nội thất thành phẩm</t>
  </si>
  <si>
    <t>Xuất khẩu đồ gỗ</t>
  </si>
  <si>
    <t>Bán sản phẩm mỹ nghệ gỗ</t>
  </si>
  <si>
    <t>Tên NB</t>
  </si>
  <si>
    <t>TS</t>
  </si>
  <si>
    <t>CÔNG TY CP XNK VÁN ÉP 368</t>
  </si>
  <si>
    <t>CÔNG TY CP QUỐC TẾ SUNHOUSE</t>
  </si>
  <si>
    <t>Công ty TNHH XNK Viết Nam</t>
  </si>
  <si>
    <t>Công ty TNHH ĐT XNK Minh Thủy</t>
  </si>
  <si>
    <t>Tên NM</t>
  </si>
  <si>
    <t>Công ty TNHH Keyence VN</t>
  </si>
  <si>
    <t>Cty CP Mỹ nghệ</t>
  </si>
  <si>
    <t>DV kiểm định CL</t>
  </si>
  <si>
    <t>Tổng cty May 10</t>
  </si>
  <si>
    <t>Mua điện năng SX</t>
  </si>
  <si>
    <t>Mua phụ tùng máy móc</t>
  </si>
  <si>
    <t>TNHH TM QT PHƯƠNG LINH</t>
  </si>
  <si>
    <t>Mua nguyên vật liệu SX</t>
  </si>
  <si>
    <t>Cty CP ĐT A&amp;B</t>
  </si>
  <si>
    <t>Cty TNHH VINATA</t>
  </si>
  <si>
    <t>Dịch vụ bảo trì TB</t>
  </si>
  <si>
    <t>Cty TNHH Babeeni</t>
  </si>
  <si>
    <t>Mua nhiên liệu SX</t>
  </si>
  <si>
    <t>Tổng cty Đức Giang</t>
  </si>
  <si>
    <t>DV vận chuyển HH</t>
  </si>
  <si>
    <t>Cty TNHH Ban Mai</t>
  </si>
  <si>
    <t>CTCP XNK MINH TÂM</t>
  </si>
  <si>
    <t>Cty TNHH Chè A Châu</t>
  </si>
  <si>
    <t>CTCP TĐ INVESTCORP</t>
  </si>
  <si>
    <t>Cty CP dầu khí AP</t>
  </si>
  <si>
    <t>Cty TNHH Kyoei</t>
  </si>
  <si>
    <t>Cty TNHH XNK TH</t>
  </si>
  <si>
    <t>Cty CP TVL</t>
  </si>
  <si>
    <t>TNHH KẺ GỖ</t>
  </si>
  <si>
    <t>CTCP ĐT XD VIỆT NHẬT</t>
  </si>
  <si>
    <t>TNHH PT XD Kiến Hưng</t>
  </si>
  <si>
    <t>Cty TNHH Sheng Huei</t>
  </si>
  <si>
    <t>Cty TNHH FPT PM</t>
  </si>
  <si>
    <t>Cty CP May QTNP</t>
  </si>
  <si>
    <t>Cty CP LPG VN</t>
  </si>
  <si>
    <t>Cty CP SX thể thao</t>
  </si>
  <si>
    <t>Cty TNHH Zamil VN</t>
  </si>
  <si>
    <t>Cty TNHH TOTO</t>
  </si>
  <si>
    <t>CTCP SX TM PP</t>
  </si>
  <si>
    <t>Cty TNHH Yamaha VN</t>
  </si>
  <si>
    <t>CTCP CN TM SYSTECH</t>
  </si>
  <si>
    <t>Cty CP VINACO</t>
  </si>
  <si>
    <t>Cty CP bao bì TL</t>
  </si>
  <si>
    <t>Bán SP theo đặt hàng</t>
  </si>
  <si>
    <t>Bán phụ phẩm SX</t>
  </si>
  <si>
    <t>Bán sản phẩm TP</t>
  </si>
  <si>
    <t>TNHH VINACOMPOUND</t>
  </si>
  <si>
    <t>Cty CP XD HỢP LỰC</t>
  </si>
  <si>
    <t>Cty CP TM HB</t>
  </si>
  <si>
    <t>Cty TNHH XNK Hải Linh</t>
  </si>
  <si>
    <t>DV kiểm định</t>
  </si>
  <si>
    <t>DV vận chuyển</t>
  </si>
  <si>
    <t>Mua hóa chất CB</t>
  </si>
  <si>
    <t>Mua NL nông sản</t>
  </si>
  <si>
    <t>Mua bao bì</t>
  </si>
  <si>
    <t>Mua điện lạnh kho</t>
  </si>
  <si>
    <t>Bán chè TP</t>
  </si>
  <si>
    <t>Xuất khẩu nông sản</t>
  </si>
  <si>
    <t>Bán NL nông nghiệp</t>
  </si>
  <si>
    <t>Bán SP nông sản CB</t>
  </si>
  <si>
    <t>Công ty TNHH sản xuất phụ tùng Yamaha VN</t>
  </si>
  <si>
    <t>Mua điện SX</t>
  </si>
  <si>
    <t>Mua bao bì chống TĐ</t>
  </si>
  <si>
    <t>Mua vật liệu bán dẫn</t>
  </si>
  <si>
    <t>Mua linh kiện ĐT NK</t>
  </si>
  <si>
    <t>Mua hóa chất PCB</t>
  </si>
  <si>
    <t>DV gia công lắp ráp</t>
  </si>
  <si>
    <t>Bán module ĐT theo đơn</t>
  </si>
  <si>
    <t>Xuất khẩu linh kiện</t>
  </si>
  <si>
    <t>Cty TNHH HAL VN</t>
  </si>
  <si>
    <t>Bán linh kiện ĐT TP</t>
  </si>
  <si>
    <t>TNHH CĐ XD HOA NAM</t>
  </si>
  <si>
    <t>Cty TNHH CMS Vina</t>
  </si>
  <si>
    <t>Cty CP XD Visicons</t>
  </si>
  <si>
    <t>CTCP SX XNK LONG ĐẠT</t>
  </si>
  <si>
    <t>Thuê máy chủ</t>
  </si>
  <si>
    <t>DV tư vấn CN</t>
  </si>
  <si>
    <t>Mua bản quyền PM</t>
  </si>
  <si>
    <t>Mua thiết bị phần cứng</t>
  </si>
  <si>
    <t>DV bảo trì IT</t>
  </si>
  <si>
    <t>Mua linh kiện ĐT</t>
  </si>
  <si>
    <t>Bán giải pháp PM</t>
  </si>
  <si>
    <t>Bán thiết bị CN</t>
  </si>
  <si>
    <t>DV triển khai hệ thống</t>
  </si>
  <si>
    <t>Bán DV bảo trì IT</t>
  </si>
  <si>
    <t>Cty TNHH Dynapac</t>
  </si>
  <si>
    <t>Mua điện kho</t>
  </si>
  <si>
    <t>Mua hóa chất phụ gia</t>
  </si>
  <si>
    <t>DV vận chuyển dầu</t>
  </si>
  <si>
    <t>Mua xăng dầu NL</t>
  </si>
  <si>
    <t>Mua thiết bị bồn</t>
  </si>
  <si>
    <t>Bán xăng dầu TP</t>
  </si>
  <si>
    <t>Bán dầu diesel CN</t>
  </si>
  <si>
    <t>Bán LPG</t>
  </si>
  <si>
    <t>DV cấp phát NL</t>
  </si>
  <si>
    <t>Công ty cổ phần sx và xuất nhập khẩu bao bì Thăng Long</t>
  </si>
  <si>
    <t>SAMSUNG ENG</t>
  </si>
  <si>
    <t>VINACOMPOUND</t>
  </si>
  <si>
    <t>Mua mực in CN</t>
  </si>
  <si>
    <t>HAL VN</t>
  </si>
  <si>
    <t>Mua giấy carton NL</t>
  </si>
  <si>
    <t>XNK VIỆT AN KHANG</t>
  </si>
  <si>
    <t>Chè A Châu</t>
  </si>
  <si>
    <t>CN Sheng Huei</t>
  </si>
  <si>
    <t>Sunlink</t>
  </si>
  <si>
    <t>LPG VN</t>
  </si>
  <si>
    <t>XNK Thanh Hùng</t>
  </si>
  <si>
    <t>Mua hóa chất tráng</t>
  </si>
  <si>
    <t>Ban Mai</t>
  </si>
  <si>
    <t>SX XNK LONG ĐẠT</t>
  </si>
  <si>
    <t>TOTO VN</t>
  </si>
  <si>
    <t>DV bảo trì máy in</t>
  </si>
  <si>
    <t>ĐT A&amp;B</t>
  </si>
  <si>
    <t>ĐT XD VIỆT NHẬT</t>
  </si>
  <si>
    <t>Bao bì TL</t>
  </si>
  <si>
    <t>CĐ XD HOA NAM</t>
  </si>
  <si>
    <t>TVL</t>
  </si>
  <si>
    <t>TM QT PHƯƠNG LINH</t>
  </si>
  <si>
    <t>XD HỢP LỰC</t>
  </si>
  <si>
    <t>Yamaha VN</t>
  </si>
  <si>
    <t>PT XD Kiến Hưng</t>
  </si>
  <si>
    <t>CMS Vina</t>
  </si>
  <si>
    <t>Đức Giang</t>
  </si>
  <si>
    <t>TĐ INVESTCORP</t>
  </si>
  <si>
    <t>Zamil VN</t>
  </si>
  <si>
    <t>Phần mềm FPT</t>
  </si>
  <si>
    <t>VINACO</t>
  </si>
  <si>
    <t>iMarket VN</t>
  </si>
  <si>
    <t>CN TM SYSTECH</t>
  </si>
  <si>
    <t>Bán bao bì in mẫu</t>
  </si>
  <si>
    <t>XNK MINH TÂM</t>
  </si>
  <si>
    <t>Xuất khẩu bao bì</t>
  </si>
  <si>
    <t>Bán bao bì carton TP</t>
  </si>
  <si>
    <t>Dynapac</t>
  </si>
  <si>
    <t>Bán thùng carton ĐH</t>
  </si>
  <si>
    <t>Visicons</t>
  </si>
  <si>
    <t>TM HB</t>
  </si>
  <si>
    <t>Keyence VN</t>
  </si>
  <si>
    <t>Thiết kế Giza</t>
  </si>
  <si>
    <t>XNK Viết Nam</t>
  </si>
  <si>
    <t>VT Petrolimex</t>
  </si>
  <si>
    <t>SX TM PP</t>
  </si>
  <si>
    <t>Babeeni VN</t>
  </si>
  <si>
    <t>SX thể thao</t>
  </si>
  <si>
    <t>Mỹ nghệ VĐ</t>
  </si>
  <si>
    <t>Viglacera</t>
  </si>
  <si>
    <t>KẺ GỖ</t>
  </si>
  <si>
    <t>May QTNP</t>
  </si>
  <si>
    <t>XNK Hải Linh</t>
  </si>
  <si>
    <t>Dầu khí AP</t>
  </si>
  <si>
    <t>Kyoei</t>
  </si>
  <si>
    <t>IPADSHOP VN</t>
  </si>
  <si>
    <t>DV triển khai</t>
  </si>
  <si>
    <t>VINATA</t>
  </si>
  <si>
    <t>DV gia công may</t>
  </si>
  <si>
    <t>Mua chỉ phụ liệu</t>
  </si>
  <si>
    <t>Mua vải NL</t>
  </si>
  <si>
    <t>Mua hóa chất nhuộm</t>
  </si>
  <si>
    <t>Bán SP may mặc TP</t>
  </si>
  <si>
    <t>Bán vải dệt</t>
  </si>
  <si>
    <t>Bán đồng phục ĐH</t>
  </si>
  <si>
    <t>Bán HH may XK</t>
  </si>
  <si>
    <t>DV gia công cơ khí</t>
  </si>
  <si>
    <t>Mua vật liệu ống thép</t>
  </si>
  <si>
    <t>Mua thiết bị cơ điện</t>
  </si>
  <si>
    <t>Mua thiết bị điện CN</t>
  </si>
  <si>
    <t>Mua bao bì linh kiện</t>
  </si>
  <si>
    <t>Bán hệ thống M&amp;E</t>
  </si>
  <si>
    <t>DV lắp đặt thiết bị</t>
  </si>
  <si>
    <t>Bán DV cơ điện CT</t>
  </si>
  <si>
    <t>Mua hóa chất phụ</t>
  </si>
  <si>
    <t>Mua hạt nhựa NL</t>
  </si>
  <si>
    <t>DV bảo trì máy ép</t>
  </si>
  <si>
    <t>Bán SP nhựa TP</t>
  </si>
  <si>
    <t>Xuất khẩu SP nhựa</t>
  </si>
  <si>
    <t>Bán hạt nhựa tái chế</t>
  </si>
  <si>
    <t>Bán bao bì nhựa CN</t>
  </si>
  <si>
    <t>DV thiết kế tư vấn</t>
  </si>
  <si>
    <t>Mua sơn hoàn thiện</t>
  </si>
  <si>
    <t>DV vận chuyển VL</t>
  </si>
  <si>
    <t>Mua xi măng thép</t>
  </si>
  <si>
    <t>Mua điện nước CT</t>
  </si>
  <si>
    <t>Mua gạch đá cát</t>
  </si>
  <si>
    <t>Thuê máy thi công</t>
  </si>
  <si>
    <t>Bán công trình HT</t>
  </si>
  <si>
    <t>DV SC cải tạo</t>
  </si>
  <si>
    <t>Bán VL xây dựng</t>
  </si>
  <si>
    <t>Bán DV thi công XD</t>
  </si>
  <si>
    <t>Mua NL SX</t>
  </si>
  <si>
    <t>Mua NVL SX</t>
  </si>
  <si>
    <t>DV bảo trì</t>
  </si>
  <si>
    <t>Mua phụ tùng</t>
  </si>
  <si>
    <t>Bán phụ phẩm</t>
  </si>
  <si>
    <t>Bán SP TP</t>
  </si>
  <si>
    <t>Xuất khẩu SP</t>
  </si>
  <si>
    <t>Bán SP đặt hàng</t>
  </si>
  <si>
    <t>DV tư vấn TM</t>
  </si>
  <si>
    <t>Mua HH ND</t>
  </si>
  <si>
    <t>DV logistics</t>
  </si>
  <si>
    <t>Mua HH NK</t>
  </si>
  <si>
    <t>Phí hải quan</t>
  </si>
  <si>
    <t>Cung cấp DV TM</t>
  </si>
  <si>
    <t>Xuất khẩu HH</t>
  </si>
  <si>
    <t>Bán HH theo HĐ</t>
  </si>
  <si>
    <t>Bán HH ND</t>
  </si>
  <si>
    <t>DV tư vấn thiết kế</t>
  </si>
  <si>
    <t>Mua gạch đá cát XD</t>
  </si>
  <si>
    <t>Mua VL XD (xi măng thép)</t>
  </si>
  <si>
    <t>DV gia công gỗ</t>
  </si>
  <si>
    <t>Mua phụ kiện gỗ</t>
  </si>
  <si>
    <t>Mua sơn varnish</t>
  </si>
  <si>
    <t>Mua gỗ NL</t>
  </si>
  <si>
    <t>Bán SP mỹ nghệ gỗ</t>
  </si>
  <si>
    <t>Bán đồ gỗ NT TP</t>
  </si>
  <si>
    <t>Mua điện bến cảng</t>
  </si>
  <si>
    <t>DV vận chuyển thủy</t>
  </si>
  <si>
    <t>DV bảo trì tàu</t>
  </si>
  <si>
    <t>Mua thiết bị tàu</t>
  </si>
  <si>
    <t>Bán DV hậu cần</t>
  </si>
  <si>
    <t>Bán DV vận tải thủy</t>
  </si>
  <si>
    <t>DV cho thuê tàu</t>
  </si>
  <si>
    <t>Mua thiết bị điện tử</t>
  </si>
  <si>
    <t>Mua HH Apple NK</t>
  </si>
  <si>
    <t>Mua phụ kiện ĐT</t>
  </si>
  <si>
    <t>DV bảo hành sửa chữa</t>
  </si>
  <si>
    <t>DV logistics NK</t>
  </si>
  <si>
    <t>DV sửa chữa bảo hành</t>
  </si>
  <si>
    <t>Bán thiết bị ĐT khác</t>
  </si>
  <si>
    <t>Bán thiết bị Apple</t>
  </si>
  <si>
    <t>Bán phụ kiện ĐT</t>
  </si>
  <si>
    <t>DV bảo trì máy</t>
  </si>
  <si>
    <t>Mua thép cuộn NL</t>
  </si>
  <si>
    <t>Mua phụ kiện bồn</t>
  </si>
  <si>
    <t>Mua sơn mạ kẽm</t>
  </si>
  <si>
    <t>DV vận chuyển thép</t>
  </si>
  <si>
    <t>Bán SP thép TP</t>
  </si>
  <si>
    <t>Bán bồn nước SH</t>
  </si>
  <si>
    <t>Bán khung thép mái</t>
  </si>
  <si>
    <t>Xuất khẩu SP thép</t>
  </si>
  <si>
    <t>Bán hộp carton in ấn</t>
  </si>
  <si>
    <t>Bán bao bì thông minh</t>
  </si>
  <si>
    <t>Bán bao bì theo mẫu</t>
  </si>
  <si>
    <t>Mua pigment màu</t>
  </si>
  <si>
    <t>Mua phụ gia polymer</t>
  </si>
  <si>
    <t>Xuất khẩu masterbatch</t>
  </si>
  <si>
    <t>Bán hạt nhựa CB</t>
  </si>
  <si>
    <t>Bán masterbatch màu</t>
  </si>
  <si>
    <t>Bán phụ gia nhựa</t>
  </si>
  <si>
    <t>Mua kim loại phế liệu</t>
  </si>
  <si>
    <t>DV vận chuyển kim loại</t>
  </si>
  <si>
    <t>Mua quặng kim loại NK</t>
  </si>
  <si>
    <t>Mua hóa chất tuyển</t>
  </si>
  <si>
    <t>Bán quặng CB</t>
  </si>
  <si>
    <t>Bán phế liệu kim loại</t>
  </si>
  <si>
    <t>Bán kim loại thành phẩm</t>
  </si>
  <si>
    <t>Xuất khẩu kim loại</t>
  </si>
  <si>
    <t>DV gia công ván ép</t>
  </si>
  <si>
    <t>Mua ván ép gỗ NK</t>
  </si>
  <si>
    <t>Mua keo dán gỗ</t>
  </si>
  <si>
    <t>DV vận chuyển gỗ</t>
  </si>
  <si>
    <t>Bán ván ép thành phẩm</t>
  </si>
  <si>
    <t>Xuất khẩu ván ép</t>
  </si>
  <si>
    <t>Bán phụ phẩm gỗ</t>
  </si>
  <si>
    <t>Bán gỗ CB theo đơn</t>
  </si>
  <si>
    <t>DV vận chuyển SP</t>
  </si>
  <si>
    <t>Mua thép lá NL</t>
  </si>
  <si>
    <t>Mua nhựa PP/PS</t>
  </si>
  <si>
    <t>Mua điện tử linh kiện</t>
  </si>
  <si>
    <t>Bán SP TP theo đơn</t>
  </si>
  <si>
    <t>Bán bếp gas SH</t>
  </si>
  <si>
    <t>Bán gia dụng SH</t>
  </si>
  <si>
    <t>DV bảo trì xe</t>
  </si>
  <si>
    <t>Phí cầu đường</t>
  </si>
  <si>
    <t>Mua NL xăng dầu</t>
  </si>
  <si>
    <t>Chi phí logis NK</t>
  </si>
  <si>
    <t>Mua phụ tùng ô tô</t>
  </si>
  <si>
    <t>Mua điện văn phòng</t>
  </si>
  <si>
    <t>Bán DV QC</t>
  </si>
  <si>
    <t>DV khai thông quan</t>
  </si>
  <si>
    <t>Bán DV vận chuyển QT</t>
  </si>
  <si>
    <t>Bán DV logistics</t>
  </si>
  <si>
    <t>Mua hóa chất dệt NL</t>
  </si>
  <si>
    <t>Mua phụ liệu dệt</t>
  </si>
  <si>
    <t>Bán SP dệt may</t>
  </si>
  <si>
    <t>Xuất khẩu hóa dệt</t>
  </si>
  <si>
    <t>Bán phụ gia dệt</t>
  </si>
  <si>
    <t>Bán hóa chất dệt TP</t>
  </si>
  <si>
    <t>Mua khuôn mẫu</t>
  </si>
  <si>
    <t>Mua hóa chất kết dính</t>
  </si>
  <si>
    <t>Mua bao bì xuất khẩu</t>
  </si>
  <si>
    <t>Mua cát thạch anh NL</t>
  </si>
  <si>
    <t>Mua bột màu CN</t>
  </si>
  <si>
    <t>Bán SP đá ốp lát</t>
  </si>
  <si>
    <t>Bán đá thạch anh NT</t>
  </si>
  <si>
    <t>Xuất khẩu đá TQ</t>
  </si>
  <si>
    <t>Công ty TNHH Chế Tạo Động Cơ Zongshen Việt Nam</t>
  </si>
  <si>
    <t>DV kiểm định KS</t>
  </si>
  <si>
    <t>Mua NL khoáng sản</t>
  </si>
  <si>
    <t>Mua thiết bị khai</t>
  </si>
  <si>
    <t>Mua điện SX khai</t>
  </si>
  <si>
    <t>Bán khoáng sản TP</t>
  </si>
  <si>
    <t>Bán SP khai thác</t>
  </si>
  <si>
    <t>Xuất khẩu khoáng</t>
  </si>
  <si>
    <t>DV khai thác KS</t>
  </si>
  <si>
    <t>0000121</t>
  </si>
  <si>
    <t>0000122</t>
  </si>
  <si>
    <t>0000123</t>
  </si>
  <si>
    <t>0000124</t>
  </si>
  <si>
    <t>0000125</t>
  </si>
  <si>
    <t>0000126</t>
  </si>
  <si>
    <t>0000127</t>
  </si>
  <si>
    <t>0000128</t>
  </si>
  <si>
    <t>0000129</t>
  </si>
  <si>
    <t>Kiểm</t>
  </si>
  <si>
    <t>0114441000</t>
  </si>
  <si>
    <t>0101439810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</si>
</sst>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 #,##0.00_-;_-* &quot;-&quot;??_-;_-@_-"/>
    <numFmt numFmtId="165" formatCode="0.0%"/>
    <numFmt numFmtId="166" formatCode="#,##0;\(#,##0\);\-"/>
    <numFmt numFmtId="167" formatCode="_-* #,##0_-;\-* #,##0_-;_-* &quot;-&quot;??_-;_-@_-"/>
  </numFmts>
  <fonts count="66" x14ac:knownFonts="1">
    <font>
      <sz val="11"/>
      <color theme="1"/>
      <name val="Calibri"/>
      <family val="2"/>
      <scheme val="minor"/>
    </font>
    <font>
      <sz val="11"/>
      <color rgb="FFFF0000"/>
      <name val="Calibri"/>
      <family val="2"/>
      <scheme val="minor"/>
    </font>
    <font>
      <b/>
      <sz val="11"/>
      <color theme="1"/>
      <name val="Calibri"/>
      <family val="2"/>
      <scheme val="minor"/>
    </font>
    <font>
      <b/>
      <sz val="14"/>
      <color rgb="FFFFFFFF"/>
      <name val="Calibri"/>
      <family val="2"/>
      <scheme val="minor"/>
    </font>
    <font>
      <sz val="11"/>
      <color rgb="FF595959"/>
      <name val="Calibri"/>
      <family val="2"/>
      <scheme val="minor"/>
    </font>
    <font>
      <i/>
      <sz val="11"/>
      <color rgb="FF595959"/>
      <name val="Calibri"/>
      <family val="2"/>
      <scheme val="minor"/>
    </font>
    <font>
      <sz val="11"/>
      <color rgb="FF0000FF"/>
      <name val="Calibri"/>
      <family val="2"/>
      <scheme val="minor"/>
    </font>
    <font>
      <b/>
      <sz val="11"/>
      <color rgb="FFFFFFFF"/>
      <name val="Calibri"/>
      <family val="2"/>
      <scheme val="minor"/>
    </font>
    <font>
      <b/>
      <sz val="11"/>
      <color rgb="FFFF0000"/>
      <name val="Calibri"/>
      <family val="2"/>
      <scheme val="minor"/>
    </font>
    <font>
      <b/>
      <sz val="11"/>
      <color rgb="FFC00000"/>
      <name val="Calibri"/>
      <family val="2"/>
      <scheme val="minor"/>
    </font>
    <font>
      <sz val="11"/>
      <color rgb="FFC00000"/>
      <name val="Calibri"/>
      <family val="2"/>
      <scheme val="minor"/>
    </font>
    <font>
      <b/>
      <sz val="11"/>
      <color rgb="FF7F6000"/>
      <name val="Calibri"/>
      <family val="2"/>
      <scheme val="minor"/>
    </font>
    <font>
      <sz val="11"/>
      <color rgb="FF7F6000"/>
      <name val="Calibri"/>
      <family val="2"/>
      <scheme val="minor"/>
    </font>
    <font>
      <i/>
      <sz val="11"/>
      <color rgb="FFFFFFFF"/>
      <name val="Calibri"/>
      <family val="2"/>
      <scheme val="minor"/>
    </font>
    <font>
      <i/>
      <sz val="10"/>
      <color rgb="FF595959"/>
      <name val="Calibri"/>
      <family val="2"/>
      <scheme val="minor"/>
    </font>
    <font>
      <b/>
      <sz val="10"/>
      <color rgb="FFFFFFFF"/>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sz val="10"/>
      <color rgb="FFC00000"/>
      <name val="Calibri"/>
      <family val="2"/>
      <scheme val="minor"/>
    </font>
    <font>
      <i/>
      <sz val="9"/>
      <color rgb="FFC00000"/>
      <name val="Calibri"/>
      <family val="2"/>
      <scheme val="minor"/>
    </font>
    <font>
      <i/>
      <sz val="11"/>
      <color rgb="FFC00000"/>
      <name val="Calibri"/>
      <family val="2"/>
      <scheme val="minor"/>
    </font>
    <font>
      <i/>
      <sz val="9"/>
      <color rgb="FF7F7F7F"/>
      <name val="Calibri"/>
      <family val="2"/>
      <scheme val="minor"/>
    </font>
    <font>
      <i/>
      <sz val="10"/>
      <color rgb="FF7F7F7F"/>
      <name val="Calibri"/>
      <family val="2"/>
      <scheme val="minor"/>
    </font>
    <font>
      <b/>
      <i/>
      <sz val="10"/>
      <color rgb="FF7F7F7F"/>
      <name val="Calibri"/>
      <family val="2"/>
      <scheme val="minor"/>
    </font>
    <font>
      <i/>
      <sz val="11"/>
      <color rgb="FF0000FF"/>
      <name val="Calibri"/>
      <family val="2"/>
      <scheme val="minor"/>
    </font>
    <font>
      <i/>
      <sz val="9"/>
      <color theme="1"/>
      <name val="Calibri"/>
      <family val="2"/>
      <scheme val="minor"/>
    </font>
    <font>
      <b/>
      <sz val="11"/>
      <color rgb="FF0000FF"/>
      <name val="Calibri"/>
      <family val="2"/>
      <scheme val="minor"/>
    </font>
    <font>
      <b/>
      <sz val="11"/>
      <color rgb="FFFFFF00"/>
      <name val="Calibri"/>
      <family val="2"/>
      <scheme val="minor"/>
    </font>
    <font>
      <b/>
      <sz val="9"/>
      <color rgb="FFFFFFFF"/>
      <name val="Calibri"/>
      <family val="2"/>
      <scheme val="minor"/>
    </font>
    <font>
      <i/>
      <sz val="11"/>
      <color theme="1"/>
      <name val="Calibri"/>
      <family val="2"/>
      <scheme val="minor"/>
    </font>
    <font>
      <b/>
      <i/>
      <sz val="11"/>
      <color rgb="FF0000FF"/>
      <name val="Calibri"/>
      <family val="2"/>
      <scheme val="minor"/>
    </font>
    <font>
      <i/>
      <sz val="8"/>
      <color rgb="FF7F7F7F"/>
      <name val="Calibri"/>
      <family val="2"/>
      <scheme val="minor"/>
    </font>
    <font>
      <sz val="11"/>
      <color rgb="FFED7D31"/>
      <name val="Calibri"/>
      <family val="2"/>
      <scheme val="minor"/>
    </font>
    <font>
      <sz val="10"/>
      <color rgb="FFED7D31"/>
      <name val="Calibri"/>
      <family val="2"/>
      <scheme val="minor"/>
    </font>
    <font>
      <b/>
      <i/>
      <sz val="9"/>
      <color theme="1"/>
      <name val="Calibri"/>
      <family val="2"/>
      <scheme val="minor"/>
    </font>
    <font>
      <b/>
      <sz val="10"/>
      <color rgb="FFFFFF00"/>
      <name val="Calibri"/>
      <family val="2"/>
      <scheme val="minor"/>
    </font>
    <font>
      <b/>
      <i/>
      <sz val="9"/>
      <color rgb="FFFFFFFF"/>
      <name val="Calibri"/>
      <family val="2"/>
      <scheme val="minor"/>
    </font>
    <font>
      <i/>
      <sz val="9"/>
      <color rgb="FF595959"/>
      <name val="Calibri"/>
      <family val="2"/>
      <scheme val="minor"/>
    </font>
    <font>
      <b/>
      <sz val="13"/>
      <color rgb="FFFFFFFF"/>
      <name val="Calibri"/>
      <family val="2"/>
      <scheme val="minor"/>
    </font>
    <font>
      <i/>
      <sz val="11"/>
      <color rgb="FF1F4E79"/>
      <name val="Calibri"/>
      <family val="2"/>
      <scheme val="minor"/>
    </font>
    <font>
      <sz val="11"/>
      <color rgb="FF1B5E20"/>
      <name val="Calibri"/>
      <family val="2"/>
      <scheme val="minor"/>
    </font>
    <font>
      <i/>
      <sz val="11"/>
      <color rgb="FF1B5E20"/>
      <name val="Calibri"/>
      <family val="2"/>
      <scheme val="minor"/>
    </font>
    <font>
      <sz val="11"/>
      <color rgb="FF0D47A1"/>
      <name val="Calibri"/>
      <family val="2"/>
      <scheme val="minor"/>
    </font>
    <font>
      <b/>
      <sz val="11"/>
      <color rgb="FF1B5E20"/>
      <name val="Calibri"/>
      <family val="2"/>
      <scheme val="minor"/>
    </font>
    <font>
      <sz val="11"/>
      <color rgb="FFF57F17"/>
      <name val="Calibri"/>
      <family val="2"/>
      <scheme val="minor"/>
    </font>
    <font>
      <sz val="11"/>
      <color rgb="FF880E4F"/>
      <name val="Calibri"/>
      <family val="2"/>
      <scheme val="minor"/>
    </font>
    <font>
      <b/>
      <sz val="11"/>
      <color rgb="FF880E4F"/>
      <name val="Calibri"/>
      <family val="2"/>
      <scheme val="minor"/>
    </font>
    <font>
      <sz val="11"/>
      <color rgb="FF33691E"/>
      <name val="Calibri"/>
      <family val="2"/>
      <scheme val="minor"/>
    </font>
    <font>
      <b/>
      <sz val="11"/>
      <color rgb="FF33691E"/>
      <name val="Calibri"/>
      <family val="2"/>
      <scheme val="minor"/>
    </font>
    <font>
      <sz val="11"/>
      <color rgb="FF558B2F"/>
      <name val="Calibri"/>
      <family val="2"/>
      <scheme val="minor"/>
    </font>
    <font>
      <b/>
      <sz val="11"/>
      <color rgb="FF558B2F"/>
      <name val="Calibri"/>
      <family val="2"/>
      <scheme val="minor"/>
    </font>
    <font>
      <sz val="11"/>
      <color rgb="FF006064"/>
      <name val="Calibri"/>
      <family val="2"/>
      <scheme val="minor"/>
    </font>
    <font>
      <b/>
      <sz val="11"/>
      <color rgb="FF006064"/>
      <name val="Calibri"/>
      <family val="2"/>
      <scheme val="minor"/>
    </font>
    <font>
      <sz val="11"/>
      <color rgb="FF424242"/>
      <name val="Calibri"/>
      <family val="2"/>
      <scheme val="minor"/>
    </font>
    <font>
      <b/>
      <sz val="11"/>
      <color rgb="FF424242"/>
      <name val="Calibri"/>
      <family val="2"/>
      <scheme val="minor"/>
    </font>
    <font>
      <sz val="11"/>
      <color rgb="FFB71C1C"/>
      <name val="Calibri"/>
      <family val="2"/>
      <scheme val="minor"/>
    </font>
    <font>
      <b/>
      <sz val="11"/>
      <color rgb="FFB71C1C"/>
      <name val="Calibri"/>
      <family val="2"/>
      <scheme val="minor"/>
    </font>
    <font>
      <b/>
      <sz val="11"/>
      <color rgb="FFF57F17"/>
      <name val="Calibri"/>
      <family val="2"/>
      <scheme val="minor"/>
    </font>
    <font>
      <b/>
      <sz val="11"/>
      <color rgb="FF1F4E79"/>
      <name val="Calibri"/>
      <family val="2"/>
      <scheme val="minor"/>
    </font>
    <font>
      <b/>
      <i/>
      <sz val="11"/>
      <color rgb="FF1B5E20"/>
      <name val="Calibri"/>
      <family val="2"/>
      <scheme val="minor"/>
    </font>
    <font>
      <sz val="11"/>
      <color theme="1"/>
      <name val="Calibri"/>
      <family val="2"/>
      <scheme val="minor"/>
    </font>
    <font>
      <b/>
      <sz val="9"/>
      <color rgb="FF000000"/>
      <name val="Times New Roman"/>
      <family val="1"/>
    </font>
    <font>
      <sz val="9"/>
      <color theme="1"/>
      <name val="Times New Roman"/>
      <family val="1"/>
    </font>
    <font>
      <b/>
      <sz val="9"/>
      <name val="Times New Roman"/>
      <family val="1"/>
    </font>
    <font>
      <b/>
      <sz val="9"/>
      <color theme="1"/>
      <name val="Times New Roman"/>
      <family val="1"/>
    </font>
  </fonts>
  <fills count="38">
    <fill>
      <patternFill patternType="none"/>
    </fill>
    <fill>
      <patternFill patternType="gray125"/>
    </fill>
    <fill>
      <patternFill patternType="solid">
        <fgColor rgb="FFFFF2CC"/>
        <bgColor indexed="64"/>
      </patternFill>
    </fill>
    <fill>
      <patternFill patternType="solid">
        <fgColor rgb="FF1F4E79"/>
        <bgColor indexed="64"/>
      </patternFill>
    </fill>
    <fill>
      <patternFill patternType="solid">
        <fgColor rgb="FFFF0000"/>
        <bgColor indexed="64"/>
      </patternFill>
    </fill>
    <fill>
      <patternFill patternType="solid">
        <fgColor rgb="FF2E75B6"/>
        <bgColor indexed="64"/>
      </patternFill>
    </fill>
    <fill>
      <patternFill patternType="solid">
        <fgColor rgb="FFC00000"/>
        <bgColor indexed="64"/>
      </patternFill>
    </fill>
    <fill>
      <patternFill patternType="solid">
        <fgColor rgb="FF4472C4"/>
        <bgColor indexed="64"/>
      </patternFill>
    </fill>
    <fill>
      <patternFill patternType="solid">
        <fgColor rgb="FFED7D31"/>
        <bgColor indexed="64"/>
      </patternFill>
    </fill>
    <fill>
      <patternFill patternType="solid">
        <fgColor rgb="FFD6DCE4"/>
        <bgColor indexed="64"/>
      </patternFill>
    </fill>
    <fill>
      <patternFill patternType="solid">
        <fgColor rgb="FFFFDBD2"/>
        <bgColor indexed="64"/>
      </patternFill>
    </fill>
    <fill>
      <patternFill patternType="solid">
        <fgColor rgb="FFFFE4CC"/>
        <bgColor indexed="64"/>
      </patternFill>
    </fill>
    <fill>
      <patternFill patternType="solid">
        <fgColor rgb="FFEBF3FB"/>
        <bgColor indexed="64"/>
      </patternFill>
    </fill>
    <fill>
      <patternFill patternType="solid">
        <fgColor rgb="FFD9E1F2"/>
        <bgColor indexed="64"/>
      </patternFill>
    </fill>
    <fill>
      <patternFill patternType="solid">
        <fgColor rgb="FF7F0000"/>
        <bgColor indexed="64"/>
      </patternFill>
    </fill>
    <fill>
      <patternFill patternType="solid">
        <fgColor rgb="FFF4CCCC"/>
        <bgColor indexed="64"/>
      </patternFill>
    </fill>
    <fill>
      <patternFill patternType="solid">
        <fgColor rgb="FFFFE0CC"/>
        <bgColor indexed="64"/>
      </patternFill>
    </fill>
    <fill>
      <patternFill patternType="solid">
        <fgColor rgb="FFFFCCCC"/>
        <bgColor indexed="64"/>
      </patternFill>
    </fill>
    <fill>
      <patternFill patternType="solid">
        <fgColor rgb="FFF2F2F2"/>
        <bgColor indexed="64"/>
      </patternFill>
    </fill>
    <fill>
      <patternFill patternType="solid">
        <fgColor rgb="FFD6E4F0"/>
        <bgColor indexed="64"/>
      </patternFill>
    </fill>
    <fill>
      <patternFill patternType="solid">
        <fgColor rgb="FFE8F5E9"/>
        <bgColor indexed="64"/>
      </patternFill>
    </fill>
    <fill>
      <patternFill patternType="solid">
        <fgColor rgb="FFE3F2FD"/>
        <bgColor indexed="64"/>
      </patternFill>
    </fill>
    <fill>
      <patternFill patternType="solid">
        <fgColor rgb="FFFFF9C4"/>
        <bgColor indexed="64"/>
      </patternFill>
    </fill>
    <fill>
      <patternFill patternType="solid">
        <fgColor rgb="FFFCE4EC"/>
        <bgColor indexed="64"/>
      </patternFill>
    </fill>
    <fill>
      <patternFill patternType="solid">
        <fgColor rgb="FFF0FFF0"/>
        <bgColor indexed="64"/>
      </patternFill>
    </fill>
    <fill>
      <patternFill patternType="solid">
        <fgColor rgb="FFFFF3CD"/>
        <bgColor indexed="64"/>
      </patternFill>
    </fill>
    <fill>
      <patternFill patternType="solid">
        <fgColor rgb="FFFFF0F0"/>
        <bgColor indexed="64"/>
      </patternFill>
    </fill>
    <fill>
      <patternFill patternType="solid">
        <fgColor rgb="FF1B5E20"/>
        <bgColor indexed="64"/>
      </patternFill>
    </fill>
    <fill>
      <patternFill patternType="solid">
        <fgColor rgb="FFF1F8E9"/>
        <bgColor indexed="64"/>
      </patternFill>
    </fill>
    <fill>
      <patternFill patternType="solid">
        <fgColor rgb="FFF9FBE7"/>
        <bgColor indexed="64"/>
      </patternFill>
    </fill>
    <fill>
      <patternFill patternType="solid">
        <fgColor rgb="FFE0F7FA"/>
        <bgColor indexed="64"/>
      </patternFill>
    </fill>
    <fill>
      <patternFill patternType="solid">
        <fgColor rgb="FFF5F5F5"/>
        <bgColor indexed="64"/>
      </patternFill>
    </fill>
    <fill>
      <patternFill patternType="solid">
        <fgColor rgb="FFFFEBEE"/>
        <bgColor indexed="64"/>
      </patternFill>
    </fill>
    <fill>
      <patternFill patternType="solid">
        <fgColor rgb="FFDAE9F8"/>
      </patternFill>
    </fill>
    <fill>
      <patternFill patternType="solid">
        <fgColor rgb="FFFDE9D9"/>
        <bgColor indexed="64"/>
      </patternFill>
    </fill>
    <fill>
      <patternFill patternType="solid">
        <fgColor rgb="FFDAEEF3"/>
        <bgColor indexed="64"/>
      </patternFill>
    </fill>
    <fill>
      <patternFill patternType="solid">
        <fgColor theme="3" tint="0.79998168889431442"/>
        <bgColor indexed="64"/>
      </patternFill>
    </fill>
    <fill>
      <patternFill patternType="solid">
        <fgColor rgb="FFC5D9F1"/>
        <bgColor indexed="64"/>
      </patternFill>
    </fill>
  </fills>
  <borders count="6">
    <border>
      <left/>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164" fontId="61" fillId="0" borderId="0" applyFont="0" applyFill="0" applyBorder="0" applyAlignment="0" applyProtection="0"/>
  </cellStyleXfs>
  <cellXfs count="284">
    <xf numFmtId="0" fontId="0" fillId="0" borderId="0" xfId="0"/>
    <xf numFmtId="0" fontId="3" fillId="3" borderId="0" xfId="0" applyFont="1" applyFill="1"/>
    <xf numFmtId="0" fontId="1" fillId="0" borderId="0" xfId="0" applyFont="1"/>
    <xf numFmtId="0" fontId="5" fillId="0" borderId="0" xfId="0" applyFont="1"/>
    <xf numFmtId="3" fontId="1" fillId="0" borderId="0" xfId="0" applyNumberFormat="1" applyFont="1"/>
    <xf numFmtId="0" fontId="7" fillId="5" borderId="0" xfId="0" applyFont="1" applyFill="1" applyAlignment="1">
      <alignment horizontal="center"/>
    </xf>
    <xf numFmtId="0" fontId="7" fillId="5" borderId="0" xfId="0" applyFont="1" applyFill="1" applyAlignment="1">
      <alignment horizontal="right"/>
    </xf>
    <xf numFmtId="0" fontId="0" fillId="0" borderId="0" xfId="0" applyAlignment="1">
      <alignment horizontal="center"/>
    </xf>
    <xf numFmtId="0" fontId="8" fillId="0" borderId="0" xfId="0" applyFont="1"/>
    <xf numFmtId="9" fontId="1" fillId="0" borderId="0" xfId="0" applyNumberFormat="1" applyFont="1" applyAlignment="1">
      <alignment horizontal="center"/>
    </xf>
    <xf numFmtId="0" fontId="8" fillId="0" borderId="0" xfId="0" applyFont="1" applyAlignment="1">
      <alignment horizontal="center"/>
    </xf>
    <xf numFmtId="0" fontId="9" fillId="0" borderId="0" xfId="0" applyFont="1"/>
    <xf numFmtId="0" fontId="10" fillId="0" borderId="0" xfId="0" applyFont="1"/>
    <xf numFmtId="3" fontId="10" fillId="0" borderId="0" xfId="0" applyNumberFormat="1" applyFont="1"/>
    <xf numFmtId="9" fontId="10" fillId="0" borderId="0" xfId="0" applyNumberFormat="1" applyFont="1" applyAlignment="1">
      <alignment horizontal="center"/>
    </xf>
    <xf numFmtId="0" fontId="9" fillId="0" borderId="0" xfId="0" applyFont="1" applyAlignment="1">
      <alignment horizontal="center"/>
    </xf>
    <xf numFmtId="0" fontId="11" fillId="2" borderId="0" xfId="0" applyFont="1" applyFill="1"/>
    <xf numFmtId="0" fontId="12" fillId="2" borderId="0" xfId="0" applyFont="1" applyFill="1"/>
    <xf numFmtId="3" fontId="12" fillId="2" borderId="0" xfId="0" applyNumberFormat="1" applyFont="1" applyFill="1"/>
    <xf numFmtId="9" fontId="12" fillId="2" borderId="0" xfId="0" applyNumberFormat="1" applyFont="1" applyFill="1" applyAlignment="1">
      <alignment horizontal="center"/>
    </xf>
    <xf numFmtId="0" fontId="11" fillId="2" borderId="0" xfId="0" applyFont="1" applyFill="1" applyAlignment="1">
      <alignment horizontal="center"/>
    </xf>
    <xf numFmtId="0" fontId="7" fillId="3" borderId="0" xfId="0" applyFont="1" applyFill="1"/>
    <xf numFmtId="0" fontId="0" fillId="3" borderId="0" xfId="0" applyFill="1"/>
    <xf numFmtId="0" fontId="38" fillId="0" borderId="0" xfId="0" applyFont="1"/>
    <xf numFmtId="0" fontId="0" fillId="0" borderId="1" xfId="0" applyBorder="1"/>
    <xf numFmtId="0" fontId="15" fillId="7" borderId="1" xfId="0" applyFont="1" applyFill="1" applyBorder="1" applyAlignment="1">
      <alignment horizontal="center" wrapText="1"/>
    </xf>
    <xf numFmtId="0" fontId="15" fillId="6" borderId="1" xfId="0" applyFont="1" applyFill="1" applyBorder="1" applyAlignment="1">
      <alignment horizontal="center" wrapText="1"/>
    </xf>
    <xf numFmtId="0" fontId="15" fillId="8" borderId="1" xfId="0" applyFont="1" applyFill="1" applyBorder="1" applyAlignment="1">
      <alignment horizontal="center" wrapText="1"/>
    </xf>
    <xf numFmtId="0" fontId="17" fillId="9" borderId="2" xfId="0" applyFont="1" applyFill="1" applyBorder="1" applyAlignment="1">
      <alignment horizontal="center"/>
    </xf>
    <xf numFmtId="0" fontId="18" fillId="9" borderId="2" xfId="0" applyFont="1" applyFill="1" applyBorder="1" applyAlignment="1">
      <alignment horizontal="center"/>
    </xf>
    <xf numFmtId="0" fontId="18" fillId="10" borderId="2" xfId="0" applyFont="1" applyFill="1" applyBorder="1" applyAlignment="1">
      <alignment horizontal="center"/>
    </xf>
    <xf numFmtId="0" fontId="18" fillId="11" borderId="2" xfId="0" applyFont="1" applyFill="1" applyBorder="1" applyAlignment="1">
      <alignment horizontal="center"/>
    </xf>
    <xf numFmtId="0" fontId="7" fillId="3" borderId="2" xfId="0" applyFont="1" applyFill="1" applyBorder="1"/>
    <xf numFmtId="0" fontId="0" fillId="3" borderId="2" xfId="0" applyFill="1" applyBorder="1"/>
    <xf numFmtId="0" fontId="16" fillId="0" borderId="2" xfId="0" applyFont="1" applyBorder="1"/>
    <xf numFmtId="3" fontId="6" fillId="0" borderId="2" xfId="0" applyNumberFormat="1" applyFont="1" applyBorder="1"/>
    <xf numFmtId="3" fontId="0" fillId="0" borderId="2" xfId="0" applyNumberFormat="1" applyBorder="1"/>
    <xf numFmtId="3" fontId="4" fillId="0" borderId="2" xfId="0" applyNumberFormat="1" applyFont="1" applyBorder="1"/>
    <xf numFmtId="166" fontId="6" fillId="0" borderId="2" xfId="0" applyNumberFormat="1" applyFont="1" applyBorder="1"/>
    <xf numFmtId="166" fontId="0" fillId="0" borderId="2" xfId="0" applyNumberFormat="1" applyBorder="1"/>
    <xf numFmtId="166" fontId="4" fillId="0" borderId="2" xfId="0" applyNumberFormat="1" applyFont="1" applyBorder="1"/>
    <xf numFmtId="0" fontId="17" fillId="12" borderId="2" xfId="0" applyFont="1" applyFill="1" applyBorder="1"/>
    <xf numFmtId="3" fontId="2" fillId="12" borderId="2" xfId="0" applyNumberFormat="1" applyFont="1" applyFill="1" applyBorder="1"/>
    <xf numFmtId="166" fontId="2" fillId="2" borderId="2" xfId="0" applyNumberFormat="1" applyFont="1" applyFill="1" applyBorder="1"/>
    <xf numFmtId="3" fontId="10" fillId="0" borderId="2" xfId="0" applyNumberFormat="1" applyFont="1" applyBorder="1"/>
    <xf numFmtId="0" fontId="20" fillId="0" borderId="2" xfId="0" applyFont="1" applyBorder="1"/>
    <xf numFmtId="3" fontId="5" fillId="0" borderId="2" xfId="0" applyNumberFormat="1" applyFont="1" applyBorder="1"/>
    <xf numFmtId="3" fontId="21" fillId="0" borderId="2" xfId="0" applyNumberFormat="1" applyFont="1" applyBorder="1"/>
    <xf numFmtId="166" fontId="21" fillId="0" borderId="2" xfId="0" applyNumberFormat="1" applyFont="1" applyBorder="1"/>
    <xf numFmtId="0" fontId="22" fillId="0" borderId="2" xfId="0" applyFont="1" applyBorder="1"/>
    <xf numFmtId="0" fontId="24" fillId="12" borderId="2" xfId="0" applyFont="1" applyFill="1" applyBorder="1"/>
    <xf numFmtId="166" fontId="2" fillId="12" borderId="2" xfId="0" applyNumberFormat="1" applyFont="1" applyFill="1" applyBorder="1"/>
    <xf numFmtId="166" fontId="9" fillId="12" borderId="2" xfId="0" applyNumberFormat="1" applyFont="1" applyFill="1" applyBorder="1"/>
    <xf numFmtId="166" fontId="9" fillId="2" borderId="2" xfId="0" applyNumberFormat="1" applyFont="1" applyFill="1" applyBorder="1"/>
    <xf numFmtId="0" fontId="23" fillId="0" borderId="2" xfId="0" applyFont="1" applyBorder="1"/>
    <xf numFmtId="3" fontId="25" fillId="0" borderId="2" xfId="0" applyNumberFormat="1" applyFont="1" applyBorder="1"/>
    <xf numFmtId="0" fontId="26" fillId="0" borderId="2" xfId="0" applyFont="1" applyBorder="1"/>
    <xf numFmtId="166" fontId="5" fillId="0" borderId="2" xfId="0" applyNumberFormat="1" applyFont="1" applyBorder="1"/>
    <xf numFmtId="0" fontId="17" fillId="13" borderId="2" xfId="0" applyFont="1" applyFill="1" applyBorder="1"/>
    <xf numFmtId="166" fontId="27" fillId="13" borderId="2" xfId="0" applyNumberFormat="1" applyFont="1" applyFill="1" applyBorder="1"/>
    <xf numFmtId="166" fontId="9" fillId="13" borderId="2" xfId="0" applyNumberFormat="1" applyFont="1" applyFill="1" applyBorder="1"/>
    <xf numFmtId="166" fontId="10" fillId="0" borderId="2" xfId="0" applyNumberFormat="1" applyFont="1" applyBorder="1"/>
    <xf numFmtId="165" fontId="21" fillId="0" borderId="2" xfId="0" applyNumberFormat="1" applyFont="1" applyBorder="1"/>
    <xf numFmtId="165" fontId="5" fillId="0" borderId="2" xfId="0" applyNumberFormat="1" applyFont="1" applyBorder="1"/>
    <xf numFmtId="0" fontId="15" fillId="5" borderId="3" xfId="0" applyFont="1" applyFill="1" applyBorder="1"/>
    <xf numFmtId="166" fontId="28" fillId="5" borderId="3" xfId="0" applyNumberFormat="1" applyFont="1" applyFill="1" applyBorder="1"/>
    <xf numFmtId="166" fontId="7" fillId="6" borderId="3" xfId="0" applyNumberFormat="1" applyFont="1" applyFill="1" applyBorder="1"/>
    <xf numFmtId="166" fontId="7" fillId="8" borderId="3" xfId="0" applyNumberFormat="1" applyFont="1" applyFill="1" applyBorder="1"/>
    <xf numFmtId="0" fontId="7" fillId="3" borderId="1" xfId="0" applyFont="1" applyFill="1" applyBorder="1"/>
    <xf numFmtId="0" fontId="0" fillId="3" borderId="1" xfId="0" applyFill="1" applyBorder="1"/>
    <xf numFmtId="0" fontId="15" fillId="7" borderId="2" xfId="0" applyFont="1" applyFill="1" applyBorder="1"/>
    <xf numFmtId="0" fontId="29" fillId="7" borderId="2" xfId="0" applyFont="1" applyFill="1" applyBorder="1" applyAlignment="1">
      <alignment horizontal="center"/>
    </xf>
    <xf numFmtId="0" fontId="29" fillId="6" borderId="2" xfId="0" applyFont="1" applyFill="1" applyBorder="1" applyAlignment="1">
      <alignment horizontal="center"/>
    </xf>
    <xf numFmtId="0" fontId="29" fillId="8" borderId="2" xfId="0" applyFont="1" applyFill="1" applyBorder="1" applyAlignment="1">
      <alignment horizontal="center"/>
    </xf>
    <xf numFmtId="3" fontId="27" fillId="13" borderId="2" xfId="0" applyNumberFormat="1" applyFont="1" applyFill="1" applyBorder="1"/>
    <xf numFmtId="3" fontId="2" fillId="13" borderId="2" xfId="0" applyNumberFormat="1" applyFont="1" applyFill="1" applyBorder="1"/>
    <xf numFmtId="3" fontId="30" fillId="0" borderId="2" xfId="0" applyNumberFormat="1" applyFont="1" applyBorder="1"/>
    <xf numFmtId="166" fontId="31" fillId="13" borderId="2" xfId="0" applyNumberFormat="1" applyFont="1" applyFill="1" applyBorder="1"/>
    <xf numFmtId="166" fontId="2" fillId="13" borderId="2" xfId="0" applyNumberFormat="1" applyFont="1" applyFill="1" applyBorder="1"/>
    <xf numFmtId="0" fontId="15" fillId="5" borderId="2" xfId="0" applyFont="1" applyFill="1" applyBorder="1"/>
    <xf numFmtId="3" fontId="7" fillId="5" borderId="2" xfId="0" applyNumberFormat="1" applyFont="1" applyFill="1" applyBorder="1"/>
    <xf numFmtId="166" fontId="7" fillId="8" borderId="2" xfId="0" applyNumberFormat="1" applyFont="1" applyFill="1" applyBorder="1"/>
    <xf numFmtId="0" fontId="32" fillId="0" borderId="2" xfId="0" applyFont="1" applyBorder="1"/>
    <xf numFmtId="166" fontId="30" fillId="0" borderId="2" xfId="0" applyNumberFormat="1" applyFont="1" applyBorder="1"/>
    <xf numFmtId="3" fontId="9" fillId="13" borderId="2" xfId="0" applyNumberFormat="1" applyFont="1" applyFill="1" applyBorder="1"/>
    <xf numFmtId="0" fontId="19" fillId="0" borderId="2" xfId="0" applyFont="1" applyBorder="1"/>
    <xf numFmtId="3" fontId="7" fillId="5" borderId="3" xfId="0" applyNumberFormat="1" applyFont="1" applyFill="1" applyBorder="1"/>
    <xf numFmtId="0" fontId="7" fillId="14" borderId="1" xfId="0" applyFont="1" applyFill="1" applyBorder="1"/>
    <xf numFmtId="0" fontId="0" fillId="14" borderId="1" xfId="0" applyFill="1" applyBorder="1"/>
    <xf numFmtId="0" fontId="17" fillId="15" borderId="2" xfId="0" applyFont="1" applyFill="1" applyBorder="1"/>
    <xf numFmtId="0" fontId="17" fillId="15" borderId="2" xfId="0" applyFont="1" applyFill="1" applyBorder="1" applyAlignment="1">
      <alignment horizontal="right"/>
    </xf>
    <xf numFmtId="0" fontId="34" fillId="0" borderId="2" xfId="0" applyFont="1" applyBorder="1"/>
    <xf numFmtId="3" fontId="33" fillId="0" borderId="2" xfId="0" applyNumberFormat="1" applyFont="1" applyBorder="1"/>
    <xf numFmtId="0" fontId="17" fillId="16" borderId="2" xfId="0" applyFont="1" applyFill="1" applyBorder="1"/>
    <xf numFmtId="3" fontId="9" fillId="16" borderId="2" xfId="0" applyNumberFormat="1" applyFont="1" applyFill="1" applyBorder="1"/>
    <xf numFmtId="0" fontId="35" fillId="0" borderId="2" xfId="0" applyFont="1" applyBorder="1"/>
    <xf numFmtId="0" fontId="36" fillId="14" borderId="2" xfId="0" applyFont="1" applyFill="1" applyBorder="1"/>
    <xf numFmtId="0" fontId="18" fillId="17" borderId="2" xfId="0" applyFont="1" applyFill="1" applyBorder="1" applyAlignment="1">
      <alignment horizontal="center"/>
    </xf>
    <xf numFmtId="0" fontId="37" fillId="4" borderId="2" xfId="0" applyFont="1" applyFill="1" applyBorder="1" applyAlignment="1">
      <alignment horizontal="center"/>
    </xf>
    <xf numFmtId="3" fontId="9" fillId="0" borderId="2" xfId="0" applyNumberFormat="1" applyFont="1" applyBorder="1"/>
    <xf numFmtId="0" fontId="7" fillId="6" borderId="3" xfId="0" applyFont="1" applyFill="1" applyBorder="1"/>
    <xf numFmtId="3" fontId="28" fillId="6" borderId="3" xfId="0" applyNumberFormat="1" applyFont="1" applyFill="1" applyBorder="1"/>
    <xf numFmtId="3" fontId="7" fillId="4" borderId="3" xfId="0" applyNumberFormat="1" applyFont="1" applyFill="1" applyBorder="1"/>
    <xf numFmtId="0" fontId="0" fillId="18" borderId="2" xfId="0" applyFill="1" applyBorder="1"/>
    <xf numFmtId="0" fontId="0" fillId="18" borderId="0" xfId="0" applyFill="1"/>
    <xf numFmtId="0" fontId="39" fillId="3" borderId="0" xfId="0" applyFont="1" applyFill="1"/>
    <xf numFmtId="0" fontId="7" fillId="3" borderId="0" xfId="0" applyFont="1" applyFill="1" applyAlignment="1">
      <alignment horizontal="center"/>
    </xf>
    <xf numFmtId="0" fontId="41" fillId="20" borderId="0" xfId="0" applyFont="1" applyFill="1" applyAlignment="1">
      <alignment horizontal="center"/>
    </xf>
    <xf numFmtId="0" fontId="41" fillId="20" borderId="0" xfId="0" applyFont="1" applyFill="1"/>
    <xf numFmtId="14" fontId="41" fillId="20" borderId="0" xfId="0" applyNumberFormat="1" applyFont="1" applyFill="1" applyAlignment="1">
      <alignment horizontal="center"/>
    </xf>
    <xf numFmtId="3" fontId="41" fillId="20" borderId="0" xfId="0" applyNumberFormat="1" applyFont="1" applyFill="1" applyAlignment="1">
      <alignment horizontal="right"/>
    </xf>
    <xf numFmtId="9" fontId="41" fillId="20" borderId="0" xfId="0" applyNumberFormat="1" applyFont="1" applyFill="1" applyAlignment="1">
      <alignment horizontal="center"/>
    </xf>
    <xf numFmtId="0" fontId="44" fillId="20" borderId="0" xfId="0" applyFont="1" applyFill="1" applyAlignment="1">
      <alignment horizontal="center"/>
    </xf>
    <xf numFmtId="0" fontId="45" fillId="22" borderId="0" xfId="0" applyFont="1" applyFill="1"/>
    <xf numFmtId="3" fontId="45" fillId="22" borderId="0" xfId="0" applyNumberFormat="1" applyFont="1" applyFill="1" applyAlignment="1">
      <alignment horizontal="right"/>
    </xf>
    <xf numFmtId="0" fontId="7" fillId="3" borderId="4" xfId="0" applyFont="1" applyFill="1" applyBorder="1" applyAlignment="1">
      <alignment horizontal="center"/>
    </xf>
    <xf numFmtId="0" fontId="43" fillId="21" borderId="4" xfId="0" applyFont="1" applyFill="1" applyBorder="1"/>
    <xf numFmtId="0" fontId="43" fillId="21" borderId="4" xfId="0" applyFont="1" applyFill="1" applyBorder="1" applyAlignment="1">
      <alignment horizontal="center"/>
    </xf>
    <xf numFmtId="3" fontId="43" fillId="21" borderId="4" xfId="0" applyNumberFormat="1" applyFont="1" applyFill="1" applyBorder="1" applyAlignment="1">
      <alignment horizontal="right"/>
    </xf>
    <xf numFmtId="0" fontId="41" fillId="20" borderId="4" xfId="0" applyFont="1" applyFill="1" applyBorder="1"/>
    <xf numFmtId="0" fontId="41" fillId="20" borderId="4" xfId="0" applyFont="1" applyFill="1" applyBorder="1" applyAlignment="1">
      <alignment horizontal="center"/>
    </xf>
    <xf numFmtId="3" fontId="41" fillId="20" borderId="4" xfId="0" applyNumberFormat="1" applyFont="1" applyFill="1" applyBorder="1" applyAlignment="1">
      <alignment horizontal="right"/>
    </xf>
    <xf numFmtId="0" fontId="45" fillId="22" borderId="4" xfId="0" applyFont="1" applyFill="1" applyBorder="1"/>
    <xf numFmtId="0" fontId="45" fillId="22" borderId="4" xfId="0" applyFont="1" applyFill="1" applyBorder="1" applyAlignment="1">
      <alignment horizontal="center"/>
    </xf>
    <xf numFmtId="3" fontId="45" fillId="22" borderId="4" xfId="0" applyNumberFormat="1" applyFont="1" applyFill="1" applyBorder="1" applyAlignment="1">
      <alignment horizontal="right"/>
    </xf>
    <xf numFmtId="0" fontId="46" fillId="23" borderId="4" xfId="0" applyFont="1" applyFill="1" applyBorder="1"/>
    <xf numFmtId="0" fontId="46" fillId="23" borderId="4" xfId="0" applyFont="1" applyFill="1" applyBorder="1" applyAlignment="1">
      <alignment horizontal="center"/>
    </xf>
    <xf numFmtId="3" fontId="46" fillId="23" borderId="4" xfId="0" applyNumberFormat="1" applyFont="1" applyFill="1" applyBorder="1" applyAlignment="1">
      <alignment horizontal="right"/>
    </xf>
    <xf numFmtId="0" fontId="43" fillId="21" borderId="5" xfId="0" applyFont="1" applyFill="1" applyBorder="1" applyAlignment="1">
      <alignment horizontal="center"/>
    </xf>
    <xf numFmtId="0" fontId="43" fillId="21" borderId="5" xfId="0" applyFont="1" applyFill="1" applyBorder="1"/>
    <xf numFmtId="14" fontId="43" fillId="21" borderId="5" xfId="0" applyNumberFormat="1" applyFont="1" applyFill="1" applyBorder="1" applyAlignment="1">
      <alignment horizontal="center"/>
    </xf>
    <xf numFmtId="3" fontId="43" fillId="21" borderId="5" xfId="0" applyNumberFormat="1" applyFont="1" applyFill="1" applyBorder="1" applyAlignment="1">
      <alignment horizontal="right"/>
    </xf>
    <xf numFmtId="9" fontId="43" fillId="21" borderId="5" xfId="0" applyNumberFormat="1" applyFont="1" applyFill="1" applyBorder="1" applyAlignment="1">
      <alignment horizontal="center"/>
    </xf>
    <xf numFmtId="0" fontId="44" fillId="21" borderId="5" xfId="0" applyFont="1" applyFill="1" applyBorder="1" applyAlignment="1">
      <alignment horizontal="center"/>
    </xf>
    <xf numFmtId="0" fontId="41" fillId="20" borderId="5" xfId="0" applyFont="1" applyFill="1" applyBorder="1" applyAlignment="1">
      <alignment horizontal="center"/>
    </xf>
    <xf numFmtId="0" fontId="41" fillId="20" borderId="5" xfId="0" applyFont="1" applyFill="1" applyBorder="1"/>
    <xf numFmtId="14" fontId="41" fillId="20" borderId="5" xfId="0" applyNumberFormat="1" applyFont="1" applyFill="1" applyBorder="1" applyAlignment="1">
      <alignment horizontal="center"/>
    </xf>
    <xf numFmtId="3" fontId="41" fillId="20" borderId="5" xfId="0" applyNumberFormat="1" applyFont="1" applyFill="1" applyBorder="1" applyAlignment="1">
      <alignment horizontal="right"/>
    </xf>
    <xf numFmtId="9" fontId="41" fillId="20" borderId="5" xfId="0" applyNumberFormat="1" applyFont="1" applyFill="1" applyBorder="1" applyAlignment="1">
      <alignment horizontal="center"/>
    </xf>
    <xf numFmtId="0" fontId="44" fillId="20" borderId="5" xfId="0" applyFont="1" applyFill="1" applyBorder="1" applyAlignment="1">
      <alignment horizontal="center"/>
    </xf>
    <xf numFmtId="0" fontId="45" fillId="22" borderId="5" xfId="0" applyFont="1" applyFill="1" applyBorder="1" applyAlignment="1">
      <alignment horizontal="center"/>
    </xf>
    <xf numFmtId="0" fontId="45" fillId="22" borderId="5" xfId="0" applyFont="1" applyFill="1" applyBorder="1"/>
    <xf numFmtId="3" fontId="45" fillId="22" borderId="5" xfId="0" applyNumberFormat="1" applyFont="1" applyFill="1" applyBorder="1" applyAlignment="1">
      <alignment horizontal="right"/>
    </xf>
    <xf numFmtId="9" fontId="45" fillId="22" borderId="5" xfId="0" applyNumberFormat="1" applyFont="1" applyFill="1" applyBorder="1" applyAlignment="1">
      <alignment horizontal="center"/>
    </xf>
    <xf numFmtId="0" fontId="44" fillId="22" borderId="5" xfId="0" applyFont="1" applyFill="1" applyBorder="1" applyAlignment="1">
      <alignment horizontal="center"/>
    </xf>
    <xf numFmtId="0" fontId="46" fillId="23" borderId="5" xfId="0" applyFont="1" applyFill="1" applyBorder="1" applyAlignment="1">
      <alignment horizontal="center"/>
    </xf>
    <xf numFmtId="0" fontId="46" fillId="23" borderId="5" xfId="0" applyFont="1" applyFill="1" applyBorder="1"/>
    <xf numFmtId="3" fontId="46" fillId="23" borderId="5" xfId="0" applyNumberFormat="1" applyFont="1" applyFill="1" applyBorder="1" applyAlignment="1">
      <alignment horizontal="right"/>
    </xf>
    <xf numFmtId="9" fontId="46" fillId="23" borderId="5" xfId="0" applyNumberFormat="1" applyFont="1" applyFill="1" applyBorder="1" applyAlignment="1">
      <alignment horizontal="center"/>
    </xf>
    <xf numFmtId="0" fontId="44" fillId="23" borderId="5" xfId="0" applyFont="1" applyFill="1" applyBorder="1" applyAlignment="1">
      <alignment horizontal="center"/>
    </xf>
    <xf numFmtId="14" fontId="46" fillId="23" borderId="5" xfId="0" applyNumberFormat="1" applyFont="1" applyFill="1" applyBorder="1" applyAlignment="1">
      <alignment horizontal="center"/>
    </xf>
    <xf numFmtId="0" fontId="2" fillId="19" borderId="4" xfId="0" applyFont="1" applyFill="1" applyBorder="1"/>
    <xf numFmtId="0" fontId="47" fillId="19" borderId="4" xfId="0" applyFont="1" applyFill="1" applyBorder="1" applyAlignment="1">
      <alignment horizontal="center"/>
    </xf>
    <xf numFmtId="0" fontId="7" fillId="3" borderId="4" xfId="0" applyFont="1" applyFill="1" applyBorder="1"/>
    <xf numFmtId="3" fontId="7" fillId="3" borderId="4" xfId="0" applyNumberFormat="1" applyFont="1" applyFill="1" applyBorder="1" applyAlignment="1">
      <alignment horizontal="right"/>
    </xf>
    <xf numFmtId="0" fontId="0" fillId="0" borderId="4" xfId="0" applyBorder="1"/>
    <xf numFmtId="0" fontId="2" fillId="24" borderId="4" xfId="0" applyFont="1" applyFill="1" applyBorder="1"/>
    <xf numFmtId="0" fontId="0" fillId="24" borderId="4" xfId="0" applyFill="1" applyBorder="1"/>
    <xf numFmtId="3" fontId="6" fillId="24" borderId="4" xfId="0" applyNumberFormat="1" applyFont="1" applyFill="1" applyBorder="1" applyAlignment="1">
      <alignment horizontal="right"/>
    </xf>
    <xf numFmtId="3" fontId="0" fillId="24" borderId="4" xfId="0" applyNumberFormat="1" applyFill="1" applyBorder="1" applyAlignment="1">
      <alignment horizontal="right"/>
    </xf>
    <xf numFmtId="0" fontId="0" fillId="24" borderId="4" xfId="0" applyFill="1" applyBorder="1" applyAlignment="1">
      <alignment horizontal="center"/>
    </xf>
    <xf numFmtId="166" fontId="2" fillId="24" borderId="4" xfId="0" applyNumberFormat="1" applyFont="1" applyFill="1" applyBorder="1" applyAlignment="1">
      <alignment horizontal="right"/>
    </xf>
    <xf numFmtId="0" fontId="2" fillId="25" borderId="4" xfId="0" applyFont="1" applyFill="1" applyBorder="1"/>
    <xf numFmtId="0" fontId="0" fillId="25" borderId="4" xfId="0" applyFill="1" applyBorder="1"/>
    <xf numFmtId="3" fontId="0" fillId="25" borderId="4" xfId="0" applyNumberFormat="1" applyFill="1" applyBorder="1" applyAlignment="1">
      <alignment horizontal="right"/>
    </xf>
    <xf numFmtId="165" fontId="0" fillId="25" borderId="4" xfId="0" applyNumberFormat="1" applyFill="1" applyBorder="1" applyAlignment="1">
      <alignment horizontal="center"/>
    </xf>
    <xf numFmtId="0" fontId="9" fillId="26" borderId="4" xfId="0" applyFont="1" applyFill="1" applyBorder="1"/>
    <xf numFmtId="0" fontId="10" fillId="26" borderId="4" xfId="0" applyFont="1" applyFill="1" applyBorder="1"/>
    <xf numFmtId="0" fontId="7" fillId="3" borderId="5" xfId="0" applyFont="1" applyFill="1" applyBorder="1" applyAlignment="1">
      <alignment horizontal="center" vertical="center"/>
    </xf>
    <xf numFmtId="0" fontId="7" fillId="27" borderId="0" xfId="0" applyFont="1" applyFill="1" applyAlignment="1">
      <alignment horizontal="center"/>
    </xf>
    <xf numFmtId="0" fontId="0" fillId="27" borderId="0" xfId="0" applyFill="1"/>
    <xf numFmtId="0" fontId="44" fillId="20" borderId="0" xfId="0" applyFont="1" applyFill="1"/>
    <xf numFmtId="0" fontId="48" fillId="28" borderId="0" xfId="0" applyFont="1" applyFill="1" applyAlignment="1">
      <alignment horizontal="center"/>
    </xf>
    <xf numFmtId="0" fontId="48" fillId="28" borderId="0" xfId="0" applyFont="1" applyFill="1"/>
    <xf numFmtId="3" fontId="48" fillId="28" borderId="0" xfId="0" applyNumberFormat="1" applyFont="1" applyFill="1" applyAlignment="1">
      <alignment horizontal="right"/>
    </xf>
    <xf numFmtId="9" fontId="48" fillId="28" borderId="0" xfId="0" applyNumberFormat="1" applyFont="1" applyFill="1" applyAlignment="1">
      <alignment horizontal="center"/>
    </xf>
    <xf numFmtId="0" fontId="49" fillId="28" borderId="0" xfId="0" applyFont="1" applyFill="1" applyAlignment="1">
      <alignment horizontal="center"/>
    </xf>
    <xf numFmtId="14" fontId="48" fillId="28" borderId="0" xfId="0" applyNumberFormat="1" applyFont="1" applyFill="1" applyAlignment="1">
      <alignment horizontal="center"/>
    </xf>
    <xf numFmtId="3" fontId="49" fillId="28" borderId="0" xfId="0" applyNumberFormat="1" applyFont="1" applyFill="1"/>
    <xf numFmtId="3" fontId="49" fillId="28" borderId="0" xfId="0" applyNumberFormat="1" applyFont="1" applyFill="1" applyAlignment="1">
      <alignment horizontal="right"/>
    </xf>
    <xf numFmtId="0" fontId="50" fillId="29" borderId="0" xfId="0" applyFont="1" applyFill="1" applyAlignment="1">
      <alignment horizontal="center"/>
    </xf>
    <xf numFmtId="0" fontId="50" fillId="29" borderId="0" xfId="0" applyFont="1" applyFill="1"/>
    <xf numFmtId="3" fontId="50" fillId="29" borderId="0" xfId="0" applyNumberFormat="1" applyFont="1" applyFill="1" applyAlignment="1">
      <alignment horizontal="right"/>
    </xf>
    <xf numFmtId="9" fontId="50" fillId="29" borderId="0" xfId="0" applyNumberFormat="1" applyFont="1" applyFill="1" applyAlignment="1">
      <alignment horizontal="center"/>
    </xf>
    <xf numFmtId="0" fontId="51" fillId="29" borderId="0" xfId="0" applyFont="1" applyFill="1" applyAlignment="1">
      <alignment horizontal="center"/>
    </xf>
    <xf numFmtId="0" fontId="52" fillId="30" borderId="0" xfId="0" applyFont="1" applyFill="1" applyAlignment="1">
      <alignment horizontal="center"/>
    </xf>
    <xf numFmtId="0" fontId="52" fillId="30" borderId="0" xfId="0" applyFont="1" applyFill="1"/>
    <xf numFmtId="3" fontId="52" fillId="30" borderId="0" xfId="0" applyNumberFormat="1" applyFont="1" applyFill="1" applyAlignment="1">
      <alignment horizontal="right"/>
    </xf>
    <xf numFmtId="9" fontId="52" fillId="30" borderId="0" xfId="0" applyNumberFormat="1" applyFont="1" applyFill="1" applyAlignment="1">
      <alignment horizontal="center"/>
    </xf>
    <xf numFmtId="0" fontId="53" fillId="30" borderId="0" xfId="0" applyFont="1" applyFill="1" applyAlignment="1">
      <alignment horizontal="center"/>
    </xf>
    <xf numFmtId="0" fontId="54" fillId="31" borderId="0" xfId="0" applyFont="1" applyFill="1" applyAlignment="1">
      <alignment horizontal="center"/>
    </xf>
    <xf numFmtId="0" fontId="54" fillId="31" borderId="0" xfId="0" applyFont="1" applyFill="1"/>
    <xf numFmtId="3" fontId="54" fillId="31" borderId="0" xfId="0" applyNumberFormat="1" applyFont="1" applyFill="1" applyAlignment="1">
      <alignment horizontal="right"/>
    </xf>
    <xf numFmtId="9" fontId="54" fillId="31" borderId="0" xfId="0" applyNumberFormat="1" applyFont="1" applyFill="1" applyAlignment="1">
      <alignment horizontal="center"/>
    </xf>
    <xf numFmtId="0" fontId="55" fillId="31" borderId="0" xfId="0" applyFont="1" applyFill="1" applyAlignment="1">
      <alignment horizontal="center"/>
    </xf>
    <xf numFmtId="0" fontId="57" fillId="32" borderId="0" xfId="0" applyFont="1" applyFill="1"/>
    <xf numFmtId="0" fontId="56" fillId="32" borderId="0" xfId="0" applyFont="1" applyFill="1"/>
    <xf numFmtId="0" fontId="0" fillId="32" borderId="0" xfId="0" applyFill="1"/>
    <xf numFmtId="0" fontId="0" fillId="20" borderId="0" xfId="0" applyFill="1"/>
    <xf numFmtId="3" fontId="44" fillId="20" borderId="0" xfId="0" applyNumberFormat="1" applyFont="1" applyFill="1" applyAlignment="1">
      <alignment horizontal="right"/>
    </xf>
    <xf numFmtId="0" fontId="58" fillId="22" borderId="0" xfId="0" applyFont="1" applyFill="1"/>
    <xf numFmtId="3" fontId="27" fillId="22" borderId="0" xfId="0" applyNumberFormat="1" applyFont="1" applyFill="1" applyAlignment="1">
      <alignment horizontal="right"/>
    </xf>
    <xf numFmtId="0" fontId="0" fillId="22" borderId="0" xfId="0" applyFill="1"/>
    <xf numFmtId="0" fontId="0" fillId="22" borderId="0" xfId="0" applyFill="1" applyAlignment="1">
      <alignment horizontal="center"/>
    </xf>
    <xf numFmtId="0" fontId="2" fillId="22" borderId="0" xfId="0" applyFont="1" applyFill="1"/>
    <xf numFmtId="166" fontId="2" fillId="22" borderId="0" xfId="0" applyNumberFormat="1" applyFont="1" applyFill="1" applyAlignment="1">
      <alignment horizontal="right"/>
    </xf>
    <xf numFmtId="0" fontId="12" fillId="2" borderId="0" xfId="0" applyFont="1" applyFill="1" applyAlignment="1">
      <alignment horizontal="center"/>
    </xf>
    <xf numFmtId="3" fontId="11" fillId="2" borderId="0" xfId="0" applyNumberFormat="1" applyFont="1" applyFill="1" applyAlignment="1">
      <alignment horizontal="right"/>
    </xf>
    <xf numFmtId="3" fontId="12" fillId="2" borderId="0" xfId="0" applyNumberFormat="1" applyFont="1" applyFill="1" applyAlignment="1">
      <alignment horizontal="right"/>
    </xf>
    <xf numFmtId="0" fontId="9" fillId="2" borderId="0" xfId="0" applyFont="1" applyFill="1" applyAlignment="1">
      <alignment horizontal="center"/>
    </xf>
    <xf numFmtId="3" fontId="9" fillId="32" borderId="0" xfId="0" applyNumberFormat="1" applyFont="1" applyFill="1" applyAlignment="1">
      <alignment horizontal="right"/>
    </xf>
    <xf numFmtId="3" fontId="10" fillId="32" borderId="0" xfId="0" applyNumberFormat="1" applyFont="1" applyFill="1" applyAlignment="1">
      <alignment horizontal="right"/>
    </xf>
    <xf numFmtId="3" fontId="59" fillId="3" borderId="0" xfId="0" applyNumberFormat="1" applyFont="1" applyFill="1" applyAlignment="1">
      <alignment horizontal="right"/>
    </xf>
    <xf numFmtId="0" fontId="60" fillId="3" borderId="0" xfId="0" applyFont="1" applyFill="1"/>
    <xf numFmtId="0" fontId="9" fillId="32" borderId="0" xfId="0" applyFont="1" applyFill="1" applyAlignment="1">
      <alignment horizontal="center"/>
    </xf>
    <xf numFmtId="0" fontId="62" fillId="33" borderId="5" xfId="0" applyFont="1" applyFill="1" applyBorder="1" applyAlignment="1">
      <alignment horizontal="center" vertical="center" wrapText="1"/>
    </xf>
    <xf numFmtId="0" fontId="62" fillId="33" borderId="5" xfId="0" applyFont="1" applyFill="1" applyBorder="1" applyAlignment="1">
      <alignment horizontal="center" vertical="center"/>
    </xf>
    <xf numFmtId="0" fontId="63" fillId="34" borderId="5" xfId="0" applyFont="1" applyFill="1" applyBorder="1"/>
    <xf numFmtId="0" fontId="63" fillId="34" borderId="5" xfId="0" applyFont="1" applyFill="1" applyBorder="1" applyAlignment="1">
      <alignment wrapText="1"/>
    </xf>
    <xf numFmtId="167" fontId="63" fillId="34" borderId="5" xfId="1" applyNumberFormat="1" applyFont="1" applyFill="1" applyBorder="1"/>
    <xf numFmtId="0" fontId="63" fillId="35" borderId="5" xfId="0" applyFont="1" applyFill="1" applyBorder="1"/>
    <xf numFmtId="0" fontId="63" fillId="35" borderId="5" xfId="0" applyFont="1" applyFill="1" applyBorder="1" applyAlignment="1">
      <alignment wrapText="1"/>
    </xf>
    <xf numFmtId="167" fontId="63" fillId="35" borderId="5" xfId="1" applyNumberFormat="1" applyFont="1" applyFill="1" applyBorder="1"/>
    <xf numFmtId="49" fontId="1" fillId="0" borderId="0" xfId="0" applyNumberFormat="1" applyFont="1"/>
    <xf numFmtId="49" fontId="10" fillId="0" borderId="0" xfId="0" applyNumberFormat="1" applyFont="1"/>
    <xf numFmtId="49" fontId="12" fillId="2" borderId="0" xfId="0" applyNumberFormat="1" applyFont="1" applyFill="1"/>
    <xf numFmtId="49" fontId="12" fillId="2" borderId="0" xfId="0" applyNumberFormat="1" applyFont="1" applyFill="1" applyAlignment="1">
      <alignment horizontal="center"/>
    </xf>
    <xf numFmtId="49" fontId="41" fillId="20" borderId="0" xfId="0" applyNumberFormat="1" applyFont="1" applyFill="1" applyAlignment="1">
      <alignment horizontal="center"/>
    </xf>
    <xf numFmtId="49" fontId="48" fillId="28" borderId="0" xfId="0" applyNumberFormat="1" applyFont="1" applyFill="1" applyAlignment="1">
      <alignment horizontal="center"/>
    </xf>
    <xf numFmtId="49" fontId="50" fillId="29" borderId="0" xfId="0" applyNumberFormat="1" applyFont="1" applyFill="1" applyAlignment="1">
      <alignment horizontal="center"/>
    </xf>
    <xf numFmtId="49" fontId="52" fillId="30" borderId="0" xfId="0" applyNumberFormat="1" applyFont="1" applyFill="1" applyAlignment="1">
      <alignment horizontal="center"/>
    </xf>
    <xf numFmtId="49" fontId="54" fillId="31" borderId="0" xfId="0" applyNumberFormat="1" applyFont="1" applyFill="1" applyAlignment="1">
      <alignment horizontal="center"/>
    </xf>
    <xf numFmtId="49" fontId="41" fillId="20" borderId="0" xfId="0" applyNumberFormat="1" applyFont="1" applyFill="1"/>
    <xf numFmtId="49" fontId="48" fillId="28" borderId="0" xfId="0" applyNumberFormat="1" applyFont="1" applyFill="1"/>
    <xf numFmtId="49" fontId="49" fillId="28" borderId="0" xfId="0" applyNumberFormat="1" applyFont="1" applyFill="1" applyAlignment="1">
      <alignment horizontal="center"/>
    </xf>
    <xf numFmtId="49" fontId="50" fillId="29" borderId="0" xfId="0" applyNumberFormat="1" applyFont="1" applyFill="1"/>
    <xf numFmtId="49" fontId="52" fillId="30" borderId="0" xfId="0" applyNumberFormat="1" applyFont="1" applyFill="1"/>
    <xf numFmtId="49" fontId="54" fillId="31" borderId="0" xfId="0" applyNumberFormat="1" applyFont="1" applyFill="1"/>
    <xf numFmtId="14" fontId="1" fillId="0" borderId="0" xfId="0" applyNumberFormat="1" applyFont="1"/>
    <xf numFmtId="14" fontId="10" fillId="0" borderId="0" xfId="0" applyNumberFormat="1" applyFont="1"/>
    <xf numFmtId="14" fontId="12" fillId="2" borderId="0" xfId="0" applyNumberFormat="1" applyFont="1" applyFill="1"/>
    <xf numFmtId="14" fontId="12" fillId="2" borderId="0" xfId="0" applyNumberFormat="1" applyFont="1" applyFill="1" applyAlignment="1">
      <alignment horizontal="center"/>
    </xf>
    <xf numFmtId="14" fontId="50" fillId="29" borderId="0" xfId="0" applyNumberFormat="1" applyFont="1" applyFill="1" applyAlignment="1">
      <alignment horizontal="center"/>
    </xf>
    <xf numFmtId="14" fontId="52" fillId="30" borderId="0" xfId="0" applyNumberFormat="1" applyFont="1" applyFill="1" applyAlignment="1">
      <alignment horizontal="center"/>
    </xf>
    <xf numFmtId="14" fontId="54" fillId="31" borderId="0" xfId="0" applyNumberFormat="1" applyFont="1" applyFill="1" applyAlignment="1">
      <alignment horizontal="center"/>
    </xf>
    <xf numFmtId="49" fontId="43" fillId="21" borderId="5" xfId="0" applyNumberFormat="1" applyFont="1" applyFill="1" applyBorder="1" applyAlignment="1">
      <alignment horizontal="center"/>
    </xf>
    <xf numFmtId="49" fontId="41" fillId="20" borderId="5" xfId="0" applyNumberFormat="1" applyFont="1" applyFill="1" applyBorder="1" applyAlignment="1">
      <alignment horizontal="center"/>
    </xf>
    <xf numFmtId="49" fontId="45" fillId="22" borderId="5" xfId="0" applyNumberFormat="1" applyFont="1" applyFill="1" applyBorder="1" applyAlignment="1">
      <alignment horizontal="center"/>
    </xf>
    <xf numFmtId="49" fontId="46" fillId="23" borderId="5" xfId="0" applyNumberFormat="1" applyFont="1" applyFill="1" applyBorder="1" applyAlignment="1">
      <alignment horizontal="center"/>
    </xf>
    <xf numFmtId="0" fontId="63" fillId="0" borderId="0" xfId="0" applyFont="1" applyFill="1"/>
    <xf numFmtId="167" fontId="63" fillId="0" borderId="0" xfId="1" applyNumberFormat="1" applyFont="1" applyFill="1"/>
    <xf numFmtId="0" fontId="63" fillId="0" borderId="5" xfId="0" applyFont="1" applyFill="1" applyBorder="1"/>
    <xf numFmtId="167" fontId="63" fillId="0" borderId="5" xfId="1" applyNumberFormat="1" applyFont="1" applyFill="1" applyBorder="1"/>
    <xf numFmtId="0" fontId="64" fillId="36" borderId="5" xfId="0" applyFont="1" applyFill="1" applyBorder="1" applyAlignment="1">
      <alignment horizontal="center" vertical="center" wrapText="1"/>
    </xf>
    <xf numFmtId="167" fontId="64" fillId="36" borderId="5" xfId="1" applyNumberFormat="1" applyFont="1" applyFill="1" applyBorder="1" applyAlignment="1">
      <alignment horizontal="center" vertical="center" wrapText="1"/>
    </xf>
    <xf numFmtId="49" fontId="63" fillId="0" borderId="5" xfId="0" applyNumberFormat="1" applyFont="1" applyFill="1" applyBorder="1"/>
    <xf numFmtId="0" fontId="63" fillId="0" borderId="0" xfId="0" applyFont="1"/>
    <xf numFmtId="49" fontId="63" fillId="0" borderId="0" xfId="0" applyNumberFormat="1" applyFont="1"/>
    <xf numFmtId="3" fontId="63" fillId="0" borderId="0" xfId="0" applyNumberFormat="1" applyFont="1"/>
    <xf numFmtId="0" fontId="63" fillId="0" borderId="5" xfId="0" applyFont="1" applyBorder="1"/>
    <xf numFmtId="0" fontId="65" fillId="36" borderId="5" xfId="0" applyFont="1" applyFill="1" applyBorder="1" applyAlignment="1">
      <alignment horizontal="center" vertical="center" wrapText="1"/>
    </xf>
    <xf numFmtId="1" fontId="63" fillId="0" borderId="0" xfId="0" applyNumberFormat="1" applyFont="1"/>
    <xf numFmtId="9" fontId="63" fillId="0" borderId="5" xfId="0" applyNumberFormat="1" applyFont="1" applyBorder="1"/>
    <xf numFmtId="3" fontId="63" fillId="0" borderId="5" xfId="0" applyNumberFormat="1" applyFont="1" applyBorder="1"/>
    <xf numFmtId="49" fontId="63" fillId="0" borderId="5" xfId="0" applyNumberFormat="1" applyFont="1" applyBorder="1"/>
    <xf numFmtId="9" fontId="63" fillId="0" borderId="0" xfId="0" applyNumberFormat="1" applyFont="1"/>
    <xf numFmtId="0" fontId="65" fillId="37" borderId="0" xfId="0" applyFont="1" applyFill="1"/>
    <xf numFmtId="3" fontId="65" fillId="37" borderId="0" xfId="0" applyNumberFormat="1" applyFont="1" applyFill="1"/>
    <xf numFmtId="0" fontId="65" fillId="37" borderId="5" xfId="0" applyFont="1" applyFill="1" applyBorder="1"/>
    <xf numFmtId="3" fontId="65" fillId="37" borderId="5" xfId="0" applyNumberFormat="1" applyFont="1" applyFill="1" applyBorder="1"/>
    <xf numFmtId="3" fontId="63" fillId="0" borderId="5" xfId="0" applyNumberFormat="1" applyFont="1" applyFill="1" applyBorder="1"/>
    <xf numFmtId="9" fontId="63" fillId="0" borderId="5" xfId="0" applyNumberFormat="1" applyFont="1" applyFill="1" applyBorder="1"/>
    <xf numFmtId="0" fontId="65" fillId="37" borderId="0" xfId="0" applyFont="1" applyFill="1" applyAlignment="1">
      <alignment horizontal="center"/>
    </xf>
    <xf numFmtId="16" fontId="63" fillId="0" borderId="0" xfId="0" applyNumberFormat="1" applyFont="1"/>
    <xf numFmtId="14" fontId="63" fillId="0" borderId="5" xfId="0" applyNumberFormat="1" applyFont="1" applyBorder="1"/>
    <xf numFmtId="14" fontId="63" fillId="0" borderId="5" xfId="0" applyNumberFormat="1" applyFont="1" applyFill="1" applyBorder="1"/>
    <xf numFmtId="14" fontId="63" fillId="0" borderId="0" xfId="0" applyNumberFormat="1" applyFont="1"/>
    <xf numFmtId="0" fontId="3" fillId="3" borderId="0" xfId="0" applyFont="1" applyFill="1"/>
    <xf numFmtId="0" fontId="13" fillId="5" borderId="0" xfId="0" applyFont="1" applyFill="1"/>
    <xf numFmtId="0" fontId="14" fillId="0" borderId="0" xfId="0" applyFont="1"/>
    <xf numFmtId="0" fontId="0" fillId="0" borderId="0" xfId="0"/>
    <xf numFmtId="0" fontId="40" fillId="19" borderId="0" xfId="0" applyFont="1" applyFill="1"/>
    <xf numFmtId="0" fontId="42" fillId="20" borderId="0" xfId="0" applyFont="1" applyFill="1"/>
    <xf numFmtId="0" fontId="7" fillId="3" borderId="0" xfId="0" applyFont="1" applyFill="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calcChain" Target="calcChain.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1"/>
  <sheetViews>
    <sheetView workbookViewId="0">
      <selection activeCell="C6" sqref="C6"/>
    </sheetView>
  </sheetViews>
  <sheetFormatPr defaultRowHeight="14.4" x14ac:dyDescent="0.3"/>
  <cols>
    <col min="1" max="1" width="3.88671875" bestFit="1" customWidth="1"/>
    <col min="2" max="2" width="22.33203125" customWidth="1"/>
    <col min="3" max="3" width="60.109375" bestFit="1" customWidth="1"/>
    <col min="4" max="4" width="8.5546875" bestFit="1" customWidth="1"/>
    <col min="8" max="8" width="6.44140625" customWidth="1"/>
    <col min="9" max="10" width="15" bestFit="1" customWidth="1"/>
    <col min="11" max="11" width="13.44140625" bestFit="1" customWidth="1"/>
  </cols>
  <sheetData>
    <row r="1" spans="1:11" ht="34.200000000000003" x14ac:dyDescent="0.3">
      <c r="A1" s="215" t="s">
        <v>0</v>
      </c>
      <c r="B1" s="215" t="s">
        <v>290</v>
      </c>
      <c r="C1" s="215" t="s">
        <v>291</v>
      </c>
      <c r="D1" s="215" t="s">
        <v>292</v>
      </c>
      <c r="E1" s="215" t="s">
        <v>293</v>
      </c>
      <c r="F1" s="216" t="s">
        <v>294</v>
      </c>
      <c r="G1" s="215" t="s">
        <v>295</v>
      </c>
      <c r="H1" s="215" t="s">
        <v>296</v>
      </c>
      <c r="I1" s="215" t="s">
        <v>297</v>
      </c>
      <c r="J1" s="215" t="s">
        <v>298</v>
      </c>
      <c r="K1" s="215" t="s">
        <v>299</v>
      </c>
    </row>
    <row r="2" spans="1:11" x14ac:dyDescent="0.3">
      <c r="A2" s="217">
        <v>1</v>
      </c>
      <c r="B2" s="217" t="s">
        <v>300</v>
      </c>
      <c r="C2" s="217" t="s">
        <v>301</v>
      </c>
      <c r="D2" s="217">
        <v>100100590</v>
      </c>
      <c r="E2" s="217" t="s">
        <v>302</v>
      </c>
      <c r="F2" s="217" t="s">
        <v>303</v>
      </c>
      <c r="G2" s="217" t="s">
        <v>25</v>
      </c>
      <c r="H2" s="218" t="s">
        <v>304</v>
      </c>
      <c r="I2" s="219">
        <v>1764268876041</v>
      </c>
      <c r="J2" s="219">
        <v>1683378057124</v>
      </c>
      <c r="K2" s="219">
        <v>6136725987</v>
      </c>
    </row>
    <row r="3" spans="1:11" x14ac:dyDescent="0.3">
      <c r="A3" s="217">
        <v>2</v>
      </c>
      <c r="B3" s="217" t="s">
        <v>305</v>
      </c>
      <c r="C3" s="217" t="s">
        <v>301</v>
      </c>
      <c r="D3" s="217">
        <v>100100590</v>
      </c>
      <c r="E3" s="217" t="s">
        <v>302</v>
      </c>
      <c r="F3" s="217" t="s">
        <v>306</v>
      </c>
      <c r="G3" s="217" t="s">
        <v>307</v>
      </c>
      <c r="H3" s="218" t="s">
        <v>304</v>
      </c>
      <c r="I3" s="219">
        <v>1948923893366</v>
      </c>
      <c r="J3" s="219">
        <v>1833821891752</v>
      </c>
      <c r="K3" s="219">
        <v>7403174240</v>
      </c>
    </row>
    <row r="4" spans="1:11" x14ac:dyDescent="0.3">
      <c r="A4" s="217">
        <v>3</v>
      </c>
      <c r="B4" s="217" t="s">
        <v>308</v>
      </c>
      <c r="C4" s="217" t="s">
        <v>301</v>
      </c>
      <c r="D4" s="217">
        <v>100100590</v>
      </c>
      <c r="E4" s="217" t="s">
        <v>302</v>
      </c>
      <c r="F4" s="217" t="s">
        <v>306</v>
      </c>
      <c r="G4" s="217" t="s">
        <v>309</v>
      </c>
      <c r="H4" s="218" t="s">
        <v>304</v>
      </c>
      <c r="I4" s="219">
        <v>1491938691703</v>
      </c>
      <c r="J4" s="219">
        <v>1410121235809</v>
      </c>
      <c r="K4" s="219">
        <v>6092253304</v>
      </c>
    </row>
    <row r="5" spans="1:11" x14ac:dyDescent="0.3">
      <c r="A5" s="217">
        <v>4</v>
      </c>
      <c r="B5" s="217" t="s">
        <v>310</v>
      </c>
      <c r="C5" s="217" t="s">
        <v>301</v>
      </c>
      <c r="D5" s="217">
        <v>100100590</v>
      </c>
      <c r="E5" s="217" t="s">
        <v>302</v>
      </c>
      <c r="F5" s="217" t="s">
        <v>306</v>
      </c>
      <c r="G5" s="217" t="s">
        <v>311</v>
      </c>
      <c r="H5" s="218" t="s">
        <v>304</v>
      </c>
      <c r="I5" s="219">
        <v>1937959688541</v>
      </c>
      <c r="J5" s="219">
        <v>1834831503623</v>
      </c>
      <c r="K5" s="219">
        <v>7884824295</v>
      </c>
    </row>
    <row r="6" spans="1:11" x14ac:dyDescent="0.3">
      <c r="A6" s="220">
        <v>5</v>
      </c>
      <c r="B6" s="220" t="s">
        <v>312</v>
      </c>
      <c r="C6" s="220" t="s">
        <v>313</v>
      </c>
      <c r="D6" s="220">
        <v>100101072</v>
      </c>
      <c r="E6" s="220" t="s">
        <v>314</v>
      </c>
      <c r="F6" s="220" t="s">
        <v>315</v>
      </c>
      <c r="G6" s="220" t="s">
        <v>25</v>
      </c>
      <c r="H6" s="221" t="s">
        <v>304</v>
      </c>
      <c r="I6" s="222">
        <v>7363570736961</v>
      </c>
      <c r="J6" s="222">
        <v>6554599458507</v>
      </c>
      <c r="K6" s="222">
        <v>74926748334</v>
      </c>
    </row>
    <row r="7" spans="1:11" x14ac:dyDescent="0.3">
      <c r="A7" s="220">
        <v>6</v>
      </c>
      <c r="B7" s="220" t="s">
        <v>316</v>
      </c>
      <c r="C7" s="220" t="s">
        <v>313</v>
      </c>
      <c r="D7" s="220">
        <v>100101072</v>
      </c>
      <c r="E7" s="220" t="s">
        <v>314</v>
      </c>
      <c r="F7" s="220" t="s">
        <v>315</v>
      </c>
      <c r="G7" s="220" t="s">
        <v>307</v>
      </c>
      <c r="H7" s="221" t="s">
        <v>304</v>
      </c>
      <c r="I7" s="222">
        <v>9306954849246</v>
      </c>
      <c r="J7" s="222">
        <v>8323342850268</v>
      </c>
      <c r="K7" s="222">
        <v>158352677165</v>
      </c>
    </row>
    <row r="8" spans="1:11" x14ac:dyDescent="0.3">
      <c r="A8" s="220">
        <v>7</v>
      </c>
      <c r="B8" s="220" t="s">
        <v>317</v>
      </c>
      <c r="C8" s="220" t="s">
        <v>318</v>
      </c>
      <c r="D8" s="220">
        <v>100101072</v>
      </c>
      <c r="E8" s="220" t="s">
        <v>314</v>
      </c>
      <c r="F8" s="220" t="s">
        <v>315</v>
      </c>
      <c r="G8" s="220" t="s">
        <v>309</v>
      </c>
      <c r="H8" s="221" t="s">
        <v>304</v>
      </c>
      <c r="I8" s="222">
        <v>8706803474187</v>
      </c>
      <c r="J8" s="222">
        <v>7315219250138</v>
      </c>
      <c r="K8" s="222">
        <v>500726602412</v>
      </c>
    </row>
    <row r="9" spans="1:11" x14ac:dyDescent="0.3">
      <c r="A9" s="220">
        <v>8</v>
      </c>
      <c r="B9" s="220" t="s">
        <v>319</v>
      </c>
      <c r="C9" s="220" t="s">
        <v>318</v>
      </c>
      <c r="D9" s="220">
        <v>100101072</v>
      </c>
      <c r="E9" s="220" t="s">
        <v>314</v>
      </c>
      <c r="F9" s="220" t="s">
        <v>315</v>
      </c>
      <c r="G9" s="220" t="s">
        <v>311</v>
      </c>
      <c r="H9" s="221" t="s">
        <v>304</v>
      </c>
      <c r="I9" s="222">
        <v>8119916173012</v>
      </c>
      <c r="J9" s="222">
        <v>6970069929775</v>
      </c>
      <c r="K9" s="222">
        <v>298252630332</v>
      </c>
    </row>
    <row r="10" spans="1:11" x14ac:dyDescent="0.3">
      <c r="A10" s="220">
        <v>9</v>
      </c>
      <c r="B10" s="220" t="s">
        <v>320</v>
      </c>
      <c r="C10" s="220" t="s">
        <v>318</v>
      </c>
      <c r="D10" s="220">
        <v>100101072</v>
      </c>
      <c r="E10" s="220" t="s">
        <v>314</v>
      </c>
      <c r="F10" s="220" t="s">
        <v>315</v>
      </c>
      <c r="G10" s="220" t="s">
        <v>321</v>
      </c>
      <c r="H10" s="221" t="s">
        <v>304</v>
      </c>
      <c r="I10" s="222">
        <v>7715184777730</v>
      </c>
      <c r="J10" s="222">
        <v>6370438964367</v>
      </c>
      <c r="K10" s="222">
        <v>411441677994</v>
      </c>
    </row>
    <row r="11" spans="1:11" x14ac:dyDescent="0.3">
      <c r="A11" s="217">
        <v>10</v>
      </c>
      <c r="B11" s="217" t="s">
        <v>322</v>
      </c>
      <c r="C11" s="217" t="s">
        <v>323</v>
      </c>
      <c r="D11" s="217">
        <v>100101308</v>
      </c>
      <c r="E11" s="217" t="s">
        <v>324</v>
      </c>
      <c r="F11" s="217" t="s">
        <v>325</v>
      </c>
      <c r="G11" s="217" t="s">
        <v>25</v>
      </c>
      <c r="H11" s="218" t="s">
        <v>304</v>
      </c>
      <c r="I11" s="219">
        <v>3462145069140</v>
      </c>
      <c r="J11" s="219">
        <v>3058827787790</v>
      </c>
      <c r="K11" s="219">
        <v>90466853992</v>
      </c>
    </row>
    <row r="12" spans="1:11" x14ac:dyDescent="0.3">
      <c r="A12" s="217">
        <v>11</v>
      </c>
      <c r="B12" s="217" t="s">
        <v>326</v>
      </c>
      <c r="C12" s="217" t="s">
        <v>323</v>
      </c>
      <c r="D12" s="217">
        <v>100101308</v>
      </c>
      <c r="E12" s="217" t="s">
        <v>324</v>
      </c>
      <c r="F12" s="217" t="s">
        <v>327</v>
      </c>
      <c r="G12" s="217" t="s">
        <v>307</v>
      </c>
      <c r="H12" s="218" t="s">
        <v>304</v>
      </c>
      <c r="I12" s="219">
        <v>4543182544001</v>
      </c>
      <c r="J12" s="219">
        <v>4052527993444</v>
      </c>
      <c r="K12" s="219">
        <v>149882663591</v>
      </c>
    </row>
    <row r="13" spans="1:11" x14ac:dyDescent="0.3">
      <c r="A13" s="217">
        <v>12</v>
      </c>
      <c r="B13" s="217" t="s">
        <v>328</v>
      </c>
      <c r="C13" s="217" t="s">
        <v>323</v>
      </c>
      <c r="D13" s="217">
        <v>100101308</v>
      </c>
      <c r="E13" s="217" t="s">
        <v>324</v>
      </c>
      <c r="F13" s="217" t="s">
        <v>327</v>
      </c>
      <c r="G13" s="217" t="s">
        <v>309</v>
      </c>
      <c r="H13" s="218" t="s">
        <v>304</v>
      </c>
      <c r="I13" s="219">
        <v>4136935422565</v>
      </c>
      <c r="J13" s="219">
        <v>3704576529448</v>
      </c>
      <c r="K13" s="219">
        <v>123157486064</v>
      </c>
    </row>
    <row r="14" spans="1:11" x14ac:dyDescent="0.3">
      <c r="A14" s="217">
        <v>13</v>
      </c>
      <c r="B14" s="217" t="s">
        <v>329</v>
      </c>
      <c r="C14" s="217" t="s">
        <v>323</v>
      </c>
      <c r="D14" s="217">
        <v>100101308</v>
      </c>
      <c r="E14" s="217" t="s">
        <v>324</v>
      </c>
      <c r="F14" s="217" t="s">
        <v>327</v>
      </c>
      <c r="G14" s="217" t="s">
        <v>311</v>
      </c>
      <c r="H14" s="218" t="s">
        <v>304</v>
      </c>
      <c r="I14" s="219">
        <v>4653580024688</v>
      </c>
      <c r="J14" s="219">
        <v>4090547442080</v>
      </c>
      <c r="K14" s="219">
        <v>142325072544</v>
      </c>
    </row>
    <row r="15" spans="1:11" x14ac:dyDescent="0.3">
      <c r="A15" s="220">
        <v>14</v>
      </c>
      <c r="B15" s="220" t="s">
        <v>330</v>
      </c>
      <c r="C15" s="220" t="s">
        <v>331</v>
      </c>
      <c r="D15" s="220">
        <v>100101403</v>
      </c>
      <c r="E15" s="220" t="s">
        <v>324</v>
      </c>
      <c r="F15" s="220" t="s">
        <v>332</v>
      </c>
      <c r="G15" s="220" t="s">
        <v>25</v>
      </c>
      <c r="H15" s="221" t="s">
        <v>304</v>
      </c>
      <c r="I15" s="222">
        <v>1916240323661</v>
      </c>
      <c r="J15" s="222">
        <v>1662313108169</v>
      </c>
      <c r="K15" s="222">
        <v>27143433986</v>
      </c>
    </row>
    <row r="16" spans="1:11" x14ac:dyDescent="0.3">
      <c r="A16" s="220">
        <v>15</v>
      </c>
      <c r="B16" s="220" t="s">
        <v>333</v>
      </c>
      <c r="C16" s="220" t="s">
        <v>331</v>
      </c>
      <c r="D16" s="220">
        <v>100101403</v>
      </c>
      <c r="E16" s="220" t="s">
        <v>324</v>
      </c>
      <c r="F16" s="220" t="s">
        <v>334</v>
      </c>
      <c r="G16" s="220" t="s">
        <v>307</v>
      </c>
      <c r="H16" s="221" t="s">
        <v>304</v>
      </c>
      <c r="I16" s="222">
        <v>1976871979920</v>
      </c>
      <c r="J16" s="222">
        <v>1764750375451</v>
      </c>
      <c r="K16" s="222">
        <v>30099101720</v>
      </c>
    </row>
    <row r="17" spans="1:11" x14ac:dyDescent="0.3">
      <c r="A17" s="220">
        <v>16</v>
      </c>
      <c r="B17" s="220" t="s">
        <v>335</v>
      </c>
      <c r="C17" s="220" t="s">
        <v>331</v>
      </c>
      <c r="D17" s="220">
        <v>100101403</v>
      </c>
      <c r="E17" s="220" t="s">
        <v>324</v>
      </c>
      <c r="F17" s="220" t="s">
        <v>334</v>
      </c>
      <c r="G17" s="220" t="s">
        <v>309</v>
      </c>
      <c r="H17" s="221" t="s">
        <v>304</v>
      </c>
      <c r="I17" s="222">
        <v>1745809992106</v>
      </c>
      <c r="J17" s="222">
        <v>1568093943792</v>
      </c>
      <c r="K17" s="222">
        <v>19104558143</v>
      </c>
    </row>
    <row r="18" spans="1:11" x14ac:dyDescent="0.3">
      <c r="A18" s="220">
        <v>17</v>
      </c>
      <c r="B18" s="220" t="s">
        <v>336</v>
      </c>
      <c r="C18" s="220" t="s">
        <v>331</v>
      </c>
      <c r="D18" s="220">
        <v>100101403</v>
      </c>
      <c r="E18" s="220" t="s">
        <v>324</v>
      </c>
      <c r="F18" s="220" t="s">
        <v>334</v>
      </c>
      <c r="G18" s="220" t="s">
        <v>311</v>
      </c>
      <c r="H18" s="221" t="s">
        <v>304</v>
      </c>
      <c r="I18" s="222">
        <v>1513516603330</v>
      </c>
      <c r="J18" s="222">
        <v>1336861420131</v>
      </c>
      <c r="K18" s="222">
        <v>24027002864</v>
      </c>
    </row>
    <row r="19" spans="1:11" x14ac:dyDescent="0.3">
      <c r="A19" s="217">
        <v>18</v>
      </c>
      <c r="B19" s="217" t="s">
        <v>337</v>
      </c>
      <c r="C19" s="217" t="s">
        <v>338</v>
      </c>
      <c r="D19" s="217">
        <v>100105503</v>
      </c>
      <c r="E19" s="217" t="s">
        <v>339</v>
      </c>
      <c r="F19" s="217" t="s">
        <v>340</v>
      </c>
      <c r="G19" s="217" t="s">
        <v>25</v>
      </c>
      <c r="H19" s="218" t="s">
        <v>304</v>
      </c>
      <c r="I19" s="219">
        <v>938638903649</v>
      </c>
      <c r="J19" s="219">
        <v>903653934652</v>
      </c>
      <c r="K19" s="219">
        <v>11107915901</v>
      </c>
    </row>
    <row r="20" spans="1:11" x14ac:dyDescent="0.3">
      <c r="A20" s="217">
        <v>19</v>
      </c>
      <c r="B20" s="217" t="s">
        <v>341</v>
      </c>
      <c r="C20" s="217" t="s">
        <v>338</v>
      </c>
      <c r="D20" s="217">
        <v>100105503</v>
      </c>
      <c r="E20" s="217" t="s">
        <v>339</v>
      </c>
      <c r="F20" s="217" t="s">
        <v>342</v>
      </c>
      <c r="G20" s="217" t="s">
        <v>307</v>
      </c>
      <c r="H20" s="218" t="s">
        <v>304</v>
      </c>
      <c r="I20" s="219">
        <v>786543293295</v>
      </c>
      <c r="J20" s="219">
        <v>743247659860</v>
      </c>
      <c r="K20" s="219">
        <v>11909341975</v>
      </c>
    </row>
    <row r="21" spans="1:11" x14ac:dyDescent="0.3">
      <c r="A21" s="217">
        <v>20</v>
      </c>
      <c r="B21" s="217" t="s">
        <v>343</v>
      </c>
      <c r="C21" s="217" t="s">
        <v>338</v>
      </c>
      <c r="D21" s="217">
        <v>100105503</v>
      </c>
      <c r="E21" s="217" t="s">
        <v>339</v>
      </c>
      <c r="F21" s="217" t="s">
        <v>342</v>
      </c>
      <c r="G21" s="217" t="s">
        <v>309</v>
      </c>
      <c r="H21" s="218" t="s">
        <v>304</v>
      </c>
      <c r="I21" s="219">
        <v>1283333244544</v>
      </c>
      <c r="J21" s="219">
        <v>1222011081361</v>
      </c>
      <c r="K21" s="219">
        <v>19735304834</v>
      </c>
    </row>
    <row r="22" spans="1:11" x14ac:dyDescent="0.3">
      <c r="A22" s="217">
        <v>21</v>
      </c>
      <c r="B22" s="217" t="s">
        <v>344</v>
      </c>
      <c r="C22" s="217" t="s">
        <v>338</v>
      </c>
      <c r="D22" s="217">
        <v>100105503</v>
      </c>
      <c r="E22" s="217" t="s">
        <v>339</v>
      </c>
      <c r="F22" s="217" t="s">
        <v>342</v>
      </c>
      <c r="G22" s="217" t="s">
        <v>311</v>
      </c>
      <c r="H22" s="218" t="s">
        <v>304</v>
      </c>
      <c r="I22" s="219">
        <v>1647088311259</v>
      </c>
      <c r="J22" s="219">
        <v>1549337397359</v>
      </c>
      <c r="K22" s="219">
        <v>30169685802</v>
      </c>
    </row>
    <row r="23" spans="1:11" x14ac:dyDescent="0.3">
      <c r="A23" s="220">
        <v>22</v>
      </c>
      <c r="B23" s="220" t="s">
        <v>345</v>
      </c>
      <c r="C23" s="220" t="s">
        <v>346</v>
      </c>
      <c r="D23" s="220">
        <v>100107518</v>
      </c>
      <c r="E23" s="220" t="s">
        <v>347</v>
      </c>
      <c r="F23" s="220" t="s">
        <v>348</v>
      </c>
      <c r="G23" s="220" t="s">
        <v>307</v>
      </c>
      <c r="H23" s="221" t="s">
        <v>304</v>
      </c>
      <c r="I23" s="222">
        <v>49304565803920</v>
      </c>
      <c r="J23" s="222">
        <v>52020971423463</v>
      </c>
      <c r="K23" s="222">
        <v>-8840771186135</v>
      </c>
    </row>
    <row r="24" spans="1:11" x14ac:dyDescent="0.3">
      <c r="A24" s="220">
        <v>23</v>
      </c>
      <c r="B24" s="220" t="s">
        <v>349</v>
      </c>
      <c r="C24" s="220" t="s">
        <v>346</v>
      </c>
      <c r="D24" s="220">
        <v>100107518</v>
      </c>
      <c r="E24" s="220" t="s">
        <v>347</v>
      </c>
      <c r="F24" s="220" t="s">
        <v>348</v>
      </c>
      <c r="G24" s="220" t="s">
        <v>309</v>
      </c>
      <c r="H24" s="221" t="s">
        <v>304</v>
      </c>
      <c r="I24" s="222">
        <v>69125714881051</v>
      </c>
      <c r="J24" s="222">
        <v>66305255165987</v>
      </c>
      <c r="K24" s="222">
        <v>-4789185205846</v>
      </c>
    </row>
    <row r="25" spans="1:11" x14ac:dyDescent="0.3">
      <c r="A25" s="217">
        <v>24</v>
      </c>
      <c r="B25" s="217" t="s">
        <v>350</v>
      </c>
      <c r="C25" s="217" t="s">
        <v>351</v>
      </c>
      <c r="D25" s="217">
        <v>100113494</v>
      </c>
      <c r="E25" s="217" t="s">
        <v>352</v>
      </c>
      <c r="F25" s="217" t="s">
        <v>353</v>
      </c>
      <c r="G25" s="217" t="s">
        <v>25</v>
      </c>
      <c r="H25" s="218" t="s">
        <v>304</v>
      </c>
      <c r="I25" s="219">
        <v>1572072876382</v>
      </c>
      <c r="J25" s="219">
        <v>1423979501539</v>
      </c>
      <c r="K25" s="219">
        <v>92822818261</v>
      </c>
    </row>
    <row r="26" spans="1:11" x14ac:dyDescent="0.3">
      <c r="A26" s="217">
        <v>25</v>
      </c>
      <c r="B26" s="217" t="s">
        <v>354</v>
      </c>
      <c r="C26" s="217" t="s">
        <v>351</v>
      </c>
      <c r="D26" s="217">
        <v>100113494</v>
      </c>
      <c r="E26" s="217" t="s">
        <v>352</v>
      </c>
      <c r="F26" s="217" t="s">
        <v>355</v>
      </c>
      <c r="G26" s="217" t="s">
        <v>307</v>
      </c>
      <c r="H26" s="218" t="s">
        <v>304</v>
      </c>
      <c r="I26" s="219">
        <v>1077773375672</v>
      </c>
      <c r="J26" s="219">
        <v>1110484423154</v>
      </c>
      <c r="K26" s="219">
        <v>-127969693701</v>
      </c>
    </row>
    <row r="27" spans="1:11" x14ac:dyDescent="0.3">
      <c r="A27" s="217">
        <v>26</v>
      </c>
      <c r="B27" s="217" t="s">
        <v>356</v>
      </c>
      <c r="C27" s="217" t="s">
        <v>351</v>
      </c>
      <c r="D27" s="217">
        <v>100113494</v>
      </c>
      <c r="E27" s="217" t="s">
        <v>352</v>
      </c>
      <c r="F27" s="217" t="s">
        <v>355</v>
      </c>
      <c r="G27" s="217" t="s">
        <v>309</v>
      </c>
      <c r="H27" s="218" t="s">
        <v>304</v>
      </c>
      <c r="I27" s="219">
        <v>1240378245022</v>
      </c>
      <c r="J27" s="219">
        <v>1162848645784</v>
      </c>
      <c r="K27" s="219">
        <v>12449365569</v>
      </c>
    </row>
    <row r="28" spans="1:11" x14ac:dyDescent="0.3">
      <c r="A28" s="217">
        <v>27</v>
      </c>
      <c r="B28" s="217" t="s">
        <v>357</v>
      </c>
      <c r="C28" s="217" t="s">
        <v>351</v>
      </c>
      <c r="D28" s="217">
        <v>100113494</v>
      </c>
      <c r="E28" s="217" t="s">
        <v>352</v>
      </c>
      <c r="F28" s="217" t="s">
        <v>355</v>
      </c>
      <c r="G28" s="217" t="s">
        <v>311</v>
      </c>
      <c r="H28" s="218" t="s">
        <v>304</v>
      </c>
      <c r="I28" s="219">
        <v>1584277148304</v>
      </c>
      <c r="J28" s="219">
        <v>1417276425626</v>
      </c>
      <c r="K28" s="219">
        <v>80439259135</v>
      </c>
    </row>
    <row r="29" spans="1:11" x14ac:dyDescent="0.3">
      <c r="A29" s="220">
        <v>28</v>
      </c>
      <c r="B29" s="220" t="s">
        <v>358</v>
      </c>
      <c r="C29" s="220" t="s">
        <v>359</v>
      </c>
      <c r="D29" s="220">
        <v>100113945</v>
      </c>
      <c r="E29" s="220" t="s">
        <v>360</v>
      </c>
      <c r="F29" s="220" t="s">
        <v>361</v>
      </c>
      <c r="G29" s="220" t="s">
        <v>362</v>
      </c>
      <c r="H29" s="221" t="s">
        <v>304</v>
      </c>
      <c r="I29" s="222">
        <v>10588801898652</v>
      </c>
      <c r="J29" s="222">
        <v>10090234540164</v>
      </c>
      <c r="K29" s="222">
        <v>214351414296</v>
      </c>
    </row>
    <row r="30" spans="1:11" x14ac:dyDescent="0.3">
      <c r="A30" s="220">
        <v>29</v>
      </c>
      <c r="B30" s="220" t="s">
        <v>363</v>
      </c>
      <c r="C30" s="220" t="s">
        <v>364</v>
      </c>
      <c r="D30" s="220">
        <v>100113945</v>
      </c>
      <c r="E30" s="220" t="s">
        <v>360</v>
      </c>
      <c r="F30" s="220" t="s">
        <v>365</v>
      </c>
      <c r="G30" s="220" t="s">
        <v>366</v>
      </c>
      <c r="H30" s="221" t="s">
        <v>304</v>
      </c>
      <c r="I30" s="222">
        <v>9389075875675</v>
      </c>
      <c r="J30" s="222">
        <v>8989209149509</v>
      </c>
      <c r="K30" s="222">
        <v>180056830212</v>
      </c>
    </row>
    <row r="31" spans="1:11" x14ac:dyDescent="0.3">
      <c r="A31" s="220">
        <v>30</v>
      </c>
      <c r="B31" s="220" t="s">
        <v>367</v>
      </c>
      <c r="C31" s="220" t="s">
        <v>359</v>
      </c>
      <c r="D31" s="220">
        <v>100113945</v>
      </c>
      <c r="E31" s="220" t="s">
        <v>360</v>
      </c>
      <c r="F31" s="220" t="s">
        <v>368</v>
      </c>
      <c r="G31" s="220" t="s">
        <v>369</v>
      </c>
      <c r="H31" s="221" t="s">
        <v>304</v>
      </c>
      <c r="I31" s="222">
        <v>11167137719254</v>
      </c>
      <c r="J31" s="222">
        <v>10619348656114</v>
      </c>
      <c r="K31" s="222">
        <v>273160507334</v>
      </c>
    </row>
    <row r="32" spans="1:11" x14ac:dyDescent="0.3">
      <c r="A32" s="220">
        <v>31</v>
      </c>
      <c r="B32" s="220" t="s">
        <v>370</v>
      </c>
      <c r="C32" s="220" t="s">
        <v>359</v>
      </c>
      <c r="D32" s="220">
        <v>100113945</v>
      </c>
      <c r="E32" s="220" t="s">
        <v>360</v>
      </c>
      <c r="F32" s="220" t="s">
        <v>371</v>
      </c>
      <c r="G32" s="220" t="s">
        <v>372</v>
      </c>
      <c r="H32" s="221" t="s">
        <v>304</v>
      </c>
      <c r="I32" s="222">
        <v>12604783460178</v>
      </c>
      <c r="J32" s="222">
        <v>11978645918889</v>
      </c>
      <c r="K32" s="222">
        <v>311991207996</v>
      </c>
    </row>
    <row r="33" spans="1:11" x14ac:dyDescent="0.3">
      <c r="A33" s="217">
        <v>32</v>
      </c>
      <c r="B33" s="217" t="s">
        <v>373</v>
      </c>
      <c r="C33" s="217" t="s">
        <v>374</v>
      </c>
      <c r="D33" s="217">
        <v>100114441</v>
      </c>
      <c r="E33" s="217" t="s">
        <v>375</v>
      </c>
      <c r="F33" s="217" t="s">
        <v>376</v>
      </c>
      <c r="G33" s="217" t="s">
        <v>362</v>
      </c>
      <c r="H33" s="218" t="s">
        <v>304</v>
      </c>
      <c r="I33" s="219">
        <v>3394183021420</v>
      </c>
      <c r="J33" s="219">
        <v>2874496746671</v>
      </c>
      <c r="K33" s="219">
        <v>8253062177</v>
      </c>
    </row>
    <row r="34" spans="1:11" x14ac:dyDescent="0.3">
      <c r="A34" s="217">
        <v>33</v>
      </c>
      <c r="B34" s="217" t="s">
        <v>377</v>
      </c>
      <c r="C34" s="217" t="s">
        <v>374</v>
      </c>
      <c r="D34" s="217">
        <v>100114441</v>
      </c>
      <c r="E34" s="217" t="s">
        <v>375</v>
      </c>
      <c r="F34" s="217" t="s">
        <v>378</v>
      </c>
      <c r="G34" s="217" t="s">
        <v>366</v>
      </c>
      <c r="H34" s="218" t="s">
        <v>304</v>
      </c>
      <c r="I34" s="219">
        <v>3959481403793</v>
      </c>
      <c r="J34" s="219">
        <v>3199117365821</v>
      </c>
      <c r="K34" s="219">
        <v>85612532013</v>
      </c>
    </row>
    <row r="35" spans="1:11" x14ac:dyDescent="0.3">
      <c r="A35" s="217">
        <v>34</v>
      </c>
      <c r="B35" s="217" t="s">
        <v>379</v>
      </c>
      <c r="C35" s="217" t="s">
        <v>374</v>
      </c>
      <c r="D35" s="217">
        <v>100114441</v>
      </c>
      <c r="E35" s="217" t="s">
        <v>375</v>
      </c>
      <c r="F35" s="217" t="s">
        <v>380</v>
      </c>
      <c r="G35" s="217" t="s">
        <v>369</v>
      </c>
      <c r="H35" s="218" t="s">
        <v>304</v>
      </c>
      <c r="I35" s="219">
        <v>4433802414553</v>
      </c>
      <c r="J35" s="219">
        <v>3466905802388</v>
      </c>
      <c r="K35" s="219">
        <v>120783552124</v>
      </c>
    </row>
    <row r="36" spans="1:11" x14ac:dyDescent="0.3">
      <c r="A36" s="217">
        <v>35</v>
      </c>
      <c r="B36" s="217" t="s">
        <v>381</v>
      </c>
      <c r="C36" s="217" t="s">
        <v>374</v>
      </c>
      <c r="D36" s="217">
        <v>100114441</v>
      </c>
      <c r="E36" s="217" t="s">
        <v>375</v>
      </c>
      <c r="F36" s="217" t="s">
        <v>382</v>
      </c>
      <c r="G36" s="217" t="s">
        <v>372</v>
      </c>
      <c r="H36" s="218" t="s">
        <v>304</v>
      </c>
      <c r="I36" s="219">
        <v>6254893468730</v>
      </c>
      <c r="J36" s="219">
        <v>4840032414334</v>
      </c>
      <c r="K36" s="219">
        <v>157436162921</v>
      </c>
    </row>
    <row r="37" spans="1:11" x14ac:dyDescent="0.3">
      <c r="A37" s="220">
        <v>36</v>
      </c>
      <c r="B37" s="220" t="s">
        <v>383</v>
      </c>
      <c r="C37" s="220" t="s">
        <v>384</v>
      </c>
      <c r="D37" s="220">
        <v>100151683</v>
      </c>
      <c r="E37" s="220" t="s">
        <v>385</v>
      </c>
      <c r="F37" s="220" t="s">
        <v>386</v>
      </c>
      <c r="G37" s="220" t="s">
        <v>362</v>
      </c>
      <c r="H37" s="221" t="s">
        <v>304</v>
      </c>
      <c r="I37" s="222">
        <v>845472620354</v>
      </c>
      <c r="J37" s="222">
        <v>605137424514</v>
      </c>
      <c r="K37" s="222">
        <v>230405380360</v>
      </c>
    </row>
    <row r="38" spans="1:11" x14ac:dyDescent="0.3">
      <c r="A38" s="220">
        <v>37</v>
      </c>
      <c r="B38" s="220" t="s">
        <v>387</v>
      </c>
      <c r="C38" s="220" t="s">
        <v>384</v>
      </c>
      <c r="D38" s="220">
        <v>100151683</v>
      </c>
      <c r="E38" s="220" t="s">
        <v>385</v>
      </c>
      <c r="F38" s="220" t="s">
        <v>388</v>
      </c>
      <c r="G38" s="220" t="s">
        <v>366</v>
      </c>
      <c r="H38" s="221" t="s">
        <v>304</v>
      </c>
      <c r="I38" s="222">
        <v>791667218507</v>
      </c>
      <c r="J38" s="222">
        <v>561903870415</v>
      </c>
      <c r="K38" s="222">
        <v>213291620963</v>
      </c>
    </row>
    <row r="39" spans="1:11" x14ac:dyDescent="0.3">
      <c r="A39" s="220">
        <v>38</v>
      </c>
      <c r="B39" s="220" t="s">
        <v>389</v>
      </c>
      <c r="C39" s="220" t="s">
        <v>390</v>
      </c>
      <c r="D39" s="220">
        <v>100151683</v>
      </c>
      <c r="E39" s="220" t="s">
        <v>385</v>
      </c>
      <c r="F39" s="220" t="s">
        <v>391</v>
      </c>
      <c r="G39" s="220" t="s">
        <v>369</v>
      </c>
      <c r="H39" s="221" t="s">
        <v>304</v>
      </c>
      <c r="I39" s="222">
        <v>1147268191026</v>
      </c>
      <c r="J39" s="222">
        <v>907691824928</v>
      </c>
      <c r="K39" s="222">
        <v>202877468452</v>
      </c>
    </row>
    <row r="40" spans="1:11" x14ac:dyDescent="0.3">
      <c r="A40" s="220">
        <v>39</v>
      </c>
      <c r="B40" s="220" t="s">
        <v>392</v>
      </c>
      <c r="C40" s="220" t="s">
        <v>390</v>
      </c>
      <c r="D40" s="220">
        <v>100151683</v>
      </c>
      <c r="E40" s="220" t="s">
        <v>385</v>
      </c>
      <c r="F40" s="220" t="s">
        <v>391</v>
      </c>
      <c r="G40" s="220" t="s">
        <v>372</v>
      </c>
      <c r="H40" s="221" t="s">
        <v>304</v>
      </c>
      <c r="I40" s="222">
        <v>1312305763621</v>
      </c>
      <c r="J40" s="222">
        <v>1070616720880</v>
      </c>
      <c r="K40" s="222">
        <v>236483883581</v>
      </c>
    </row>
    <row r="41" spans="1:11" x14ac:dyDescent="0.3">
      <c r="A41" s="217">
        <v>40</v>
      </c>
      <c r="B41" s="217" t="s">
        <v>393</v>
      </c>
      <c r="C41" s="217" t="s">
        <v>394</v>
      </c>
      <c r="D41" s="217">
        <v>100373485</v>
      </c>
      <c r="E41" s="217" t="s">
        <v>395</v>
      </c>
      <c r="F41" s="217" t="s">
        <v>396</v>
      </c>
      <c r="G41" s="217" t="s">
        <v>25</v>
      </c>
      <c r="H41" s="218" t="s">
        <v>304</v>
      </c>
      <c r="I41" s="219">
        <v>495157311217</v>
      </c>
      <c r="J41" s="219">
        <v>474972270538</v>
      </c>
      <c r="K41" s="219">
        <v>1198313916</v>
      </c>
    </row>
    <row r="42" spans="1:11" x14ac:dyDescent="0.3">
      <c r="A42" s="217">
        <v>41</v>
      </c>
      <c r="B42" s="217" t="s">
        <v>397</v>
      </c>
      <c r="C42" s="217" t="s">
        <v>394</v>
      </c>
      <c r="D42" s="217">
        <v>100373485</v>
      </c>
      <c r="E42" s="217" t="s">
        <v>395</v>
      </c>
      <c r="F42" s="217" t="s">
        <v>398</v>
      </c>
      <c r="G42" s="217" t="s">
        <v>307</v>
      </c>
      <c r="H42" s="218" t="s">
        <v>304</v>
      </c>
      <c r="I42" s="219">
        <v>367922068630</v>
      </c>
      <c r="J42" s="219">
        <v>340459600138</v>
      </c>
      <c r="K42" s="219">
        <v>6688127870</v>
      </c>
    </row>
    <row r="43" spans="1:11" x14ac:dyDescent="0.3">
      <c r="A43" s="217">
        <v>42</v>
      </c>
      <c r="B43" s="217" t="s">
        <v>399</v>
      </c>
      <c r="C43" s="217" t="s">
        <v>394</v>
      </c>
      <c r="D43" s="217">
        <v>100373485</v>
      </c>
      <c r="E43" s="217" t="s">
        <v>395</v>
      </c>
      <c r="F43" s="217" t="s">
        <v>398</v>
      </c>
      <c r="G43" s="217" t="s">
        <v>309</v>
      </c>
      <c r="H43" s="218" t="s">
        <v>304</v>
      </c>
      <c r="I43" s="219">
        <v>380618115639</v>
      </c>
      <c r="J43" s="219">
        <v>345394614212</v>
      </c>
      <c r="K43" s="219">
        <v>11794928969</v>
      </c>
    </row>
    <row r="44" spans="1:11" x14ac:dyDescent="0.3">
      <c r="A44" s="217">
        <v>43</v>
      </c>
      <c r="B44" s="217" t="s">
        <v>400</v>
      </c>
      <c r="C44" s="217" t="s">
        <v>394</v>
      </c>
      <c r="D44" s="217">
        <v>100373485</v>
      </c>
      <c r="E44" s="217" t="s">
        <v>395</v>
      </c>
      <c r="F44" s="217" t="s">
        <v>398</v>
      </c>
      <c r="G44" s="217" t="s">
        <v>311</v>
      </c>
      <c r="H44" s="218" t="s">
        <v>304</v>
      </c>
      <c r="I44" s="219">
        <v>526833684398</v>
      </c>
      <c r="J44" s="219">
        <v>473688132688</v>
      </c>
      <c r="K44" s="219">
        <v>19127351925</v>
      </c>
    </row>
    <row r="45" spans="1:11" x14ac:dyDescent="0.3">
      <c r="A45" s="220">
        <v>44</v>
      </c>
      <c r="B45" s="220" t="s">
        <v>401</v>
      </c>
      <c r="C45" s="220" t="s">
        <v>402</v>
      </c>
      <c r="D45" s="220">
        <v>100598859</v>
      </c>
      <c r="E45" s="220" t="s">
        <v>403</v>
      </c>
      <c r="F45" s="220" t="s">
        <v>404</v>
      </c>
      <c r="G45" s="220" t="s">
        <v>307</v>
      </c>
      <c r="H45" s="221" t="s">
        <v>304</v>
      </c>
      <c r="I45" s="222">
        <v>2398723890057</v>
      </c>
      <c r="J45" s="222">
        <v>2253202190153</v>
      </c>
      <c r="K45" s="222">
        <v>42476821583</v>
      </c>
    </row>
    <row r="46" spans="1:11" x14ac:dyDescent="0.3">
      <c r="A46" s="220">
        <v>45</v>
      </c>
      <c r="B46" s="220" t="s">
        <v>405</v>
      </c>
      <c r="C46" s="220" t="s">
        <v>402</v>
      </c>
      <c r="D46" s="220">
        <v>100598859</v>
      </c>
      <c r="E46" s="220" t="s">
        <v>403</v>
      </c>
      <c r="F46" s="220" t="s">
        <v>404</v>
      </c>
      <c r="G46" s="220" t="s">
        <v>309</v>
      </c>
      <c r="H46" s="221" t="s">
        <v>304</v>
      </c>
      <c r="I46" s="222">
        <v>2533410806776</v>
      </c>
      <c r="J46" s="222">
        <v>2370097223465</v>
      </c>
      <c r="K46" s="222">
        <v>45166949426</v>
      </c>
    </row>
    <row r="47" spans="1:11" x14ac:dyDescent="0.3">
      <c r="A47" s="220">
        <v>46</v>
      </c>
      <c r="B47" s="220" t="s">
        <v>406</v>
      </c>
      <c r="C47" s="220" t="s">
        <v>402</v>
      </c>
      <c r="D47" s="220">
        <v>100598859</v>
      </c>
      <c r="E47" s="220" t="s">
        <v>403</v>
      </c>
      <c r="F47" s="220" t="s">
        <v>404</v>
      </c>
      <c r="G47" s="220" t="s">
        <v>311</v>
      </c>
      <c r="H47" s="221" t="s">
        <v>304</v>
      </c>
      <c r="I47" s="222">
        <v>2832624161396</v>
      </c>
      <c r="J47" s="222">
        <v>2696100392741</v>
      </c>
      <c r="K47" s="222">
        <v>48282163723</v>
      </c>
    </row>
    <row r="48" spans="1:11" x14ac:dyDescent="0.3">
      <c r="A48" s="217">
        <v>47</v>
      </c>
      <c r="B48" s="217" t="s">
        <v>407</v>
      </c>
      <c r="C48" s="217" t="s">
        <v>408</v>
      </c>
      <c r="D48" s="217">
        <v>100680623</v>
      </c>
      <c r="E48" s="217" t="s">
        <v>409</v>
      </c>
      <c r="F48" s="217" t="s">
        <v>410</v>
      </c>
      <c r="G48" s="217" t="s">
        <v>25</v>
      </c>
      <c r="H48" s="218" t="s">
        <v>304</v>
      </c>
      <c r="I48" s="219">
        <v>1198257196092</v>
      </c>
      <c r="J48" s="219">
        <v>930697522920</v>
      </c>
      <c r="K48" s="219">
        <v>-31759970220</v>
      </c>
    </row>
    <row r="49" spans="1:11" x14ac:dyDescent="0.3">
      <c r="A49" s="217">
        <v>48</v>
      </c>
      <c r="B49" s="217" t="s">
        <v>411</v>
      </c>
      <c r="C49" s="217" t="s">
        <v>408</v>
      </c>
      <c r="D49" s="217">
        <v>100680623</v>
      </c>
      <c r="E49" s="217" t="s">
        <v>409</v>
      </c>
      <c r="F49" s="217" t="s">
        <v>410</v>
      </c>
      <c r="G49" s="217" t="s">
        <v>307</v>
      </c>
      <c r="H49" s="218" t="s">
        <v>304</v>
      </c>
      <c r="I49" s="219">
        <v>2097559116202</v>
      </c>
      <c r="J49" s="219">
        <v>1551417448593</v>
      </c>
      <c r="K49" s="219">
        <v>14462577611</v>
      </c>
    </row>
    <row r="50" spans="1:11" x14ac:dyDescent="0.3">
      <c r="A50" s="217">
        <v>49</v>
      </c>
      <c r="B50" s="217" t="s">
        <v>412</v>
      </c>
      <c r="C50" s="217" t="s">
        <v>408</v>
      </c>
      <c r="D50" s="217">
        <v>100680623</v>
      </c>
      <c r="E50" s="217" t="s">
        <v>409</v>
      </c>
      <c r="F50" s="217" t="s">
        <v>413</v>
      </c>
      <c r="G50" s="217" t="s">
        <v>309</v>
      </c>
      <c r="H50" s="218" t="s">
        <v>304</v>
      </c>
      <c r="I50" s="219">
        <v>2099676481436</v>
      </c>
      <c r="J50" s="219">
        <v>1733268831696</v>
      </c>
      <c r="K50" s="219">
        <v>-40863152152</v>
      </c>
    </row>
    <row r="51" spans="1:11" x14ac:dyDescent="0.3">
      <c r="A51" s="217">
        <v>50</v>
      </c>
      <c r="B51" s="217" t="s">
        <v>414</v>
      </c>
      <c r="C51" s="217" t="s">
        <v>408</v>
      </c>
      <c r="D51" s="217">
        <v>100680623</v>
      </c>
      <c r="E51" s="217" t="s">
        <v>409</v>
      </c>
      <c r="F51" s="217" t="s">
        <v>415</v>
      </c>
      <c r="G51" s="217" t="s">
        <v>311</v>
      </c>
      <c r="H51" s="218" t="s">
        <v>304</v>
      </c>
      <c r="I51" s="219">
        <v>2037548913120</v>
      </c>
      <c r="J51" s="219">
        <v>1556087262460</v>
      </c>
      <c r="K51" s="219">
        <v>27029087127</v>
      </c>
    </row>
    <row r="52" spans="1:11" x14ac:dyDescent="0.3">
      <c r="A52" s="220">
        <v>51</v>
      </c>
      <c r="B52" s="220" t="s">
        <v>416</v>
      </c>
      <c r="C52" s="220" t="s">
        <v>417</v>
      </c>
      <c r="D52" s="220">
        <v>100902202</v>
      </c>
      <c r="E52" s="220" t="s">
        <v>418</v>
      </c>
      <c r="F52" s="220" t="s">
        <v>419</v>
      </c>
      <c r="G52" s="220" t="s">
        <v>25</v>
      </c>
      <c r="H52" s="221" t="s">
        <v>304</v>
      </c>
      <c r="I52" s="222">
        <v>678637161237</v>
      </c>
      <c r="J52" s="222">
        <v>611008326041</v>
      </c>
      <c r="K52" s="222">
        <v>2259962226</v>
      </c>
    </row>
    <row r="53" spans="1:11" x14ac:dyDescent="0.3">
      <c r="A53" s="220">
        <v>52</v>
      </c>
      <c r="B53" s="220" t="s">
        <v>420</v>
      </c>
      <c r="C53" s="220" t="s">
        <v>417</v>
      </c>
      <c r="D53" s="220">
        <v>100902202</v>
      </c>
      <c r="E53" s="220" t="s">
        <v>418</v>
      </c>
      <c r="F53" s="220" t="s">
        <v>421</v>
      </c>
      <c r="G53" s="220" t="s">
        <v>307</v>
      </c>
      <c r="H53" s="221" t="s">
        <v>304</v>
      </c>
      <c r="I53" s="222">
        <v>579055970019</v>
      </c>
      <c r="J53" s="222">
        <v>525885124796</v>
      </c>
      <c r="K53" s="222">
        <v>3113870173</v>
      </c>
    </row>
    <row r="54" spans="1:11" x14ac:dyDescent="0.3">
      <c r="A54" s="220">
        <v>53</v>
      </c>
      <c r="B54" s="220" t="s">
        <v>422</v>
      </c>
      <c r="C54" s="220" t="s">
        <v>417</v>
      </c>
      <c r="D54" s="220">
        <v>100902202</v>
      </c>
      <c r="E54" s="220" t="s">
        <v>418</v>
      </c>
      <c r="F54" s="220" t="s">
        <v>421</v>
      </c>
      <c r="G54" s="220" t="s">
        <v>309</v>
      </c>
      <c r="H54" s="221" t="s">
        <v>304</v>
      </c>
      <c r="I54" s="222">
        <v>436019115202</v>
      </c>
      <c r="J54" s="222">
        <v>368115714862</v>
      </c>
      <c r="K54" s="222">
        <v>19268993670</v>
      </c>
    </row>
    <row r="55" spans="1:11" x14ac:dyDescent="0.3">
      <c r="A55" s="220">
        <v>54</v>
      </c>
      <c r="B55" s="220" t="s">
        <v>423</v>
      </c>
      <c r="C55" s="220" t="s">
        <v>417</v>
      </c>
      <c r="D55" s="220">
        <v>100902202</v>
      </c>
      <c r="E55" s="220" t="s">
        <v>418</v>
      </c>
      <c r="F55" s="220" t="s">
        <v>421</v>
      </c>
      <c r="G55" s="220" t="s">
        <v>311</v>
      </c>
      <c r="H55" s="221" t="s">
        <v>304</v>
      </c>
      <c r="I55" s="222">
        <v>452250797299</v>
      </c>
      <c r="J55" s="222">
        <v>377368264260</v>
      </c>
      <c r="K55" s="222">
        <v>9376271648</v>
      </c>
    </row>
    <row r="56" spans="1:11" x14ac:dyDescent="0.3">
      <c r="A56" s="217">
        <v>55</v>
      </c>
      <c r="B56" s="217" t="s">
        <v>424</v>
      </c>
      <c r="C56" s="217" t="s">
        <v>425</v>
      </c>
      <c r="D56" s="217">
        <v>101056111</v>
      </c>
      <c r="E56" s="217" t="s">
        <v>426</v>
      </c>
      <c r="F56" s="217" t="s">
        <v>427</v>
      </c>
      <c r="G56" s="217" t="s">
        <v>25</v>
      </c>
      <c r="H56" s="218" t="s">
        <v>304</v>
      </c>
      <c r="I56" s="219">
        <v>790012673309</v>
      </c>
      <c r="J56" s="219">
        <v>755885253676</v>
      </c>
      <c r="K56" s="219">
        <v>4016239631</v>
      </c>
    </row>
    <row r="57" spans="1:11" x14ac:dyDescent="0.3">
      <c r="A57" s="217">
        <v>56</v>
      </c>
      <c r="B57" s="217" t="s">
        <v>428</v>
      </c>
      <c r="C57" s="217" t="s">
        <v>425</v>
      </c>
      <c r="D57" s="217">
        <v>101056111</v>
      </c>
      <c r="E57" s="217" t="s">
        <v>426</v>
      </c>
      <c r="F57" s="217" t="s">
        <v>429</v>
      </c>
      <c r="G57" s="217" t="s">
        <v>307</v>
      </c>
      <c r="H57" s="218" t="s">
        <v>304</v>
      </c>
      <c r="I57" s="219">
        <v>735376897475</v>
      </c>
      <c r="J57" s="219">
        <v>700740256892</v>
      </c>
      <c r="K57" s="219">
        <v>5963155964</v>
      </c>
    </row>
    <row r="58" spans="1:11" x14ac:dyDescent="0.3">
      <c r="A58" s="217">
        <v>57</v>
      </c>
      <c r="B58" s="217" t="s">
        <v>430</v>
      </c>
      <c r="C58" s="217" t="s">
        <v>431</v>
      </c>
      <c r="D58" s="217">
        <v>101056111</v>
      </c>
      <c r="E58" s="217" t="s">
        <v>426</v>
      </c>
      <c r="F58" s="217" t="s">
        <v>432</v>
      </c>
      <c r="G58" s="217" t="s">
        <v>309</v>
      </c>
      <c r="H58" s="218" t="s">
        <v>304</v>
      </c>
      <c r="I58" s="219">
        <v>745936656625</v>
      </c>
      <c r="J58" s="219">
        <v>704030076952</v>
      </c>
      <c r="K58" s="219">
        <v>4367091713</v>
      </c>
    </row>
    <row r="59" spans="1:11" x14ac:dyDescent="0.3">
      <c r="A59" s="217">
        <v>58</v>
      </c>
      <c r="B59" s="217" t="s">
        <v>433</v>
      </c>
      <c r="C59" s="217" t="s">
        <v>431</v>
      </c>
      <c r="D59" s="217">
        <v>101056111</v>
      </c>
      <c r="E59" s="217" t="s">
        <v>426</v>
      </c>
      <c r="F59" s="217" t="s">
        <v>432</v>
      </c>
      <c r="G59" s="217" t="s">
        <v>311</v>
      </c>
      <c r="H59" s="218" t="s">
        <v>304</v>
      </c>
      <c r="I59" s="219">
        <v>968939568782</v>
      </c>
      <c r="J59" s="219">
        <v>936079802616</v>
      </c>
      <c r="K59" s="219">
        <v>5034331438</v>
      </c>
    </row>
    <row r="60" spans="1:11" x14ac:dyDescent="0.3">
      <c r="A60" s="220">
        <v>59</v>
      </c>
      <c r="B60" s="220" t="s">
        <v>434</v>
      </c>
      <c r="C60" s="220" t="s">
        <v>435</v>
      </c>
      <c r="D60" s="220">
        <v>101145668</v>
      </c>
      <c r="E60" s="220" t="s">
        <v>436</v>
      </c>
      <c r="F60" s="220" t="s">
        <v>437</v>
      </c>
      <c r="G60" s="220" t="s">
        <v>362</v>
      </c>
      <c r="H60" s="221" t="s">
        <v>304</v>
      </c>
      <c r="I60" s="222">
        <v>1738191416603</v>
      </c>
      <c r="J60" s="222">
        <v>1408287988049</v>
      </c>
      <c r="K60" s="222">
        <v>144098692918</v>
      </c>
    </row>
    <row r="61" spans="1:11" x14ac:dyDescent="0.3">
      <c r="A61" s="220">
        <v>60</v>
      </c>
      <c r="B61" s="220" t="s">
        <v>438</v>
      </c>
      <c r="C61" s="220" t="s">
        <v>435</v>
      </c>
      <c r="D61" s="220">
        <v>101145668</v>
      </c>
      <c r="E61" s="220" t="s">
        <v>436</v>
      </c>
      <c r="F61" s="220" t="s">
        <v>439</v>
      </c>
      <c r="G61" s="220" t="s">
        <v>366</v>
      </c>
      <c r="H61" s="221" t="s">
        <v>304</v>
      </c>
      <c r="I61" s="222">
        <v>1837052692464</v>
      </c>
      <c r="J61" s="222">
        <v>1537710444600</v>
      </c>
      <c r="K61" s="222">
        <v>153873494963</v>
      </c>
    </row>
    <row r="62" spans="1:11" x14ac:dyDescent="0.3">
      <c r="A62" s="220">
        <v>61</v>
      </c>
      <c r="B62" s="220" t="s">
        <v>440</v>
      </c>
      <c r="C62" s="220" t="s">
        <v>435</v>
      </c>
      <c r="D62" s="220">
        <v>101145668</v>
      </c>
      <c r="E62" s="220" t="s">
        <v>436</v>
      </c>
      <c r="F62" s="220" t="s">
        <v>439</v>
      </c>
      <c r="G62" s="220" t="s">
        <v>369</v>
      </c>
      <c r="H62" s="221" t="s">
        <v>304</v>
      </c>
      <c r="I62" s="222">
        <v>2078323826582</v>
      </c>
      <c r="J62" s="222">
        <v>1721312036472</v>
      </c>
      <c r="K62" s="222">
        <v>191867366415</v>
      </c>
    </row>
    <row r="63" spans="1:11" x14ac:dyDescent="0.3">
      <c r="A63" s="220">
        <v>62</v>
      </c>
      <c r="B63" s="220" t="s">
        <v>441</v>
      </c>
      <c r="C63" s="220" t="s">
        <v>435</v>
      </c>
      <c r="D63" s="220">
        <v>101145668</v>
      </c>
      <c r="E63" s="220" t="s">
        <v>436</v>
      </c>
      <c r="F63" s="220" t="s">
        <v>442</v>
      </c>
      <c r="G63" s="220" t="s">
        <v>372</v>
      </c>
      <c r="H63" s="221" t="s">
        <v>304</v>
      </c>
      <c r="I63" s="222">
        <v>2028024165830</v>
      </c>
      <c r="J63" s="222">
        <v>1708258855046</v>
      </c>
      <c r="K63" s="222">
        <v>205616891869</v>
      </c>
    </row>
    <row r="64" spans="1:11" x14ac:dyDescent="0.3">
      <c r="A64" s="217">
        <v>63</v>
      </c>
      <c r="B64" s="217" t="s">
        <v>443</v>
      </c>
      <c r="C64" s="217" t="s">
        <v>444</v>
      </c>
      <c r="D64" s="217">
        <v>101225306</v>
      </c>
      <c r="E64" s="217" t="s">
        <v>445</v>
      </c>
      <c r="F64" s="217" t="s">
        <v>446</v>
      </c>
      <c r="G64" s="217" t="s">
        <v>25</v>
      </c>
      <c r="H64" s="218" t="s">
        <v>304</v>
      </c>
      <c r="I64" s="219">
        <v>4254804824809</v>
      </c>
      <c r="J64" s="219">
        <v>3436981752619</v>
      </c>
      <c r="K64" s="219">
        <v>346561996407</v>
      </c>
    </row>
    <row r="65" spans="1:11" x14ac:dyDescent="0.3">
      <c r="A65" s="217">
        <v>64</v>
      </c>
      <c r="B65" s="217" t="s">
        <v>447</v>
      </c>
      <c r="C65" s="217" t="s">
        <v>444</v>
      </c>
      <c r="D65" s="217">
        <v>101225306</v>
      </c>
      <c r="E65" s="217" t="s">
        <v>445</v>
      </c>
      <c r="F65" s="217" t="s">
        <v>448</v>
      </c>
      <c r="G65" s="217" t="s">
        <v>307</v>
      </c>
      <c r="H65" s="218" t="s">
        <v>304</v>
      </c>
      <c r="I65" s="219">
        <v>4880527662750</v>
      </c>
      <c r="J65" s="219">
        <v>3850525110225</v>
      </c>
      <c r="K65" s="219">
        <v>301860584380</v>
      </c>
    </row>
    <row r="66" spans="1:11" x14ac:dyDescent="0.3">
      <c r="A66" s="217">
        <v>65</v>
      </c>
      <c r="B66" s="217" t="s">
        <v>449</v>
      </c>
      <c r="C66" s="217" t="s">
        <v>444</v>
      </c>
      <c r="D66" s="217">
        <v>101225306</v>
      </c>
      <c r="E66" s="217" t="s">
        <v>445</v>
      </c>
      <c r="F66" s="217" t="s">
        <v>450</v>
      </c>
      <c r="G66" s="217" t="s">
        <v>309</v>
      </c>
      <c r="H66" s="218" t="s">
        <v>304</v>
      </c>
      <c r="I66" s="219">
        <v>4300550503424</v>
      </c>
      <c r="J66" s="219">
        <v>3414059504435</v>
      </c>
      <c r="K66" s="219">
        <v>-36811356790</v>
      </c>
    </row>
    <row r="67" spans="1:11" x14ac:dyDescent="0.3">
      <c r="A67" s="217">
        <v>66</v>
      </c>
      <c r="B67" s="217" t="s">
        <v>451</v>
      </c>
      <c r="C67" s="217" t="s">
        <v>444</v>
      </c>
      <c r="D67" s="217">
        <v>101225306</v>
      </c>
      <c r="E67" s="217" t="s">
        <v>445</v>
      </c>
      <c r="F67" s="217" t="s">
        <v>450</v>
      </c>
      <c r="G67" s="217" t="s">
        <v>311</v>
      </c>
      <c r="H67" s="218" t="s">
        <v>304</v>
      </c>
      <c r="I67" s="219">
        <v>4693818136181</v>
      </c>
      <c r="J67" s="219">
        <v>3900893534896</v>
      </c>
      <c r="K67" s="219">
        <v>-55780316113</v>
      </c>
    </row>
    <row r="68" spans="1:11" x14ac:dyDescent="0.3">
      <c r="A68" s="220">
        <v>67</v>
      </c>
      <c r="B68" s="220" t="s">
        <v>452</v>
      </c>
      <c r="C68" s="220" t="s">
        <v>453</v>
      </c>
      <c r="D68" s="220">
        <v>101329672</v>
      </c>
      <c r="E68" s="220" t="s">
        <v>454</v>
      </c>
      <c r="F68" s="220" t="s">
        <v>455</v>
      </c>
      <c r="G68" s="220" t="s">
        <v>25</v>
      </c>
      <c r="H68" s="221" t="s">
        <v>304</v>
      </c>
      <c r="I68" s="222">
        <v>2242927867851</v>
      </c>
      <c r="J68" s="222">
        <v>1941456533886</v>
      </c>
      <c r="K68" s="222">
        <v>203216692398</v>
      </c>
    </row>
    <row r="69" spans="1:11" x14ac:dyDescent="0.3">
      <c r="A69" s="220">
        <v>68</v>
      </c>
      <c r="B69" s="220" t="s">
        <v>456</v>
      </c>
      <c r="C69" s="220" t="s">
        <v>457</v>
      </c>
      <c r="D69" s="220">
        <v>101329672</v>
      </c>
      <c r="E69" s="220" t="s">
        <v>454</v>
      </c>
      <c r="F69" s="220" t="s">
        <v>391</v>
      </c>
      <c r="G69" s="220" t="s">
        <v>307</v>
      </c>
      <c r="H69" s="221" t="s">
        <v>304</v>
      </c>
      <c r="I69" s="222">
        <v>1951765862713</v>
      </c>
      <c r="J69" s="222">
        <v>1789125679845</v>
      </c>
      <c r="K69" s="222">
        <v>71112514369</v>
      </c>
    </row>
    <row r="70" spans="1:11" x14ac:dyDescent="0.3">
      <c r="A70" s="220">
        <v>69</v>
      </c>
      <c r="B70" s="220" t="s">
        <v>458</v>
      </c>
      <c r="C70" s="220" t="s">
        <v>457</v>
      </c>
      <c r="D70" s="220">
        <v>101329672</v>
      </c>
      <c r="E70" s="220" t="s">
        <v>454</v>
      </c>
      <c r="F70" s="220" t="s">
        <v>391</v>
      </c>
      <c r="G70" s="220" t="s">
        <v>309</v>
      </c>
      <c r="H70" s="221" t="s">
        <v>304</v>
      </c>
      <c r="I70" s="222">
        <v>2219052346885</v>
      </c>
      <c r="J70" s="222">
        <v>1909705693788</v>
      </c>
      <c r="K70" s="222">
        <v>233027260299</v>
      </c>
    </row>
    <row r="71" spans="1:11" x14ac:dyDescent="0.3">
      <c r="A71" s="220">
        <v>70</v>
      </c>
      <c r="B71" s="220" t="s">
        <v>459</v>
      </c>
      <c r="C71" s="220" t="s">
        <v>457</v>
      </c>
      <c r="D71" s="220">
        <v>101329672</v>
      </c>
      <c r="E71" s="220" t="s">
        <v>454</v>
      </c>
      <c r="F71" s="220" t="s">
        <v>391</v>
      </c>
      <c r="G71" s="220" t="s">
        <v>311</v>
      </c>
      <c r="H71" s="221" t="s">
        <v>304</v>
      </c>
      <c r="I71" s="222">
        <v>2291334266806</v>
      </c>
      <c r="J71" s="222">
        <v>1937166094669</v>
      </c>
      <c r="K71" s="222">
        <v>292081140487</v>
      </c>
    </row>
    <row r="72" spans="1:11" x14ac:dyDescent="0.3">
      <c r="A72" s="217">
        <v>71</v>
      </c>
      <c r="B72" s="217" t="s">
        <v>460</v>
      </c>
      <c r="C72" s="217" t="s">
        <v>461</v>
      </c>
      <c r="D72" s="217">
        <v>101377820</v>
      </c>
      <c r="E72" s="217" t="s">
        <v>462</v>
      </c>
      <c r="F72" s="217" t="s">
        <v>463</v>
      </c>
      <c r="G72" s="217" t="s">
        <v>25</v>
      </c>
      <c r="H72" s="218" t="s">
        <v>304</v>
      </c>
      <c r="I72" s="219">
        <v>866764520099</v>
      </c>
      <c r="J72" s="219">
        <v>727332287078</v>
      </c>
      <c r="K72" s="219">
        <v>79146097731</v>
      </c>
    </row>
    <row r="73" spans="1:11" x14ac:dyDescent="0.3">
      <c r="A73" s="217">
        <v>72</v>
      </c>
      <c r="B73" s="217" t="s">
        <v>464</v>
      </c>
      <c r="C73" s="217" t="s">
        <v>461</v>
      </c>
      <c r="D73" s="217">
        <v>101377820</v>
      </c>
      <c r="E73" s="217" t="s">
        <v>462</v>
      </c>
      <c r="F73" s="217" t="s">
        <v>465</v>
      </c>
      <c r="G73" s="217" t="s">
        <v>307</v>
      </c>
      <c r="H73" s="218" t="s">
        <v>304</v>
      </c>
      <c r="I73" s="219">
        <v>1159298003508</v>
      </c>
      <c r="J73" s="219">
        <v>1005052847671</v>
      </c>
      <c r="K73" s="219">
        <v>103984519227</v>
      </c>
    </row>
    <row r="74" spans="1:11" x14ac:dyDescent="0.3">
      <c r="A74" s="217">
        <v>73</v>
      </c>
      <c r="B74" s="217" t="s">
        <v>466</v>
      </c>
      <c r="C74" s="217" t="s">
        <v>461</v>
      </c>
      <c r="D74" s="217">
        <v>101377820</v>
      </c>
      <c r="E74" s="217" t="s">
        <v>462</v>
      </c>
      <c r="F74" s="217" t="s">
        <v>465</v>
      </c>
      <c r="G74" s="217" t="s">
        <v>309</v>
      </c>
      <c r="H74" s="218" t="s">
        <v>304</v>
      </c>
      <c r="I74" s="219">
        <v>1060806526751</v>
      </c>
      <c r="J74" s="219">
        <v>917323149087</v>
      </c>
      <c r="K74" s="219">
        <v>92623698702</v>
      </c>
    </row>
    <row r="75" spans="1:11" x14ac:dyDescent="0.3">
      <c r="A75" s="217">
        <v>74</v>
      </c>
      <c r="B75" s="217" t="s">
        <v>467</v>
      </c>
      <c r="C75" s="217" t="s">
        <v>461</v>
      </c>
      <c r="D75" s="217">
        <v>101377820</v>
      </c>
      <c r="E75" s="217" t="s">
        <v>462</v>
      </c>
      <c r="F75" s="217" t="s">
        <v>465</v>
      </c>
      <c r="G75" s="217" t="s">
        <v>311</v>
      </c>
      <c r="H75" s="218" t="s">
        <v>304</v>
      </c>
      <c r="I75" s="219">
        <v>1160776837942</v>
      </c>
      <c r="J75" s="219">
        <v>1005750238723</v>
      </c>
      <c r="K75" s="219">
        <v>100795425174</v>
      </c>
    </row>
    <row r="76" spans="1:11" x14ac:dyDescent="0.3">
      <c r="A76" s="220">
        <v>75</v>
      </c>
      <c r="B76" s="220" t="s">
        <v>468</v>
      </c>
      <c r="C76" s="220" t="s">
        <v>469</v>
      </c>
      <c r="D76" s="220">
        <v>101380936</v>
      </c>
      <c r="E76" s="220" t="s">
        <v>470</v>
      </c>
      <c r="F76" s="220" t="s">
        <v>471</v>
      </c>
      <c r="G76" s="220" t="s">
        <v>25</v>
      </c>
      <c r="H76" s="221" t="s">
        <v>472</v>
      </c>
      <c r="I76" s="222">
        <v>587737211876</v>
      </c>
      <c r="J76" s="222">
        <v>537403645780</v>
      </c>
      <c r="K76" s="222">
        <v>11747139513</v>
      </c>
    </row>
    <row r="77" spans="1:11" x14ac:dyDescent="0.3">
      <c r="A77" s="220">
        <v>76</v>
      </c>
      <c r="B77" s="220" t="s">
        <v>473</v>
      </c>
      <c r="C77" s="220" t="s">
        <v>469</v>
      </c>
      <c r="D77" s="220">
        <v>101380936</v>
      </c>
      <c r="E77" s="220" t="s">
        <v>470</v>
      </c>
      <c r="F77" s="220" t="s">
        <v>474</v>
      </c>
      <c r="G77" s="220" t="s">
        <v>307</v>
      </c>
      <c r="H77" s="221" t="s">
        <v>472</v>
      </c>
      <c r="I77" s="222">
        <v>463319122024</v>
      </c>
      <c r="J77" s="222">
        <v>424738285271</v>
      </c>
      <c r="K77" s="222">
        <v>9089890125</v>
      </c>
    </row>
    <row r="78" spans="1:11" x14ac:dyDescent="0.3">
      <c r="A78" s="220">
        <v>77</v>
      </c>
      <c r="B78" s="220" t="s">
        <v>475</v>
      </c>
      <c r="C78" s="220" t="s">
        <v>469</v>
      </c>
      <c r="D78" s="220">
        <v>101380936</v>
      </c>
      <c r="E78" s="220" t="s">
        <v>470</v>
      </c>
      <c r="F78" s="220" t="s">
        <v>476</v>
      </c>
      <c r="G78" s="220" t="s">
        <v>309</v>
      </c>
      <c r="H78" s="221" t="s">
        <v>472</v>
      </c>
      <c r="I78" s="222">
        <v>325894933293</v>
      </c>
      <c r="J78" s="222">
        <v>288050254102</v>
      </c>
      <c r="K78" s="222">
        <v>4747527959</v>
      </c>
    </row>
    <row r="79" spans="1:11" x14ac:dyDescent="0.3">
      <c r="A79" s="220">
        <v>78</v>
      </c>
      <c r="B79" s="220" t="s">
        <v>477</v>
      </c>
      <c r="C79" s="220" t="s">
        <v>469</v>
      </c>
      <c r="D79" s="220">
        <v>101380936</v>
      </c>
      <c r="E79" s="220" t="s">
        <v>470</v>
      </c>
      <c r="F79" s="220" t="s">
        <v>478</v>
      </c>
      <c r="G79" s="220" t="s">
        <v>311</v>
      </c>
      <c r="H79" s="221" t="s">
        <v>472</v>
      </c>
      <c r="I79" s="222">
        <v>382994679679</v>
      </c>
      <c r="J79" s="222">
        <v>317966996565</v>
      </c>
      <c r="K79" s="222">
        <v>13343560860</v>
      </c>
    </row>
    <row r="80" spans="1:11" x14ac:dyDescent="0.3">
      <c r="A80" s="217">
        <v>79</v>
      </c>
      <c r="B80" s="217" t="s">
        <v>479</v>
      </c>
      <c r="C80" s="217" t="s">
        <v>480</v>
      </c>
      <c r="D80" s="217">
        <v>101382443</v>
      </c>
      <c r="E80" s="217" t="s">
        <v>481</v>
      </c>
      <c r="F80" s="217" t="s">
        <v>482</v>
      </c>
      <c r="G80" s="217" t="s">
        <v>362</v>
      </c>
      <c r="H80" s="218" t="s">
        <v>304</v>
      </c>
      <c r="I80" s="219">
        <v>5524401610912</v>
      </c>
      <c r="J80" s="219">
        <v>4835756682438</v>
      </c>
      <c r="K80" s="219">
        <v>245402223457</v>
      </c>
    </row>
    <row r="81" spans="1:11" x14ac:dyDescent="0.3">
      <c r="A81" s="217">
        <v>80</v>
      </c>
      <c r="B81" s="217" t="s">
        <v>483</v>
      </c>
      <c r="C81" s="217" t="s">
        <v>480</v>
      </c>
      <c r="D81" s="217">
        <v>101382443</v>
      </c>
      <c r="E81" s="217" t="s">
        <v>481</v>
      </c>
      <c r="F81" s="217" t="s">
        <v>484</v>
      </c>
      <c r="G81" s="217" t="s">
        <v>366</v>
      </c>
      <c r="H81" s="218" t="s">
        <v>304</v>
      </c>
      <c r="I81" s="219">
        <v>6210443250760</v>
      </c>
      <c r="J81" s="219">
        <v>5688707190896</v>
      </c>
      <c r="K81" s="219">
        <v>55568447384</v>
      </c>
    </row>
    <row r="82" spans="1:11" x14ac:dyDescent="0.3">
      <c r="A82" s="217">
        <v>81</v>
      </c>
      <c r="B82" s="217" t="s">
        <v>485</v>
      </c>
      <c r="C82" s="217" t="s">
        <v>480</v>
      </c>
      <c r="D82" s="217">
        <v>101382443</v>
      </c>
      <c r="E82" s="217" t="s">
        <v>481</v>
      </c>
      <c r="F82" s="217" t="s">
        <v>486</v>
      </c>
      <c r="G82" s="217" t="s">
        <v>369</v>
      </c>
      <c r="H82" s="218" t="s">
        <v>304</v>
      </c>
      <c r="I82" s="219">
        <v>4573887443646</v>
      </c>
      <c r="J82" s="219">
        <v>4098097243269</v>
      </c>
      <c r="K82" s="219">
        <v>128971043248</v>
      </c>
    </row>
    <row r="83" spans="1:11" x14ac:dyDescent="0.3">
      <c r="A83" s="217">
        <v>82</v>
      </c>
      <c r="B83" s="217" t="s">
        <v>487</v>
      </c>
      <c r="C83" s="217" t="s">
        <v>480</v>
      </c>
      <c r="D83" s="217">
        <v>101382443</v>
      </c>
      <c r="E83" s="217" t="s">
        <v>481</v>
      </c>
      <c r="F83" s="217" t="s">
        <v>488</v>
      </c>
      <c r="G83" s="217" t="s">
        <v>372</v>
      </c>
      <c r="H83" s="218" t="s">
        <v>304</v>
      </c>
      <c r="I83" s="219">
        <v>6465059457694</v>
      </c>
      <c r="J83" s="219">
        <v>5699222438810</v>
      </c>
      <c r="K83" s="219">
        <v>319744944229</v>
      </c>
    </row>
    <row r="84" spans="1:11" x14ac:dyDescent="0.3">
      <c r="A84" s="220">
        <v>83</v>
      </c>
      <c r="B84" s="220" t="s">
        <v>489</v>
      </c>
      <c r="C84" s="220" t="s">
        <v>490</v>
      </c>
      <c r="D84" s="220">
        <v>101435247</v>
      </c>
      <c r="E84" s="220" t="s">
        <v>491</v>
      </c>
      <c r="F84" s="220" t="s">
        <v>492</v>
      </c>
      <c r="G84" s="220" t="s">
        <v>25</v>
      </c>
      <c r="H84" s="221" t="s">
        <v>472</v>
      </c>
      <c r="I84" s="222">
        <v>835203563984</v>
      </c>
      <c r="J84" s="222">
        <v>778108440852</v>
      </c>
      <c r="K84" s="222">
        <v>6841859698</v>
      </c>
    </row>
    <row r="85" spans="1:11" x14ac:dyDescent="0.3">
      <c r="A85" s="220">
        <v>84</v>
      </c>
      <c r="B85" s="220" t="s">
        <v>493</v>
      </c>
      <c r="C85" s="220" t="s">
        <v>490</v>
      </c>
      <c r="D85" s="220">
        <v>101435247</v>
      </c>
      <c r="E85" s="220" t="s">
        <v>491</v>
      </c>
      <c r="F85" s="220" t="s">
        <v>494</v>
      </c>
      <c r="G85" s="220" t="s">
        <v>307</v>
      </c>
      <c r="H85" s="221" t="s">
        <v>472</v>
      </c>
      <c r="I85" s="222">
        <v>1113223980819</v>
      </c>
      <c r="J85" s="222">
        <v>1035393417619</v>
      </c>
      <c r="K85" s="222">
        <v>12321219326</v>
      </c>
    </row>
    <row r="86" spans="1:11" x14ac:dyDescent="0.3">
      <c r="A86" s="220">
        <v>85</v>
      </c>
      <c r="B86" s="220" t="s">
        <v>495</v>
      </c>
      <c r="C86" s="220" t="s">
        <v>490</v>
      </c>
      <c r="D86" s="220">
        <v>101435247</v>
      </c>
      <c r="E86" s="220" t="s">
        <v>491</v>
      </c>
      <c r="F86" s="220" t="s">
        <v>494</v>
      </c>
      <c r="G86" s="220" t="s">
        <v>309</v>
      </c>
      <c r="H86" s="221" t="s">
        <v>472</v>
      </c>
      <c r="I86" s="222">
        <v>744019486901</v>
      </c>
      <c r="J86" s="222">
        <v>700945399028</v>
      </c>
      <c r="K86" s="222">
        <v>10636828585</v>
      </c>
    </row>
    <row r="87" spans="1:11" x14ac:dyDescent="0.3">
      <c r="A87" s="220">
        <v>86</v>
      </c>
      <c r="B87" s="220" t="s">
        <v>496</v>
      </c>
      <c r="C87" s="220" t="s">
        <v>490</v>
      </c>
      <c r="D87" s="220">
        <v>101435247</v>
      </c>
      <c r="E87" s="220" t="s">
        <v>491</v>
      </c>
      <c r="F87" s="220" t="s">
        <v>494</v>
      </c>
      <c r="G87" s="220" t="s">
        <v>311</v>
      </c>
      <c r="H87" s="221" t="s">
        <v>472</v>
      </c>
      <c r="I87" s="222">
        <v>671395896992</v>
      </c>
      <c r="J87" s="222">
        <v>619430684335</v>
      </c>
      <c r="K87" s="222">
        <v>11422221784</v>
      </c>
    </row>
    <row r="88" spans="1:11" x14ac:dyDescent="0.3">
      <c r="A88" s="217">
        <v>87</v>
      </c>
      <c r="B88" s="217" t="s">
        <v>497</v>
      </c>
      <c r="C88" s="217" t="s">
        <v>498</v>
      </c>
      <c r="D88" s="217">
        <v>101437981</v>
      </c>
      <c r="E88" s="217" t="s">
        <v>499</v>
      </c>
      <c r="F88" s="217" t="s">
        <v>500</v>
      </c>
      <c r="G88" s="217" t="s">
        <v>501</v>
      </c>
      <c r="H88" s="218" t="s">
        <v>304</v>
      </c>
      <c r="I88" s="219">
        <v>2862801478112</v>
      </c>
      <c r="J88" s="219">
        <v>2702912639243</v>
      </c>
      <c r="K88" s="219">
        <v>-26351348863</v>
      </c>
    </row>
    <row r="89" spans="1:11" x14ac:dyDescent="0.3">
      <c r="A89" s="217">
        <v>88</v>
      </c>
      <c r="B89" s="217" t="s">
        <v>502</v>
      </c>
      <c r="C89" s="217" t="s">
        <v>498</v>
      </c>
      <c r="D89" s="217">
        <v>101437981</v>
      </c>
      <c r="E89" s="217" t="s">
        <v>499</v>
      </c>
      <c r="F89" s="217" t="s">
        <v>503</v>
      </c>
      <c r="G89" s="217" t="s">
        <v>504</v>
      </c>
      <c r="H89" s="218" t="s">
        <v>304</v>
      </c>
      <c r="I89" s="219">
        <v>2976368290825</v>
      </c>
      <c r="J89" s="219">
        <v>2801526286668</v>
      </c>
      <c r="K89" s="219">
        <v>2775733982</v>
      </c>
    </row>
    <row r="90" spans="1:11" x14ac:dyDescent="0.3">
      <c r="A90" s="217">
        <v>89</v>
      </c>
      <c r="B90" s="217" t="s">
        <v>505</v>
      </c>
      <c r="C90" s="217" t="s">
        <v>498</v>
      </c>
      <c r="D90" s="217">
        <v>101437981</v>
      </c>
      <c r="E90" s="217" t="s">
        <v>499</v>
      </c>
      <c r="F90" s="217" t="s">
        <v>503</v>
      </c>
      <c r="G90" s="217" t="s">
        <v>25</v>
      </c>
      <c r="H90" s="218" t="s">
        <v>304</v>
      </c>
      <c r="I90" s="219">
        <v>3588660524367</v>
      </c>
      <c r="J90" s="219">
        <v>3382394605011</v>
      </c>
      <c r="K90" s="219">
        <v>2543124898</v>
      </c>
    </row>
    <row r="91" spans="1:11" x14ac:dyDescent="0.3">
      <c r="A91" s="217">
        <v>90</v>
      </c>
      <c r="B91" s="217" t="s">
        <v>506</v>
      </c>
      <c r="C91" s="217" t="s">
        <v>498</v>
      </c>
      <c r="D91" s="217">
        <v>101437981</v>
      </c>
      <c r="E91" s="217" t="s">
        <v>499</v>
      </c>
      <c r="F91" s="217" t="s">
        <v>500</v>
      </c>
      <c r="G91" s="217" t="s">
        <v>307</v>
      </c>
      <c r="H91" s="218" t="s">
        <v>304</v>
      </c>
      <c r="I91" s="219">
        <v>4401661259928</v>
      </c>
      <c r="J91" s="219">
        <v>4171431623400</v>
      </c>
      <c r="K91" s="219">
        <v>2144673334</v>
      </c>
    </row>
    <row r="92" spans="1:11" x14ac:dyDescent="0.3">
      <c r="A92" s="217">
        <v>91</v>
      </c>
      <c r="B92" s="217" t="s">
        <v>507</v>
      </c>
      <c r="C92" s="217" t="s">
        <v>498</v>
      </c>
      <c r="D92" s="217">
        <v>101437981</v>
      </c>
      <c r="E92" s="217" t="s">
        <v>499</v>
      </c>
      <c r="F92" s="217" t="s">
        <v>500</v>
      </c>
      <c r="G92" s="217" t="s">
        <v>309</v>
      </c>
      <c r="H92" s="218" t="s">
        <v>304</v>
      </c>
      <c r="I92" s="219">
        <v>4862098068112</v>
      </c>
      <c r="J92" s="219">
        <v>4618384288312</v>
      </c>
      <c r="K92" s="219">
        <v>1684662532</v>
      </c>
    </row>
    <row r="93" spans="1:11" x14ac:dyDescent="0.3">
      <c r="A93" s="217">
        <v>92</v>
      </c>
      <c r="B93" s="217" t="s">
        <v>508</v>
      </c>
      <c r="C93" s="217" t="s">
        <v>498</v>
      </c>
      <c r="D93" s="217">
        <v>101437981</v>
      </c>
      <c r="E93" s="217" t="s">
        <v>499</v>
      </c>
      <c r="F93" s="217" t="s">
        <v>509</v>
      </c>
      <c r="G93" s="217" t="s">
        <v>311</v>
      </c>
      <c r="H93" s="218" t="s">
        <v>304</v>
      </c>
      <c r="I93" s="219">
        <v>5719802453388</v>
      </c>
      <c r="J93" s="219">
        <v>5466632524146</v>
      </c>
      <c r="K93" s="219">
        <v>1056404197</v>
      </c>
    </row>
    <row r="94" spans="1:11" x14ac:dyDescent="0.3">
      <c r="A94" s="220">
        <v>93</v>
      </c>
      <c r="B94" s="220" t="s">
        <v>510</v>
      </c>
      <c r="C94" s="220" t="s">
        <v>511</v>
      </c>
      <c r="D94" s="220">
        <v>101452549</v>
      </c>
      <c r="E94" s="220" t="s">
        <v>512</v>
      </c>
      <c r="F94" s="220" t="s">
        <v>513</v>
      </c>
      <c r="G94" s="220" t="s">
        <v>504</v>
      </c>
      <c r="H94" s="221" t="s">
        <v>304</v>
      </c>
      <c r="I94" s="222">
        <v>5365157553569</v>
      </c>
      <c r="J94" s="222">
        <v>4208750177080</v>
      </c>
      <c r="K94" s="222">
        <v>810687668883</v>
      </c>
    </row>
    <row r="95" spans="1:11" x14ac:dyDescent="0.3">
      <c r="A95" s="220">
        <v>94</v>
      </c>
      <c r="B95" s="220" t="s">
        <v>514</v>
      </c>
      <c r="C95" s="220" t="s">
        <v>511</v>
      </c>
      <c r="D95" s="220">
        <v>101452549</v>
      </c>
      <c r="E95" s="220" t="s">
        <v>512</v>
      </c>
      <c r="F95" s="220" t="s">
        <v>513</v>
      </c>
      <c r="G95" s="220" t="s">
        <v>25</v>
      </c>
      <c r="H95" s="221" t="s">
        <v>304</v>
      </c>
      <c r="I95" s="222">
        <v>7132738085336</v>
      </c>
      <c r="J95" s="222">
        <v>5385677383345</v>
      </c>
      <c r="K95" s="222">
        <v>1402763310732</v>
      </c>
    </row>
    <row r="96" spans="1:11" x14ac:dyDescent="0.3">
      <c r="A96" s="220">
        <v>95</v>
      </c>
      <c r="B96" s="220" t="s">
        <v>515</v>
      </c>
      <c r="C96" s="220" t="s">
        <v>511</v>
      </c>
      <c r="D96" s="220">
        <v>101452549</v>
      </c>
      <c r="E96" s="220" t="s">
        <v>512</v>
      </c>
      <c r="F96" s="220" t="s">
        <v>516</v>
      </c>
      <c r="G96" s="220" t="s">
        <v>307</v>
      </c>
      <c r="H96" s="221" t="s">
        <v>304</v>
      </c>
      <c r="I96" s="222">
        <v>5038687233640</v>
      </c>
      <c r="J96" s="222">
        <v>3646823303681</v>
      </c>
      <c r="K96" s="222">
        <v>1069243901289</v>
      </c>
    </row>
    <row r="97" spans="1:11" x14ac:dyDescent="0.3">
      <c r="A97" s="220">
        <v>96</v>
      </c>
      <c r="B97" s="220" t="s">
        <v>517</v>
      </c>
      <c r="C97" s="220" t="s">
        <v>511</v>
      </c>
      <c r="D97" s="220">
        <v>101452549</v>
      </c>
      <c r="E97" s="220" t="s">
        <v>512</v>
      </c>
      <c r="F97" s="220" t="s">
        <v>518</v>
      </c>
      <c r="G97" s="220" t="s">
        <v>309</v>
      </c>
      <c r="H97" s="221" t="s">
        <v>304</v>
      </c>
      <c r="I97" s="222">
        <v>2678610820146</v>
      </c>
      <c r="J97" s="222">
        <v>2010098831394</v>
      </c>
      <c r="K97" s="222">
        <v>465064529460</v>
      </c>
    </row>
    <row r="98" spans="1:11" x14ac:dyDescent="0.3">
      <c r="A98" s="220">
        <v>97</v>
      </c>
      <c r="B98" s="220" t="s">
        <v>519</v>
      </c>
      <c r="C98" s="220" t="s">
        <v>511</v>
      </c>
      <c r="D98" s="220">
        <v>101452549</v>
      </c>
      <c r="E98" s="220" t="s">
        <v>512</v>
      </c>
      <c r="F98" s="220" t="s">
        <v>518</v>
      </c>
      <c r="G98" s="220" t="s">
        <v>311</v>
      </c>
      <c r="H98" s="221" t="s">
        <v>304</v>
      </c>
      <c r="I98" s="222">
        <v>2392166000692</v>
      </c>
      <c r="J98" s="222">
        <v>1754744782158</v>
      </c>
      <c r="K98" s="222">
        <v>465668316742</v>
      </c>
    </row>
    <row r="99" spans="1:11" x14ac:dyDescent="0.3">
      <c r="A99" s="217">
        <v>98</v>
      </c>
      <c r="B99" s="217" t="s">
        <v>520</v>
      </c>
      <c r="C99" s="217" t="s">
        <v>521</v>
      </c>
      <c r="D99" s="217">
        <v>101454070</v>
      </c>
      <c r="E99" s="217" t="s">
        <v>522</v>
      </c>
      <c r="F99" s="217" t="s">
        <v>523</v>
      </c>
      <c r="G99" s="217" t="s">
        <v>25</v>
      </c>
      <c r="H99" s="218" t="s">
        <v>304</v>
      </c>
      <c r="I99" s="219">
        <v>220106676044</v>
      </c>
      <c r="J99" s="219">
        <v>186886287295</v>
      </c>
      <c r="K99" s="219">
        <v>932227142</v>
      </c>
    </row>
    <row r="100" spans="1:11" x14ac:dyDescent="0.3">
      <c r="A100" s="217">
        <v>99</v>
      </c>
      <c r="B100" s="217" t="s">
        <v>524</v>
      </c>
      <c r="C100" s="217" t="s">
        <v>525</v>
      </c>
      <c r="D100" s="217">
        <v>101454070</v>
      </c>
      <c r="E100" s="217" t="s">
        <v>522</v>
      </c>
      <c r="F100" s="217" t="s">
        <v>526</v>
      </c>
      <c r="G100" s="217" t="s">
        <v>307</v>
      </c>
      <c r="H100" s="218" t="s">
        <v>304</v>
      </c>
      <c r="I100" s="219">
        <v>244346307296</v>
      </c>
      <c r="J100" s="219">
        <v>209858951283</v>
      </c>
      <c r="K100" s="219">
        <v>1588153020</v>
      </c>
    </row>
    <row r="101" spans="1:11" x14ac:dyDescent="0.3">
      <c r="A101" s="217">
        <v>100</v>
      </c>
      <c r="B101" s="217" t="s">
        <v>527</v>
      </c>
      <c r="C101" s="217" t="s">
        <v>525</v>
      </c>
      <c r="D101" s="217">
        <v>101454070</v>
      </c>
      <c r="E101" s="217" t="s">
        <v>522</v>
      </c>
      <c r="F101" s="217" t="s">
        <v>526</v>
      </c>
      <c r="G101" s="217" t="s">
        <v>309</v>
      </c>
      <c r="H101" s="218" t="s">
        <v>304</v>
      </c>
      <c r="I101" s="219">
        <v>153483929256</v>
      </c>
      <c r="J101" s="219">
        <v>135681166764</v>
      </c>
      <c r="K101" s="219">
        <v>446350649</v>
      </c>
    </row>
    <row r="102" spans="1:11" x14ac:dyDescent="0.3">
      <c r="A102" s="217">
        <v>101</v>
      </c>
      <c r="B102" s="217" t="s">
        <v>528</v>
      </c>
      <c r="C102" s="217" t="s">
        <v>529</v>
      </c>
      <c r="D102" s="217">
        <v>101454070</v>
      </c>
      <c r="E102" s="217" t="s">
        <v>522</v>
      </c>
      <c r="F102" s="217" t="s">
        <v>530</v>
      </c>
      <c r="G102" s="217" t="s">
        <v>311</v>
      </c>
      <c r="H102" s="218" t="s">
        <v>304</v>
      </c>
      <c r="I102" s="219">
        <v>187034488582</v>
      </c>
      <c r="J102" s="219">
        <v>166346202535</v>
      </c>
      <c r="K102" s="219">
        <v>1289279816</v>
      </c>
    </row>
    <row r="103" spans="1:11" x14ac:dyDescent="0.3">
      <c r="A103" s="220">
        <v>102</v>
      </c>
      <c r="B103" s="220" t="s">
        <v>531</v>
      </c>
      <c r="C103" s="220" t="s">
        <v>532</v>
      </c>
      <c r="D103" s="220">
        <v>101598393</v>
      </c>
      <c r="E103" s="220" t="s">
        <v>533</v>
      </c>
      <c r="F103" s="220" t="s">
        <v>534</v>
      </c>
      <c r="G103" s="220" t="s">
        <v>25</v>
      </c>
      <c r="H103" s="221" t="s">
        <v>304</v>
      </c>
      <c r="I103" s="222">
        <v>1558754280956</v>
      </c>
      <c r="J103" s="222">
        <v>1371010297576</v>
      </c>
      <c r="K103" s="222">
        <v>75587002484</v>
      </c>
    </row>
    <row r="104" spans="1:11" x14ac:dyDescent="0.3">
      <c r="A104" s="220">
        <v>103</v>
      </c>
      <c r="B104" s="220" t="s">
        <v>535</v>
      </c>
      <c r="C104" s="220" t="s">
        <v>532</v>
      </c>
      <c r="D104" s="220">
        <v>101598393</v>
      </c>
      <c r="E104" s="220" t="s">
        <v>533</v>
      </c>
      <c r="F104" s="220" t="s">
        <v>536</v>
      </c>
      <c r="G104" s="220" t="s">
        <v>307</v>
      </c>
      <c r="H104" s="221" t="s">
        <v>304</v>
      </c>
      <c r="I104" s="222">
        <v>1944235149569</v>
      </c>
      <c r="J104" s="222">
        <v>1589639710925</v>
      </c>
      <c r="K104" s="222">
        <v>215857679732</v>
      </c>
    </row>
    <row r="105" spans="1:11" x14ac:dyDescent="0.3">
      <c r="A105" s="220">
        <v>104</v>
      </c>
      <c r="B105" s="220" t="s">
        <v>537</v>
      </c>
      <c r="C105" s="220" t="s">
        <v>532</v>
      </c>
      <c r="D105" s="220">
        <v>101598393</v>
      </c>
      <c r="E105" s="220" t="s">
        <v>533</v>
      </c>
      <c r="F105" s="220" t="s">
        <v>536</v>
      </c>
      <c r="G105" s="220" t="s">
        <v>309</v>
      </c>
      <c r="H105" s="221" t="s">
        <v>304</v>
      </c>
      <c r="I105" s="222">
        <v>1781056132573</v>
      </c>
      <c r="J105" s="222">
        <v>1437544556294</v>
      </c>
      <c r="K105" s="222">
        <v>240918162278</v>
      </c>
    </row>
    <row r="106" spans="1:11" x14ac:dyDescent="0.3">
      <c r="A106" s="220">
        <v>105</v>
      </c>
      <c r="B106" s="220" t="s">
        <v>538</v>
      </c>
      <c r="C106" s="220" t="s">
        <v>532</v>
      </c>
      <c r="D106" s="220">
        <v>101598393</v>
      </c>
      <c r="E106" s="220" t="s">
        <v>533</v>
      </c>
      <c r="F106" s="220" t="s">
        <v>536</v>
      </c>
      <c r="G106" s="220" t="s">
        <v>311</v>
      </c>
      <c r="H106" s="221" t="s">
        <v>304</v>
      </c>
      <c r="I106" s="222">
        <v>1969800347352</v>
      </c>
      <c r="J106" s="222">
        <v>1573130249855</v>
      </c>
      <c r="K106" s="222">
        <v>286951417907</v>
      </c>
    </row>
    <row r="107" spans="1:11" x14ac:dyDescent="0.3">
      <c r="A107" s="217">
        <v>106</v>
      </c>
      <c r="B107" s="217" t="s">
        <v>539</v>
      </c>
      <c r="C107" s="217" t="s">
        <v>540</v>
      </c>
      <c r="D107" s="217">
        <v>101601092</v>
      </c>
      <c r="E107" s="217" t="s">
        <v>541</v>
      </c>
      <c r="F107" s="217" t="s">
        <v>542</v>
      </c>
      <c r="G107" s="217" t="s">
        <v>504</v>
      </c>
      <c r="H107" s="218" t="s">
        <v>304</v>
      </c>
      <c r="I107" s="219">
        <v>2222367779202</v>
      </c>
      <c r="J107" s="219">
        <v>1561091359538</v>
      </c>
      <c r="K107" s="219">
        <v>1558198887314</v>
      </c>
    </row>
    <row r="108" spans="1:11" x14ac:dyDescent="0.3">
      <c r="A108" s="217">
        <v>107</v>
      </c>
      <c r="B108" s="217" t="s">
        <v>543</v>
      </c>
      <c r="C108" s="217" t="s">
        <v>540</v>
      </c>
      <c r="D108" s="217">
        <v>101601092</v>
      </c>
      <c r="E108" s="217" t="s">
        <v>541</v>
      </c>
      <c r="F108" s="217" t="s">
        <v>544</v>
      </c>
      <c r="G108" s="217" t="s">
        <v>25</v>
      </c>
      <c r="H108" s="218" t="s">
        <v>304</v>
      </c>
      <c r="I108" s="219">
        <v>2393803745114</v>
      </c>
      <c r="J108" s="219">
        <v>1797282377332</v>
      </c>
      <c r="K108" s="219">
        <v>1930699315646</v>
      </c>
    </row>
    <row r="109" spans="1:11" x14ac:dyDescent="0.3">
      <c r="A109" s="217">
        <v>108</v>
      </c>
      <c r="B109" s="217" t="s">
        <v>545</v>
      </c>
      <c r="C109" s="217" t="s">
        <v>540</v>
      </c>
      <c r="D109" s="217">
        <v>101601092</v>
      </c>
      <c r="E109" s="217" t="s">
        <v>541</v>
      </c>
      <c r="F109" s="217" t="s">
        <v>542</v>
      </c>
      <c r="G109" s="217" t="s">
        <v>307</v>
      </c>
      <c r="H109" s="218" t="s">
        <v>304</v>
      </c>
      <c r="I109" s="219">
        <v>3162943923770</v>
      </c>
      <c r="J109" s="219">
        <v>2315206459582</v>
      </c>
      <c r="K109" s="219">
        <v>2317930382888</v>
      </c>
    </row>
    <row r="110" spans="1:11" x14ac:dyDescent="0.3">
      <c r="A110" s="217">
        <v>109</v>
      </c>
      <c r="B110" s="217" t="s">
        <v>546</v>
      </c>
      <c r="C110" s="217" t="s">
        <v>540</v>
      </c>
      <c r="D110" s="217">
        <v>101601092</v>
      </c>
      <c r="E110" s="217" t="s">
        <v>541</v>
      </c>
      <c r="F110" s="217" t="s">
        <v>542</v>
      </c>
      <c r="G110" s="217" t="s">
        <v>309</v>
      </c>
      <c r="H110" s="218" t="s">
        <v>304</v>
      </c>
      <c r="I110" s="219">
        <v>4007890443074</v>
      </c>
      <c r="J110" s="219">
        <v>2804982879976</v>
      </c>
      <c r="K110" s="219">
        <v>2821127560424</v>
      </c>
    </row>
    <row r="111" spans="1:11" x14ac:dyDescent="0.3">
      <c r="A111" s="220">
        <v>110</v>
      </c>
      <c r="B111" s="220" t="s">
        <v>547</v>
      </c>
      <c r="C111" s="220" t="s">
        <v>548</v>
      </c>
      <c r="D111" s="220">
        <v>101639000</v>
      </c>
      <c r="E111" s="220" t="s">
        <v>549</v>
      </c>
      <c r="F111" s="220" t="s">
        <v>550</v>
      </c>
      <c r="G111" s="220" t="s">
        <v>25</v>
      </c>
      <c r="H111" s="221" t="s">
        <v>304</v>
      </c>
      <c r="I111" s="222">
        <v>1240074967818</v>
      </c>
      <c r="J111" s="222">
        <v>1163415254286</v>
      </c>
      <c r="K111" s="222">
        <v>4633992381</v>
      </c>
    </row>
    <row r="112" spans="1:11" x14ac:dyDescent="0.3">
      <c r="A112" s="220">
        <v>111</v>
      </c>
      <c r="B112" s="220" t="s">
        <v>551</v>
      </c>
      <c r="C112" s="220" t="s">
        <v>552</v>
      </c>
      <c r="D112" s="220">
        <v>101639000</v>
      </c>
      <c r="E112" s="220" t="s">
        <v>549</v>
      </c>
      <c r="F112" s="220" t="s">
        <v>553</v>
      </c>
      <c r="G112" s="220" t="s">
        <v>307</v>
      </c>
      <c r="H112" s="221" t="s">
        <v>304</v>
      </c>
      <c r="I112" s="222">
        <v>1370974824827</v>
      </c>
      <c r="J112" s="222">
        <v>1285866117940</v>
      </c>
      <c r="K112" s="222">
        <v>5843610179</v>
      </c>
    </row>
    <row r="113" spans="1:11" x14ac:dyDescent="0.3">
      <c r="A113" s="220">
        <v>112</v>
      </c>
      <c r="B113" s="220" t="s">
        <v>554</v>
      </c>
      <c r="C113" s="220" t="s">
        <v>552</v>
      </c>
      <c r="D113" s="220">
        <v>101639000</v>
      </c>
      <c r="E113" s="220" t="s">
        <v>549</v>
      </c>
      <c r="F113" s="220" t="s">
        <v>553</v>
      </c>
      <c r="G113" s="220" t="s">
        <v>309</v>
      </c>
      <c r="H113" s="221" t="s">
        <v>304</v>
      </c>
      <c r="I113" s="222">
        <v>1126985720590</v>
      </c>
      <c r="J113" s="222">
        <v>1048145524119</v>
      </c>
      <c r="K113" s="222">
        <v>-55120847277</v>
      </c>
    </row>
    <row r="114" spans="1:11" x14ac:dyDescent="0.3">
      <c r="A114" s="220">
        <v>113</v>
      </c>
      <c r="B114" s="220" t="s">
        <v>555</v>
      </c>
      <c r="C114" s="220" t="s">
        <v>552</v>
      </c>
      <c r="D114" s="220">
        <v>101639000</v>
      </c>
      <c r="E114" s="220" t="s">
        <v>549</v>
      </c>
      <c r="F114" s="220" t="s">
        <v>553</v>
      </c>
      <c r="G114" s="220" t="s">
        <v>311</v>
      </c>
      <c r="H114" s="221" t="s">
        <v>304</v>
      </c>
      <c r="I114" s="222">
        <v>955909490138</v>
      </c>
      <c r="J114" s="222">
        <v>878363532896</v>
      </c>
      <c r="K114" s="222">
        <v>5934629305</v>
      </c>
    </row>
    <row r="115" spans="1:11" x14ac:dyDescent="0.3">
      <c r="A115" s="217">
        <v>114</v>
      </c>
      <c r="B115" s="217" t="s">
        <v>556</v>
      </c>
      <c r="C115" s="217" t="s">
        <v>557</v>
      </c>
      <c r="D115" s="217">
        <v>101770848</v>
      </c>
      <c r="E115" s="217" t="s">
        <v>558</v>
      </c>
      <c r="F115" s="217" t="s">
        <v>559</v>
      </c>
      <c r="G115" s="217" t="s">
        <v>25</v>
      </c>
      <c r="H115" s="218" t="s">
        <v>472</v>
      </c>
      <c r="I115" s="219">
        <v>468158108525</v>
      </c>
      <c r="J115" s="219">
        <v>420567840344</v>
      </c>
      <c r="K115" s="219">
        <v>3112855063</v>
      </c>
    </row>
    <row r="116" spans="1:11" x14ac:dyDescent="0.3">
      <c r="A116" s="220">
        <v>115</v>
      </c>
      <c r="B116" s="220" t="s">
        <v>560</v>
      </c>
      <c r="C116" s="220" t="s">
        <v>561</v>
      </c>
      <c r="D116" s="220">
        <v>101858281</v>
      </c>
      <c r="E116" s="220" t="s">
        <v>562</v>
      </c>
      <c r="F116" s="220" t="s">
        <v>563</v>
      </c>
      <c r="G116" s="220" t="s">
        <v>362</v>
      </c>
      <c r="H116" s="221" t="s">
        <v>304</v>
      </c>
      <c r="I116" s="222">
        <v>2461574766122</v>
      </c>
      <c r="J116" s="222">
        <v>1982080897834</v>
      </c>
      <c r="K116" s="222">
        <v>180862870717</v>
      </c>
    </row>
    <row r="117" spans="1:11" x14ac:dyDescent="0.3">
      <c r="A117" s="220">
        <v>116</v>
      </c>
      <c r="B117" s="220" t="s">
        <v>564</v>
      </c>
      <c r="C117" s="220" t="s">
        <v>561</v>
      </c>
      <c r="D117" s="220">
        <v>101858281</v>
      </c>
      <c r="E117" s="220" t="s">
        <v>562</v>
      </c>
      <c r="F117" s="220" t="s">
        <v>565</v>
      </c>
      <c r="G117" s="220" t="s">
        <v>366</v>
      </c>
      <c r="H117" s="221" t="s">
        <v>304</v>
      </c>
      <c r="I117" s="222">
        <v>2967170825359</v>
      </c>
      <c r="J117" s="222">
        <v>2302063385632</v>
      </c>
      <c r="K117" s="222">
        <v>399489980496</v>
      </c>
    </row>
    <row r="118" spans="1:11" x14ac:dyDescent="0.3">
      <c r="A118" s="220">
        <v>117</v>
      </c>
      <c r="B118" s="220" t="s">
        <v>566</v>
      </c>
      <c r="C118" s="220" t="s">
        <v>561</v>
      </c>
      <c r="D118" s="220">
        <v>101858281</v>
      </c>
      <c r="E118" s="220" t="s">
        <v>562</v>
      </c>
      <c r="F118" s="220" t="s">
        <v>565</v>
      </c>
      <c r="G118" s="220" t="s">
        <v>369</v>
      </c>
      <c r="H118" s="221" t="s">
        <v>304</v>
      </c>
      <c r="I118" s="222">
        <v>2838453602178</v>
      </c>
      <c r="J118" s="222">
        <v>2183096681674</v>
      </c>
      <c r="K118" s="222">
        <v>445818505536</v>
      </c>
    </row>
    <row r="119" spans="1:11" x14ac:dyDescent="0.3">
      <c r="A119" s="220">
        <v>118</v>
      </c>
      <c r="B119" s="220" t="s">
        <v>567</v>
      </c>
      <c r="C119" s="220" t="s">
        <v>561</v>
      </c>
      <c r="D119" s="220">
        <v>101858281</v>
      </c>
      <c r="E119" s="220" t="s">
        <v>562</v>
      </c>
      <c r="F119" s="220" t="s">
        <v>565</v>
      </c>
      <c r="G119" s="220" t="s">
        <v>372</v>
      </c>
      <c r="H119" s="221" t="s">
        <v>304</v>
      </c>
      <c r="I119" s="222">
        <v>3327074933119</v>
      </c>
      <c r="J119" s="222">
        <v>2584445559690</v>
      </c>
      <c r="K119" s="222">
        <v>482155024566</v>
      </c>
    </row>
    <row r="120" spans="1:11" x14ac:dyDescent="0.3">
      <c r="A120" s="217">
        <v>119</v>
      </c>
      <c r="B120" s="217" t="s">
        <v>568</v>
      </c>
      <c r="C120" s="217" t="s">
        <v>569</v>
      </c>
      <c r="D120" s="217">
        <v>102159423</v>
      </c>
      <c r="E120" s="217" t="s">
        <v>570</v>
      </c>
      <c r="F120" s="217" t="s">
        <v>571</v>
      </c>
      <c r="G120" s="217" t="s">
        <v>25</v>
      </c>
      <c r="H120" s="218" t="s">
        <v>304</v>
      </c>
      <c r="I120" s="219">
        <v>378580541096</v>
      </c>
      <c r="J120" s="219">
        <v>345145683054</v>
      </c>
      <c r="K120" s="219">
        <v>2631384945</v>
      </c>
    </row>
    <row r="121" spans="1:11" x14ac:dyDescent="0.3">
      <c r="A121" s="217">
        <v>120</v>
      </c>
      <c r="B121" s="217" t="s">
        <v>572</v>
      </c>
      <c r="C121" s="217" t="s">
        <v>569</v>
      </c>
      <c r="D121" s="217">
        <v>102159423</v>
      </c>
      <c r="E121" s="217" t="s">
        <v>570</v>
      </c>
      <c r="F121" s="217" t="s">
        <v>573</v>
      </c>
      <c r="G121" s="217" t="s">
        <v>307</v>
      </c>
      <c r="H121" s="218" t="s">
        <v>304</v>
      </c>
      <c r="I121" s="219">
        <v>386552248102</v>
      </c>
      <c r="J121" s="219">
        <v>343641557964</v>
      </c>
      <c r="K121" s="219">
        <v>3190221862</v>
      </c>
    </row>
    <row r="122" spans="1:11" x14ac:dyDescent="0.3">
      <c r="A122" s="217">
        <v>121</v>
      </c>
      <c r="B122" s="217" t="s">
        <v>574</v>
      </c>
      <c r="C122" s="217" t="s">
        <v>569</v>
      </c>
      <c r="D122" s="217">
        <v>102159423</v>
      </c>
      <c r="E122" s="217" t="s">
        <v>570</v>
      </c>
      <c r="F122" s="217" t="s">
        <v>573</v>
      </c>
      <c r="G122" s="217" t="s">
        <v>309</v>
      </c>
      <c r="H122" s="218" t="s">
        <v>304</v>
      </c>
      <c r="I122" s="219">
        <v>349891664525</v>
      </c>
      <c r="J122" s="219">
        <v>286320595583</v>
      </c>
      <c r="K122" s="219">
        <v>5865575249</v>
      </c>
    </row>
    <row r="123" spans="1:11" x14ac:dyDescent="0.3">
      <c r="A123" s="217">
        <v>122</v>
      </c>
      <c r="B123" s="217" t="s">
        <v>575</v>
      </c>
      <c r="C123" s="217" t="s">
        <v>576</v>
      </c>
      <c r="D123" s="217">
        <v>102159423</v>
      </c>
      <c r="E123" s="217" t="s">
        <v>570</v>
      </c>
      <c r="F123" s="217" t="s">
        <v>573</v>
      </c>
      <c r="G123" s="217" t="s">
        <v>311</v>
      </c>
      <c r="H123" s="218" t="s">
        <v>304</v>
      </c>
      <c r="I123" s="219">
        <v>444668851533</v>
      </c>
      <c r="J123" s="219">
        <v>347533597868</v>
      </c>
      <c r="K123" s="219">
        <v>14092676551</v>
      </c>
    </row>
    <row r="124" spans="1:11" x14ac:dyDescent="0.3">
      <c r="A124" s="220">
        <v>123</v>
      </c>
      <c r="B124" s="220" t="s">
        <v>577</v>
      </c>
      <c r="C124" s="220" t="s">
        <v>578</v>
      </c>
      <c r="D124" s="220">
        <v>102191498</v>
      </c>
      <c r="E124" s="220" t="s">
        <v>579</v>
      </c>
      <c r="F124" s="220" t="s">
        <v>580</v>
      </c>
      <c r="G124" s="220" t="s">
        <v>25</v>
      </c>
      <c r="H124" s="221" t="s">
        <v>472</v>
      </c>
      <c r="I124" s="222">
        <v>485533564712</v>
      </c>
      <c r="J124" s="222">
        <v>417440175906</v>
      </c>
      <c r="K124" s="222">
        <v>6685993701</v>
      </c>
    </row>
    <row r="125" spans="1:11" x14ac:dyDescent="0.3">
      <c r="A125" s="220">
        <v>124</v>
      </c>
      <c r="B125" s="220" t="s">
        <v>581</v>
      </c>
      <c r="C125" s="220" t="s">
        <v>578</v>
      </c>
      <c r="D125" s="220">
        <v>102191498</v>
      </c>
      <c r="E125" s="220" t="s">
        <v>579</v>
      </c>
      <c r="F125" s="220" t="s">
        <v>582</v>
      </c>
      <c r="G125" s="220" t="s">
        <v>307</v>
      </c>
      <c r="H125" s="221" t="s">
        <v>472</v>
      </c>
      <c r="I125" s="222">
        <v>472924867884</v>
      </c>
      <c r="J125" s="222">
        <v>377559724452</v>
      </c>
      <c r="K125" s="222">
        <v>3526622368</v>
      </c>
    </row>
    <row r="126" spans="1:11" x14ac:dyDescent="0.3">
      <c r="A126" s="220">
        <v>125</v>
      </c>
      <c r="B126" s="220" t="s">
        <v>583</v>
      </c>
      <c r="C126" s="220" t="s">
        <v>578</v>
      </c>
      <c r="D126" s="220">
        <v>102191498</v>
      </c>
      <c r="E126" s="220" t="s">
        <v>579</v>
      </c>
      <c r="F126" s="220" t="s">
        <v>582</v>
      </c>
      <c r="G126" s="220" t="s">
        <v>309</v>
      </c>
      <c r="H126" s="221" t="s">
        <v>472</v>
      </c>
      <c r="I126" s="222">
        <v>510623436695</v>
      </c>
      <c r="J126" s="222">
        <v>410974336544</v>
      </c>
      <c r="K126" s="222">
        <v>5239650369</v>
      </c>
    </row>
    <row r="127" spans="1:11" x14ac:dyDescent="0.3">
      <c r="A127" s="220">
        <v>126</v>
      </c>
      <c r="B127" s="220" t="s">
        <v>584</v>
      </c>
      <c r="C127" s="220" t="s">
        <v>578</v>
      </c>
      <c r="D127" s="220">
        <v>102191498</v>
      </c>
      <c r="E127" s="220" t="s">
        <v>579</v>
      </c>
      <c r="F127" s="220" t="s">
        <v>582</v>
      </c>
      <c r="G127" s="220" t="s">
        <v>311</v>
      </c>
      <c r="H127" s="221" t="s">
        <v>472</v>
      </c>
      <c r="I127" s="222">
        <v>541472944308</v>
      </c>
      <c r="J127" s="222">
        <v>442405422199</v>
      </c>
      <c r="K127" s="222">
        <v>35142194345</v>
      </c>
    </row>
    <row r="128" spans="1:11" x14ac:dyDescent="0.3">
      <c r="A128" s="217">
        <v>127</v>
      </c>
      <c r="B128" s="217" t="s">
        <v>585</v>
      </c>
      <c r="C128" s="217" t="s">
        <v>586</v>
      </c>
      <c r="D128" s="217">
        <v>102264812</v>
      </c>
      <c r="E128" s="217" t="s">
        <v>587</v>
      </c>
      <c r="F128" s="217" t="s">
        <v>588</v>
      </c>
      <c r="G128" s="217" t="s">
        <v>25</v>
      </c>
      <c r="H128" s="218" t="s">
        <v>304</v>
      </c>
      <c r="I128" s="219">
        <v>830555780828</v>
      </c>
      <c r="J128" s="219">
        <v>807673351703</v>
      </c>
      <c r="K128" s="219">
        <v>4641065470</v>
      </c>
    </row>
    <row r="129" spans="1:11" x14ac:dyDescent="0.3">
      <c r="A129" s="217">
        <v>128</v>
      </c>
      <c r="B129" s="217" t="s">
        <v>589</v>
      </c>
      <c r="C129" s="217" t="s">
        <v>586</v>
      </c>
      <c r="D129" s="217">
        <v>102264812</v>
      </c>
      <c r="E129" s="217" t="s">
        <v>587</v>
      </c>
      <c r="F129" s="217" t="s">
        <v>590</v>
      </c>
      <c r="G129" s="217" t="s">
        <v>307</v>
      </c>
      <c r="H129" s="218" t="s">
        <v>304</v>
      </c>
      <c r="I129" s="219">
        <v>664298510262</v>
      </c>
      <c r="J129" s="219">
        <v>594334778991</v>
      </c>
      <c r="K129" s="219">
        <v>37670287407</v>
      </c>
    </row>
    <row r="130" spans="1:11" x14ac:dyDescent="0.3">
      <c r="A130" s="217">
        <v>129</v>
      </c>
      <c r="B130" s="217" t="s">
        <v>591</v>
      </c>
      <c r="C130" s="217" t="s">
        <v>586</v>
      </c>
      <c r="D130" s="217">
        <v>102264812</v>
      </c>
      <c r="E130" s="217" t="s">
        <v>587</v>
      </c>
      <c r="F130" s="217" t="s">
        <v>590</v>
      </c>
      <c r="G130" s="217" t="s">
        <v>309</v>
      </c>
      <c r="H130" s="218" t="s">
        <v>304</v>
      </c>
      <c r="I130" s="219">
        <v>1010160131668</v>
      </c>
      <c r="J130" s="219">
        <v>810204376545</v>
      </c>
      <c r="K130" s="219">
        <v>178928837822</v>
      </c>
    </row>
    <row r="131" spans="1:11" x14ac:dyDescent="0.3">
      <c r="A131" s="217">
        <v>130</v>
      </c>
      <c r="B131" s="217" t="s">
        <v>592</v>
      </c>
      <c r="C131" s="217" t="s">
        <v>593</v>
      </c>
      <c r="D131" s="217">
        <v>102264812</v>
      </c>
      <c r="E131" s="217" t="s">
        <v>587</v>
      </c>
      <c r="F131" s="217" t="s">
        <v>594</v>
      </c>
      <c r="G131" s="217" t="s">
        <v>311</v>
      </c>
      <c r="H131" s="218" t="s">
        <v>304</v>
      </c>
      <c r="I131" s="219">
        <v>1269235033380</v>
      </c>
      <c r="J131" s="219">
        <v>1022943056066</v>
      </c>
      <c r="K131" s="219">
        <v>228795120714</v>
      </c>
    </row>
    <row r="132" spans="1:11" x14ac:dyDescent="0.3">
      <c r="A132" s="220">
        <v>131</v>
      </c>
      <c r="B132" s="220" t="s">
        <v>595</v>
      </c>
      <c r="C132" s="220" t="s">
        <v>596</v>
      </c>
      <c r="D132" s="220">
        <v>102311149</v>
      </c>
      <c r="E132" s="220" t="s">
        <v>597</v>
      </c>
      <c r="F132" s="220" t="s">
        <v>598</v>
      </c>
      <c r="G132" s="220" t="s">
        <v>599</v>
      </c>
      <c r="H132" s="221" t="s">
        <v>304</v>
      </c>
      <c r="I132" s="222">
        <v>3552348417374</v>
      </c>
      <c r="J132" s="222">
        <v>3049332667590</v>
      </c>
      <c r="K132" s="222">
        <v>14429097464</v>
      </c>
    </row>
    <row r="133" spans="1:11" x14ac:dyDescent="0.3">
      <c r="A133" s="220">
        <v>132</v>
      </c>
      <c r="B133" s="220" t="s">
        <v>600</v>
      </c>
      <c r="C133" s="220" t="s">
        <v>596</v>
      </c>
      <c r="D133" s="220">
        <v>102311149</v>
      </c>
      <c r="E133" s="220" t="s">
        <v>597</v>
      </c>
      <c r="F133" s="220" t="s">
        <v>598</v>
      </c>
      <c r="G133" s="220" t="s">
        <v>601</v>
      </c>
      <c r="H133" s="221" t="s">
        <v>304</v>
      </c>
      <c r="I133" s="222">
        <v>4054934391286</v>
      </c>
      <c r="J133" s="222">
        <v>3561799671986</v>
      </c>
      <c r="K133" s="222">
        <v>15076624483</v>
      </c>
    </row>
    <row r="134" spans="1:11" x14ac:dyDescent="0.3">
      <c r="A134" s="220">
        <v>133</v>
      </c>
      <c r="B134" s="220" t="s">
        <v>602</v>
      </c>
      <c r="C134" s="220" t="s">
        <v>596</v>
      </c>
      <c r="D134" s="220">
        <v>102311149</v>
      </c>
      <c r="E134" s="220" t="s">
        <v>597</v>
      </c>
      <c r="F134" s="220" t="s">
        <v>603</v>
      </c>
      <c r="G134" s="220" t="s">
        <v>25</v>
      </c>
      <c r="H134" s="221" t="s">
        <v>304</v>
      </c>
      <c r="I134" s="222">
        <v>4079425418438</v>
      </c>
      <c r="J134" s="222">
        <v>3668492665969</v>
      </c>
      <c r="K134" s="222">
        <v>18620203536</v>
      </c>
    </row>
    <row r="135" spans="1:11" x14ac:dyDescent="0.3">
      <c r="A135" s="220">
        <v>134</v>
      </c>
      <c r="B135" s="220" t="s">
        <v>604</v>
      </c>
      <c r="C135" s="220" t="s">
        <v>596</v>
      </c>
      <c r="D135" s="220">
        <v>102311149</v>
      </c>
      <c r="E135" s="220" t="s">
        <v>597</v>
      </c>
      <c r="F135" s="220" t="s">
        <v>598</v>
      </c>
      <c r="G135" s="220" t="s">
        <v>307</v>
      </c>
      <c r="H135" s="221" t="s">
        <v>304</v>
      </c>
      <c r="I135" s="222">
        <v>4601402944488</v>
      </c>
      <c r="J135" s="222">
        <v>4185883383478</v>
      </c>
      <c r="K135" s="222">
        <v>20625503015</v>
      </c>
    </row>
    <row r="136" spans="1:11" x14ac:dyDescent="0.3">
      <c r="A136" s="220">
        <v>135</v>
      </c>
      <c r="B136" s="220" t="s">
        <v>605</v>
      </c>
      <c r="C136" s="220" t="s">
        <v>606</v>
      </c>
      <c r="D136" s="220">
        <v>102311149</v>
      </c>
      <c r="E136" s="220" t="s">
        <v>597</v>
      </c>
      <c r="F136" s="220" t="s">
        <v>607</v>
      </c>
      <c r="G136" s="220" t="s">
        <v>309</v>
      </c>
      <c r="H136" s="221" t="s">
        <v>304</v>
      </c>
      <c r="I136" s="222">
        <v>4441965085354</v>
      </c>
      <c r="J136" s="222">
        <v>3959702437791</v>
      </c>
      <c r="K136" s="222">
        <v>1320589096</v>
      </c>
    </row>
    <row r="137" spans="1:11" x14ac:dyDescent="0.3">
      <c r="A137" s="220">
        <v>136</v>
      </c>
      <c r="B137" s="220" t="s">
        <v>608</v>
      </c>
      <c r="C137" s="220" t="s">
        <v>596</v>
      </c>
      <c r="D137" s="220">
        <v>102311149</v>
      </c>
      <c r="E137" s="220" t="s">
        <v>597</v>
      </c>
      <c r="F137" s="220" t="s">
        <v>609</v>
      </c>
      <c r="G137" s="220" t="s">
        <v>311</v>
      </c>
      <c r="H137" s="221" t="s">
        <v>304</v>
      </c>
      <c r="I137" s="222">
        <v>5248084168978</v>
      </c>
      <c r="J137" s="222">
        <v>4755181707675</v>
      </c>
      <c r="K137" s="222">
        <v>15897709762</v>
      </c>
    </row>
    <row r="138" spans="1:11" x14ac:dyDescent="0.3">
      <c r="A138" s="217">
        <v>137</v>
      </c>
      <c r="B138" s="217" t="s">
        <v>610</v>
      </c>
      <c r="C138" s="217" t="s">
        <v>611</v>
      </c>
      <c r="D138" s="217">
        <v>102331787</v>
      </c>
      <c r="E138" s="217" t="s">
        <v>324</v>
      </c>
      <c r="F138" s="217" t="s">
        <v>612</v>
      </c>
      <c r="G138" s="217" t="s">
        <v>25</v>
      </c>
      <c r="H138" s="218" t="s">
        <v>304</v>
      </c>
      <c r="I138" s="219">
        <v>424228472463</v>
      </c>
      <c r="J138" s="219">
        <v>355355619782</v>
      </c>
      <c r="K138" s="219">
        <v>22628020619</v>
      </c>
    </row>
    <row r="139" spans="1:11" x14ac:dyDescent="0.3">
      <c r="A139" s="217">
        <v>138</v>
      </c>
      <c r="B139" s="217" t="s">
        <v>613</v>
      </c>
      <c r="C139" s="217" t="s">
        <v>611</v>
      </c>
      <c r="D139" s="217">
        <v>102331787</v>
      </c>
      <c r="E139" s="217" t="s">
        <v>324</v>
      </c>
      <c r="F139" s="217" t="s">
        <v>614</v>
      </c>
      <c r="G139" s="217" t="s">
        <v>307</v>
      </c>
      <c r="H139" s="218" t="s">
        <v>304</v>
      </c>
      <c r="I139" s="219">
        <v>639014451708</v>
      </c>
      <c r="J139" s="219">
        <v>537623843565</v>
      </c>
      <c r="K139" s="219">
        <v>46366178195</v>
      </c>
    </row>
    <row r="140" spans="1:11" x14ac:dyDescent="0.3">
      <c r="A140" s="217">
        <v>139</v>
      </c>
      <c r="B140" s="217" t="s">
        <v>615</v>
      </c>
      <c r="C140" s="217" t="s">
        <v>611</v>
      </c>
      <c r="D140" s="217">
        <v>102331787</v>
      </c>
      <c r="E140" s="217" t="s">
        <v>324</v>
      </c>
      <c r="F140" s="217" t="s">
        <v>614</v>
      </c>
      <c r="G140" s="217" t="s">
        <v>309</v>
      </c>
      <c r="H140" s="218" t="s">
        <v>304</v>
      </c>
      <c r="I140" s="219">
        <v>443837542143</v>
      </c>
      <c r="J140" s="219">
        <v>367165730117</v>
      </c>
      <c r="K140" s="219">
        <v>38548727540</v>
      </c>
    </row>
    <row r="141" spans="1:11" x14ac:dyDescent="0.3">
      <c r="A141" s="217">
        <v>140</v>
      </c>
      <c r="B141" s="217" t="s">
        <v>616</v>
      </c>
      <c r="C141" s="217" t="s">
        <v>611</v>
      </c>
      <c r="D141" s="217">
        <v>102331787</v>
      </c>
      <c r="E141" s="217" t="s">
        <v>324</v>
      </c>
      <c r="F141" s="217" t="s">
        <v>614</v>
      </c>
      <c r="G141" s="217" t="s">
        <v>311</v>
      </c>
      <c r="H141" s="218" t="s">
        <v>304</v>
      </c>
      <c r="I141" s="219">
        <v>388379888742</v>
      </c>
      <c r="J141" s="219">
        <v>318204507099</v>
      </c>
      <c r="K141" s="219">
        <v>26822505145</v>
      </c>
    </row>
    <row r="142" spans="1:11" x14ac:dyDescent="0.3">
      <c r="A142" s="220">
        <v>141</v>
      </c>
      <c r="B142" s="220" t="s">
        <v>617</v>
      </c>
      <c r="C142" s="220" t="s">
        <v>618</v>
      </c>
      <c r="D142" s="220">
        <v>102625829</v>
      </c>
      <c r="E142" s="220" t="s">
        <v>619</v>
      </c>
      <c r="F142" s="220" t="s">
        <v>620</v>
      </c>
      <c r="G142" s="220" t="s">
        <v>504</v>
      </c>
      <c r="H142" s="221" t="s">
        <v>304</v>
      </c>
      <c r="I142" s="222">
        <v>931962421085</v>
      </c>
      <c r="J142" s="222">
        <v>883621404688</v>
      </c>
      <c r="K142" s="222">
        <v>560926401</v>
      </c>
    </row>
    <row r="143" spans="1:11" x14ac:dyDescent="0.3">
      <c r="A143" s="220">
        <v>142</v>
      </c>
      <c r="B143" s="220" t="s">
        <v>621</v>
      </c>
      <c r="C143" s="220" t="s">
        <v>618</v>
      </c>
      <c r="D143" s="220">
        <v>102625829</v>
      </c>
      <c r="E143" s="220" t="s">
        <v>619</v>
      </c>
      <c r="F143" s="220" t="s">
        <v>620</v>
      </c>
      <c r="G143" s="220" t="s">
        <v>25</v>
      </c>
      <c r="H143" s="221" t="s">
        <v>304</v>
      </c>
      <c r="I143" s="222">
        <v>1366281236829</v>
      </c>
      <c r="J143" s="222">
        <v>1291204196188</v>
      </c>
      <c r="K143" s="222">
        <v>1016622187</v>
      </c>
    </row>
    <row r="144" spans="1:11" x14ac:dyDescent="0.3">
      <c r="A144" s="220">
        <v>143</v>
      </c>
      <c r="B144" s="220" t="s">
        <v>622</v>
      </c>
      <c r="C144" s="220" t="s">
        <v>618</v>
      </c>
      <c r="D144" s="220">
        <v>102625829</v>
      </c>
      <c r="E144" s="220" t="s">
        <v>619</v>
      </c>
      <c r="F144" s="220" t="s">
        <v>620</v>
      </c>
      <c r="G144" s="220" t="s">
        <v>307</v>
      </c>
      <c r="H144" s="221" t="s">
        <v>304</v>
      </c>
      <c r="I144" s="222">
        <v>1306225281812</v>
      </c>
      <c r="J144" s="222">
        <v>1194657343305</v>
      </c>
      <c r="K144" s="222">
        <v>476076902</v>
      </c>
    </row>
    <row r="145" spans="1:11" x14ac:dyDescent="0.3">
      <c r="A145" s="220">
        <v>144</v>
      </c>
      <c r="B145" s="220" t="s">
        <v>623</v>
      </c>
      <c r="C145" s="220" t="s">
        <v>618</v>
      </c>
      <c r="D145" s="220">
        <v>102625829</v>
      </c>
      <c r="E145" s="220" t="s">
        <v>619</v>
      </c>
      <c r="F145" s="220" t="s">
        <v>624</v>
      </c>
      <c r="G145" s="220" t="s">
        <v>309</v>
      </c>
      <c r="H145" s="221" t="s">
        <v>304</v>
      </c>
      <c r="I145" s="222">
        <v>1039945497136</v>
      </c>
      <c r="J145" s="222">
        <v>959551499370</v>
      </c>
      <c r="K145" s="222">
        <v>1130326069</v>
      </c>
    </row>
    <row r="146" spans="1:11" x14ac:dyDescent="0.3">
      <c r="A146" s="220">
        <v>145</v>
      </c>
      <c r="B146" s="220" t="s">
        <v>625</v>
      </c>
      <c r="C146" s="220" t="s">
        <v>618</v>
      </c>
      <c r="D146" s="220">
        <v>102625829</v>
      </c>
      <c r="E146" s="220" t="s">
        <v>619</v>
      </c>
      <c r="F146" s="220" t="s">
        <v>624</v>
      </c>
      <c r="G146" s="220" t="s">
        <v>311</v>
      </c>
      <c r="H146" s="221" t="s">
        <v>304</v>
      </c>
      <c r="I146" s="222">
        <v>1290030666782</v>
      </c>
      <c r="J146" s="222">
        <v>1180020872582</v>
      </c>
      <c r="K146" s="222">
        <v>2778015766</v>
      </c>
    </row>
    <row r="147" spans="1:11" x14ac:dyDescent="0.3">
      <c r="A147" s="217">
        <v>146</v>
      </c>
      <c r="B147" s="217" t="s">
        <v>626</v>
      </c>
      <c r="C147" s="217" t="s">
        <v>627</v>
      </c>
      <c r="D147" s="217">
        <v>102655453</v>
      </c>
      <c r="E147" s="217" t="s">
        <v>628</v>
      </c>
      <c r="F147" s="217" t="s">
        <v>629</v>
      </c>
      <c r="G147" s="217" t="s">
        <v>362</v>
      </c>
      <c r="H147" s="218" t="s">
        <v>304</v>
      </c>
      <c r="I147" s="219">
        <v>11086668404000</v>
      </c>
      <c r="J147" s="219">
        <v>10560459313000</v>
      </c>
      <c r="K147" s="219">
        <v>389819546000</v>
      </c>
    </row>
    <row r="148" spans="1:11" x14ac:dyDescent="0.3">
      <c r="A148" s="217">
        <v>147</v>
      </c>
      <c r="B148" s="217" t="s">
        <v>630</v>
      </c>
      <c r="C148" s="217" t="s">
        <v>627</v>
      </c>
      <c r="D148" s="217">
        <v>102655453</v>
      </c>
      <c r="E148" s="217" t="s">
        <v>628</v>
      </c>
      <c r="F148" s="217" t="s">
        <v>631</v>
      </c>
      <c r="G148" s="217" t="s">
        <v>366</v>
      </c>
      <c r="H148" s="218" t="s">
        <v>304</v>
      </c>
      <c r="I148" s="219">
        <v>12192348762000</v>
      </c>
      <c r="J148" s="219">
        <v>11789307035000</v>
      </c>
      <c r="K148" s="219">
        <v>203450918000</v>
      </c>
    </row>
    <row r="149" spans="1:11" x14ac:dyDescent="0.3">
      <c r="A149" s="217">
        <v>148</v>
      </c>
      <c r="B149" s="217" t="s">
        <v>632</v>
      </c>
      <c r="C149" s="217" t="s">
        <v>627</v>
      </c>
      <c r="D149" s="217">
        <v>102655453</v>
      </c>
      <c r="E149" s="217" t="s">
        <v>628</v>
      </c>
      <c r="F149" s="217" t="s">
        <v>631</v>
      </c>
      <c r="G149" s="217" t="s">
        <v>369</v>
      </c>
      <c r="H149" s="218" t="s">
        <v>304</v>
      </c>
      <c r="I149" s="219">
        <v>10763413954000</v>
      </c>
      <c r="J149" s="219">
        <v>10183695601000</v>
      </c>
      <c r="K149" s="219">
        <v>411910028000</v>
      </c>
    </row>
    <row r="150" spans="1:11" x14ac:dyDescent="0.3">
      <c r="A150" s="217">
        <v>149</v>
      </c>
      <c r="B150" s="217" t="s">
        <v>633</v>
      </c>
      <c r="C150" s="217" t="s">
        <v>627</v>
      </c>
      <c r="D150" s="217">
        <v>102655453</v>
      </c>
      <c r="E150" s="217" t="s">
        <v>628</v>
      </c>
      <c r="F150" s="217" t="s">
        <v>631</v>
      </c>
      <c r="G150" s="217" t="s">
        <v>372</v>
      </c>
      <c r="H150" s="218" t="s">
        <v>304</v>
      </c>
      <c r="I150" s="219">
        <v>12550808990000</v>
      </c>
      <c r="J150" s="219">
        <v>11985679218000</v>
      </c>
      <c r="K150" s="219">
        <v>411513183000</v>
      </c>
    </row>
    <row r="151" spans="1:11" x14ac:dyDescent="0.3">
      <c r="A151" s="220">
        <v>150</v>
      </c>
      <c r="B151" s="220" t="s">
        <v>634</v>
      </c>
      <c r="C151" s="220" t="s">
        <v>635</v>
      </c>
      <c r="D151" s="220">
        <v>102712091</v>
      </c>
      <c r="E151" s="220" t="s">
        <v>636</v>
      </c>
      <c r="F151" s="220" t="s">
        <v>637</v>
      </c>
      <c r="G151" s="220" t="s">
        <v>25</v>
      </c>
      <c r="H151" s="221" t="s">
        <v>304</v>
      </c>
      <c r="I151" s="222">
        <v>1088945440000</v>
      </c>
      <c r="J151" s="222">
        <v>1063830474858</v>
      </c>
      <c r="K151" s="222">
        <v>22145799226</v>
      </c>
    </row>
    <row r="152" spans="1:11" x14ac:dyDescent="0.3">
      <c r="A152" s="220">
        <v>151</v>
      </c>
      <c r="B152" s="220" t="s">
        <v>638</v>
      </c>
      <c r="C152" s="220" t="s">
        <v>635</v>
      </c>
      <c r="D152" s="220">
        <v>102712091</v>
      </c>
      <c r="E152" s="220" t="s">
        <v>636</v>
      </c>
      <c r="F152" s="220" t="s">
        <v>639</v>
      </c>
      <c r="G152" s="220" t="s">
        <v>307</v>
      </c>
      <c r="H152" s="221" t="s">
        <v>304</v>
      </c>
      <c r="I152" s="222">
        <v>203715631885</v>
      </c>
      <c r="J152" s="222">
        <v>195872580129</v>
      </c>
      <c r="K152" s="222">
        <v>5117209627</v>
      </c>
    </row>
    <row r="153" spans="1:11" x14ac:dyDescent="0.3">
      <c r="A153" s="220">
        <v>152</v>
      </c>
      <c r="B153" s="220" t="s">
        <v>640</v>
      </c>
      <c r="C153" s="220" t="s">
        <v>635</v>
      </c>
      <c r="D153" s="220">
        <v>102712091</v>
      </c>
      <c r="E153" s="220" t="s">
        <v>636</v>
      </c>
      <c r="F153" s="220" t="s">
        <v>639</v>
      </c>
      <c r="G153" s="220" t="s">
        <v>309</v>
      </c>
      <c r="H153" s="221" t="s">
        <v>304</v>
      </c>
      <c r="I153" s="222">
        <v>133289958237</v>
      </c>
      <c r="J153" s="222">
        <v>127286958237</v>
      </c>
      <c r="K153" s="222">
        <v>2563809669</v>
      </c>
    </row>
    <row r="154" spans="1:11" x14ac:dyDescent="0.3">
      <c r="A154" s="220">
        <v>153</v>
      </c>
      <c r="B154" s="220" t="s">
        <v>641</v>
      </c>
      <c r="C154" s="220" t="s">
        <v>635</v>
      </c>
      <c r="D154" s="220">
        <v>102712091</v>
      </c>
      <c r="E154" s="220" t="s">
        <v>636</v>
      </c>
      <c r="F154" s="220" t="s">
        <v>639</v>
      </c>
      <c r="G154" s="220" t="s">
        <v>311</v>
      </c>
      <c r="H154" s="221" t="s">
        <v>304</v>
      </c>
      <c r="I154" s="222">
        <v>191231014742</v>
      </c>
      <c r="J154" s="222">
        <v>187131034774</v>
      </c>
      <c r="K154" s="222">
        <v>15293561938</v>
      </c>
    </row>
    <row r="155" spans="1:11" x14ac:dyDescent="0.3">
      <c r="A155" s="217">
        <v>154</v>
      </c>
      <c r="B155" s="217" t="s">
        <v>642</v>
      </c>
      <c r="C155" s="217" t="s">
        <v>643</v>
      </c>
      <c r="D155" s="217">
        <v>103240765</v>
      </c>
      <c r="E155" s="217" t="s">
        <v>644</v>
      </c>
      <c r="F155" s="217" t="s">
        <v>645</v>
      </c>
      <c r="G155" s="217" t="s">
        <v>25</v>
      </c>
      <c r="H155" s="218" t="s">
        <v>472</v>
      </c>
      <c r="I155" s="219">
        <v>696441939806</v>
      </c>
      <c r="J155" s="219">
        <v>620995994868</v>
      </c>
      <c r="K155" s="219">
        <v>2333401155</v>
      </c>
    </row>
    <row r="156" spans="1:11" x14ac:dyDescent="0.3">
      <c r="A156" s="217">
        <v>155</v>
      </c>
      <c r="B156" s="217" t="s">
        <v>646</v>
      </c>
      <c r="C156" s="217" t="s">
        <v>643</v>
      </c>
      <c r="D156" s="217">
        <v>103240765</v>
      </c>
      <c r="E156" s="217" t="s">
        <v>644</v>
      </c>
      <c r="F156" s="217" t="s">
        <v>647</v>
      </c>
      <c r="G156" s="217" t="s">
        <v>307</v>
      </c>
      <c r="H156" s="218" t="s">
        <v>472</v>
      </c>
      <c r="I156" s="219">
        <v>687897196842</v>
      </c>
      <c r="J156" s="219">
        <v>611257080638</v>
      </c>
      <c r="K156" s="219">
        <v>1962191497</v>
      </c>
    </row>
    <row r="157" spans="1:11" x14ac:dyDescent="0.3">
      <c r="A157" s="217">
        <v>156</v>
      </c>
      <c r="B157" s="217" t="s">
        <v>648</v>
      </c>
      <c r="C157" s="217" t="s">
        <v>643</v>
      </c>
      <c r="D157" s="217">
        <v>103240765</v>
      </c>
      <c r="E157" s="217" t="s">
        <v>644</v>
      </c>
      <c r="F157" s="217" t="s">
        <v>647</v>
      </c>
      <c r="G157" s="217" t="s">
        <v>309</v>
      </c>
      <c r="H157" s="218" t="s">
        <v>472</v>
      </c>
      <c r="I157" s="219">
        <v>831060181759</v>
      </c>
      <c r="J157" s="219">
        <v>771510545070</v>
      </c>
      <c r="K157" s="219">
        <v>2249873268</v>
      </c>
    </row>
    <row r="158" spans="1:11" x14ac:dyDescent="0.3">
      <c r="A158" s="217">
        <v>157</v>
      </c>
      <c r="B158" s="217" t="s">
        <v>649</v>
      </c>
      <c r="C158" s="217" t="s">
        <v>643</v>
      </c>
      <c r="D158" s="217">
        <v>103240765</v>
      </c>
      <c r="E158" s="217" t="s">
        <v>644</v>
      </c>
      <c r="F158" s="217" t="s">
        <v>650</v>
      </c>
      <c r="G158" s="217" t="s">
        <v>311</v>
      </c>
      <c r="H158" s="218" t="s">
        <v>472</v>
      </c>
      <c r="I158" s="219">
        <v>923559262390</v>
      </c>
      <c r="J158" s="219">
        <v>843971009948</v>
      </c>
      <c r="K158" s="219">
        <v>8035867190</v>
      </c>
    </row>
    <row r="159" spans="1:11" x14ac:dyDescent="0.3">
      <c r="A159" s="220">
        <v>158</v>
      </c>
      <c r="B159" s="220" t="s">
        <v>651</v>
      </c>
      <c r="C159" s="220" t="s">
        <v>652</v>
      </c>
      <c r="D159" s="220">
        <v>103711478</v>
      </c>
      <c r="E159" s="220" t="s">
        <v>653</v>
      </c>
      <c r="F159" s="220" t="s">
        <v>654</v>
      </c>
      <c r="G159" s="220" t="s">
        <v>25</v>
      </c>
      <c r="H159" s="221" t="s">
        <v>304</v>
      </c>
      <c r="I159" s="222">
        <v>4416824916083</v>
      </c>
      <c r="J159" s="222">
        <v>4265845326657</v>
      </c>
      <c r="K159" s="222">
        <v>61240870853</v>
      </c>
    </row>
    <row r="160" spans="1:11" x14ac:dyDescent="0.3">
      <c r="A160" s="220">
        <v>159</v>
      </c>
      <c r="B160" s="220" t="s">
        <v>655</v>
      </c>
      <c r="C160" s="220" t="s">
        <v>652</v>
      </c>
      <c r="D160" s="220">
        <v>103711478</v>
      </c>
      <c r="E160" s="220" t="s">
        <v>653</v>
      </c>
      <c r="F160" s="220" t="s">
        <v>656</v>
      </c>
      <c r="G160" s="220" t="s">
        <v>307</v>
      </c>
      <c r="H160" s="221" t="s">
        <v>304</v>
      </c>
      <c r="I160" s="222">
        <v>3601337400852</v>
      </c>
      <c r="J160" s="222">
        <v>3451924036563</v>
      </c>
      <c r="K160" s="222">
        <v>11070263332</v>
      </c>
    </row>
    <row r="161" spans="1:11" x14ac:dyDescent="0.3">
      <c r="A161" s="220">
        <v>160</v>
      </c>
      <c r="B161" s="220" t="s">
        <v>657</v>
      </c>
      <c r="C161" s="220" t="s">
        <v>652</v>
      </c>
      <c r="D161" s="220">
        <v>103711478</v>
      </c>
      <c r="E161" s="220" t="s">
        <v>653</v>
      </c>
      <c r="F161" s="220" t="s">
        <v>656</v>
      </c>
      <c r="G161" s="220" t="s">
        <v>309</v>
      </c>
      <c r="H161" s="221" t="s">
        <v>304</v>
      </c>
      <c r="I161" s="222">
        <v>5141086503625</v>
      </c>
      <c r="J161" s="222">
        <v>4828352288861</v>
      </c>
      <c r="K161" s="222">
        <v>118499723191</v>
      </c>
    </row>
    <row r="162" spans="1:11" x14ac:dyDescent="0.3">
      <c r="A162" s="220">
        <v>161</v>
      </c>
      <c r="B162" s="220" t="s">
        <v>658</v>
      </c>
      <c r="C162" s="220" t="s">
        <v>652</v>
      </c>
      <c r="D162" s="220">
        <v>103711478</v>
      </c>
      <c r="E162" s="220" t="s">
        <v>653</v>
      </c>
      <c r="F162" s="220" t="s">
        <v>659</v>
      </c>
      <c r="G162" s="220" t="s">
        <v>311</v>
      </c>
      <c r="H162" s="221" t="s">
        <v>304</v>
      </c>
      <c r="I162" s="222">
        <v>10791555449503</v>
      </c>
      <c r="J162" s="222">
        <v>10260765202320</v>
      </c>
      <c r="K162" s="222">
        <v>370069500844</v>
      </c>
    </row>
    <row r="163" spans="1:11" x14ac:dyDescent="0.3">
      <c r="A163" s="217">
        <v>162</v>
      </c>
      <c r="B163" s="217" t="s">
        <v>660</v>
      </c>
      <c r="C163" s="217" t="s">
        <v>661</v>
      </c>
      <c r="D163" s="217">
        <v>103769372</v>
      </c>
      <c r="E163" s="217" t="s">
        <v>491</v>
      </c>
      <c r="F163" s="217" t="s">
        <v>662</v>
      </c>
      <c r="G163" s="217" t="s">
        <v>25</v>
      </c>
      <c r="H163" s="218" t="s">
        <v>304</v>
      </c>
      <c r="I163" s="219">
        <v>551349097561</v>
      </c>
      <c r="J163" s="219">
        <v>469518543982</v>
      </c>
      <c r="K163" s="219">
        <v>6361618547</v>
      </c>
    </row>
    <row r="164" spans="1:11" x14ac:dyDescent="0.3">
      <c r="A164" s="217">
        <v>163</v>
      </c>
      <c r="B164" s="217" t="s">
        <v>663</v>
      </c>
      <c r="C164" s="217" t="s">
        <v>661</v>
      </c>
      <c r="D164" s="217">
        <v>103769372</v>
      </c>
      <c r="E164" s="217" t="s">
        <v>491</v>
      </c>
      <c r="F164" s="217" t="s">
        <v>664</v>
      </c>
      <c r="G164" s="217" t="s">
        <v>307</v>
      </c>
      <c r="H164" s="218" t="s">
        <v>304</v>
      </c>
      <c r="I164" s="219">
        <v>598325085650</v>
      </c>
      <c r="J164" s="219">
        <v>523801747801</v>
      </c>
      <c r="K164" s="219">
        <v>6239251825</v>
      </c>
    </row>
    <row r="165" spans="1:11" x14ac:dyDescent="0.3">
      <c r="A165" s="217">
        <v>164</v>
      </c>
      <c r="B165" s="217" t="s">
        <v>665</v>
      </c>
      <c r="C165" s="217" t="s">
        <v>661</v>
      </c>
      <c r="D165" s="217">
        <v>103769372</v>
      </c>
      <c r="E165" s="217" t="s">
        <v>491</v>
      </c>
      <c r="F165" s="217" t="s">
        <v>664</v>
      </c>
      <c r="G165" s="217" t="s">
        <v>309</v>
      </c>
      <c r="H165" s="218" t="s">
        <v>304</v>
      </c>
      <c r="I165" s="219">
        <v>552214029986</v>
      </c>
      <c r="J165" s="219">
        <v>518409620533</v>
      </c>
      <c r="K165" s="219">
        <v>8335955664</v>
      </c>
    </row>
    <row r="166" spans="1:11" x14ac:dyDescent="0.3">
      <c r="A166" s="217">
        <v>165</v>
      </c>
      <c r="B166" s="217" t="s">
        <v>666</v>
      </c>
      <c r="C166" s="217" t="s">
        <v>661</v>
      </c>
      <c r="D166" s="217">
        <v>103769372</v>
      </c>
      <c r="E166" s="217" t="s">
        <v>491</v>
      </c>
      <c r="F166" s="217" t="s">
        <v>664</v>
      </c>
      <c r="G166" s="217" t="s">
        <v>311</v>
      </c>
      <c r="H166" s="218" t="s">
        <v>304</v>
      </c>
      <c r="I166" s="219">
        <v>643070362136</v>
      </c>
      <c r="J166" s="219">
        <v>593037688638</v>
      </c>
      <c r="K166" s="219">
        <v>12146127261</v>
      </c>
    </row>
    <row r="167" spans="1:11" x14ac:dyDescent="0.3">
      <c r="A167" s="220">
        <v>166</v>
      </c>
      <c r="B167" s="220" t="s">
        <v>667</v>
      </c>
      <c r="C167" s="220" t="s">
        <v>668</v>
      </c>
      <c r="D167" s="220">
        <v>104141407</v>
      </c>
      <c r="E167" s="220" t="s">
        <v>669</v>
      </c>
      <c r="F167" s="220" t="s">
        <v>670</v>
      </c>
      <c r="G167" s="220" t="s">
        <v>601</v>
      </c>
      <c r="H167" s="221" t="s">
        <v>472</v>
      </c>
      <c r="I167" s="222">
        <v>159474084496</v>
      </c>
      <c r="J167" s="222">
        <v>149044227625</v>
      </c>
      <c r="K167" s="222">
        <v>1297469316</v>
      </c>
    </row>
    <row r="168" spans="1:11" x14ac:dyDescent="0.3">
      <c r="A168" s="220">
        <v>167</v>
      </c>
      <c r="B168" s="220" t="s">
        <v>671</v>
      </c>
      <c r="C168" s="220" t="s">
        <v>668</v>
      </c>
      <c r="D168" s="220">
        <v>104141407</v>
      </c>
      <c r="E168" s="220" t="s">
        <v>669</v>
      </c>
      <c r="F168" s="220" t="s">
        <v>670</v>
      </c>
      <c r="G168" s="220" t="s">
        <v>501</v>
      </c>
      <c r="H168" s="221" t="s">
        <v>472</v>
      </c>
      <c r="I168" s="222">
        <v>243845593554</v>
      </c>
      <c r="J168" s="222">
        <v>228474853155</v>
      </c>
      <c r="K168" s="222">
        <v>1777097878</v>
      </c>
    </row>
    <row r="169" spans="1:11" x14ac:dyDescent="0.3">
      <c r="A169" s="220">
        <v>168</v>
      </c>
      <c r="B169" s="220" t="s">
        <v>672</v>
      </c>
      <c r="C169" s="220" t="s">
        <v>668</v>
      </c>
      <c r="D169" s="220">
        <v>104141407</v>
      </c>
      <c r="E169" s="220" t="s">
        <v>669</v>
      </c>
      <c r="F169" s="220" t="s">
        <v>670</v>
      </c>
      <c r="G169" s="220" t="s">
        <v>504</v>
      </c>
      <c r="H169" s="221" t="s">
        <v>472</v>
      </c>
      <c r="I169" s="222">
        <v>175571052165</v>
      </c>
      <c r="J169" s="222">
        <v>160479590124</v>
      </c>
      <c r="K169" s="222">
        <v>1307216705</v>
      </c>
    </row>
    <row r="170" spans="1:11" x14ac:dyDescent="0.3">
      <c r="A170" s="220">
        <v>169</v>
      </c>
      <c r="B170" s="220" t="s">
        <v>673</v>
      </c>
      <c r="C170" s="220" t="s">
        <v>668</v>
      </c>
      <c r="D170" s="220">
        <v>104141407</v>
      </c>
      <c r="E170" s="220" t="s">
        <v>669</v>
      </c>
      <c r="F170" s="220" t="s">
        <v>670</v>
      </c>
      <c r="G170" s="220" t="s">
        <v>25</v>
      </c>
      <c r="H170" s="221" t="s">
        <v>472</v>
      </c>
      <c r="I170" s="222">
        <v>215740210865</v>
      </c>
      <c r="J170" s="222">
        <v>202480111956</v>
      </c>
      <c r="K170" s="222">
        <v>1312850975</v>
      </c>
    </row>
    <row r="171" spans="1:11" x14ac:dyDescent="0.3">
      <c r="A171" s="220">
        <v>170</v>
      </c>
      <c r="B171" s="220" t="s">
        <v>674</v>
      </c>
      <c r="C171" s="220" t="s">
        <v>668</v>
      </c>
      <c r="D171" s="220">
        <v>104141407</v>
      </c>
      <c r="E171" s="220" t="s">
        <v>669</v>
      </c>
      <c r="F171" s="220" t="s">
        <v>675</v>
      </c>
      <c r="G171" s="220" t="s">
        <v>307</v>
      </c>
      <c r="H171" s="221" t="s">
        <v>472</v>
      </c>
      <c r="I171" s="222">
        <v>124268734608</v>
      </c>
      <c r="J171" s="222">
        <v>109448313016</v>
      </c>
      <c r="K171" s="222">
        <v>1084399654</v>
      </c>
    </row>
    <row r="172" spans="1:11" x14ac:dyDescent="0.3">
      <c r="A172" s="220">
        <v>171</v>
      </c>
      <c r="B172" s="220" t="s">
        <v>676</v>
      </c>
      <c r="C172" s="220" t="s">
        <v>668</v>
      </c>
      <c r="D172" s="220">
        <v>104141407</v>
      </c>
      <c r="E172" s="220" t="s">
        <v>669</v>
      </c>
      <c r="F172" s="220" t="s">
        <v>675</v>
      </c>
      <c r="G172" s="220" t="s">
        <v>309</v>
      </c>
      <c r="H172" s="221" t="s">
        <v>472</v>
      </c>
      <c r="I172" s="222">
        <v>103633379995</v>
      </c>
      <c r="J172" s="222">
        <v>93970730911</v>
      </c>
      <c r="K172" s="222">
        <v>-3441970939</v>
      </c>
    </row>
    <row r="173" spans="1:11" x14ac:dyDescent="0.3">
      <c r="A173" s="220">
        <v>172</v>
      </c>
      <c r="B173" s="220" t="s">
        <v>677</v>
      </c>
      <c r="C173" s="220" t="s">
        <v>668</v>
      </c>
      <c r="D173" s="220">
        <v>104141407</v>
      </c>
      <c r="E173" s="220" t="s">
        <v>669</v>
      </c>
      <c r="F173" s="220" t="s">
        <v>678</v>
      </c>
      <c r="G173" s="220" t="s">
        <v>311</v>
      </c>
      <c r="H173" s="221" t="s">
        <v>472</v>
      </c>
      <c r="I173" s="222">
        <v>458772552257</v>
      </c>
      <c r="J173" s="222">
        <v>424989255330</v>
      </c>
      <c r="K173" s="222">
        <v>1254482466</v>
      </c>
    </row>
    <row r="174" spans="1:11" x14ac:dyDescent="0.3">
      <c r="A174" s="217">
        <v>173</v>
      </c>
      <c r="B174" s="217" t="s">
        <v>679</v>
      </c>
      <c r="C174" s="217" t="s">
        <v>680</v>
      </c>
      <c r="D174" s="217">
        <v>104220419</v>
      </c>
      <c r="E174" s="217" t="s">
        <v>681</v>
      </c>
      <c r="F174" s="217" t="s">
        <v>682</v>
      </c>
      <c r="G174" s="217" t="s">
        <v>25</v>
      </c>
      <c r="H174" s="218" t="s">
        <v>472</v>
      </c>
      <c r="I174" s="219">
        <v>484336693302</v>
      </c>
      <c r="J174" s="219">
        <v>437044954149</v>
      </c>
      <c r="K174" s="219">
        <v>-718361962</v>
      </c>
    </row>
    <row r="175" spans="1:11" x14ac:dyDescent="0.3">
      <c r="A175" s="217">
        <v>174</v>
      </c>
      <c r="B175" s="217" t="s">
        <v>683</v>
      </c>
      <c r="C175" s="217" t="s">
        <v>680</v>
      </c>
      <c r="D175" s="217">
        <v>104220419</v>
      </c>
      <c r="E175" s="217" t="s">
        <v>681</v>
      </c>
      <c r="F175" s="217" t="s">
        <v>684</v>
      </c>
      <c r="G175" s="217" t="s">
        <v>307</v>
      </c>
      <c r="H175" s="218" t="s">
        <v>472</v>
      </c>
      <c r="I175" s="219">
        <v>424588215975</v>
      </c>
      <c r="J175" s="219">
        <v>375184549282</v>
      </c>
      <c r="K175" s="219">
        <v>3544885505</v>
      </c>
    </row>
    <row r="176" spans="1:11" x14ac:dyDescent="0.3">
      <c r="A176" s="217">
        <v>175</v>
      </c>
      <c r="B176" s="217" t="s">
        <v>685</v>
      </c>
      <c r="C176" s="217" t="s">
        <v>680</v>
      </c>
      <c r="D176" s="217">
        <v>104220419</v>
      </c>
      <c r="E176" s="217" t="s">
        <v>681</v>
      </c>
      <c r="F176" s="217" t="s">
        <v>684</v>
      </c>
      <c r="G176" s="217" t="s">
        <v>309</v>
      </c>
      <c r="H176" s="218" t="s">
        <v>472</v>
      </c>
      <c r="I176" s="219">
        <v>397368603345</v>
      </c>
      <c r="J176" s="219">
        <v>367603574868</v>
      </c>
      <c r="K176" s="219">
        <v>9855337705</v>
      </c>
    </row>
    <row r="177" spans="1:11" x14ac:dyDescent="0.3">
      <c r="A177" s="217">
        <v>176</v>
      </c>
      <c r="B177" s="217" t="s">
        <v>686</v>
      </c>
      <c r="C177" s="217" t="s">
        <v>680</v>
      </c>
      <c r="D177" s="217">
        <v>104220419</v>
      </c>
      <c r="E177" s="217" t="s">
        <v>681</v>
      </c>
      <c r="F177" s="217" t="s">
        <v>684</v>
      </c>
      <c r="G177" s="217" t="s">
        <v>311</v>
      </c>
      <c r="H177" s="218" t="s">
        <v>472</v>
      </c>
      <c r="I177" s="219">
        <v>398901452490</v>
      </c>
      <c r="J177" s="219">
        <v>382122381613</v>
      </c>
      <c r="K177" s="219">
        <v>13352836951</v>
      </c>
    </row>
    <row r="178" spans="1:11" x14ac:dyDescent="0.3">
      <c r="A178" s="217">
        <v>177</v>
      </c>
      <c r="B178" s="217" t="s">
        <v>687</v>
      </c>
      <c r="C178" s="217" t="s">
        <v>680</v>
      </c>
      <c r="D178" s="217">
        <v>104220419</v>
      </c>
      <c r="E178" s="217" t="s">
        <v>681</v>
      </c>
      <c r="F178" s="217" t="s">
        <v>688</v>
      </c>
      <c r="G178" s="217" t="s">
        <v>689</v>
      </c>
      <c r="H178" s="218" t="s">
        <v>472</v>
      </c>
      <c r="I178" s="219">
        <v>219326332971</v>
      </c>
      <c r="J178" s="219">
        <v>207658934930</v>
      </c>
      <c r="K178" s="219">
        <v>-12756055278</v>
      </c>
    </row>
    <row r="179" spans="1:11" x14ac:dyDescent="0.3">
      <c r="A179" s="220">
        <v>178</v>
      </c>
      <c r="B179" s="220" t="s">
        <v>690</v>
      </c>
      <c r="C179" s="220" t="s">
        <v>691</v>
      </c>
      <c r="D179" s="220">
        <v>104380966</v>
      </c>
      <c r="E179" s="220" t="s">
        <v>499</v>
      </c>
      <c r="F179" s="220" t="s">
        <v>692</v>
      </c>
      <c r="G179" s="220" t="s">
        <v>25</v>
      </c>
      <c r="H179" s="221" t="s">
        <v>304</v>
      </c>
      <c r="I179" s="222">
        <v>954267366808</v>
      </c>
      <c r="J179" s="222">
        <v>911508040888</v>
      </c>
      <c r="K179" s="222">
        <v>5406157194</v>
      </c>
    </row>
    <row r="180" spans="1:11" x14ac:dyDescent="0.3">
      <c r="A180" s="220">
        <v>179</v>
      </c>
      <c r="B180" s="220" t="s">
        <v>693</v>
      </c>
      <c r="C180" s="220" t="s">
        <v>691</v>
      </c>
      <c r="D180" s="220">
        <v>104380966</v>
      </c>
      <c r="E180" s="220" t="s">
        <v>499</v>
      </c>
      <c r="F180" s="220" t="s">
        <v>694</v>
      </c>
      <c r="G180" s="220" t="s">
        <v>307</v>
      </c>
      <c r="H180" s="221" t="s">
        <v>304</v>
      </c>
      <c r="I180" s="222">
        <v>889773643140</v>
      </c>
      <c r="J180" s="222">
        <v>841837342561</v>
      </c>
      <c r="K180" s="222">
        <v>1045795222</v>
      </c>
    </row>
    <row r="181" spans="1:11" x14ac:dyDescent="0.3">
      <c r="A181" s="220">
        <v>180</v>
      </c>
      <c r="B181" s="220" t="s">
        <v>695</v>
      </c>
      <c r="C181" s="220" t="s">
        <v>691</v>
      </c>
      <c r="D181" s="220">
        <v>104380966</v>
      </c>
      <c r="E181" s="220" t="s">
        <v>499</v>
      </c>
      <c r="F181" s="220" t="s">
        <v>694</v>
      </c>
      <c r="G181" s="220" t="s">
        <v>309</v>
      </c>
      <c r="H181" s="221" t="s">
        <v>304</v>
      </c>
      <c r="I181" s="222">
        <v>844466599948</v>
      </c>
      <c r="J181" s="222">
        <v>808408938781</v>
      </c>
      <c r="K181" s="222">
        <v>-20901037204</v>
      </c>
    </row>
    <row r="182" spans="1:11" x14ac:dyDescent="0.3">
      <c r="A182" s="220">
        <v>181</v>
      </c>
      <c r="B182" s="220" t="s">
        <v>696</v>
      </c>
      <c r="C182" s="220" t="s">
        <v>691</v>
      </c>
      <c r="D182" s="220">
        <v>104380966</v>
      </c>
      <c r="E182" s="220" t="s">
        <v>499</v>
      </c>
      <c r="F182" s="220" t="s">
        <v>694</v>
      </c>
      <c r="G182" s="220" t="s">
        <v>311</v>
      </c>
      <c r="H182" s="221" t="s">
        <v>304</v>
      </c>
      <c r="I182" s="222">
        <v>258469039673</v>
      </c>
      <c r="J182" s="222">
        <v>263285475012</v>
      </c>
      <c r="K182" s="222">
        <v>-56935160764</v>
      </c>
    </row>
    <row r="183" spans="1:11" x14ac:dyDescent="0.3">
      <c r="A183" s="217">
        <v>182</v>
      </c>
      <c r="B183" s="217" t="s">
        <v>697</v>
      </c>
      <c r="C183" s="217" t="s">
        <v>698</v>
      </c>
      <c r="D183" s="217">
        <v>104630172</v>
      </c>
      <c r="E183" s="217" t="s">
        <v>352</v>
      </c>
      <c r="F183" s="217" t="s">
        <v>699</v>
      </c>
      <c r="G183" s="217" t="s">
        <v>25</v>
      </c>
      <c r="H183" s="218" t="s">
        <v>472</v>
      </c>
      <c r="I183" s="219">
        <v>570579630866</v>
      </c>
      <c r="J183" s="219">
        <v>547126107224</v>
      </c>
      <c r="K183" s="219">
        <v>36468320</v>
      </c>
    </row>
    <row r="184" spans="1:11" x14ac:dyDescent="0.3">
      <c r="A184" s="217">
        <v>183</v>
      </c>
      <c r="B184" s="217" t="s">
        <v>700</v>
      </c>
      <c r="C184" s="217" t="s">
        <v>698</v>
      </c>
      <c r="D184" s="217">
        <v>104630172</v>
      </c>
      <c r="E184" s="217" t="s">
        <v>352</v>
      </c>
      <c r="F184" s="217" t="s">
        <v>701</v>
      </c>
      <c r="G184" s="217" t="s">
        <v>307</v>
      </c>
      <c r="H184" s="218" t="s">
        <v>472</v>
      </c>
      <c r="I184" s="219">
        <v>426129759746</v>
      </c>
      <c r="J184" s="219">
        <v>403900516880</v>
      </c>
      <c r="K184" s="219">
        <v>-692754509</v>
      </c>
    </row>
    <row r="185" spans="1:11" x14ac:dyDescent="0.3">
      <c r="A185" s="217">
        <v>184</v>
      </c>
      <c r="B185" s="217" t="s">
        <v>702</v>
      </c>
      <c r="C185" s="217" t="s">
        <v>698</v>
      </c>
      <c r="D185" s="217">
        <v>104630172</v>
      </c>
      <c r="E185" s="217" t="s">
        <v>352</v>
      </c>
      <c r="F185" s="217" t="s">
        <v>703</v>
      </c>
      <c r="G185" s="217" t="s">
        <v>309</v>
      </c>
      <c r="H185" s="218" t="s">
        <v>472</v>
      </c>
      <c r="I185" s="219">
        <v>607159718514</v>
      </c>
      <c r="J185" s="219">
        <v>588001126554</v>
      </c>
      <c r="K185" s="219">
        <v>1442190869</v>
      </c>
    </row>
    <row r="186" spans="1:11" x14ac:dyDescent="0.3">
      <c r="A186" s="217">
        <v>185</v>
      </c>
      <c r="B186" s="217" t="s">
        <v>704</v>
      </c>
      <c r="C186" s="217" t="s">
        <v>698</v>
      </c>
      <c r="D186" s="217">
        <v>104630172</v>
      </c>
      <c r="E186" s="217" t="s">
        <v>352</v>
      </c>
      <c r="F186" s="217" t="s">
        <v>703</v>
      </c>
      <c r="G186" s="217" t="s">
        <v>311</v>
      </c>
      <c r="H186" s="218" t="s">
        <v>472</v>
      </c>
      <c r="I186" s="219">
        <v>639325602430</v>
      </c>
      <c r="J186" s="219">
        <v>615254254872</v>
      </c>
      <c r="K186" s="219">
        <v>2896859351</v>
      </c>
    </row>
    <row r="187" spans="1:11" x14ac:dyDescent="0.3">
      <c r="A187" s="220">
        <v>186</v>
      </c>
      <c r="B187" s="220" t="s">
        <v>705</v>
      </c>
      <c r="C187" s="220" t="s">
        <v>706</v>
      </c>
      <c r="D187" s="220">
        <v>104976614</v>
      </c>
      <c r="E187" s="220" t="s">
        <v>707</v>
      </c>
      <c r="F187" s="220" t="s">
        <v>708</v>
      </c>
      <c r="G187" s="220" t="s">
        <v>25</v>
      </c>
      <c r="H187" s="221" t="s">
        <v>304</v>
      </c>
      <c r="I187" s="222">
        <v>494205167532</v>
      </c>
      <c r="J187" s="222">
        <v>462215237547</v>
      </c>
      <c r="K187" s="222">
        <v>12093042155</v>
      </c>
    </row>
    <row r="188" spans="1:11" x14ac:dyDescent="0.3">
      <c r="A188" s="220">
        <v>187</v>
      </c>
      <c r="B188" s="220" t="s">
        <v>709</v>
      </c>
      <c r="C188" s="220" t="s">
        <v>706</v>
      </c>
      <c r="D188" s="220">
        <v>104976614</v>
      </c>
      <c r="E188" s="220" t="s">
        <v>707</v>
      </c>
      <c r="F188" s="220" t="s">
        <v>710</v>
      </c>
      <c r="G188" s="220" t="s">
        <v>307</v>
      </c>
      <c r="H188" s="221" t="s">
        <v>304</v>
      </c>
      <c r="I188" s="222">
        <v>663662855455</v>
      </c>
      <c r="J188" s="222">
        <v>634873668065</v>
      </c>
      <c r="K188" s="222">
        <v>3963990393</v>
      </c>
    </row>
    <row r="189" spans="1:11" x14ac:dyDescent="0.3">
      <c r="A189" s="220">
        <v>188</v>
      </c>
      <c r="B189" s="220" t="s">
        <v>711</v>
      </c>
      <c r="C189" s="220" t="s">
        <v>706</v>
      </c>
      <c r="D189" s="220">
        <v>104976614</v>
      </c>
      <c r="E189" s="220" t="s">
        <v>707</v>
      </c>
      <c r="F189" s="220" t="s">
        <v>712</v>
      </c>
      <c r="G189" s="220" t="s">
        <v>309</v>
      </c>
      <c r="H189" s="221" t="s">
        <v>304</v>
      </c>
      <c r="I189" s="222">
        <v>400714593116</v>
      </c>
      <c r="J189" s="222">
        <v>368272471595</v>
      </c>
      <c r="K189" s="222">
        <v>3582550633</v>
      </c>
    </row>
    <row r="190" spans="1:11" x14ac:dyDescent="0.3">
      <c r="A190" s="220">
        <v>189</v>
      </c>
      <c r="B190" s="220" t="s">
        <v>713</v>
      </c>
      <c r="C190" s="220" t="s">
        <v>706</v>
      </c>
      <c r="D190" s="220">
        <v>104976614</v>
      </c>
      <c r="E190" s="220" t="s">
        <v>707</v>
      </c>
      <c r="F190" s="220" t="s">
        <v>712</v>
      </c>
      <c r="G190" s="220" t="s">
        <v>311</v>
      </c>
      <c r="H190" s="221" t="s">
        <v>304</v>
      </c>
      <c r="I190" s="222">
        <v>1583400824092</v>
      </c>
      <c r="J190" s="222">
        <v>1522626846935</v>
      </c>
      <c r="K190" s="222">
        <v>7626860970</v>
      </c>
    </row>
    <row r="191" spans="1:11" x14ac:dyDescent="0.3">
      <c r="A191" s="217">
        <v>190</v>
      </c>
      <c r="B191" s="217" t="s">
        <v>714</v>
      </c>
      <c r="C191" s="217" t="s">
        <v>715</v>
      </c>
      <c r="D191" s="217">
        <v>105189320</v>
      </c>
      <c r="E191" s="217" t="s">
        <v>716</v>
      </c>
      <c r="F191" s="217" t="s">
        <v>717</v>
      </c>
      <c r="G191" s="217" t="s">
        <v>25</v>
      </c>
      <c r="H191" s="218" t="s">
        <v>304</v>
      </c>
      <c r="I191" s="219">
        <v>1632212762920</v>
      </c>
      <c r="J191" s="219">
        <v>1522289503016</v>
      </c>
      <c r="K191" s="219">
        <v>12511591827</v>
      </c>
    </row>
    <row r="192" spans="1:11" x14ac:dyDescent="0.3">
      <c r="A192" s="217">
        <v>191</v>
      </c>
      <c r="B192" s="217" t="s">
        <v>718</v>
      </c>
      <c r="C192" s="217" t="s">
        <v>715</v>
      </c>
      <c r="D192" s="217">
        <v>105189320</v>
      </c>
      <c r="E192" s="217" t="s">
        <v>716</v>
      </c>
      <c r="F192" s="217" t="s">
        <v>719</v>
      </c>
      <c r="G192" s="217" t="s">
        <v>307</v>
      </c>
      <c r="H192" s="218" t="s">
        <v>304</v>
      </c>
      <c r="I192" s="219">
        <v>1914434774832</v>
      </c>
      <c r="J192" s="219">
        <v>1805703578213</v>
      </c>
      <c r="K192" s="219">
        <v>14059010752</v>
      </c>
    </row>
    <row r="193" spans="1:11" x14ac:dyDescent="0.3">
      <c r="A193" s="217">
        <v>192</v>
      </c>
      <c r="B193" s="217" t="s">
        <v>720</v>
      </c>
      <c r="C193" s="217" t="s">
        <v>715</v>
      </c>
      <c r="D193" s="217">
        <v>105189320</v>
      </c>
      <c r="E193" s="217" t="s">
        <v>716</v>
      </c>
      <c r="F193" s="217" t="s">
        <v>719</v>
      </c>
      <c r="G193" s="217" t="s">
        <v>309</v>
      </c>
      <c r="H193" s="218" t="s">
        <v>304</v>
      </c>
      <c r="I193" s="219">
        <v>1927702665244</v>
      </c>
      <c r="J193" s="219">
        <v>1877828112683</v>
      </c>
      <c r="K193" s="219">
        <v>4481528904</v>
      </c>
    </row>
    <row r="194" spans="1:11" x14ac:dyDescent="0.3">
      <c r="A194" s="217">
        <v>193</v>
      </c>
      <c r="B194" s="217" t="s">
        <v>721</v>
      </c>
      <c r="C194" s="217" t="s">
        <v>715</v>
      </c>
      <c r="D194" s="217">
        <v>105189320</v>
      </c>
      <c r="E194" s="217" t="s">
        <v>716</v>
      </c>
      <c r="F194" s="217" t="s">
        <v>719</v>
      </c>
      <c r="G194" s="217" t="s">
        <v>311</v>
      </c>
      <c r="H194" s="218" t="s">
        <v>304</v>
      </c>
      <c r="I194" s="219">
        <v>2110782463273</v>
      </c>
      <c r="J194" s="219">
        <v>2041257584927</v>
      </c>
      <c r="K194" s="219">
        <v>3471575144</v>
      </c>
    </row>
    <row r="195" spans="1:11" x14ac:dyDescent="0.3">
      <c r="A195" s="220">
        <v>194</v>
      </c>
      <c r="B195" s="220" t="s">
        <v>722</v>
      </c>
      <c r="C195" s="220" t="s">
        <v>723</v>
      </c>
      <c r="D195" s="220">
        <v>105294741</v>
      </c>
      <c r="E195" s="220" t="s">
        <v>724</v>
      </c>
      <c r="F195" s="220" t="s">
        <v>725</v>
      </c>
      <c r="G195" s="220" t="s">
        <v>25</v>
      </c>
      <c r="H195" s="221" t="s">
        <v>304</v>
      </c>
      <c r="I195" s="222">
        <v>3091602023791</v>
      </c>
      <c r="J195" s="222">
        <v>2860734002987</v>
      </c>
      <c r="K195" s="222">
        <v>120981756604</v>
      </c>
    </row>
    <row r="196" spans="1:11" x14ac:dyDescent="0.3">
      <c r="A196" s="220">
        <v>195</v>
      </c>
      <c r="B196" s="220" t="s">
        <v>726</v>
      </c>
      <c r="C196" s="220" t="s">
        <v>723</v>
      </c>
      <c r="D196" s="220">
        <v>105294741</v>
      </c>
      <c r="E196" s="220" t="s">
        <v>724</v>
      </c>
      <c r="F196" s="220" t="s">
        <v>727</v>
      </c>
      <c r="G196" s="220" t="s">
        <v>307</v>
      </c>
      <c r="H196" s="221" t="s">
        <v>304</v>
      </c>
      <c r="I196" s="222">
        <v>1345498017226</v>
      </c>
      <c r="J196" s="222">
        <v>1222364492562</v>
      </c>
      <c r="K196" s="222">
        <v>40442724344</v>
      </c>
    </row>
    <row r="197" spans="1:11" x14ac:dyDescent="0.3">
      <c r="A197" s="220">
        <v>196</v>
      </c>
      <c r="B197" s="220" t="s">
        <v>728</v>
      </c>
      <c r="C197" s="220" t="s">
        <v>723</v>
      </c>
      <c r="D197" s="220">
        <v>105294741</v>
      </c>
      <c r="E197" s="220" t="s">
        <v>724</v>
      </c>
      <c r="F197" s="220" t="s">
        <v>727</v>
      </c>
      <c r="G197" s="220" t="s">
        <v>309</v>
      </c>
      <c r="H197" s="221" t="s">
        <v>304</v>
      </c>
      <c r="I197" s="222">
        <v>1671851475220</v>
      </c>
      <c r="J197" s="222">
        <v>1538100972352</v>
      </c>
      <c r="K197" s="222">
        <v>53828732505</v>
      </c>
    </row>
    <row r="198" spans="1:11" x14ac:dyDescent="0.3">
      <c r="A198" s="220">
        <v>197</v>
      </c>
      <c r="B198" s="220" t="s">
        <v>729</v>
      </c>
      <c r="C198" s="220" t="s">
        <v>723</v>
      </c>
      <c r="D198" s="220">
        <v>105294741</v>
      </c>
      <c r="E198" s="220" t="s">
        <v>724</v>
      </c>
      <c r="F198" s="220" t="s">
        <v>727</v>
      </c>
      <c r="G198" s="220" t="s">
        <v>311</v>
      </c>
      <c r="H198" s="221" t="s">
        <v>304</v>
      </c>
      <c r="I198" s="222">
        <v>3133571794142</v>
      </c>
      <c r="J198" s="222">
        <v>2906545843110</v>
      </c>
      <c r="K198" s="222">
        <v>144832459027</v>
      </c>
    </row>
    <row r="199" spans="1:11" x14ac:dyDescent="0.3">
      <c r="A199" s="217">
        <v>198</v>
      </c>
      <c r="B199" s="217" t="s">
        <v>730</v>
      </c>
      <c r="C199" s="217" t="s">
        <v>731</v>
      </c>
      <c r="D199" s="217">
        <v>105295576</v>
      </c>
      <c r="E199" s="217" t="s">
        <v>732</v>
      </c>
      <c r="F199" s="217" t="s">
        <v>733</v>
      </c>
      <c r="G199" s="217" t="s">
        <v>362</v>
      </c>
      <c r="H199" s="218" t="s">
        <v>304</v>
      </c>
      <c r="I199" s="219">
        <v>681701124924</v>
      </c>
      <c r="J199" s="219">
        <v>458718195405</v>
      </c>
      <c r="K199" s="219">
        <v>92244865674</v>
      </c>
    </row>
    <row r="200" spans="1:11" x14ac:dyDescent="0.3">
      <c r="A200" s="217">
        <v>199</v>
      </c>
      <c r="B200" s="217" t="s">
        <v>734</v>
      </c>
      <c r="C200" s="217" t="s">
        <v>735</v>
      </c>
      <c r="D200" s="217">
        <v>105295576</v>
      </c>
      <c r="E200" s="217" t="s">
        <v>732</v>
      </c>
      <c r="F200" s="217" t="s">
        <v>736</v>
      </c>
      <c r="G200" s="217" t="s">
        <v>366</v>
      </c>
      <c r="H200" s="218" t="s">
        <v>304</v>
      </c>
      <c r="I200" s="219">
        <v>780223996391</v>
      </c>
      <c r="J200" s="219">
        <v>528633664328</v>
      </c>
      <c r="K200" s="219">
        <v>153111679094</v>
      </c>
    </row>
    <row r="201" spans="1:11" x14ac:dyDescent="0.3">
      <c r="A201" s="217">
        <v>200</v>
      </c>
      <c r="B201" s="217" t="s">
        <v>737</v>
      </c>
      <c r="C201" s="217" t="s">
        <v>738</v>
      </c>
      <c r="D201" s="217">
        <v>105295576</v>
      </c>
      <c r="E201" s="217" t="s">
        <v>732</v>
      </c>
      <c r="F201" s="217" t="s">
        <v>739</v>
      </c>
      <c r="G201" s="217" t="s">
        <v>369</v>
      </c>
      <c r="H201" s="218" t="s">
        <v>304</v>
      </c>
      <c r="I201" s="219">
        <v>519391178977</v>
      </c>
      <c r="J201" s="219">
        <v>357701174930</v>
      </c>
      <c r="K201" s="219">
        <v>82068168100</v>
      </c>
    </row>
    <row r="202" spans="1:11" x14ac:dyDescent="0.3">
      <c r="A202" s="217">
        <v>201</v>
      </c>
      <c r="B202" s="217" t="s">
        <v>740</v>
      </c>
      <c r="C202" s="217" t="s">
        <v>738</v>
      </c>
      <c r="D202" s="217">
        <v>105295576</v>
      </c>
      <c r="E202" s="217" t="s">
        <v>732</v>
      </c>
      <c r="F202" s="217" t="s">
        <v>739</v>
      </c>
      <c r="G202" s="217" t="s">
        <v>372</v>
      </c>
      <c r="H202" s="218" t="s">
        <v>304</v>
      </c>
      <c r="I202" s="219">
        <v>386423939187</v>
      </c>
      <c r="J202" s="219">
        <v>258072379202</v>
      </c>
      <c r="K202" s="219">
        <v>55959665906</v>
      </c>
    </row>
    <row r="203" spans="1:11" x14ac:dyDescent="0.3">
      <c r="A203" s="220">
        <v>202</v>
      </c>
      <c r="B203" s="220" t="s">
        <v>741</v>
      </c>
      <c r="C203" s="220" t="s">
        <v>742</v>
      </c>
      <c r="D203" s="220">
        <v>105327316</v>
      </c>
      <c r="E203" s="220" t="s">
        <v>743</v>
      </c>
      <c r="F203" s="220" t="s">
        <v>744</v>
      </c>
      <c r="G203" s="220" t="s">
        <v>601</v>
      </c>
      <c r="H203" s="221" t="s">
        <v>472</v>
      </c>
      <c r="I203" s="222">
        <v>91872284749</v>
      </c>
      <c r="J203" s="222">
        <v>87732536245</v>
      </c>
      <c r="K203" s="222">
        <v>-1435196365</v>
      </c>
    </row>
    <row r="204" spans="1:11" x14ac:dyDescent="0.3">
      <c r="A204" s="220">
        <v>203</v>
      </c>
      <c r="B204" s="220" t="s">
        <v>745</v>
      </c>
      <c r="C204" s="220" t="s">
        <v>742</v>
      </c>
      <c r="D204" s="220">
        <v>105327316</v>
      </c>
      <c r="E204" s="220" t="s">
        <v>743</v>
      </c>
      <c r="F204" s="220" t="s">
        <v>744</v>
      </c>
      <c r="G204" s="220" t="s">
        <v>501</v>
      </c>
      <c r="H204" s="221" t="s">
        <v>472</v>
      </c>
      <c r="I204" s="222">
        <v>57643473837</v>
      </c>
      <c r="J204" s="222">
        <v>48366192351</v>
      </c>
      <c r="K204" s="222">
        <v>-882987231</v>
      </c>
    </row>
    <row r="205" spans="1:11" x14ac:dyDescent="0.3">
      <c r="A205" s="220">
        <v>204</v>
      </c>
      <c r="B205" s="220" t="s">
        <v>746</v>
      </c>
      <c r="C205" s="220" t="s">
        <v>742</v>
      </c>
      <c r="D205" s="220">
        <v>105327316</v>
      </c>
      <c r="E205" s="220" t="s">
        <v>743</v>
      </c>
      <c r="F205" s="220" t="s">
        <v>744</v>
      </c>
      <c r="G205" s="220" t="s">
        <v>504</v>
      </c>
      <c r="H205" s="221" t="s">
        <v>472</v>
      </c>
      <c r="I205" s="222">
        <v>199981473998</v>
      </c>
      <c r="J205" s="222">
        <v>187334283430</v>
      </c>
      <c r="K205" s="222">
        <v>2305286599</v>
      </c>
    </row>
    <row r="206" spans="1:11" x14ac:dyDescent="0.3">
      <c r="A206" s="220">
        <v>205</v>
      </c>
      <c r="B206" s="220" t="s">
        <v>747</v>
      </c>
      <c r="C206" s="220" t="s">
        <v>742</v>
      </c>
      <c r="D206" s="220">
        <v>105327316</v>
      </c>
      <c r="E206" s="220" t="s">
        <v>743</v>
      </c>
      <c r="F206" s="220" t="s">
        <v>744</v>
      </c>
      <c r="G206" s="220" t="s">
        <v>25</v>
      </c>
      <c r="H206" s="221" t="s">
        <v>472</v>
      </c>
      <c r="I206" s="222">
        <v>411445826760</v>
      </c>
      <c r="J206" s="222">
        <v>368422617475</v>
      </c>
      <c r="K206" s="222">
        <v>-4813388</v>
      </c>
    </row>
    <row r="207" spans="1:11" x14ac:dyDescent="0.3">
      <c r="A207" s="220">
        <v>206</v>
      </c>
      <c r="B207" s="220" t="s">
        <v>748</v>
      </c>
      <c r="C207" s="220" t="s">
        <v>742</v>
      </c>
      <c r="D207" s="220">
        <v>105327316</v>
      </c>
      <c r="E207" s="220" t="s">
        <v>743</v>
      </c>
      <c r="F207" s="220" t="s">
        <v>749</v>
      </c>
      <c r="G207" s="220" t="s">
        <v>307</v>
      </c>
      <c r="H207" s="221" t="s">
        <v>472</v>
      </c>
      <c r="I207" s="222">
        <v>567603148933</v>
      </c>
      <c r="J207" s="222">
        <v>502329041062</v>
      </c>
      <c r="K207" s="222">
        <v>-7142246968</v>
      </c>
    </row>
    <row r="208" spans="1:11" x14ac:dyDescent="0.3">
      <c r="A208" s="220">
        <v>207</v>
      </c>
      <c r="B208" s="220" t="s">
        <v>750</v>
      </c>
      <c r="C208" s="220" t="s">
        <v>742</v>
      </c>
      <c r="D208" s="220">
        <v>105327316</v>
      </c>
      <c r="E208" s="220" t="s">
        <v>743</v>
      </c>
      <c r="F208" s="220" t="s">
        <v>751</v>
      </c>
      <c r="G208" s="220" t="s">
        <v>309</v>
      </c>
      <c r="H208" s="221" t="s">
        <v>472</v>
      </c>
      <c r="I208" s="222">
        <v>632479645121</v>
      </c>
      <c r="J208" s="222">
        <v>573014611933</v>
      </c>
      <c r="K208" s="222">
        <v>-20510950053</v>
      </c>
    </row>
    <row r="209" spans="1:11" x14ac:dyDescent="0.3">
      <c r="A209" s="220">
        <v>208</v>
      </c>
      <c r="B209" s="220" t="s">
        <v>752</v>
      </c>
      <c r="C209" s="220" t="s">
        <v>742</v>
      </c>
      <c r="D209" s="220">
        <v>105327316</v>
      </c>
      <c r="E209" s="220" t="s">
        <v>743</v>
      </c>
      <c r="F209" s="220" t="s">
        <v>751</v>
      </c>
      <c r="G209" s="220" t="s">
        <v>311</v>
      </c>
      <c r="H209" s="221" t="s">
        <v>472</v>
      </c>
      <c r="I209" s="222">
        <v>964725374381</v>
      </c>
      <c r="J209" s="222">
        <v>835212909886</v>
      </c>
      <c r="K209" s="222">
        <v>-4457899220</v>
      </c>
    </row>
    <row r="210" spans="1:11" x14ac:dyDescent="0.3">
      <c r="A210" s="217">
        <v>209</v>
      </c>
      <c r="B210" s="217" t="s">
        <v>753</v>
      </c>
      <c r="C210" s="217" t="s">
        <v>754</v>
      </c>
      <c r="D210" s="217">
        <v>105492983</v>
      </c>
      <c r="E210" s="217" t="s">
        <v>755</v>
      </c>
      <c r="F210" s="217" t="s">
        <v>756</v>
      </c>
      <c r="G210" s="217" t="s">
        <v>25</v>
      </c>
      <c r="H210" s="218" t="s">
        <v>472</v>
      </c>
      <c r="I210" s="219">
        <v>323836731333</v>
      </c>
      <c r="J210" s="219">
        <v>279012596519</v>
      </c>
      <c r="K210" s="219">
        <v>4485063617</v>
      </c>
    </row>
    <row r="211" spans="1:11" x14ac:dyDescent="0.3">
      <c r="A211" s="217">
        <v>210</v>
      </c>
      <c r="B211" s="217" t="s">
        <v>757</v>
      </c>
      <c r="C211" s="217" t="s">
        <v>754</v>
      </c>
      <c r="D211" s="217">
        <v>105492983</v>
      </c>
      <c r="E211" s="217" t="s">
        <v>755</v>
      </c>
      <c r="F211" s="217" t="s">
        <v>758</v>
      </c>
      <c r="G211" s="217" t="s">
        <v>307</v>
      </c>
      <c r="H211" s="218" t="s">
        <v>472</v>
      </c>
      <c r="I211" s="219">
        <v>391969107907</v>
      </c>
      <c r="J211" s="219">
        <v>341399366323</v>
      </c>
      <c r="K211" s="219">
        <v>2612845900</v>
      </c>
    </row>
    <row r="212" spans="1:11" x14ac:dyDescent="0.3">
      <c r="A212" s="217">
        <v>211</v>
      </c>
      <c r="B212" s="217" t="s">
        <v>759</v>
      </c>
      <c r="C212" s="217" t="s">
        <v>754</v>
      </c>
      <c r="D212" s="217">
        <v>105492983</v>
      </c>
      <c r="E212" s="217" t="s">
        <v>755</v>
      </c>
      <c r="F212" s="217" t="s">
        <v>758</v>
      </c>
      <c r="G212" s="217" t="s">
        <v>309</v>
      </c>
      <c r="H212" s="218" t="s">
        <v>472</v>
      </c>
      <c r="I212" s="219">
        <v>221156991247</v>
      </c>
      <c r="J212" s="219">
        <v>196727183803</v>
      </c>
      <c r="K212" s="219">
        <v>259555300</v>
      </c>
    </row>
    <row r="213" spans="1:11" x14ac:dyDescent="0.3">
      <c r="A213" s="217">
        <v>212</v>
      </c>
      <c r="B213" s="217" t="s">
        <v>760</v>
      </c>
      <c r="C213" s="217" t="s">
        <v>754</v>
      </c>
      <c r="D213" s="217">
        <v>105492983</v>
      </c>
      <c r="E213" s="217" t="s">
        <v>755</v>
      </c>
      <c r="F213" s="217" t="s">
        <v>761</v>
      </c>
      <c r="G213" s="217" t="s">
        <v>311</v>
      </c>
      <c r="H213" s="218" t="s">
        <v>472</v>
      </c>
      <c r="I213" s="219">
        <v>316555703434</v>
      </c>
      <c r="J213" s="219">
        <v>278602426047</v>
      </c>
      <c r="K213" s="219">
        <v>2251826220</v>
      </c>
    </row>
    <row r="214" spans="1:11" x14ac:dyDescent="0.3">
      <c r="A214" s="217">
        <v>213</v>
      </c>
      <c r="B214" s="217" t="s">
        <v>762</v>
      </c>
      <c r="C214" s="217" t="s">
        <v>754</v>
      </c>
      <c r="D214" s="217">
        <v>105492983</v>
      </c>
      <c r="E214" s="217" t="s">
        <v>755</v>
      </c>
      <c r="F214" s="217" t="s">
        <v>763</v>
      </c>
      <c r="G214" s="217" t="s">
        <v>321</v>
      </c>
      <c r="H214" s="218"/>
      <c r="I214" s="219">
        <v>292679522669</v>
      </c>
      <c r="J214" s="219">
        <v>260301712926</v>
      </c>
      <c r="K214" s="219">
        <v>3532416312</v>
      </c>
    </row>
    <row r="215" spans="1:11" x14ac:dyDescent="0.3">
      <c r="A215" s="220">
        <v>214</v>
      </c>
      <c r="B215" s="220" t="s">
        <v>764</v>
      </c>
      <c r="C215" s="220" t="s">
        <v>765</v>
      </c>
      <c r="D215" s="220">
        <v>105853894</v>
      </c>
      <c r="E215" s="220" t="s">
        <v>766</v>
      </c>
      <c r="F215" s="220" t="s">
        <v>767</v>
      </c>
      <c r="G215" s="220" t="s">
        <v>25</v>
      </c>
      <c r="H215" s="221" t="s">
        <v>304</v>
      </c>
      <c r="I215" s="222">
        <v>109509837003</v>
      </c>
      <c r="J215" s="222">
        <v>94710224693</v>
      </c>
      <c r="K215" s="222">
        <v>633976250</v>
      </c>
    </row>
    <row r="216" spans="1:11" x14ac:dyDescent="0.3">
      <c r="A216" s="220">
        <v>215</v>
      </c>
      <c r="B216" s="220" t="s">
        <v>768</v>
      </c>
      <c r="C216" s="220" t="s">
        <v>769</v>
      </c>
      <c r="D216" s="220">
        <v>105853894</v>
      </c>
      <c r="E216" s="220" t="s">
        <v>766</v>
      </c>
      <c r="F216" s="220" t="s">
        <v>770</v>
      </c>
      <c r="G216" s="220" t="s">
        <v>307</v>
      </c>
      <c r="H216" s="221" t="s">
        <v>304</v>
      </c>
      <c r="I216" s="222">
        <v>432570673178</v>
      </c>
      <c r="J216" s="222">
        <v>406411229000</v>
      </c>
      <c r="K216" s="222">
        <v>4350537286</v>
      </c>
    </row>
    <row r="217" spans="1:11" x14ac:dyDescent="0.3">
      <c r="A217" s="220">
        <v>216</v>
      </c>
      <c r="B217" s="220" t="s">
        <v>771</v>
      </c>
      <c r="C217" s="220" t="s">
        <v>772</v>
      </c>
      <c r="D217" s="220">
        <v>105853894</v>
      </c>
      <c r="E217" s="220" t="s">
        <v>766</v>
      </c>
      <c r="F217" s="220" t="s">
        <v>773</v>
      </c>
      <c r="G217" s="220" t="s">
        <v>309</v>
      </c>
      <c r="H217" s="221" t="s">
        <v>304</v>
      </c>
      <c r="I217" s="222">
        <v>261613449762</v>
      </c>
      <c r="J217" s="222">
        <v>213857986532</v>
      </c>
      <c r="K217" s="222">
        <v>24216606621</v>
      </c>
    </row>
    <row r="218" spans="1:11" x14ac:dyDescent="0.3">
      <c r="A218" s="220">
        <v>217</v>
      </c>
      <c r="B218" s="220" t="s">
        <v>774</v>
      </c>
      <c r="C218" s="220" t="s">
        <v>772</v>
      </c>
      <c r="D218" s="220">
        <v>105853894</v>
      </c>
      <c r="E218" s="220" t="s">
        <v>766</v>
      </c>
      <c r="F218" s="220" t="s">
        <v>773</v>
      </c>
      <c r="G218" s="220" t="s">
        <v>311</v>
      </c>
      <c r="H218" s="221" t="s">
        <v>304</v>
      </c>
      <c r="I218" s="222">
        <v>1021494720375</v>
      </c>
      <c r="J218" s="222">
        <v>966428278716</v>
      </c>
      <c r="K218" s="222">
        <v>30745939833</v>
      </c>
    </row>
    <row r="219" spans="1:11" x14ac:dyDescent="0.3">
      <c r="A219" s="217">
        <v>218</v>
      </c>
      <c r="B219" s="217" t="s">
        <v>775</v>
      </c>
      <c r="C219" s="217" t="s">
        <v>776</v>
      </c>
      <c r="D219" s="217">
        <v>105908818</v>
      </c>
      <c r="E219" s="217" t="s">
        <v>777</v>
      </c>
      <c r="F219" s="217" t="s">
        <v>778</v>
      </c>
      <c r="G219" s="217" t="s">
        <v>25</v>
      </c>
      <c r="H219" s="218" t="s">
        <v>304</v>
      </c>
      <c r="I219" s="219">
        <v>2759907910326</v>
      </c>
      <c r="J219" s="219">
        <v>2515381899716</v>
      </c>
      <c r="K219" s="219">
        <v>3413038283</v>
      </c>
    </row>
    <row r="220" spans="1:11" x14ac:dyDescent="0.3">
      <c r="A220" s="217">
        <v>219</v>
      </c>
      <c r="B220" s="217" t="s">
        <v>779</v>
      </c>
      <c r="C220" s="217" t="s">
        <v>776</v>
      </c>
      <c r="D220" s="217">
        <v>105908818</v>
      </c>
      <c r="E220" s="217" t="s">
        <v>777</v>
      </c>
      <c r="F220" s="217" t="s">
        <v>780</v>
      </c>
      <c r="G220" s="217" t="s">
        <v>307</v>
      </c>
      <c r="H220" s="218" t="s">
        <v>304</v>
      </c>
      <c r="I220" s="219">
        <v>3788831921477</v>
      </c>
      <c r="J220" s="219">
        <v>3410254396553</v>
      </c>
      <c r="K220" s="219">
        <v>5836064295</v>
      </c>
    </row>
    <row r="221" spans="1:11" x14ac:dyDescent="0.3">
      <c r="A221" s="217">
        <v>220</v>
      </c>
      <c r="B221" s="217" t="s">
        <v>781</v>
      </c>
      <c r="C221" s="217" t="s">
        <v>776</v>
      </c>
      <c r="D221" s="217">
        <v>105908818</v>
      </c>
      <c r="E221" s="217" t="s">
        <v>777</v>
      </c>
      <c r="F221" s="217" t="s">
        <v>780</v>
      </c>
      <c r="G221" s="217" t="s">
        <v>309</v>
      </c>
      <c r="H221" s="218" t="s">
        <v>304</v>
      </c>
      <c r="I221" s="219">
        <v>3610435082063</v>
      </c>
      <c r="J221" s="219">
        <v>3259229058417</v>
      </c>
      <c r="K221" s="219">
        <v>3092926642</v>
      </c>
    </row>
    <row r="222" spans="1:11" x14ac:dyDescent="0.3">
      <c r="A222" s="217">
        <v>221</v>
      </c>
      <c r="B222" s="217" t="s">
        <v>782</v>
      </c>
      <c r="C222" s="217" t="s">
        <v>776</v>
      </c>
      <c r="D222" s="217">
        <v>105908818</v>
      </c>
      <c r="E222" s="217" t="s">
        <v>777</v>
      </c>
      <c r="F222" s="217" t="s">
        <v>780</v>
      </c>
      <c r="G222" s="217" t="s">
        <v>311</v>
      </c>
      <c r="H222" s="218" t="s">
        <v>304</v>
      </c>
      <c r="I222" s="219">
        <v>3818327018725</v>
      </c>
      <c r="J222" s="219">
        <v>3429790524480</v>
      </c>
      <c r="K222" s="219">
        <v>3390198314</v>
      </c>
    </row>
    <row r="223" spans="1:11" x14ac:dyDescent="0.3">
      <c r="A223" s="220">
        <v>222</v>
      </c>
      <c r="B223" s="220" t="s">
        <v>783</v>
      </c>
      <c r="C223" s="220" t="s">
        <v>784</v>
      </c>
      <c r="D223" s="220">
        <v>106112810</v>
      </c>
      <c r="E223" s="220" t="s">
        <v>785</v>
      </c>
      <c r="F223" s="220" t="s">
        <v>786</v>
      </c>
      <c r="G223" s="220" t="s">
        <v>25</v>
      </c>
      <c r="H223" s="221" t="s">
        <v>304</v>
      </c>
      <c r="I223" s="222">
        <v>2450923032915</v>
      </c>
      <c r="J223" s="222">
        <v>2312752264722</v>
      </c>
      <c r="K223" s="222">
        <v>-2316591729</v>
      </c>
    </row>
    <row r="224" spans="1:11" x14ac:dyDescent="0.3">
      <c r="A224" s="220">
        <v>223</v>
      </c>
      <c r="B224" s="220" t="s">
        <v>787</v>
      </c>
      <c r="C224" s="220" t="s">
        <v>784</v>
      </c>
      <c r="D224" s="220">
        <v>106112810</v>
      </c>
      <c r="E224" s="220" t="s">
        <v>785</v>
      </c>
      <c r="F224" s="220" t="s">
        <v>788</v>
      </c>
      <c r="G224" s="220" t="s">
        <v>307</v>
      </c>
      <c r="H224" s="221" t="s">
        <v>304</v>
      </c>
      <c r="I224" s="222">
        <v>2917587348242</v>
      </c>
      <c r="J224" s="222">
        <v>2693361385227</v>
      </c>
      <c r="K224" s="222">
        <v>22958821368</v>
      </c>
    </row>
    <row r="225" spans="1:11" x14ac:dyDescent="0.3">
      <c r="A225" s="220">
        <v>224</v>
      </c>
      <c r="B225" s="220" t="s">
        <v>789</v>
      </c>
      <c r="C225" s="220" t="s">
        <v>784</v>
      </c>
      <c r="D225" s="220">
        <v>106112810</v>
      </c>
      <c r="E225" s="220" t="s">
        <v>785</v>
      </c>
      <c r="F225" s="220" t="s">
        <v>788</v>
      </c>
      <c r="G225" s="220" t="s">
        <v>309</v>
      </c>
      <c r="H225" s="221" t="s">
        <v>304</v>
      </c>
      <c r="I225" s="222">
        <v>2187343441477</v>
      </c>
      <c r="J225" s="222">
        <v>2052663158087</v>
      </c>
      <c r="K225" s="222">
        <v>-15198462791</v>
      </c>
    </row>
    <row r="226" spans="1:11" x14ac:dyDescent="0.3">
      <c r="A226" s="220">
        <v>225</v>
      </c>
      <c r="B226" s="220" t="s">
        <v>790</v>
      </c>
      <c r="C226" s="220" t="s">
        <v>784</v>
      </c>
      <c r="D226" s="220">
        <v>106112810</v>
      </c>
      <c r="E226" s="220" t="s">
        <v>785</v>
      </c>
      <c r="F226" s="220" t="s">
        <v>788</v>
      </c>
      <c r="G226" s="220" t="s">
        <v>311</v>
      </c>
      <c r="H226" s="221" t="s">
        <v>304</v>
      </c>
      <c r="I226" s="222">
        <v>2267075511810</v>
      </c>
      <c r="J226" s="222">
        <v>2130591229686</v>
      </c>
      <c r="K226" s="222">
        <v>-26898407577</v>
      </c>
    </row>
    <row r="227" spans="1:11" x14ac:dyDescent="0.3">
      <c r="A227" s="217">
        <v>226</v>
      </c>
      <c r="B227" s="217" t="s">
        <v>791</v>
      </c>
      <c r="C227" s="217" t="s">
        <v>792</v>
      </c>
      <c r="D227" s="217">
        <v>106116043</v>
      </c>
      <c r="E227" s="217" t="s">
        <v>793</v>
      </c>
      <c r="F227" s="217" t="s">
        <v>794</v>
      </c>
      <c r="G227" s="217" t="s">
        <v>25</v>
      </c>
      <c r="H227" s="218" t="s">
        <v>304</v>
      </c>
      <c r="I227" s="219">
        <v>1538175184153</v>
      </c>
      <c r="J227" s="219">
        <v>1595980573761</v>
      </c>
      <c r="K227" s="219">
        <v>1462588468</v>
      </c>
    </row>
    <row r="228" spans="1:11" x14ac:dyDescent="0.3">
      <c r="A228" s="217">
        <v>227</v>
      </c>
      <c r="B228" s="217" t="s">
        <v>795</v>
      </c>
      <c r="C228" s="217" t="s">
        <v>796</v>
      </c>
      <c r="D228" s="217">
        <v>106116043</v>
      </c>
      <c r="E228" s="217" t="s">
        <v>793</v>
      </c>
      <c r="F228" s="217" t="s">
        <v>797</v>
      </c>
      <c r="G228" s="217" t="s">
        <v>307</v>
      </c>
      <c r="H228" s="218" t="s">
        <v>304</v>
      </c>
      <c r="I228" s="219">
        <v>2268660742439</v>
      </c>
      <c r="J228" s="219">
        <v>2209504070941</v>
      </c>
      <c r="K228" s="219">
        <v>102460717657</v>
      </c>
    </row>
    <row r="229" spans="1:11" x14ac:dyDescent="0.3">
      <c r="A229" s="217">
        <v>228</v>
      </c>
      <c r="B229" s="217" t="s">
        <v>798</v>
      </c>
      <c r="C229" s="217" t="s">
        <v>796</v>
      </c>
      <c r="D229" s="217">
        <v>106116043</v>
      </c>
      <c r="E229" s="217" t="s">
        <v>793</v>
      </c>
      <c r="F229" s="217" t="s">
        <v>797</v>
      </c>
      <c r="G229" s="217" t="s">
        <v>309</v>
      </c>
      <c r="H229" s="218" t="s">
        <v>304</v>
      </c>
      <c r="I229" s="219">
        <v>2178172550394</v>
      </c>
      <c r="J229" s="219">
        <v>2173933134105</v>
      </c>
      <c r="K229" s="219">
        <v>83501965839</v>
      </c>
    </row>
    <row r="230" spans="1:11" x14ac:dyDescent="0.3">
      <c r="A230" s="220">
        <v>229</v>
      </c>
      <c r="B230" s="220" t="s">
        <v>799</v>
      </c>
      <c r="C230" s="220" t="s">
        <v>800</v>
      </c>
      <c r="D230" s="220">
        <v>106187171</v>
      </c>
      <c r="E230" s="220" t="s">
        <v>801</v>
      </c>
      <c r="F230" s="220" t="s">
        <v>802</v>
      </c>
      <c r="G230" s="220" t="s">
        <v>25</v>
      </c>
      <c r="H230" s="221" t="s">
        <v>472</v>
      </c>
      <c r="I230" s="222">
        <v>1066323841344</v>
      </c>
      <c r="J230" s="222">
        <v>715372887174</v>
      </c>
      <c r="K230" s="222">
        <v>2634548398</v>
      </c>
    </row>
    <row r="231" spans="1:11" x14ac:dyDescent="0.3">
      <c r="A231" s="220">
        <v>230</v>
      </c>
      <c r="B231" s="220" t="s">
        <v>803</v>
      </c>
      <c r="C231" s="220" t="s">
        <v>804</v>
      </c>
      <c r="D231" s="220">
        <v>106187171</v>
      </c>
      <c r="E231" s="220" t="s">
        <v>801</v>
      </c>
      <c r="F231" s="220" t="s">
        <v>805</v>
      </c>
      <c r="G231" s="220" t="s">
        <v>307</v>
      </c>
      <c r="H231" s="221" t="s">
        <v>472</v>
      </c>
      <c r="I231" s="222">
        <v>663594139639</v>
      </c>
      <c r="J231" s="222">
        <v>454756348877</v>
      </c>
      <c r="K231" s="222">
        <v>2789487228</v>
      </c>
    </row>
    <row r="232" spans="1:11" x14ac:dyDescent="0.3">
      <c r="A232" s="220">
        <v>231</v>
      </c>
      <c r="B232" s="220" t="s">
        <v>806</v>
      </c>
      <c r="C232" s="220" t="s">
        <v>804</v>
      </c>
      <c r="D232" s="220">
        <v>106187171</v>
      </c>
      <c r="E232" s="220" t="s">
        <v>801</v>
      </c>
      <c r="F232" s="220" t="s">
        <v>805</v>
      </c>
      <c r="G232" s="220" t="s">
        <v>309</v>
      </c>
      <c r="H232" s="221" t="s">
        <v>472</v>
      </c>
      <c r="I232" s="222">
        <v>1269758974308</v>
      </c>
      <c r="J232" s="222">
        <v>1018454168940</v>
      </c>
      <c r="K232" s="222">
        <v>3404339217</v>
      </c>
    </row>
    <row r="233" spans="1:11" x14ac:dyDescent="0.3">
      <c r="A233" s="220">
        <v>232</v>
      </c>
      <c r="B233" s="220" t="s">
        <v>807</v>
      </c>
      <c r="C233" s="220" t="s">
        <v>804</v>
      </c>
      <c r="D233" s="220">
        <v>106187171</v>
      </c>
      <c r="E233" s="220" t="s">
        <v>801</v>
      </c>
      <c r="F233" s="220" t="s">
        <v>805</v>
      </c>
      <c r="G233" s="220" t="s">
        <v>311</v>
      </c>
      <c r="H233" s="221" t="s">
        <v>304</v>
      </c>
      <c r="I233" s="222">
        <v>1544851422831</v>
      </c>
      <c r="J233" s="222">
        <v>1195051682884</v>
      </c>
      <c r="K233" s="222">
        <v>3243094498</v>
      </c>
    </row>
    <row r="234" spans="1:11" x14ac:dyDescent="0.3">
      <c r="A234" s="217">
        <v>233</v>
      </c>
      <c r="B234" s="217" t="s">
        <v>808</v>
      </c>
      <c r="C234" s="217" t="s">
        <v>809</v>
      </c>
      <c r="D234" s="217">
        <v>106255939</v>
      </c>
      <c r="E234" s="217" t="s">
        <v>810</v>
      </c>
      <c r="F234" s="217" t="s">
        <v>811</v>
      </c>
      <c r="G234" s="217" t="s">
        <v>25</v>
      </c>
      <c r="H234" s="218" t="s">
        <v>304</v>
      </c>
      <c r="I234" s="219">
        <v>370611247587</v>
      </c>
      <c r="J234" s="219">
        <v>235227274528</v>
      </c>
      <c r="K234" s="219">
        <v>156016883193</v>
      </c>
    </row>
    <row r="235" spans="1:11" x14ac:dyDescent="0.3">
      <c r="A235" s="217">
        <v>234</v>
      </c>
      <c r="B235" s="217" t="s">
        <v>812</v>
      </c>
      <c r="C235" s="217" t="s">
        <v>809</v>
      </c>
      <c r="D235" s="217">
        <v>106255939</v>
      </c>
      <c r="E235" s="217" t="s">
        <v>810</v>
      </c>
      <c r="F235" s="217" t="s">
        <v>813</v>
      </c>
      <c r="G235" s="217" t="s">
        <v>307</v>
      </c>
      <c r="H235" s="218" t="s">
        <v>304</v>
      </c>
      <c r="I235" s="219">
        <v>2490858702072</v>
      </c>
      <c r="J235" s="219">
        <v>1973971758384</v>
      </c>
      <c r="K235" s="219">
        <v>554882706948</v>
      </c>
    </row>
    <row r="236" spans="1:11" x14ac:dyDescent="0.3">
      <c r="A236" s="217">
        <v>235</v>
      </c>
      <c r="B236" s="217" t="s">
        <v>814</v>
      </c>
      <c r="C236" s="217" t="s">
        <v>809</v>
      </c>
      <c r="D236" s="217">
        <v>106255939</v>
      </c>
      <c r="E236" s="217" t="s">
        <v>810</v>
      </c>
      <c r="F236" s="217" t="s">
        <v>813</v>
      </c>
      <c r="G236" s="217" t="s">
        <v>309</v>
      </c>
      <c r="H236" s="218" t="s">
        <v>304</v>
      </c>
      <c r="I236" s="219">
        <v>1427843153822</v>
      </c>
      <c r="J236" s="219">
        <v>1036043227121</v>
      </c>
      <c r="K236" s="219">
        <v>445367536207</v>
      </c>
    </row>
    <row r="237" spans="1:11" x14ac:dyDescent="0.3">
      <c r="A237" s="217">
        <v>236</v>
      </c>
      <c r="B237" s="217" t="s">
        <v>815</v>
      </c>
      <c r="C237" s="217" t="s">
        <v>816</v>
      </c>
      <c r="D237" s="217">
        <v>106255939</v>
      </c>
      <c r="E237" s="217" t="s">
        <v>810</v>
      </c>
      <c r="F237" s="217" t="s">
        <v>813</v>
      </c>
      <c r="G237" s="217" t="s">
        <v>311</v>
      </c>
      <c r="H237" s="218" t="s">
        <v>304</v>
      </c>
      <c r="I237" s="219">
        <v>481336379418</v>
      </c>
      <c r="J237" s="219">
        <v>355059715114</v>
      </c>
      <c r="K237" s="219">
        <v>114521397705</v>
      </c>
    </row>
    <row r="238" spans="1:11" x14ac:dyDescent="0.3">
      <c r="A238" s="220">
        <v>237</v>
      </c>
      <c r="B238" s="220" t="s">
        <v>817</v>
      </c>
      <c r="C238" s="220" t="s">
        <v>818</v>
      </c>
      <c r="D238" s="220">
        <v>106300187</v>
      </c>
      <c r="E238" s="220" t="s">
        <v>819</v>
      </c>
      <c r="F238" s="220" t="s">
        <v>820</v>
      </c>
      <c r="G238" s="220" t="s">
        <v>25</v>
      </c>
      <c r="H238" s="221" t="s">
        <v>304</v>
      </c>
      <c r="I238" s="222">
        <v>806667497231</v>
      </c>
      <c r="J238" s="222">
        <v>762396683302</v>
      </c>
      <c r="K238" s="222">
        <v>4055815556</v>
      </c>
    </row>
    <row r="239" spans="1:11" x14ac:dyDescent="0.3">
      <c r="A239" s="220">
        <v>238</v>
      </c>
      <c r="B239" s="220" t="s">
        <v>821</v>
      </c>
      <c r="C239" s="220" t="s">
        <v>818</v>
      </c>
      <c r="D239" s="220">
        <v>106300187</v>
      </c>
      <c r="E239" s="220" t="s">
        <v>819</v>
      </c>
      <c r="F239" s="220" t="s">
        <v>822</v>
      </c>
      <c r="G239" s="220" t="s">
        <v>307</v>
      </c>
      <c r="H239" s="221" t="s">
        <v>304</v>
      </c>
      <c r="I239" s="222">
        <v>440305217796</v>
      </c>
      <c r="J239" s="222">
        <v>403048347400</v>
      </c>
      <c r="K239" s="222">
        <v>3312034038</v>
      </c>
    </row>
    <row r="240" spans="1:11" x14ac:dyDescent="0.3">
      <c r="A240" s="220">
        <v>239</v>
      </c>
      <c r="B240" s="220" t="s">
        <v>823</v>
      </c>
      <c r="C240" s="220" t="s">
        <v>818</v>
      </c>
      <c r="D240" s="220">
        <v>106300187</v>
      </c>
      <c r="E240" s="220" t="s">
        <v>819</v>
      </c>
      <c r="F240" s="220" t="s">
        <v>822</v>
      </c>
      <c r="G240" s="220" t="s">
        <v>309</v>
      </c>
      <c r="H240" s="221" t="s">
        <v>304</v>
      </c>
      <c r="I240" s="222">
        <v>825148263706</v>
      </c>
      <c r="J240" s="222">
        <v>768119305595</v>
      </c>
      <c r="K240" s="222">
        <v>7415458051</v>
      </c>
    </row>
    <row r="241" spans="1:11" x14ac:dyDescent="0.3">
      <c r="A241" s="220">
        <v>240</v>
      </c>
      <c r="B241" s="220" t="s">
        <v>824</v>
      </c>
      <c r="C241" s="220" t="s">
        <v>818</v>
      </c>
      <c r="D241" s="220">
        <v>106300187</v>
      </c>
      <c r="E241" s="220" t="s">
        <v>819</v>
      </c>
      <c r="F241" s="220" t="s">
        <v>822</v>
      </c>
      <c r="G241" s="220" t="s">
        <v>311</v>
      </c>
      <c r="H241" s="221" t="s">
        <v>304</v>
      </c>
      <c r="I241" s="222">
        <v>2402190047639</v>
      </c>
      <c r="J241" s="222">
        <v>2314830825435</v>
      </c>
      <c r="K241" s="222">
        <v>10267772265</v>
      </c>
    </row>
    <row r="242" spans="1:11" x14ac:dyDescent="0.3">
      <c r="A242" s="217">
        <v>241</v>
      </c>
      <c r="B242" s="217" t="s">
        <v>825</v>
      </c>
      <c r="C242" s="217" t="s">
        <v>826</v>
      </c>
      <c r="D242" s="217">
        <v>106395904</v>
      </c>
      <c r="E242" s="217" t="s">
        <v>491</v>
      </c>
      <c r="F242" s="217" t="s">
        <v>827</v>
      </c>
      <c r="G242" s="217" t="s">
        <v>25</v>
      </c>
      <c r="H242" s="218" t="s">
        <v>472</v>
      </c>
      <c r="I242" s="219">
        <v>431920722238</v>
      </c>
      <c r="J242" s="219">
        <v>393954748487</v>
      </c>
      <c r="K242" s="219">
        <v>7737391449</v>
      </c>
    </row>
    <row r="243" spans="1:11" x14ac:dyDescent="0.3">
      <c r="A243" s="217">
        <v>242</v>
      </c>
      <c r="B243" s="217" t="s">
        <v>828</v>
      </c>
      <c r="C243" s="217" t="s">
        <v>826</v>
      </c>
      <c r="D243" s="217">
        <v>106395904</v>
      </c>
      <c r="E243" s="217" t="s">
        <v>491</v>
      </c>
      <c r="F243" s="217" t="s">
        <v>829</v>
      </c>
      <c r="G243" s="217" t="s">
        <v>307</v>
      </c>
      <c r="H243" s="218" t="s">
        <v>472</v>
      </c>
      <c r="I243" s="219">
        <v>421742814088</v>
      </c>
      <c r="J243" s="219">
        <v>396522467262</v>
      </c>
      <c r="K243" s="219">
        <v>2843074340</v>
      </c>
    </row>
    <row r="244" spans="1:11" x14ac:dyDescent="0.3">
      <c r="A244" s="217">
        <v>243</v>
      </c>
      <c r="B244" s="217" t="s">
        <v>830</v>
      </c>
      <c r="C244" s="217" t="s">
        <v>826</v>
      </c>
      <c r="D244" s="217">
        <v>106395904</v>
      </c>
      <c r="E244" s="217" t="s">
        <v>491</v>
      </c>
      <c r="F244" s="217" t="s">
        <v>831</v>
      </c>
      <c r="G244" s="217" t="s">
        <v>309</v>
      </c>
      <c r="H244" s="218" t="s">
        <v>472</v>
      </c>
      <c r="I244" s="219">
        <v>460186856280</v>
      </c>
      <c r="J244" s="219">
        <v>437488181535</v>
      </c>
      <c r="K244" s="219">
        <v>10418379150</v>
      </c>
    </row>
    <row r="245" spans="1:11" x14ac:dyDescent="0.3">
      <c r="A245" s="217">
        <v>244</v>
      </c>
      <c r="B245" s="217" t="s">
        <v>832</v>
      </c>
      <c r="C245" s="217" t="s">
        <v>826</v>
      </c>
      <c r="D245" s="217">
        <v>106395904</v>
      </c>
      <c r="E245" s="217" t="s">
        <v>491</v>
      </c>
      <c r="F245" s="217" t="s">
        <v>833</v>
      </c>
      <c r="G245" s="217" t="s">
        <v>311</v>
      </c>
      <c r="H245" s="218" t="s">
        <v>472</v>
      </c>
      <c r="I245" s="219">
        <v>365073017786</v>
      </c>
      <c r="J245" s="219">
        <v>336260689500</v>
      </c>
      <c r="K245" s="219">
        <v>18423243039</v>
      </c>
    </row>
    <row r="246" spans="1:11" x14ac:dyDescent="0.3">
      <c r="A246" s="220">
        <v>245</v>
      </c>
      <c r="B246" s="220" t="s">
        <v>834</v>
      </c>
      <c r="C246" s="220" t="s">
        <v>835</v>
      </c>
      <c r="D246" s="220">
        <v>106399994</v>
      </c>
      <c r="E246" s="220" t="s">
        <v>836</v>
      </c>
      <c r="F246" s="220" t="s">
        <v>837</v>
      </c>
      <c r="G246" s="220" t="s">
        <v>25</v>
      </c>
      <c r="H246" s="221" t="s">
        <v>472</v>
      </c>
      <c r="I246" s="222">
        <v>1054238715647</v>
      </c>
      <c r="J246" s="222">
        <v>1005292637004</v>
      </c>
      <c r="K246" s="222">
        <v>36568810129</v>
      </c>
    </row>
    <row r="247" spans="1:11" x14ac:dyDescent="0.3">
      <c r="A247" s="220">
        <v>246</v>
      </c>
      <c r="B247" s="220" t="s">
        <v>838</v>
      </c>
      <c r="C247" s="220" t="s">
        <v>839</v>
      </c>
      <c r="D247" s="220">
        <v>106399994</v>
      </c>
      <c r="E247" s="220" t="s">
        <v>836</v>
      </c>
      <c r="F247" s="220" t="s">
        <v>840</v>
      </c>
      <c r="G247" s="220" t="s">
        <v>307</v>
      </c>
      <c r="H247" s="221" t="s">
        <v>472</v>
      </c>
      <c r="I247" s="222">
        <v>1031867320552</v>
      </c>
      <c r="J247" s="222">
        <v>993219376358</v>
      </c>
      <c r="K247" s="222">
        <v>22546992387</v>
      </c>
    </row>
    <row r="248" spans="1:11" x14ac:dyDescent="0.3">
      <c r="A248" s="220">
        <v>247</v>
      </c>
      <c r="B248" s="220" t="s">
        <v>841</v>
      </c>
      <c r="C248" s="220" t="s">
        <v>839</v>
      </c>
      <c r="D248" s="220">
        <v>106399994</v>
      </c>
      <c r="E248" s="220" t="s">
        <v>836</v>
      </c>
      <c r="F248" s="220" t="s">
        <v>840</v>
      </c>
      <c r="G248" s="220" t="s">
        <v>309</v>
      </c>
      <c r="H248" s="221" t="s">
        <v>472</v>
      </c>
      <c r="I248" s="222">
        <v>531280059372</v>
      </c>
      <c r="J248" s="222">
        <v>500430078786</v>
      </c>
      <c r="K248" s="222">
        <v>15424186181</v>
      </c>
    </row>
    <row r="249" spans="1:11" x14ac:dyDescent="0.3">
      <c r="A249" s="220">
        <v>248</v>
      </c>
      <c r="B249" s="220" t="s">
        <v>842</v>
      </c>
      <c r="C249" s="220" t="s">
        <v>839</v>
      </c>
      <c r="D249" s="220">
        <v>106399994</v>
      </c>
      <c r="E249" s="220" t="s">
        <v>836</v>
      </c>
      <c r="F249" s="220" t="s">
        <v>840</v>
      </c>
      <c r="G249" s="220" t="s">
        <v>311</v>
      </c>
      <c r="H249" s="221" t="s">
        <v>472</v>
      </c>
      <c r="I249" s="222">
        <v>5051799056</v>
      </c>
      <c r="J249" s="222">
        <v>3034390915</v>
      </c>
      <c r="K249" s="222">
        <v>-8647798659</v>
      </c>
    </row>
    <row r="250" spans="1:11" x14ac:dyDescent="0.3">
      <c r="A250" s="220">
        <v>249</v>
      </c>
      <c r="B250" s="220" t="s">
        <v>843</v>
      </c>
      <c r="C250" s="220" t="s">
        <v>839</v>
      </c>
      <c r="D250" s="220">
        <v>106399994</v>
      </c>
      <c r="E250" s="220" t="s">
        <v>836</v>
      </c>
      <c r="F250" s="220" t="s">
        <v>844</v>
      </c>
      <c r="G250" s="220" t="s">
        <v>321</v>
      </c>
      <c r="H250" s="221" t="s">
        <v>472</v>
      </c>
      <c r="I250" s="222">
        <v>5423873747</v>
      </c>
      <c r="J250" s="222">
        <v>3606757603</v>
      </c>
      <c r="K250" s="222">
        <v>-218788858</v>
      </c>
    </row>
    <row r="251" spans="1:11" x14ac:dyDescent="0.3">
      <c r="A251" s="217">
        <v>250</v>
      </c>
      <c r="B251" s="217" t="s">
        <v>845</v>
      </c>
      <c r="C251" s="217" t="s">
        <v>846</v>
      </c>
      <c r="D251" s="217">
        <v>106467242</v>
      </c>
      <c r="E251" s="217" t="s">
        <v>847</v>
      </c>
      <c r="F251" s="217" t="s">
        <v>848</v>
      </c>
      <c r="G251" s="217" t="s">
        <v>25</v>
      </c>
      <c r="H251" s="218" t="s">
        <v>304</v>
      </c>
      <c r="I251" s="219">
        <v>801951828845</v>
      </c>
      <c r="J251" s="219">
        <v>571450385006</v>
      </c>
      <c r="K251" s="219">
        <v>54482065444</v>
      </c>
    </row>
    <row r="252" spans="1:11" x14ac:dyDescent="0.3">
      <c r="A252" s="217">
        <v>251</v>
      </c>
      <c r="B252" s="217" t="s">
        <v>849</v>
      </c>
      <c r="C252" s="217" t="s">
        <v>846</v>
      </c>
      <c r="D252" s="217">
        <v>106467242</v>
      </c>
      <c r="E252" s="217" t="s">
        <v>847</v>
      </c>
      <c r="F252" s="217" t="s">
        <v>850</v>
      </c>
      <c r="G252" s="217" t="s">
        <v>307</v>
      </c>
      <c r="H252" s="218" t="s">
        <v>304</v>
      </c>
      <c r="I252" s="219">
        <v>950909113639</v>
      </c>
      <c r="J252" s="219">
        <v>684137589864</v>
      </c>
      <c r="K252" s="219">
        <v>53892842091</v>
      </c>
    </row>
    <row r="253" spans="1:11" x14ac:dyDescent="0.3">
      <c r="A253" s="217">
        <v>252</v>
      </c>
      <c r="B253" s="217" t="s">
        <v>851</v>
      </c>
      <c r="C253" s="217" t="s">
        <v>846</v>
      </c>
      <c r="D253" s="217">
        <v>106467242</v>
      </c>
      <c r="E253" s="217" t="s">
        <v>847</v>
      </c>
      <c r="F253" s="217" t="s">
        <v>850</v>
      </c>
      <c r="G253" s="217" t="s">
        <v>309</v>
      </c>
      <c r="H253" s="218" t="s">
        <v>304</v>
      </c>
      <c r="I253" s="219">
        <v>940666624737</v>
      </c>
      <c r="J253" s="219">
        <v>622761301658</v>
      </c>
      <c r="K253" s="219">
        <v>26160767461</v>
      </c>
    </row>
    <row r="254" spans="1:11" x14ac:dyDescent="0.3">
      <c r="A254" s="217">
        <v>253</v>
      </c>
      <c r="B254" s="217" t="s">
        <v>852</v>
      </c>
      <c r="C254" s="217" t="s">
        <v>846</v>
      </c>
      <c r="D254" s="217">
        <v>106467242</v>
      </c>
      <c r="E254" s="217" t="s">
        <v>847</v>
      </c>
      <c r="F254" s="217" t="s">
        <v>850</v>
      </c>
      <c r="G254" s="217" t="s">
        <v>311</v>
      </c>
      <c r="H254" s="218" t="s">
        <v>304</v>
      </c>
      <c r="I254" s="219">
        <v>1237113192917</v>
      </c>
      <c r="J254" s="219">
        <v>744947976568</v>
      </c>
      <c r="K254" s="219">
        <v>107951300126</v>
      </c>
    </row>
    <row r="255" spans="1:11" x14ac:dyDescent="0.3">
      <c r="A255" s="220">
        <v>254</v>
      </c>
      <c r="B255" s="220" t="s">
        <v>853</v>
      </c>
      <c r="C255" s="220" t="s">
        <v>854</v>
      </c>
      <c r="D255" s="220">
        <v>106682049</v>
      </c>
      <c r="E255" s="220" t="s">
        <v>855</v>
      </c>
      <c r="F255" s="220" t="s">
        <v>856</v>
      </c>
      <c r="G255" s="220" t="s">
        <v>25</v>
      </c>
      <c r="H255" s="221" t="s">
        <v>304</v>
      </c>
      <c r="I255" s="222">
        <v>2792821394348</v>
      </c>
      <c r="J255" s="222">
        <v>2635287022345</v>
      </c>
      <c r="K255" s="222">
        <v>112876092432</v>
      </c>
    </row>
    <row r="256" spans="1:11" x14ac:dyDescent="0.3">
      <c r="A256" s="220">
        <v>255</v>
      </c>
      <c r="B256" s="220" t="s">
        <v>857</v>
      </c>
      <c r="C256" s="220" t="s">
        <v>854</v>
      </c>
      <c r="D256" s="220">
        <v>106682049</v>
      </c>
      <c r="E256" s="220" t="s">
        <v>855</v>
      </c>
      <c r="F256" s="220" t="s">
        <v>858</v>
      </c>
      <c r="G256" s="220" t="s">
        <v>307</v>
      </c>
      <c r="H256" s="221" t="s">
        <v>304</v>
      </c>
      <c r="I256" s="222">
        <v>381695646811</v>
      </c>
      <c r="J256" s="222">
        <v>377615669972</v>
      </c>
      <c r="K256" s="222">
        <v>-4553763224</v>
      </c>
    </row>
    <row r="257" spans="1:11" x14ac:dyDescent="0.3">
      <c r="A257" s="220">
        <v>256</v>
      </c>
      <c r="B257" s="220" t="s">
        <v>859</v>
      </c>
      <c r="C257" s="220" t="s">
        <v>860</v>
      </c>
      <c r="D257" s="220">
        <v>106682049</v>
      </c>
      <c r="E257" s="220" t="s">
        <v>855</v>
      </c>
      <c r="F257" s="220" t="s">
        <v>861</v>
      </c>
      <c r="G257" s="220" t="s">
        <v>309</v>
      </c>
      <c r="H257" s="221"/>
      <c r="I257" s="222">
        <v>73677273</v>
      </c>
      <c r="J257" s="222">
        <v>10524296</v>
      </c>
      <c r="K257" s="222">
        <v>-436853934</v>
      </c>
    </row>
    <row r="258" spans="1:11" x14ac:dyDescent="0.3">
      <c r="A258" s="220">
        <v>257</v>
      </c>
      <c r="B258" s="220" t="s">
        <v>862</v>
      </c>
      <c r="C258" s="220" t="s">
        <v>860</v>
      </c>
      <c r="D258" s="220">
        <v>106682049</v>
      </c>
      <c r="E258" s="220" t="s">
        <v>855</v>
      </c>
      <c r="F258" s="220" t="s">
        <v>861</v>
      </c>
      <c r="G258" s="220" t="s">
        <v>311</v>
      </c>
      <c r="H258" s="221"/>
      <c r="I258" s="222">
        <v>0</v>
      </c>
      <c r="J258" s="222">
        <v>0</v>
      </c>
      <c r="K258" s="222">
        <v>-232413867</v>
      </c>
    </row>
    <row r="259" spans="1:11" x14ac:dyDescent="0.3">
      <c r="A259" s="220">
        <v>258</v>
      </c>
      <c r="B259" s="220" t="s">
        <v>863</v>
      </c>
      <c r="C259" s="220" t="s">
        <v>864</v>
      </c>
      <c r="D259" s="220">
        <v>106682049</v>
      </c>
      <c r="E259" s="220" t="s">
        <v>855</v>
      </c>
      <c r="F259" s="220" t="s">
        <v>865</v>
      </c>
      <c r="G259" s="220" t="s">
        <v>321</v>
      </c>
      <c r="H259" s="221" t="s">
        <v>304</v>
      </c>
      <c r="I259" s="222">
        <v>0</v>
      </c>
      <c r="J259" s="222">
        <v>0</v>
      </c>
      <c r="K259" s="222">
        <v>-615556975</v>
      </c>
    </row>
    <row r="260" spans="1:11" x14ac:dyDescent="0.3">
      <c r="A260" s="217">
        <v>259</v>
      </c>
      <c r="B260" s="217" t="s">
        <v>866</v>
      </c>
      <c r="C260" s="217" t="s">
        <v>867</v>
      </c>
      <c r="D260" s="217">
        <v>106980045</v>
      </c>
      <c r="E260" s="217" t="s">
        <v>868</v>
      </c>
      <c r="F260" s="217" t="s">
        <v>869</v>
      </c>
      <c r="G260" s="217" t="s">
        <v>25</v>
      </c>
      <c r="H260" s="218" t="s">
        <v>304</v>
      </c>
      <c r="I260" s="219">
        <v>2947558928163</v>
      </c>
      <c r="J260" s="219">
        <v>2625701175593</v>
      </c>
      <c r="K260" s="219">
        <v>109178511881</v>
      </c>
    </row>
    <row r="261" spans="1:11" x14ac:dyDescent="0.3">
      <c r="A261" s="217">
        <v>260</v>
      </c>
      <c r="B261" s="217" t="s">
        <v>870</v>
      </c>
      <c r="C261" s="217" t="s">
        <v>867</v>
      </c>
      <c r="D261" s="217">
        <v>106980045</v>
      </c>
      <c r="E261" s="217" t="s">
        <v>868</v>
      </c>
      <c r="F261" s="217" t="s">
        <v>871</v>
      </c>
      <c r="G261" s="217" t="s">
        <v>307</v>
      </c>
      <c r="H261" s="218" t="s">
        <v>304</v>
      </c>
      <c r="I261" s="219">
        <v>3678517912218</v>
      </c>
      <c r="J261" s="219">
        <v>3417875595196</v>
      </c>
      <c r="K261" s="219">
        <v>23304581282</v>
      </c>
    </row>
    <row r="262" spans="1:11" x14ac:dyDescent="0.3">
      <c r="A262" s="217">
        <v>261</v>
      </c>
      <c r="B262" s="217" t="s">
        <v>872</v>
      </c>
      <c r="C262" s="217" t="s">
        <v>873</v>
      </c>
      <c r="D262" s="217">
        <v>106980045</v>
      </c>
      <c r="E262" s="217" t="s">
        <v>868</v>
      </c>
      <c r="F262" s="217" t="s">
        <v>874</v>
      </c>
      <c r="G262" s="217" t="s">
        <v>309</v>
      </c>
      <c r="H262" s="218" t="s">
        <v>304</v>
      </c>
      <c r="I262" s="219">
        <v>3623940584640</v>
      </c>
      <c r="J262" s="219">
        <v>3464165755505</v>
      </c>
      <c r="K262" s="219">
        <v>-10563412826</v>
      </c>
    </row>
    <row r="263" spans="1:11" x14ac:dyDescent="0.3">
      <c r="A263" s="217">
        <v>262</v>
      </c>
      <c r="B263" s="217" t="s">
        <v>875</v>
      </c>
      <c r="C263" s="217" t="s">
        <v>873</v>
      </c>
      <c r="D263" s="217">
        <v>106980045</v>
      </c>
      <c r="E263" s="217" t="s">
        <v>868</v>
      </c>
      <c r="F263" s="217" t="s">
        <v>876</v>
      </c>
      <c r="G263" s="217" t="s">
        <v>311</v>
      </c>
      <c r="H263" s="218" t="s">
        <v>304</v>
      </c>
      <c r="I263" s="219">
        <v>4409414024362</v>
      </c>
      <c r="J263" s="219">
        <v>4120763061475</v>
      </c>
      <c r="K263" s="219">
        <v>24406752803</v>
      </c>
    </row>
    <row r="264" spans="1:11" x14ac:dyDescent="0.3">
      <c r="A264" s="220">
        <v>263</v>
      </c>
      <c r="B264" s="220" t="s">
        <v>877</v>
      </c>
      <c r="C264" s="220" t="s">
        <v>878</v>
      </c>
      <c r="D264" s="220">
        <v>107383796</v>
      </c>
      <c r="E264" s="220" t="s">
        <v>454</v>
      </c>
      <c r="F264" s="220" t="s">
        <v>879</v>
      </c>
      <c r="G264" s="220" t="s">
        <v>25</v>
      </c>
      <c r="H264" s="221" t="s">
        <v>304</v>
      </c>
      <c r="I264" s="222">
        <v>367286841847</v>
      </c>
      <c r="J264" s="222">
        <v>340072509717</v>
      </c>
      <c r="K264" s="222">
        <v>-2295362015</v>
      </c>
    </row>
    <row r="265" spans="1:11" x14ac:dyDescent="0.3">
      <c r="A265" s="220">
        <v>264</v>
      </c>
      <c r="B265" s="220" t="s">
        <v>880</v>
      </c>
      <c r="C265" s="220" t="s">
        <v>878</v>
      </c>
      <c r="D265" s="220">
        <v>107383796</v>
      </c>
      <c r="E265" s="220" t="s">
        <v>454</v>
      </c>
      <c r="F265" s="220" t="s">
        <v>881</v>
      </c>
      <c r="G265" s="220" t="s">
        <v>307</v>
      </c>
      <c r="H265" s="221" t="s">
        <v>304</v>
      </c>
      <c r="I265" s="222">
        <v>795518965594</v>
      </c>
      <c r="J265" s="222">
        <v>740327298371</v>
      </c>
      <c r="K265" s="222">
        <v>75266499174</v>
      </c>
    </row>
    <row r="266" spans="1:11" x14ac:dyDescent="0.3">
      <c r="A266" s="220">
        <v>265</v>
      </c>
      <c r="B266" s="220" t="s">
        <v>882</v>
      </c>
      <c r="C266" s="220" t="s">
        <v>878</v>
      </c>
      <c r="D266" s="220">
        <v>107383796</v>
      </c>
      <c r="E266" s="220" t="s">
        <v>454</v>
      </c>
      <c r="F266" s="220" t="s">
        <v>883</v>
      </c>
      <c r="G266" s="220" t="s">
        <v>309</v>
      </c>
      <c r="H266" s="221" t="s">
        <v>304</v>
      </c>
      <c r="I266" s="222">
        <v>1185958077561</v>
      </c>
      <c r="J266" s="222">
        <v>1121449541458</v>
      </c>
      <c r="K266" s="222">
        <v>21439138616</v>
      </c>
    </row>
    <row r="267" spans="1:11" x14ac:dyDescent="0.3">
      <c r="A267" s="220">
        <v>266</v>
      </c>
      <c r="B267" s="220" t="s">
        <v>884</v>
      </c>
      <c r="C267" s="220" t="s">
        <v>885</v>
      </c>
      <c r="D267" s="220">
        <v>107383796</v>
      </c>
      <c r="E267" s="220" t="s">
        <v>454</v>
      </c>
      <c r="F267" s="220" t="s">
        <v>886</v>
      </c>
      <c r="G267" s="220" t="s">
        <v>311</v>
      </c>
      <c r="H267" s="221" t="s">
        <v>304</v>
      </c>
      <c r="I267" s="222">
        <v>1344117735769</v>
      </c>
      <c r="J267" s="222">
        <v>1270641076497</v>
      </c>
      <c r="K267" s="222">
        <v>28872663116</v>
      </c>
    </row>
    <row r="268" spans="1:11" x14ac:dyDescent="0.3">
      <c r="A268" s="217">
        <v>267</v>
      </c>
      <c r="B268" s="217" t="s">
        <v>887</v>
      </c>
      <c r="C268" s="217" t="s">
        <v>888</v>
      </c>
      <c r="D268" s="217">
        <v>107422036</v>
      </c>
      <c r="E268" s="217" t="s">
        <v>889</v>
      </c>
      <c r="F268" s="217" t="s">
        <v>890</v>
      </c>
      <c r="G268" s="217" t="s">
        <v>25</v>
      </c>
      <c r="H268" s="218" t="s">
        <v>304</v>
      </c>
      <c r="I268" s="219">
        <v>777897084416</v>
      </c>
      <c r="J268" s="219">
        <v>619091271074</v>
      </c>
      <c r="K268" s="219">
        <v>88488664442</v>
      </c>
    </row>
    <row r="269" spans="1:11" x14ac:dyDescent="0.3">
      <c r="A269" s="217">
        <v>268</v>
      </c>
      <c r="B269" s="217" t="s">
        <v>891</v>
      </c>
      <c r="C269" s="217" t="s">
        <v>888</v>
      </c>
      <c r="D269" s="217">
        <v>107422036</v>
      </c>
      <c r="E269" s="217" t="s">
        <v>889</v>
      </c>
      <c r="F269" s="217" t="s">
        <v>892</v>
      </c>
      <c r="G269" s="217" t="s">
        <v>307</v>
      </c>
      <c r="H269" s="218" t="s">
        <v>304</v>
      </c>
      <c r="I269" s="219">
        <v>746097353539</v>
      </c>
      <c r="J269" s="219">
        <v>581183785447</v>
      </c>
      <c r="K269" s="219">
        <v>95346214793</v>
      </c>
    </row>
    <row r="270" spans="1:11" x14ac:dyDescent="0.3">
      <c r="A270" s="217">
        <v>269</v>
      </c>
      <c r="B270" s="217" t="s">
        <v>893</v>
      </c>
      <c r="C270" s="217" t="s">
        <v>888</v>
      </c>
      <c r="D270" s="217">
        <v>107422036</v>
      </c>
      <c r="E270" s="217" t="s">
        <v>889</v>
      </c>
      <c r="F270" s="217" t="s">
        <v>892</v>
      </c>
      <c r="G270" s="217" t="s">
        <v>309</v>
      </c>
      <c r="H270" s="218" t="s">
        <v>304</v>
      </c>
      <c r="I270" s="219">
        <v>754973388319</v>
      </c>
      <c r="J270" s="219">
        <v>579514127311</v>
      </c>
      <c r="K270" s="219">
        <v>111986611207</v>
      </c>
    </row>
    <row r="271" spans="1:11" x14ac:dyDescent="0.3">
      <c r="A271" s="217">
        <v>270</v>
      </c>
      <c r="B271" s="217" t="s">
        <v>894</v>
      </c>
      <c r="C271" s="217" t="s">
        <v>888</v>
      </c>
      <c r="D271" s="217">
        <v>107422036</v>
      </c>
      <c r="E271" s="217" t="s">
        <v>889</v>
      </c>
      <c r="F271" s="217" t="s">
        <v>895</v>
      </c>
      <c r="G271" s="217" t="s">
        <v>311</v>
      </c>
      <c r="H271" s="218" t="s">
        <v>304</v>
      </c>
      <c r="I271" s="219">
        <v>782434513054</v>
      </c>
      <c r="J271" s="219">
        <v>583567410085</v>
      </c>
      <c r="K271" s="219">
        <v>125125803256</v>
      </c>
    </row>
    <row r="272" spans="1:11" x14ac:dyDescent="0.3">
      <c r="A272" s="220">
        <v>271</v>
      </c>
      <c r="B272" s="220" t="s">
        <v>896</v>
      </c>
      <c r="C272" s="220" t="s">
        <v>897</v>
      </c>
      <c r="D272" s="220">
        <v>107572987</v>
      </c>
      <c r="E272" s="220" t="s">
        <v>653</v>
      </c>
      <c r="F272" s="220" t="s">
        <v>898</v>
      </c>
      <c r="G272" s="220" t="s">
        <v>25</v>
      </c>
      <c r="H272" s="221" t="s">
        <v>304</v>
      </c>
      <c r="I272" s="222">
        <v>967705956035</v>
      </c>
      <c r="J272" s="222">
        <v>918852036766</v>
      </c>
      <c r="K272" s="222">
        <v>19328663634</v>
      </c>
    </row>
    <row r="273" spans="1:11" x14ac:dyDescent="0.3">
      <c r="A273" s="220">
        <v>272</v>
      </c>
      <c r="B273" s="220" t="s">
        <v>899</v>
      </c>
      <c r="C273" s="220" t="s">
        <v>897</v>
      </c>
      <c r="D273" s="220">
        <v>107572987</v>
      </c>
      <c r="E273" s="220" t="s">
        <v>653</v>
      </c>
      <c r="F273" s="220" t="s">
        <v>898</v>
      </c>
      <c r="G273" s="220" t="s">
        <v>307</v>
      </c>
      <c r="H273" s="221" t="s">
        <v>304</v>
      </c>
      <c r="I273" s="222">
        <v>1256270265355</v>
      </c>
      <c r="J273" s="222">
        <v>1219596090340</v>
      </c>
      <c r="K273" s="222">
        <v>4043267371</v>
      </c>
    </row>
    <row r="274" spans="1:11" x14ac:dyDescent="0.3">
      <c r="A274" s="220">
        <v>273</v>
      </c>
      <c r="B274" s="220" t="s">
        <v>900</v>
      </c>
      <c r="C274" s="220" t="s">
        <v>897</v>
      </c>
      <c r="D274" s="220">
        <v>107572987</v>
      </c>
      <c r="E274" s="220" t="s">
        <v>653</v>
      </c>
      <c r="F274" s="220" t="s">
        <v>898</v>
      </c>
      <c r="G274" s="220" t="s">
        <v>309</v>
      </c>
      <c r="H274" s="221" t="s">
        <v>304</v>
      </c>
      <c r="I274" s="222">
        <v>2082396262313</v>
      </c>
      <c r="J274" s="222">
        <v>2016113322594</v>
      </c>
      <c r="K274" s="222">
        <v>13886334556</v>
      </c>
    </row>
    <row r="275" spans="1:11" x14ac:dyDescent="0.3">
      <c r="A275" s="220">
        <v>274</v>
      </c>
      <c r="B275" s="220" t="s">
        <v>901</v>
      </c>
      <c r="C275" s="220" t="s">
        <v>897</v>
      </c>
      <c r="D275" s="220">
        <v>107572987</v>
      </c>
      <c r="E275" s="220" t="s">
        <v>653</v>
      </c>
      <c r="F275" s="220" t="s">
        <v>898</v>
      </c>
      <c r="G275" s="220" t="s">
        <v>311</v>
      </c>
      <c r="H275" s="221" t="s">
        <v>304</v>
      </c>
      <c r="I275" s="222">
        <v>3957814783466</v>
      </c>
      <c r="J275" s="222">
        <v>3830538181468</v>
      </c>
      <c r="K275" s="222">
        <v>35219212714</v>
      </c>
    </row>
    <row r="276" spans="1:11" x14ac:dyDescent="0.3">
      <c r="A276" s="217">
        <v>275</v>
      </c>
      <c r="B276" s="217" t="s">
        <v>902</v>
      </c>
      <c r="C276" s="217" t="s">
        <v>903</v>
      </c>
      <c r="D276" s="217">
        <v>107658306</v>
      </c>
      <c r="E276" s="217" t="s">
        <v>904</v>
      </c>
      <c r="F276" s="217" t="s">
        <v>905</v>
      </c>
      <c r="G276" s="217" t="s">
        <v>25</v>
      </c>
      <c r="H276" s="218" t="s">
        <v>304</v>
      </c>
      <c r="I276" s="219">
        <v>685273315817</v>
      </c>
      <c r="J276" s="219">
        <v>533517013823</v>
      </c>
      <c r="K276" s="219">
        <v>3420345364</v>
      </c>
    </row>
    <row r="277" spans="1:11" x14ac:dyDescent="0.3">
      <c r="A277" s="217">
        <v>276</v>
      </c>
      <c r="B277" s="217" t="s">
        <v>906</v>
      </c>
      <c r="C277" s="217" t="s">
        <v>903</v>
      </c>
      <c r="D277" s="217">
        <v>107658306</v>
      </c>
      <c r="E277" s="217" t="s">
        <v>904</v>
      </c>
      <c r="F277" s="217" t="s">
        <v>907</v>
      </c>
      <c r="G277" s="217" t="s">
        <v>307</v>
      </c>
      <c r="H277" s="218" t="s">
        <v>304</v>
      </c>
      <c r="I277" s="219">
        <v>778881872836</v>
      </c>
      <c r="J277" s="219">
        <v>640657130719</v>
      </c>
      <c r="K277" s="219">
        <v>7867588681</v>
      </c>
    </row>
    <row r="278" spans="1:11" x14ac:dyDescent="0.3">
      <c r="A278" s="217">
        <v>277</v>
      </c>
      <c r="B278" s="217" t="s">
        <v>908</v>
      </c>
      <c r="C278" s="217" t="s">
        <v>903</v>
      </c>
      <c r="D278" s="217">
        <v>107658306</v>
      </c>
      <c r="E278" s="217" t="s">
        <v>904</v>
      </c>
      <c r="F278" s="217" t="s">
        <v>907</v>
      </c>
      <c r="G278" s="217" t="s">
        <v>309</v>
      </c>
      <c r="H278" s="218" t="s">
        <v>304</v>
      </c>
      <c r="I278" s="219">
        <v>1006804118958</v>
      </c>
      <c r="J278" s="219">
        <v>891589677903</v>
      </c>
      <c r="K278" s="219">
        <v>14192161518</v>
      </c>
    </row>
    <row r="279" spans="1:11" x14ac:dyDescent="0.3">
      <c r="A279" s="217">
        <v>278</v>
      </c>
      <c r="B279" s="217" t="s">
        <v>909</v>
      </c>
      <c r="C279" s="217" t="s">
        <v>910</v>
      </c>
      <c r="D279" s="217">
        <v>107658306</v>
      </c>
      <c r="E279" s="217" t="s">
        <v>904</v>
      </c>
      <c r="F279" s="217" t="s">
        <v>907</v>
      </c>
      <c r="G279" s="217" t="s">
        <v>311</v>
      </c>
      <c r="H279" s="218" t="s">
        <v>304</v>
      </c>
      <c r="I279" s="219">
        <v>1414595311754</v>
      </c>
      <c r="J279" s="219">
        <v>1221570849656</v>
      </c>
      <c r="K279" s="219">
        <v>32218888254</v>
      </c>
    </row>
    <row r="280" spans="1:11" x14ac:dyDescent="0.3">
      <c r="A280" s="220">
        <v>279</v>
      </c>
      <c r="B280" s="220" t="s">
        <v>911</v>
      </c>
      <c r="C280" s="220" t="s">
        <v>912</v>
      </c>
      <c r="D280" s="220">
        <v>107720360</v>
      </c>
      <c r="E280" s="220" t="s">
        <v>913</v>
      </c>
      <c r="F280" s="220" t="s">
        <v>914</v>
      </c>
      <c r="G280" s="220" t="s">
        <v>25</v>
      </c>
      <c r="H280" s="221" t="s">
        <v>304</v>
      </c>
      <c r="I280" s="222">
        <v>194198073299</v>
      </c>
      <c r="J280" s="222">
        <v>175173945986</v>
      </c>
      <c r="K280" s="222">
        <v>-12875857400</v>
      </c>
    </row>
    <row r="281" spans="1:11" x14ac:dyDescent="0.3">
      <c r="A281" s="220">
        <v>280</v>
      </c>
      <c r="B281" s="220" t="s">
        <v>915</v>
      </c>
      <c r="C281" s="220" t="s">
        <v>912</v>
      </c>
      <c r="D281" s="220">
        <v>107720360</v>
      </c>
      <c r="E281" s="220" t="s">
        <v>913</v>
      </c>
      <c r="F281" s="220" t="s">
        <v>914</v>
      </c>
      <c r="G281" s="220" t="s">
        <v>307</v>
      </c>
      <c r="H281" s="221" t="s">
        <v>304</v>
      </c>
      <c r="I281" s="222">
        <v>611979790400</v>
      </c>
      <c r="J281" s="222">
        <v>561315404263</v>
      </c>
      <c r="K281" s="222">
        <v>18420365193</v>
      </c>
    </row>
    <row r="282" spans="1:11" x14ac:dyDescent="0.3">
      <c r="A282" s="220">
        <v>281</v>
      </c>
      <c r="B282" s="220" t="s">
        <v>916</v>
      </c>
      <c r="C282" s="220" t="s">
        <v>912</v>
      </c>
      <c r="D282" s="220">
        <v>107720360</v>
      </c>
      <c r="E282" s="220" t="s">
        <v>913</v>
      </c>
      <c r="F282" s="220" t="s">
        <v>917</v>
      </c>
      <c r="G282" s="220" t="s">
        <v>309</v>
      </c>
      <c r="H282" s="221" t="s">
        <v>304</v>
      </c>
      <c r="I282" s="222">
        <v>274212615600</v>
      </c>
      <c r="J282" s="222">
        <v>258626287452</v>
      </c>
      <c r="K282" s="222">
        <v>-17186455798</v>
      </c>
    </row>
    <row r="283" spans="1:11" x14ac:dyDescent="0.3">
      <c r="A283" s="220">
        <v>282</v>
      </c>
      <c r="B283" s="220" t="s">
        <v>918</v>
      </c>
      <c r="C283" s="220" t="s">
        <v>912</v>
      </c>
      <c r="D283" s="220">
        <v>107720360</v>
      </c>
      <c r="E283" s="220" t="s">
        <v>913</v>
      </c>
      <c r="F283" s="220" t="s">
        <v>917</v>
      </c>
      <c r="G283" s="220" t="s">
        <v>311</v>
      </c>
      <c r="H283" s="221" t="s">
        <v>304</v>
      </c>
      <c r="I283" s="222">
        <v>269434050960</v>
      </c>
      <c r="J283" s="222">
        <v>243914451984</v>
      </c>
      <c r="K283" s="222">
        <v>-10860348501</v>
      </c>
    </row>
    <row r="284" spans="1:11" x14ac:dyDescent="0.3">
      <c r="A284" s="217">
        <v>283</v>
      </c>
      <c r="B284" s="217" t="s">
        <v>919</v>
      </c>
      <c r="C284" s="217" t="s">
        <v>920</v>
      </c>
      <c r="D284" s="217">
        <v>107720402</v>
      </c>
      <c r="E284" s="217" t="s">
        <v>491</v>
      </c>
      <c r="F284" s="217" t="s">
        <v>921</v>
      </c>
      <c r="G284" s="217" t="s">
        <v>25</v>
      </c>
      <c r="H284" s="218" t="s">
        <v>472</v>
      </c>
      <c r="I284" s="219">
        <v>414933892207</v>
      </c>
      <c r="J284" s="219">
        <v>365664160562</v>
      </c>
      <c r="K284" s="219">
        <v>12869750504</v>
      </c>
    </row>
    <row r="285" spans="1:11" x14ac:dyDescent="0.3">
      <c r="A285" s="217">
        <v>284</v>
      </c>
      <c r="B285" s="217" t="s">
        <v>922</v>
      </c>
      <c r="C285" s="217" t="s">
        <v>923</v>
      </c>
      <c r="D285" s="217">
        <v>107720402</v>
      </c>
      <c r="E285" s="217" t="s">
        <v>491</v>
      </c>
      <c r="F285" s="217" t="s">
        <v>924</v>
      </c>
      <c r="G285" s="217" t="s">
        <v>307</v>
      </c>
      <c r="H285" s="218" t="s">
        <v>472</v>
      </c>
      <c r="I285" s="219">
        <v>296810001463</v>
      </c>
      <c r="J285" s="219">
        <v>252080100816</v>
      </c>
      <c r="K285" s="219">
        <v>11829938923</v>
      </c>
    </row>
    <row r="286" spans="1:11" x14ac:dyDescent="0.3">
      <c r="A286" s="217">
        <v>285</v>
      </c>
      <c r="B286" s="217" t="s">
        <v>925</v>
      </c>
      <c r="C286" s="217" t="s">
        <v>923</v>
      </c>
      <c r="D286" s="217">
        <v>107720402</v>
      </c>
      <c r="E286" s="217" t="s">
        <v>491</v>
      </c>
      <c r="F286" s="217" t="s">
        <v>924</v>
      </c>
      <c r="G286" s="217" t="s">
        <v>309</v>
      </c>
      <c r="H286" s="218" t="s">
        <v>472</v>
      </c>
      <c r="I286" s="219">
        <v>215569326814</v>
      </c>
      <c r="J286" s="219">
        <v>189783129712</v>
      </c>
      <c r="K286" s="219">
        <v>5959992418</v>
      </c>
    </row>
    <row r="287" spans="1:11" x14ac:dyDescent="0.3">
      <c r="A287" s="217">
        <v>286</v>
      </c>
      <c r="B287" s="217" t="s">
        <v>926</v>
      </c>
      <c r="C287" s="217" t="s">
        <v>923</v>
      </c>
      <c r="D287" s="217">
        <v>107720402</v>
      </c>
      <c r="E287" s="217" t="s">
        <v>491</v>
      </c>
      <c r="F287" s="217" t="s">
        <v>924</v>
      </c>
      <c r="G287" s="217" t="s">
        <v>311</v>
      </c>
      <c r="H287" s="218" t="s">
        <v>472</v>
      </c>
      <c r="I287" s="219">
        <v>302387551659</v>
      </c>
      <c r="J287" s="219">
        <v>263271912723</v>
      </c>
      <c r="K287" s="219">
        <v>10428545670</v>
      </c>
    </row>
    <row r="288" spans="1:11" x14ac:dyDescent="0.3">
      <c r="A288" s="220">
        <v>287</v>
      </c>
      <c r="B288" s="220" t="s">
        <v>927</v>
      </c>
      <c r="C288" s="220" t="s">
        <v>928</v>
      </c>
      <c r="D288" s="220">
        <v>107721413</v>
      </c>
      <c r="E288" s="220" t="s">
        <v>929</v>
      </c>
      <c r="F288" s="220" t="s">
        <v>930</v>
      </c>
      <c r="G288" s="220" t="s">
        <v>25</v>
      </c>
      <c r="H288" s="221"/>
      <c r="I288" s="222">
        <v>1328145807823</v>
      </c>
      <c r="J288" s="222">
        <v>1196584696563</v>
      </c>
      <c r="K288" s="222">
        <v>350838191</v>
      </c>
    </row>
    <row r="289" spans="1:11" x14ac:dyDescent="0.3">
      <c r="A289" s="220">
        <v>288</v>
      </c>
      <c r="B289" s="220" t="s">
        <v>931</v>
      </c>
      <c r="C289" s="220" t="s">
        <v>932</v>
      </c>
      <c r="D289" s="220">
        <v>107721413</v>
      </c>
      <c r="E289" s="220" t="s">
        <v>929</v>
      </c>
      <c r="F289" s="220" t="s">
        <v>933</v>
      </c>
      <c r="G289" s="220" t="s">
        <v>307</v>
      </c>
      <c r="H289" s="221" t="s">
        <v>304</v>
      </c>
      <c r="I289" s="222">
        <v>1608475607161</v>
      </c>
      <c r="J289" s="222">
        <v>1459731853133</v>
      </c>
      <c r="K289" s="222">
        <v>10377742417</v>
      </c>
    </row>
    <row r="290" spans="1:11" x14ac:dyDescent="0.3">
      <c r="A290" s="220">
        <v>289</v>
      </c>
      <c r="B290" s="220" t="s">
        <v>934</v>
      </c>
      <c r="C290" s="220" t="s">
        <v>932</v>
      </c>
      <c r="D290" s="220">
        <v>107721413</v>
      </c>
      <c r="E290" s="220" t="s">
        <v>929</v>
      </c>
      <c r="F290" s="220" t="s">
        <v>933</v>
      </c>
      <c r="G290" s="220" t="s">
        <v>309</v>
      </c>
      <c r="H290" s="221" t="s">
        <v>304</v>
      </c>
      <c r="I290" s="222">
        <v>1585617092390</v>
      </c>
      <c r="J290" s="222">
        <v>1425186628348</v>
      </c>
      <c r="K290" s="222">
        <v>19103537144</v>
      </c>
    </row>
    <row r="291" spans="1:11" x14ac:dyDescent="0.3">
      <c r="A291" s="220">
        <v>290</v>
      </c>
      <c r="B291" s="220" t="s">
        <v>935</v>
      </c>
      <c r="C291" s="220" t="s">
        <v>932</v>
      </c>
      <c r="D291" s="220">
        <v>107721413</v>
      </c>
      <c r="E291" s="220" t="s">
        <v>929</v>
      </c>
      <c r="F291" s="220" t="s">
        <v>936</v>
      </c>
      <c r="G291" s="220" t="s">
        <v>311</v>
      </c>
      <c r="H291" s="221" t="s">
        <v>304</v>
      </c>
      <c r="I291" s="222">
        <v>1885376280021</v>
      </c>
      <c r="J291" s="222">
        <v>1691802912490</v>
      </c>
      <c r="K291" s="222">
        <v>14937707919</v>
      </c>
    </row>
    <row r="292" spans="1:11" x14ac:dyDescent="0.3">
      <c r="A292" s="217">
        <v>291</v>
      </c>
      <c r="B292" s="217" t="s">
        <v>937</v>
      </c>
      <c r="C292" s="217" t="s">
        <v>938</v>
      </c>
      <c r="D292" s="217">
        <v>107832875</v>
      </c>
      <c r="E292" s="217" t="s">
        <v>939</v>
      </c>
      <c r="F292" s="217" t="s">
        <v>940</v>
      </c>
      <c r="G292" s="217" t="s">
        <v>504</v>
      </c>
      <c r="H292" s="218" t="s">
        <v>304</v>
      </c>
      <c r="I292" s="219">
        <v>344191781837</v>
      </c>
      <c r="J292" s="219">
        <v>338310638308</v>
      </c>
      <c r="K292" s="219">
        <v>2035390785</v>
      </c>
    </row>
    <row r="293" spans="1:11" x14ac:dyDescent="0.3">
      <c r="A293" s="217">
        <v>292</v>
      </c>
      <c r="B293" s="217" t="s">
        <v>941</v>
      </c>
      <c r="C293" s="217" t="s">
        <v>938</v>
      </c>
      <c r="D293" s="217">
        <v>107832875</v>
      </c>
      <c r="E293" s="217" t="s">
        <v>939</v>
      </c>
      <c r="F293" s="217" t="s">
        <v>940</v>
      </c>
      <c r="G293" s="217" t="s">
        <v>25</v>
      </c>
      <c r="H293" s="218" t="s">
        <v>304</v>
      </c>
      <c r="I293" s="219">
        <v>687945552157</v>
      </c>
      <c r="J293" s="219">
        <v>672081751911</v>
      </c>
      <c r="K293" s="219">
        <v>8226930216</v>
      </c>
    </row>
    <row r="294" spans="1:11" x14ac:dyDescent="0.3">
      <c r="A294" s="217">
        <v>293</v>
      </c>
      <c r="B294" s="217" t="s">
        <v>942</v>
      </c>
      <c r="C294" s="217" t="s">
        <v>943</v>
      </c>
      <c r="D294" s="217">
        <v>107832875</v>
      </c>
      <c r="E294" s="217" t="s">
        <v>939</v>
      </c>
      <c r="F294" s="217" t="s">
        <v>944</v>
      </c>
      <c r="G294" s="217" t="s">
        <v>307</v>
      </c>
      <c r="H294" s="218" t="s">
        <v>304</v>
      </c>
      <c r="I294" s="219">
        <v>728397564713</v>
      </c>
      <c r="J294" s="219">
        <v>707792269866</v>
      </c>
      <c r="K294" s="219">
        <v>8366757838</v>
      </c>
    </row>
    <row r="295" spans="1:11" x14ac:dyDescent="0.3">
      <c r="A295" s="217">
        <v>294</v>
      </c>
      <c r="B295" s="217" t="s">
        <v>945</v>
      </c>
      <c r="C295" s="217" t="s">
        <v>943</v>
      </c>
      <c r="D295" s="217">
        <v>107832875</v>
      </c>
      <c r="E295" s="217" t="s">
        <v>939</v>
      </c>
      <c r="F295" s="217" t="s">
        <v>944</v>
      </c>
      <c r="G295" s="217" t="s">
        <v>309</v>
      </c>
      <c r="H295" s="218" t="s">
        <v>304</v>
      </c>
      <c r="I295" s="219">
        <v>1183018686614</v>
      </c>
      <c r="J295" s="219">
        <v>1156283056485</v>
      </c>
      <c r="K295" s="219">
        <v>10229053263</v>
      </c>
    </row>
    <row r="296" spans="1:11" x14ac:dyDescent="0.3">
      <c r="A296" s="217">
        <v>295</v>
      </c>
      <c r="B296" s="217" t="s">
        <v>946</v>
      </c>
      <c r="C296" s="217" t="s">
        <v>943</v>
      </c>
      <c r="D296" s="217">
        <v>107832875</v>
      </c>
      <c r="E296" s="217" t="s">
        <v>939</v>
      </c>
      <c r="F296" s="217" t="s">
        <v>944</v>
      </c>
      <c r="G296" s="217" t="s">
        <v>311</v>
      </c>
      <c r="H296" s="218" t="s">
        <v>304</v>
      </c>
      <c r="I296" s="219">
        <v>1006432913860</v>
      </c>
      <c r="J296" s="219">
        <v>984886582203</v>
      </c>
      <c r="K296" s="219">
        <v>8177162962</v>
      </c>
    </row>
    <row r="297" spans="1:11" x14ac:dyDescent="0.3">
      <c r="A297" s="220">
        <v>296</v>
      </c>
      <c r="B297" s="220" t="s">
        <v>947</v>
      </c>
      <c r="C297" s="220" t="s">
        <v>948</v>
      </c>
      <c r="D297" s="220">
        <v>107833244</v>
      </c>
      <c r="E297" s="220" t="s">
        <v>949</v>
      </c>
      <c r="F297" s="220" t="s">
        <v>950</v>
      </c>
      <c r="G297" s="220" t="s">
        <v>25</v>
      </c>
      <c r="H297" s="221" t="s">
        <v>304</v>
      </c>
      <c r="I297" s="222">
        <v>802558887580</v>
      </c>
      <c r="J297" s="222">
        <v>773710842533</v>
      </c>
      <c r="K297" s="222">
        <v>3200987596</v>
      </c>
    </row>
    <row r="298" spans="1:11" x14ac:dyDescent="0.3">
      <c r="A298" s="220">
        <v>297</v>
      </c>
      <c r="B298" s="220" t="s">
        <v>951</v>
      </c>
      <c r="C298" s="220" t="s">
        <v>948</v>
      </c>
      <c r="D298" s="220">
        <v>107833244</v>
      </c>
      <c r="E298" s="220" t="s">
        <v>949</v>
      </c>
      <c r="F298" s="220" t="s">
        <v>952</v>
      </c>
      <c r="G298" s="220" t="s">
        <v>307</v>
      </c>
      <c r="H298" s="221" t="s">
        <v>304</v>
      </c>
      <c r="I298" s="222">
        <v>1694180864313</v>
      </c>
      <c r="J298" s="222">
        <v>1625583651313</v>
      </c>
      <c r="K298" s="222">
        <v>10729863288</v>
      </c>
    </row>
    <row r="299" spans="1:11" x14ac:dyDescent="0.3">
      <c r="A299" s="220">
        <v>298</v>
      </c>
      <c r="B299" s="220" t="s">
        <v>953</v>
      </c>
      <c r="C299" s="220" t="s">
        <v>948</v>
      </c>
      <c r="D299" s="220">
        <v>107833244</v>
      </c>
      <c r="E299" s="220" t="s">
        <v>949</v>
      </c>
      <c r="F299" s="220" t="s">
        <v>952</v>
      </c>
      <c r="G299" s="220" t="s">
        <v>309</v>
      </c>
      <c r="H299" s="221" t="s">
        <v>304</v>
      </c>
      <c r="I299" s="222">
        <v>1398088607030</v>
      </c>
      <c r="J299" s="222">
        <v>1357577750598</v>
      </c>
      <c r="K299" s="222">
        <v>3061412723</v>
      </c>
    </row>
    <row r="300" spans="1:11" x14ac:dyDescent="0.3">
      <c r="A300" s="220">
        <v>299</v>
      </c>
      <c r="B300" s="220" t="s">
        <v>954</v>
      </c>
      <c r="C300" s="220" t="s">
        <v>948</v>
      </c>
      <c r="D300" s="220">
        <v>107833244</v>
      </c>
      <c r="E300" s="220" t="s">
        <v>949</v>
      </c>
      <c r="F300" s="220" t="s">
        <v>952</v>
      </c>
      <c r="G300" s="220" t="s">
        <v>311</v>
      </c>
      <c r="H300" s="221" t="s">
        <v>304</v>
      </c>
      <c r="I300" s="222">
        <v>1283362409036</v>
      </c>
      <c r="J300" s="222">
        <v>1233520299664</v>
      </c>
      <c r="K300" s="222">
        <v>2674812673</v>
      </c>
    </row>
    <row r="301" spans="1:11" x14ac:dyDescent="0.3">
      <c r="A301" s="217">
        <v>300</v>
      </c>
      <c r="B301" s="217" t="s">
        <v>955</v>
      </c>
      <c r="C301" s="217" t="s">
        <v>956</v>
      </c>
      <c r="D301" s="217">
        <v>108076653</v>
      </c>
      <c r="E301" s="217" t="s">
        <v>957</v>
      </c>
      <c r="F301" s="217" t="s">
        <v>958</v>
      </c>
      <c r="G301" s="217" t="s">
        <v>25</v>
      </c>
      <c r="H301" s="218" t="s">
        <v>304</v>
      </c>
      <c r="I301" s="219">
        <v>979399197083</v>
      </c>
      <c r="J301" s="219">
        <v>901324725492</v>
      </c>
      <c r="K301" s="219">
        <v>37676667075</v>
      </c>
    </row>
    <row r="302" spans="1:11" x14ac:dyDescent="0.3">
      <c r="A302" s="217">
        <v>301</v>
      </c>
      <c r="B302" s="217" t="s">
        <v>959</v>
      </c>
      <c r="C302" s="217" t="s">
        <v>956</v>
      </c>
      <c r="D302" s="217">
        <v>108076653</v>
      </c>
      <c r="E302" s="217" t="s">
        <v>957</v>
      </c>
      <c r="F302" s="217" t="s">
        <v>960</v>
      </c>
      <c r="G302" s="217" t="s">
        <v>307</v>
      </c>
      <c r="H302" s="218" t="s">
        <v>304</v>
      </c>
      <c r="I302" s="219">
        <v>1427448264026</v>
      </c>
      <c r="J302" s="219">
        <v>1320775591489</v>
      </c>
      <c r="K302" s="219">
        <v>48831246543</v>
      </c>
    </row>
    <row r="303" spans="1:11" x14ac:dyDescent="0.3">
      <c r="A303" s="217">
        <v>302</v>
      </c>
      <c r="B303" s="217" t="s">
        <v>961</v>
      </c>
      <c r="C303" s="217" t="s">
        <v>956</v>
      </c>
      <c r="D303" s="217">
        <v>108076653</v>
      </c>
      <c r="E303" s="217" t="s">
        <v>957</v>
      </c>
      <c r="F303" s="217" t="s">
        <v>960</v>
      </c>
      <c r="G303" s="217" t="s">
        <v>309</v>
      </c>
      <c r="H303" s="218" t="s">
        <v>304</v>
      </c>
      <c r="I303" s="219">
        <v>640180243770</v>
      </c>
      <c r="J303" s="219">
        <v>586541507914</v>
      </c>
      <c r="K303" s="219">
        <v>16037660613</v>
      </c>
    </row>
    <row r="304" spans="1:11" x14ac:dyDescent="0.3">
      <c r="A304" s="217">
        <v>303</v>
      </c>
      <c r="B304" s="217" t="s">
        <v>962</v>
      </c>
      <c r="C304" s="217" t="s">
        <v>956</v>
      </c>
      <c r="D304" s="217">
        <v>108076653</v>
      </c>
      <c r="E304" s="217" t="s">
        <v>957</v>
      </c>
      <c r="F304" s="217" t="s">
        <v>960</v>
      </c>
      <c r="G304" s="217" t="s">
        <v>311</v>
      </c>
      <c r="H304" s="218" t="s">
        <v>304</v>
      </c>
      <c r="I304" s="219">
        <v>662012416255</v>
      </c>
      <c r="J304" s="219">
        <v>589636197796</v>
      </c>
      <c r="K304" s="219">
        <v>33655970881</v>
      </c>
    </row>
    <row r="305" spans="1:11" x14ac:dyDescent="0.3">
      <c r="A305" s="220">
        <v>304</v>
      </c>
      <c r="B305" s="220" t="s">
        <v>963</v>
      </c>
      <c r="C305" s="220" t="s">
        <v>964</v>
      </c>
      <c r="D305" s="220">
        <v>108261864</v>
      </c>
      <c r="E305" s="220" t="s">
        <v>965</v>
      </c>
      <c r="F305" s="220" t="s">
        <v>966</v>
      </c>
      <c r="G305" s="220" t="s">
        <v>25</v>
      </c>
      <c r="H305" s="221" t="s">
        <v>472</v>
      </c>
      <c r="I305" s="222">
        <v>287761331996</v>
      </c>
      <c r="J305" s="222">
        <v>268366828629</v>
      </c>
      <c r="K305" s="222">
        <v>211799878</v>
      </c>
    </row>
    <row r="306" spans="1:11" x14ac:dyDescent="0.3">
      <c r="A306" s="220">
        <v>305</v>
      </c>
      <c r="B306" s="220" t="s">
        <v>967</v>
      </c>
      <c r="C306" s="220" t="s">
        <v>964</v>
      </c>
      <c r="D306" s="220">
        <v>108261864</v>
      </c>
      <c r="E306" s="220" t="s">
        <v>965</v>
      </c>
      <c r="F306" s="220" t="s">
        <v>968</v>
      </c>
      <c r="G306" s="220" t="s">
        <v>307</v>
      </c>
      <c r="H306" s="221" t="s">
        <v>472</v>
      </c>
      <c r="I306" s="222">
        <v>309469587924</v>
      </c>
      <c r="J306" s="222">
        <v>285763936461</v>
      </c>
      <c r="K306" s="222">
        <v>75989004</v>
      </c>
    </row>
    <row r="307" spans="1:11" x14ac:dyDescent="0.3">
      <c r="A307" s="220">
        <v>306</v>
      </c>
      <c r="B307" s="220" t="s">
        <v>969</v>
      </c>
      <c r="C307" s="220" t="s">
        <v>964</v>
      </c>
      <c r="D307" s="220">
        <v>108261864</v>
      </c>
      <c r="E307" s="220" t="s">
        <v>965</v>
      </c>
      <c r="F307" s="220" t="s">
        <v>970</v>
      </c>
      <c r="G307" s="220" t="s">
        <v>309</v>
      </c>
      <c r="H307" s="221" t="s">
        <v>472</v>
      </c>
      <c r="I307" s="222">
        <v>246065273328</v>
      </c>
      <c r="J307" s="222">
        <v>235080575987</v>
      </c>
      <c r="K307" s="222">
        <v>239744268</v>
      </c>
    </row>
    <row r="308" spans="1:11" x14ac:dyDescent="0.3">
      <c r="A308" s="220">
        <v>307</v>
      </c>
      <c r="B308" s="220" t="s">
        <v>971</v>
      </c>
      <c r="C308" s="220" t="s">
        <v>972</v>
      </c>
      <c r="D308" s="220">
        <v>108261864</v>
      </c>
      <c r="E308" s="220" t="s">
        <v>965</v>
      </c>
      <c r="F308" s="220" t="s">
        <v>973</v>
      </c>
      <c r="G308" s="220" t="s">
        <v>311</v>
      </c>
      <c r="H308" s="221" t="s">
        <v>472</v>
      </c>
      <c r="I308" s="222">
        <v>281498231643</v>
      </c>
      <c r="J308" s="222">
        <v>249290839300</v>
      </c>
      <c r="K308" s="222">
        <v>2042006633</v>
      </c>
    </row>
    <row r="309" spans="1:11" x14ac:dyDescent="0.3">
      <c r="A309" s="217">
        <v>308</v>
      </c>
      <c r="B309" s="217" t="s">
        <v>974</v>
      </c>
      <c r="C309" s="217" t="s">
        <v>975</v>
      </c>
      <c r="D309" s="217">
        <v>108394624</v>
      </c>
      <c r="E309" s="217" t="s">
        <v>491</v>
      </c>
      <c r="F309" s="217" t="s">
        <v>976</v>
      </c>
      <c r="G309" s="217" t="s">
        <v>25</v>
      </c>
      <c r="H309" s="218" t="s">
        <v>472</v>
      </c>
      <c r="I309" s="219">
        <v>296529677550</v>
      </c>
      <c r="J309" s="219">
        <v>288173692272</v>
      </c>
      <c r="K309" s="219">
        <v>3770944540</v>
      </c>
    </row>
    <row r="310" spans="1:11" x14ac:dyDescent="0.3">
      <c r="A310" s="217">
        <v>309</v>
      </c>
      <c r="B310" s="217" t="s">
        <v>977</v>
      </c>
      <c r="C310" s="217" t="s">
        <v>975</v>
      </c>
      <c r="D310" s="217">
        <v>108394624</v>
      </c>
      <c r="E310" s="217" t="s">
        <v>491</v>
      </c>
      <c r="F310" s="217" t="s">
        <v>978</v>
      </c>
      <c r="G310" s="217" t="s">
        <v>307</v>
      </c>
      <c r="H310" s="218" t="s">
        <v>472</v>
      </c>
      <c r="I310" s="219">
        <v>90558561070</v>
      </c>
      <c r="J310" s="219">
        <v>85909441000</v>
      </c>
      <c r="K310" s="219">
        <v>3382986720</v>
      </c>
    </row>
    <row r="311" spans="1:11" x14ac:dyDescent="0.3">
      <c r="A311" s="217">
        <v>310</v>
      </c>
      <c r="B311" s="217" t="s">
        <v>979</v>
      </c>
      <c r="C311" s="217" t="s">
        <v>975</v>
      </c>
      <c r="D311" s="217">
        <v>108394624</v>
      </c>
      <c r="E311" s="217" t="s">
        <v>491</v>
      </c>
      <c r="F311" s="217" t="s">
        <v>978</v>
      </c>
      <c r="G311" s="217" t="s">
        <v>309</v>
      </c>
      <c r="H311" s="218" t="s">
        <v>472</v>
      </c>
      <c r="I311" s="219">
        <v>21285250000</v>
      </c>
      <c r="J311" s="219">
        <v>20485000000</v>
      </c>
      <c r="K311" s="219">
        <v>184008059</v>
      </c>
    </row>
    <row r="312" spans="1:11" x14ac:dyDescent="0.3">
      <c r="A312" s="217">
        <v>311</v>
      </c>
      <c r="B312" s="217" t="s">
        <v>980</v>
      </c>
      <c r="C312" s="217" t="s">
        <v>975</v>
      </c>
      <c r="D312" s="217">
        <v>108394624</v>
      </c>
      <c r="E312" s="217" t="s">
        <v>491</v>
      </c>
      <c r="F312" s="217" t="s">
        <v>978</v>
      </c>
      <c r="G312" s="217" t="s">
        <v>311</v>
      </c>
      <c r="H312" s="218" t="s">
        <v>472</v>
      </c>
      <c r="I312" s="219">
        <v>5294787000</v>
      </c>
      <c r="J312" s="219">
        <v>5016000000</v>
      </c>
      <c r="K312" s="219">
        <v>-163492586</v>
      </c>
    </row>
    <row r="313" spans="1:11" x14ac:dyDescent="0.3">
      <c r="A313" s="220">
        <v>312</v>
      </c>
      <c r="B313" s="220" t="s">
        <v>981</v>
      </c>
      <c r="C313" s="220" t="s">
        <v>982</v>
      </c>
      <c r="D313" s="220">
        <v>108568493</v>
      </c>
      <c r="E313" s="220" t="s">
        <v>983</v>
      </c>
      <c r="F313" s="220" t="s">
        <v>984</v>
      </c>
      <c r="G313" s="220" t="s">
        <v>25</v>
      </c>
      <c r="H313" s="221" t="s">
        <v>304</v>
      </c>
      <c r="I313" s="222">
        <v>661846737272</v>
      </c>
      <c r="J313" s="222">
        <v>581712454009</v>
      </c>
      <c r="K313" s="222">
        <v>34134774249</v>
      </c>
    </row>
    <row r="314" spans="1:11" x14ac:dyDescent="0.3">
      <c r="A314" s="220">
        <v>313</v>
      </c>
      <c r="B314" s="220" t="s">
        <v>985</v>
      </c>
      <c r="C314" s="220" t="s">
        <v>982</v>
      </c>
      <c r="D314" s="220">
        <v>108568493</v>
      </c>
      <c r="E314" s="220" t="s">
        <v>983</v>
      </c>
      <c r="F314" s="220" t="s">
        <v>986</v>
      </c>
      <c r="G314" s="220" t="s">
        <v>307</v>
      </c>
      <c r="H314" s="221" t="s">
        <v>304</v>
      </c>
      <c r="I314" s="222">
        <v>648067234285</v>
      </c>
      <c r="J314" s="222">
        <v>576323423589</v>
      </c>
      <c r="K314" s="222">
        <v>16686394434</v>
      </c>
    </row>
    <row r="315" spans="1:11" x14ac:dyDescent="0.3">
      <c r="A315" s="220">
        <v>314</v>
      </c>
      <c r="B315" s="220" t="s">
        <v>987</v>
      </c>
      <c r="C315" s="220" t="s">
        <v>988</v>
      </c>
      <c r="D315" s="220">
        <v>108568493</v>
      </c>
      <c r="E315" s="220" t="s">
        <v>983</v>
      </c>
      <c r="F315" s="220" t="s">
        <v>989</v>
      </c>
      <c r="G315" s="220" t="s">
        <v>309</v>
      </c>
      <c r="H315" s="221" t="s">
        <v>304</v>
      </c>
      <c r="I315" s="222">
        <v>327250020870</v>
      </c>
      <c r="J315" s="222">
        <v>269490559536</v>
      </c>
      <c r="K315" s="222">
        <v>11769037554</v>
      </c>
    </row>
    <row r="316" spans="1:11" x14ac:dyDescent="0.3">
      <c r="A316" s="220">
        <v>315</v>
      </c>
      <c r="B316" s="220" t="s">
        <v>990</v>
      </c>
      <c r="C316" s="220" t="s">
        <v>982</v>
      </c>
      <c r="D316" s="220">
        <v>108568493</v>
      </c>
      <c r="E316" s="220" t="s">
        <v>983</v>
      </c>
      <c r="F316" s="220" t="s">
        <v>991</v>
      </c>
      <c r="G316" s="220" t="s">
        <v>311</v>
      </c>
      <c r="H316" s="221" t="s">
        <v>304</v>
      </c>
      <c r="I316" s="222">
        <v>169491359504</v>
      </c>
      <c r="J316" s="222">
        <v>133617553648</v>
      </c>
      <c r="K316" s="222">
        <v>-351424215</v>
      </c>
    </row>
    <row r="317" spans="1:11" x14ac:dyDescent="0.3">
      <c r="A317" s="217">
        <v>316</v>
      </c>
      <c r="B317" s="217" t="s">
        <v>992</v>
      </c>
      <c r="C317" s="217" t="s">
        <v>993</v>
      </c>
      <c r="D317" s="217">
        <v>108742656</v>
      </c>
      <c r="E317" s="217" t="s">
        <v>994</v>
      </c>
      <c r="F317" s="217" t="s">
        <v>995</v>
      </c>
      <c r="G317" s="217" t="s">
        <v>25</v>
      </c>
      <c r="H317" s="218" t="s">
        <v>472</v>
      </c>
      <c r="I317" s="219">
        <v>226525924032</v>
      </c>
      <c r="J317" s="219">
        <v>199114252875</v>
      </c>
      <c r="K317" s="219">
        <v>600328212</v>
      </c>
    </row>
    <row r="318" spans="1:11" x14ac:dyDescent="0.3">
      <c r="A318" s="217">
        <v>317</v>
      </c>
      <c r="B318" s="217" t="s">
        <v>996</v>
      </c>
      <c r="C318" s="217" t="s">
        <v>993</v>
      </c>
      <c r="D318" s="217">
        <v>108742656</v>
      </c>
      <c r="E318" s="217" t="s">
        <v>994</v>
      </c>
      <c r="F318" s="217" t="s">
        <v>995</v>
      </c>
      <c r="G318" s="217" t="s">
        <v>307</v>
      </c>
      <c r="H318" s="218" t="s">
        <v>472</v>
      </c>
      <c r="I318" s="219">
        <v>279523731579</v>
      </c>
      <c r="J318" s="219">
        <v>248249086786</v>
      </c>
      <c r="K318" s="219">
        <v>909544353</v>
      </c>
    </row>
    <row r="319" spans="1:11" x14ac:dyDescent="0.3">
      <c r="A319" s="217">
        <v>318</v>
      </c>
      <c r="B319" s="217" t="s">
        <v>997</v>
      </c>
      <c r="C319" s="217" t="s">
        <v>993</v>
      </c>
      <c r="D319" s="217">
        <v>108742656</v>
      </c>
      <c r="E319" s="217" t="s">
        <v>994</v>
      </c>
      <c r="F319" s="217" t="s">
        <v>995</v>
      </c>
      <c r="G319" s="217" t="s">
        <v>309</v>
      </c>
      <c r="H319" s="218" t="s">
        <v>472</v>
      </c>
      <c r="I319" s="219">
        <v>212565199136</v>
      </c>
      <c r="J319" s="219">
        <v>199332989110</v>
      </c>
      <c r="K319" s="219">
        <v>1003414782</v>
      </c>
    </row>
    <row r="320" spans="1:11" x14ac:dyDescent="0.3">
      <c r="A320" s="217">
        <v>319</v>
      </c>
      <c r="B320" s="217" t="s">
        <v>998</v>
      </c>
      <c r="C320" s="217" t="s">
        <v>993</v>
      </c>
      <c r="D320" s="217">
        <v>108742656</v>
      </c>
      <c r="E320" s="217" t="s">
        <v>994</v>
      </c>
      <c r="F320" s="217" t="s">
        <v>999</v>
      </c>
      <c r="G320" s="217" t="s">
        <v>311</v>
      </c>
      <c r="H320" s="218" t="s">
        <v>472</v>
      </c>
      <c r="I320" s="219">
        <v>279532002959</v>
      </c>
      <c r="J320" s="219">
        <v>254774770770</v>
      </c>
      <c r="K320" s="219">
        <v>1037992407</v>
      </c>
    </row>
    <row r="321" spans="1:11" x14ac:dyDescent="0.3">
      <c r="A321" s="220">
        <v>320</v>
      </c>
      <c r="B321" s="220" t="s">
        <v>1000</v>
      </c>
      <c r="C321" s="220" t="s">
        <v>1001</v>
      </c>
      <c r="D321" s="220">
        <v>108831225</v>
      </c>
      <c r="E321" s="220" t="s">
        <v>1002</v>
      </c>
      <c r="F321" s="220" t="s">
        <v>1003</v>
      </c>
      <c r="G321" s="220" t="s">
        <v>25</v>
      </c>
      <c r="H321" s="221" t="s">
        <v>304</v>
      </c>
      <c r="I321" s="222">
        <v>766066839085</v>
      </c>
      <c r="J321" s="222">
        <v>741203233215</v>
      </c>
      <c r="K321" s="222">
        <v>3424133552</v>
      </c>
    </row>
    <row r="322" spans="1:11" x14ac:dyDescent="0.3">
      <c r="A322" s="220">
        <v>321</v>
      </c>
      <c r="B322" s="220" t="s">
        <v>1004</v>
      </c>
      <c r="C322" s="220" t="s">
        <v>1001</v>
      </c>
      <c r="D322" s="220">
        <v>108831225</v>
      </c>
      <c r="E322" s="220" t="s">
        <v>1002</v>
      </c>
      <c r="F322" s="220" t="s">
        <v>1003</v>
      </c>
      <c r="G322" s="220" t="s">
        <v>307</v>
      </c>
      <c r="H322" s="221" t="s">
        <v>304</v>
      </c>
      <c r="I322" s="222">
        <v>826367579019</v>
      </c>
      <c r="J322" s="222">
        <v>785707878161</v>
      </c>
      <c r="K322" s="222">
        <v>11159602556</v>
      </c>
    </row>
    <row r="323" spans="1:11" x14ac:dyDescent="0.3">
      <c r="A323" s="220">
        <v>322</v>
      </c>
      <c r="B323" s="220" t="s">
        <v>1005</v>
      </c>
      <c r="C323" s="220" t="s">
        <v>1001</v>
      </c>
      <c r="D323" s="220">
        <v>108831225</v>
      </c>
      <c r="E323" s="220" t="s">
        <v>1002</v>
      </c>
      <c r="F323" s="220" t="s">
        <v>1006</v>
      </c>
      <c r="G323" s="220" t="s">
        <v>309</v>
      </c>
      <c r="H323" s="221" t="s">
        <v>304</v>
      </c>
      <c r="I323" s="222">
        <v>751592112168</v>
      </c>
      <c r="J323" s="222">
        <v>700612217498</v>
      </c>
      <c r="K323" s="222">
        <v>22178902215</v>
      </c>
    </row>
    <row r="324" spans="1:11" x14ac:dyDescent="0.3">
      <c r="A324" s="220">
        <v>323</v>
      </c>
      <c r="B324" s="220" t="s">
        <v>1007</v>
      </c>
      <c r="C324" s="220" t="s">
        <v>1001</v>
      </c>
      <c r="D324" s="220">
        <v>108831225</v>
      </c>
      <c r="E324" s="220" t="s">
        <v>1002</v>
      </c>
      <c r="F324" s="220" t="s">
        <v>1006</v>
      </c>
      <c r="G324" s="220" t="s">
        <v>311</v>
      </c>
      <c r="H324" s="221" t="s">
        <v>304</v>
      </c>
      <c r="I324" s="222">
        <v>847015753345</v>
      </c>
      <c r="J324" s="222">
        <v>771540347351</v>
      </c>
      <c r="K324" s="222">
        <v>49782752821</v>
      </c>
    </row>
    <row r="325" spans="1:11" x14ac:dyDescent="0.3">
      <c r="A325" s="217">
        <v>324</v>
      </c>
      <c r="B325" s="217" t="s">
        <v>1008</v>
      </c>
      <c r="C325" s="217" t="s">
        <v>1009</v>
      </c>
      <c r="D325" s="217">
        <v>109009554</v>
      </c>
      <c r="E325" s="217" t="s">
        <v>1010</v>
      </c>
      <c r="F325" s="217" t="s">
        <v>1011</v>
      </c>
      <c r="G325" s="217" t="s">
        <v>501</v>
      </c>
      <c r="H325" s="218" t="s">
        <v>304</v>
      </c>
      <c r="I325" s="219">
        <v>0</v>
      </c>
      <c r="J325" s="219">
        <v>0</v>
      </c>
      <c r="K325" s="219">
        <v>-1078510</v>
      </c>
    </row>
    <row r="326" spans="1:11" x14ac:dyDescent="0.3">
      <c r="A326" s="217">
        <v>325</v>
      </c>
      <c r="B326" s="217" t="s">
        <v>1012</v>
      </c>
      <c r="C326" s="217" t="s">
        <v>1009</v>
      </c>
      <c r="D326" s="217">
        <v>109009554</v>
      </c>
      <c r="E326" s="217" t="s">
        <v>1010</v>
      </c>
      <c r="F326" s="217" t="s">
        <v>1011</v>
      </c>
      <c r="G326" s="217" t="s">
        <v>504</v>
      </c>
      <c r="H326" s="218" t="s">
        <v>304</v>
      </c>
      <c r="I326" s="219">
        <v>125926781684</v>
      </c>
      <c r="J326" s="219">
        <v>121024594658</v>
      </c>
      <c r="K326" s="219">
        <v>2681840508</v>
      </c>
    </row>
    <row r="327" spans="1:11" x14ac:dyDescent="0.3">
      <c r="A327" s="217">
        <v>326</v>
      </c>
      <c r="B327" s="217" t="s">
        <v>1013</v>
      </c>
      <c r="C327" s="217" t="s">
        <v>1009</v>
      </c>
      <c r="D327" s="217">
        <v>109009554</v>
      </c>
      <c r="E327" s="217" t="s">
        <v>1010</v>
      </c>
      <c r="F327" s="217" t="s">
        <v>1014</v>
      </c>
      <c r="G327" s="217" t="s">
        <v>25</v>
      </c>
      <c r="H327" s="218"/>
      <c r="I327" s="219">
        <v>222864112243</v>
      </c>
      <c r="J327" s="219">
        <v>191022054884</v>
      </c>
      <c r="K327" s="219">
        <v>23476543198</v>
      </c>
    </row>
    <row r="328" spans="1:11" x14ac:dyDescent="0.3">
      <c r="A328" s="217">
        <v>327</v>
      </c>
      <c r="B328" s="217" t="s">
        <v>1015</v>
      </c>
      <c r="C328" s="217" t="s">
        <v>1009</v>
      </c>
      <c r="D328" s="217">
        <v>109009554</v>
      </c>
      <c r="E328" s="217" t="s">
        <v>1010</v>
      </c>
      <c r="F328" s="217" t="s">
        <v>1016</v>
      </c>
      <c r="G328" s="217" t="s">
        <v>307</v>
      </c>
      <c r="H328" s="218"/>
      <c r="I328" s="219">
        <v>231745130304</v>
      </c>
      <c r="J328" s="219">
        <v>219957326903</v>
      </c>
      <c r="K328" s="219">
        <v>-8581200903</v>
      </c>
    </row>
    <row r="329" spans="1:11" x14ac:dyDescent="0.3">
      <c r="A329" s="217">
        <v>328</v>
      </c>
      <c r="B329" s="217" t="s">
        <v>1017</v>
      </c>
      <c r="C329" s="217" t="s">
        <v>1009</v>
      </c>
      <c r="D329" s="217">
        <v>109009554</v>
      </c>
      <c r="E329" s="217" t="s">
        <v>1010</v>
      </c>
      <c r="F329" s="217" t="s">
        <v>1018</v>
      </c>
      <c r="G329" s="217" t="s">
        <v>309</v>
      </c>
      <c r="H329" s="218" t="s">
        <v>304</v>
      </c>
      <c r="I329" s="219">
        <v>582619561065</v>
      </c>
      <c r="J329" s="219">
        <v>545754134479</v>
      </c>
      <c r="K329" s="219">
        <v>6041768582</v>
      </c>
    </row>
    <row r="330" spans="1:11" x14ac:dyDescent="0.3">
      <c r="A330" s="217">
        <v>329</v>
      </c>
      <c r="B330" s="217" t="s">
        <v>1019</v>
      </c>
      <c r="C330" s="217" t="s">
        <v>1009</v>
      </c>
      <c r="D330" s="217">
        <v>109009554</v>
      </c>
      <c r="E330" s="217" t="s">
        <v>1010</v>
      </c>
      <c r="F330" s="217" t="s">
        <v>1016</v>
      </c>
      <c r="G330" s="217" t="s">
        <v>311</v>
      </c>
      <c r="H330" s="218" t="s">
        <v>304</v>
      </c>
      <c r="I330" s="219">
        <v>873019630289</v>
      </c>
      <c r="J330" s="219">
        <v>792320928751</v>
      </c>
      <c r="K330" s="219">
        <v>9441423547</v>
      </c>
    </row>
    <row r="331" spans="1:11" x14ac:dyDescent="0.3">
      <c r="A331" s="220">
        <v>330</v>
      </c>
      <c r="B331" s="220" t="s">
        <v>1020</v>
      </c>
      <c r="C331" s="220" t="s">
        <v>1021</v>
      </c>
      <c r="D331" s="220">
        <v>109082787</v>
      </c>
      <c r="E331" s="220" t="s">
        <v>836</v>
      </c>
      <c r="F331" s="220" t="s">
        <v>1022</v>
      </c>
      <c r="G331" s="220" t="s">
        <v>25</v>
      </c>
      <c r="H331" s="221" t="s">
        <v>304</v>
      </c>
      <c r="I331" s="222">
        <v>223288917677</v>
      </c>
      <c r="J331" s="222">
        <v>216945387994</v>
      </c>
      <c r="K331" s="222">
        <v>2480661962</v>
      </c>
    </row>
    <row r="332" spans="1:11" x14ac:dyDescent="0.3">
      <c r="A332" s="220">
        <v>331</v>
      </c>
      <c r="B332" s="220" t="s">
        <v>1023</v>
      </c>
      <c r="C332" s="220" t="s">
        <v>1021</v>
      </c>
      <c r="D332" s="220">
        <v>109082787</v>
      </c>
      <c r="E332" s="220" t="s">
        <v>836</v>
      </c>
      <c r="F332" s="220" t="s">
        <v>1024</v>
      </c>
      <c r="G332" s="220" t="s">
        <v>307</v>
      </c>
      <c r="H332" s="221" t="s">
        <v>304</v>
      </c>
      <c r="I332" s="222">
        <v>160739077823</v>
      </c>
      <c r="J332" s="222">
        <v>157245981734</v>
      </c>
      <c r="K332" s="222">
        <v>2009800558</v>
      </c>
    </row>
    <row r="333" spans="1:11" x14ac:dyDescent="0.3">
      <c r="A333" s="220">
        <v>332</v>
      </c>
      <c r="B333" s="220" t="s">
        <v>1025</v>
      </c>
      <c r="C333" s="220" t="s">
        <v>1021</v>
      </c>
      <c r="D333" s="220">
        <v>109082787</v>
      </c>
      <c r="E333" s="220" t="s">
        <v>836</v>
      </c>
      <c r="F333" s="220" t="s">
        <v>1024</v>
      </c>
      <c r="G333" s="220" t="s">
        <v>309</v>
      </c>
      <c r="H333" s="221" t="s">
        <v>304</v>
      </c>
      <c r="I333" s="222">
        <v>321612348906</v>
      </c>
      <c r="J333" s="222">
        <v>312882677238</v>
      </c>
      <c r="K333" s="222">
        <v>1217439769</v>
      </c>
    </row>
    <row r="334" spans="1:11" x14ac:dyDescent="0.3">
      <c r="A334" s="220">
        <v>333</v>
      </c>
      <c r="B334" s="220" t="s">
        <v>1026</v>
      </c>
      <c r="C334" s="220" t="s">
        <v>1021</v>
      </c>
      <c r="D334" s="220">
        <v>109082787</v>
      </c>
      <c r="E334" s="220" t="s">
        <v>836</v>
      </c>
      <c r="F334" s="220" t="s">
        <v>1024</v>
      </c>
      <c r="G334" s="220" t="s">
        <v>311</v>
      </c>
      <c r="H334" s="221" t="s">
        <v>304</v>
      </c>
      <c r="I334" s="222">
        <v>388929883437</v>
      </c>
      <c r="J334" s="222">
        <v>377811663181</v>
      </c>
      <c r="K334" s="222">
        <v>1844075100</v>
      </c>
    </row>
    <row r="335" spans="1:11" x14ac:dyDescent="0.3">
      <c r="A335" s="217">
        <v>334</v>
      </c>
      <c r="B335" s="217" t="s">
        <v>1027</v>
      </c>
      <c r="C335" s="217" t="s">
        <v>1028</v>
      </c>
      <c r="D335" s="217">
        <v>109119042</v>
      </c>
      <c r="E335" s="217" t="s">
        <v>653</v>
      </c>
      <c r="F335" s="217" t="s">
        <v>1029</v>
      </c>
      <c r="G335" s="217" t="s">
        <v>25</v>
      </c>
      <c r="H335" s="218" t="s">
        <v>304</v>
      </c>
      <c r="I335" s="219">
        <v>0</v>
      </c>
      <c r="J335" s="219">
        <v>0</v>
      </c>
      <c r="K335" s="219">
        <v>-50420999</v>
      </c>
    </row>
    <row r="336" spans="1:11" x14ac:dyDescent="0.3">
      <c r="A336" s="217">
        <v>335</v>
      </c>
      <c r="B336" s="217" t="s">
        <v>1030</v>
      </c>
      <c r="C336" s="217" t="s">
        <v>1028</v>
      </c>
      <c r="D336" s="217">
        <v>109119042</v>
      </c>
      <c r="E336" s="217" t="s">
        <v>653</v>
      </c>
      <c r="F336" s="217" t="s">
        <v>1031</v>
      </c>
      <c r="G336" s="217" t="s">
        <v>307</v>
      </c>
      <c r="H336" s="218" t="s">
        <v>304</v>
      </c>
      <c r="I336" s="219">
        <v>227013204117</v>
      </c>
      <c r="J336" s="219">
        <v>223145804512</v>
      </c>
      <c r="K336" s="219">
        <v>3185157187</v>
      </c>
    </row>
    <row r="337" spans="1:11" x14ac:dyDescent="0.3">
      <c r="A337" s="217">
        <v>336</v>
      </c>
      <c r="B337" s="217" t="s">
        <v>1032</v>
      </c>
      <c r="C337" s="217" t="s">
        <v>1028</v>
      </c>
      <c r="D337" s="217">
        <v>109119042</v>
      </c>
      <c r="E337" s="217" t="s">
        <v>653</v>
      </c>
      <c r="F337" s="217" t="s">
        <v>1033</v>
      </c>
      <c r="G337" s="217" t="s">
        <v>309</v>
      </c>
      <c r="H337" s="218" t="s">
        <v>304</v>
      </c>
      <c r="I337" s="219">
        <v>286243868332</v>
      </c>
      <c r="J337" s="219">
        <v>281713292102</v>
      </c>
      <c r="K337" s="219">
        <v>1008762000</v>
      </c>
    </row>
    <row r="338" spans="1:11" x14ac:dyDescent="0.3">
      <c r="A338" s="217">
        <v>337</v>
      </c>
      <c r="B338" s="217" t="s">
        <v>1034</v>
      </c>
      <c r="C338" s="217" t="s">
        <v>1028</v>
      </c>
      <c r="D338" s="217">
        <v>109119042</v>
      </c>
      <c r="E338" s="217" t="s">
        <v>653</v>
      </c>
      <c r="F338" s="217" t="s">
        <v>1035</v>
      </c>
      <c r="G338" s="217" t="s">
        <v>311</v>
      </c>
      <c r="H338" s="218" t="s">
        <v>304</v>
      </c>
      <c r="I338" s="219">
        <v>1666810845328</v>
      </c>
      <c r="J338" s="219">
        <v>1639979435513</v>
      </c>
      <c r="K338" s="219">
        <v>16217205581</v>
      </c>
    </row>
    <row r="339" spans="1:11" x14ac:dyDescent="0.3">
      <c r="A339" s="220">
        <v>338</v>
      </c>
      <c r="B339" s="220" t="s">
        <v>1036</v>
      </c>
      <c r="C339" s="220" t="s">
        <v>1037</v>
      </c>
      <c r="D339" s="220">
        <v>109281574</v>
      </c>
      <c r="E339" s="220" t="s">
        <v>965</v>
      </c>
      <c r="F339" s="220" t="s">
        <v>1038</v>
      </c>
      <c r="G339" s="220" t="s">
        <v>25</v>
      </c>
      <c r="H339" s="221" t="s">
        <v>304</v>
      </c>
      <c r="I339" s="222">
        <v>301975997811</v>
      </c>
      <c r="J339" s="222">
        <v>298973610600</v>
      </c>
      <c r="K339" s="222">
        <v>771984166</v>
      </c>
    </row>
    <row r="340" spans="1:11" x14ac:dyDescent="0.3">
      <c r="A340" s="220">
        <v>339</v>
      </c>
      <c r="B340" s="220" t="s">
        <v>1039</v>
      </c>
      <c r="C340" s="220" t="s">
        <v>1040</v>
      </c>
      <c r="D340" s="220">
        <v>109281574</v>
      </c>
      <c r="E340" s="220" t="s">
        <v>965</v>
      </c>
      <c r="F340" s="220" t="s">
        <v>1041</v>
      </c>
      <c r="G340" s="220" t="s">
        <v>307</v>
      </c>
      <c r="H340" s="221" t="s">
        <v>304</v>
      </c>
      <c r="I340" s="222">
        <v>325315511019</v>
      </c>
      <c r="J340" s="222">
        <v>322957680100</v>
      </c>
      <c r="K340" s="222">
        <v>-5159944149</v>
      </c>
    </row>
    <row r="341" spans="1:11" x14ac:dyDescent="0.3">
      <c r="A341" s="220">
        <v>340</v>
      </c>
      <c r="B341" s="220" t="s">
        <v>1042</v>
      </c>
      <c r="C341" s="220" t="s">
        <v>1043</v>
      </c>
      <c r="D341" s="220">
        <v>109281574</v>
      </c>
      <c r="E341" s="220" t="s">
        <v>965</v>
      </c>
      <c r="F341" s="220" t="s">
        <v>1044</v>
      </c>
      <c r="G341" s="220" t="s">
        <v>309</v>
      </c>
      <c r="H341" s="221" t="s">
        <v>304</v>
      </c>
      <c r="I341" s="222">
        <v>0</v>
      </c>
      <c r="J341" s="222">
        <v>0</v>
      </c>
      <c r="K341" s="222">
        <v>0</v>
      </c>
    </row>
    <row r="342" spans="1:11" x14ac:dyDescent="0.3">
      <c r="A342" s="220">
        <v>341</v>
      </c>
      <c r="B342" s="220" t="s">
        <v>1045</v>
      </c>
      <c r="C342" s="220" t="s">
        <v>1043</v>
      </c>
      <c r="D342" s="220">
        <v>109281574</v>
      </c>
      <c r="E342" s="220" t="s">
        <v>965</v>
      </c>
      <c r="F342" s="220" t="s">
        <v>1044</v>
      </c>
      <c r="G342" s="220" t="s">
        <v>311</v>
      </c>
      <c r="H342" s="221" t="s">
        <v>304</v>
      </c>
      <c r="I342" s="222">
        <v>12489279275</v>
      </c>
      <c r="J342" s="222">
        <v>12368419700</v>
      </c>
      <c r="K342" s="222">
        <v>-1270480920</v>
      </c>
    </row>
    <row r="343" spans="1:11" x14ac:dyDescent="0.3">
      <c r="A343" s="217">
        <v>342</v>
      </c>
      <c r="B343" s="217" t="s">
        <v>1046</v>
      </c>
      <c r="C343" s="217" t="s">
        <v>1047</v>
      </c>
      <c r="D343" s="217">
        <v>109310842</v>
      </c>
      <c r="E343" s="217" t="s">
        <v>1048</v>
      </c>
      <c r="F343" s="217" t="s">
        <v>1049</v>
      </c>
      <c r="G343" s="217" t="s">
        <v>362</v>
      </c>
      <c r="H343" s="218" t="s">
        <v>304</v>
      </c>
      <c r="I343" s="219">
        <v>61320459784</v>
      </c>
      <c r="J343" s="219">
        <v>52607108101</v>
      </c>
      <c r="K343" s="219">
        <v>-7169419063</v>
      </c>
    </row>
    <row r="344" spans="1:11" x14ac:dyDescent="0.3">
      <c r="A344" s="217">
        <v>343</v>
      </c>
      <c r="B344" s="217" t="s">
        <v>1050</v>
      </c>
      <c r="C344" s="217" t="s">
        <v>1047</v>
      </c>
      <c r="D344" s="217">
        <v>109310842</v>
      </c>
      <c r="E344" s="217" t="s">
        <v>1048</v>
      </c>
      <c r="F344" s="217" t="s">
        <v>1049</v>
      </c>
      <c r="G344" s="217" t="s">
        <v>366</v>
      </c>
      <c r="H344" s="218" t="s">
        <v>304</v>
      </c>
      <c r="I344" s="219">
        <v>515970018029</v>
      </c>
      <c r="J344" s="219">
        <v>474518549331</v>
      </c>
      <c r="K344" s="219">
        <v>9568441148</v>
      </c>
    </row>
    <row r="345" spans="1:11" x14ac:dyDescent="0.3">
      <c r="A345" s="217">
        <v>344</v>
      </c>
      <c r="B345" s="217" t="s">
        <v>1051</v>
      </c>
      <c r="C345" s="217" t="s">
        <v>1047</v>
      </c>
      <c r="D345" s="217">
        <v>109310842</v>
      </c>
      <c r="E345" s="217" t="s">
        <v>1048</v>
      </c>
      <c r="F345" s="217" t="s">
        <v>1052</v>
      </c>
      <c r="G345" s="217" t="s">
        <v>369</v>
      </c>
      <c r="H345" s="218" t="s">
        <v>304</v>
      </c>
      <c r="I345" s="219">
        <v>1089769988879</v>
      </c>
      <c r="J345" s="219">
        <v>1010113810279</v>
      </c>
      <c r="K345" s="219">
        <v>15268412357</v>
      </c>
    </row>
    <row r="346" spans="1:11" x14ac:dyDescent="0.3">
      <c r="A346" s="217">
        <v>345</v>
      </c>
      <c r="B346" s="217" t="s">
        <v>1053</v>
      </c>
      <c r="C346" s="217" t="s">
        <v>1047</v>
      </c>
      <c r="D346" s="217">
        <v>109310842</v>
      </c>
      <c r="E346" s="217" t="s">
        <v>1048</v>
      </c>
      <c r="F346" s="217" t="s">
        <v>1052</v>
      </c>
      <c r="G346" s="217" t="s">
        <v>372</v>
      </c>
      <c r="H346" s="218" t="s">
        <v>304</v>
      </c>
      <c r="I346" s="219">
        <v>1662542104236</v>
      </c>
      <c r="J346" s="219">
        <v>1574871857654</v>
      </c>
      <c r="K346" s="219">
        <v>23763216674</v>
      </c>
    </row>
    <row r="347" spans="1:11" x14ac:dyDescent="0.3">
      <c r="A347" s="220">
        <v>346</v>
      </c>
      <c r="B347" s="220" t="s">
        <v>1054</v>
      </c>
      <c r="C347" s="220" t="s">
        <v>1055</v>
      </c>
      <c r="D347" s="220">
        <v>109509638</v>
      </c>
      <c r="E347" s="220" t="s">
        <v>1056</v>
      </c>
      <c r="F347" s="220" t="s">
        <v>1057</v>
      </c>
      <c r="G347" s="220" t="s">
        <v>25</v>
      </c>
      <c r="H347" s="221" t="s">
        <v>472</v>
      </c>
      <c r="I347" s="222">
        <v>47430000</v>
      </c>
      <c r="J347" s="222">
        <v>39525000</v>
      </c>
      <c r="K347" s="222">
        <v>-399608133</v>
      </c>
    </row>
    <row r="348" spans="1:11" x14ac:dyDescent="0.3">
      <c r="A348" s="220">
        <v>347</v>
      </c>
      <c r="B348" s="220" t="s">
        <v>1058</v>
      </c>
      <c r="C348" s="220" t="s">
        <v>1055</v>
      </c>
      <c r="D348" s="220">
        <v>109509638</v>
      </c>
      <c r="E348" s="220" t="s">
        <v>1056</v>
      </c>
      <c r="F348" s="220" t="s">
        <v>1059</v>
      </c>
      <c r="G348" s="220" t="s">
        <v>307</v>
      </c>
      <c r="H348" s="221" t="s">
        <v>472</v>
      </c>
      <c r="I348" s="222">
        <v>83505864068</v>
      </c>
      <c r="J348" s="222">
        <v>77057854517</v>
      </c>
      <c r="K348" s="222">
        <v>3718849674</v>
      </c>
    </row>
    <row r="349" spans="1:11" x14ac:dyDescent="0.3">
      <c r="A349" s="220">
        <v>348</v>
      </c>
      <c r="B349" s="220" t="s">
        <v>1060</v>
      </c>
      <c r="C349" s="220" t="s">
        <v>1055</v>
      </c>
      <c r="D349" s="220">
        <v>109509638</v>
      </c>
      <c r="E349" s="220" t="s">
        <v>1056</v>
      </c>
      <c r="F349" s="220" t="s">
        <v>1061</v>
      </c>
      <c r="G349" s="220" t="s">
        <v>309</v>
      </c>
      <c r="H349" s="221" t="s">
        <v>304</v>
      </c>
      <c r="I349" s="222">
        <v>397265967764</v>
      </c>
      <c r="J349" s="222">
        <v>391241792880</v>
      </c>
      <c r="K349" s="222">
        <v>-6780166628</v>
      </c>
    </row>
    <row r="350" spans="1:11" x14ac:dyDescent="0.3">
      <c r="A350" s="220">
        <v>349</v>
      </c>
      <c r="B350" s="220" t="s">
        <v>1062</v>
      </c>
      <c r="C350" s="220" t="s">
        <v>1055</v>
      </c>
      <c r="D350" s="220">
        <v>109509638</v>
      </c>
      <c r="E350" s="220" t="s">
        <v>1056</v>
      </c>
      <c r="F350" s="220" t="s">
        <v>1063</v>
      </c>
      <c r="G350" s="220" t="s">
        <v>311</v>
      </c>
      <c r="H350" s="221" t="s">
        <v>304</v>
      </c>
      <c r="I350" s="222">
        <v>319602399692</v>
      </c>
      <c r="J350" s="222">
        <v>299381177862</v>
      </c>
      <c r="K350" s="222">
        <v>14100029900</v>
      </c>
    </row>
    <row r="351" spans="1:11" x14ac:dyDescent="0.3">
      <c r="A351" s="217">
        <v>350</v>
      </c>
      <c r="B351" s="217" t="s">
        <v>1064</v>
      </c>
      <c r="C351" s="217" t="s">
        <v>1065</v>
      </c>
      <c r="D351" s="217">
        <v>109528912</v>
      </c>
      <c r="E351" s="217" t="s">
        <v>454</v>
      </c>
      <c r="F351" s="217" t="s">
        <v>1066</v>
      </c>
      <c r="G351" s="217" t="s">
        <v>25</v>
      </c>
      <c r="H351" s="218" t="s">
        <v>304</v>
      </c>
      <c r="I351" s="219">
        <v>197025017432</v>
      </c>
      <c r="J351" s="219">
        <v>162712558189</v>
      </c>
      <c r="K351" s="219">
        <v>16950475113</v>
      </c>
    </row>
    <row r="352" spans="1:11" x14ac:dyDescent="0.3">
      <c r="A352" s="217">
        <v>351</v>
      </c>
      <c r="B352" s="217" t="s">
        <v>1067</v>
      </c>
      <c r="C352" s="217" t="s">
        <v>1065</v>
      </c>
      <c r="D352" s="217">
        <v>109528912</v>
      </c>
      <c r="E352" s="217" t="s">
        <v>454</v>
      </c>
      <c r="F352" s="217" t="s">
        <v>1068</v>
      </c>
      <c r="G352" s="217" t="s">
        <v>307</v>
      </c>
      <c r="H352" s="218" t="s">
        <v>304</v>
      </c>
      <c r="I352" s="219">
        <v>6331965304585</v>
      </c>
      <c r="J352" s="219">
        <v>5367594090922</v>
      </c>
      <c r="K352" s="219">
        <v>861058132341</v>
      </c>
    </row>
    <row r="353" spans="1:11" x14ac:dyDescent="0.3">
      <c r="A353" s="217">
        <v>352</v>
      </c>
      <c r="B353" s="217" t="s">
        <v>1069</v>
      </c>
      <c r="C353" s="217" t="s">
        <v>1070</v>
      </c>
      <c r="D353" s="217">
        <v>109528912</v>
      </c>
      <c r="E353" s="217" t="s">
        <v>454</v>
      </c>
      <c r="F353" s="217" t="s">
        <v>1071</v>
      </c>
      <c r="G353" s="217" t="s">
        <v>309</v>
      </c>
      <c r="H353" s="218" t="s">
        <v>304</v>
      </c>
      <c r="I353" s="219">
        <v>6568719247604</v>
      </c>
      <c r="J353" s="219">
        <v>5664528374551</v>
      </c>
      <c r="K353" s="219">
        <v>740436921443</v>
      </c>
    </row>
    <row r="354" spans="1:11" x14ac:dyDescent="0.3">
      <c r="A354" s="217">
        <v>353</v>
      </c>
      <c r="B354" s="217" t="s">
        <v>1072</v>
      </c>
      <c r="C354" s="217" t="s">
        <v>1070</v>
      </c>
      <c r="D354" s="217">
        <v>109528912</v>
      </c>
      <c r="E354" s="217" t="s">
        <v>454</v>
      </c>
      <c r="F354" s="217" t="s">
        <v>1071</v>
      </c>
      <c r="G354" s="217" t="s">
        <v>311</v>
      </c>
      <c r="H354" s="218" t="s">
        <v>304</v>
      </c>
      <c r="I354" s="219">
        <v>7075781606921</v>
      </c>
      <c r="J354" s="219">
        <v>6042842759887</v>
      </c>
      <c r="K354" s="219">
        <v>873474577162</v>
      </c>
    </row>
    <row r="355" spans="1:11" x14ac:dyDescent="0.3">
      <c r="A355" s="217">
        <v>354</v>
      </c>
      <c r="B355" s="217" t="s">
        <v>1073</v>
      </c>
      <c r="C355" s="217" t="s">
        <v>1070</v>
      </c>
      <c r="D355" s="217">
        <v>109528912</v>
      </c>
      <c r="E355" s="217" t="s">
        <v>454</v>
      </c>
      <c r="F355" s="217" t="s">
        <v>1074</v>
      </c>
      <c r="G355" s="217" t="s">
        <v>321</v>
      </c>
      <c r="H355" s="218" t="s">
        <v>304</v>
      </c>
      <c r="I355" s="219">
        <v>8671532142281</v>
      </c>
      <c r="J355" s="219">
        <v>7621985619703</v>
      </c>
      <c r="K355" s="219">
        <v>863713442313</v>
      </c>
    </row>
    <row r="356" spans="1:11" x14ac:dyDescent="0.3">
      <c r="A356" s="220">
        <v>355</v>
      </c>
      <c r="B356" s="220" t="s">
        <v>1075</v>
      </c>
      <c r="C356" s="220" t="s">
        <v>1076</v>
      </c>
      <c r="D356" s="220">
        <v>109534352</v>
      </c>
      <c r="E356" s="220" t="s">
        <v>1077</v>
      </c>
      <c r="F356" s="220" t="s">
        <v>1078</v>
      </c>
      <c r="G356" s="220" t="s">
        <v>25</v>
      </c>
      <c r="H356" s="221" t="s">
        <v>304</v>
      </c>
      <c r="I356" s="222">
        <v>229583553228</v>
      </c>
      <c r="J356" s="222">
        <v>220055973598</v>
      </c>
      <c r="K356" s="222">
        <v>5047171109</v>
      </c>
    </row>
    <row r="357" spans="1:11" x14ac:dyDescent="0.3">
      <c r="A357" s="220">
        <v>356</v>
      </c>
      <c r="B357" s="220" t="s">
        <v>1079</v>
      </c>
      <c r="C357" s="220" t="s">
        <v>1080</v>
      </c>
      <c r="D357" s="220">
        <v>109534352</v>
      </c>
      <c r="E357" s="220" t="s">
        <v>1077</v>
      </c>
      <c r="F357" s="220" t="s">
        <v>1081</v>
      </c>
      <c r="G357" s="220" t="s">
        <v>307</v>
      </c>
      <c r="H357" s="221" t="s">
        <v>304</v>
      </c>
      <c r="I357" s="222">
        <v>281820659297</v>
      </c>
      <c r="J357" s="222">
        <v>274511885263</v>
      </c>
      <c r="K357" s="222">
        <v>1176637785</v>
      </c>
    </row>
    <row r="358" spans="1:11" x14ac:dyDescent="0.3">
      <c r="A358" s="220">
        <v>357</v>
      </c>
      <c r="B358" s="220" t="s">
        <v>1082</v>
      </c>
      <c r="C358" s="220" t="s">
        <v>1080</v>
      </c>
      <c r="D358" s="220">
        <v>109534352</v>
      </c>
      <c r="E358" s="220" t="s">
        <v>1077</v>
      </c>
      <c r="F358" s="220" t="s">
        <v>1081</v>
      </c>
      <c r="G358" s="220" t="s">
        <v>309</v>
      </c>
      <c r="H358" s="221" t="s">
        <v>304</v>
      </c>
      <c r="I358" s="222">
        <v>376597449029</v>
      </c>
      <c r="J358" s="222">
        <v>362276860956</v>
      </c>
      <c r="K358" s="222">
        <v>6197929839</v>
      </c>
    </row>
    <row r="359" spans="1:11" x14ac:dyDescent="0.3">
      <c r="A359" s="220">
        <v>358</v>
      </c>
      <c r="B359" s="220" t="s">
        <v>1083</v>
      </c>
      <c r="C359" s="220" t="s">
        <v>1080</v>
      </c>
      <c r="D359" s="220">
        <v>109534352</v>
      </c>
      <c r="E359" s="220" t="s">
        <v>1077</v>
      </c>
      <c r="F359" s="220" t="s">
        <v>1084</v>
      </c>
      <c r="G359" s="220" t="s">
        <v>311</v>
      </c>
      <c r="H359" s="221" t="s">
        <v>304</v>
      </c>
      <c r="I359" s="222">
        <v>543792593434</v>
      </c>
      <c r="J359" s="222">
        <v>521487609067</v>
      </c>
      <c r="K359" s="222">
        <v>13832481013</v>
      </c>
    </row>
    <row r="360" spans="1:11" x14ac:dyDescent="0.3">
      <c r="A360" s="217">
        <v>359</v>
      </c>
      <c r="B360" s="217" t="s">
        <v>1085</v>
      </c>
      <c r="C360" s="217" t="s">
        <v>1086</v>
      </c>
      <c r="D360" s="217">
        <v>500415210</v>
      </c>
      <c r="E360" s="217" t="s">
        <v>1087</v>
      </c>
      <c r="F360" s="217" t="s">
        <v>1088</v>
      </c>
      <c r="G360" s="217" t="s">
        <v>25</v>
      </c>
      <c r="H360" s="218" t="s">
        <v>304</v>
      </c>
      <c r="I360" s="219">
        <v>428883718714</v>
      </c>
      <c r="J360" s="219">
        <v>390297898313</v>
      </c>
      <c r="K360" s="219">
        <v>843349271</v>
      </c>
    </row>
    <row r="361" spans="1:11" x14ac:dyDescent="0.3">
      <c r="A361" s="217">
        <v>360</v>
      </c>
      <c r="B361" s="217" t="s">
        <v>1089</v>
      </c>
      <c r="C361" s="217" t="s">
        <v>1090</v>
      </c>
      <c r="D361" s="217">
        <v>500415210</v>
      </c>
      <c r="E361" s="217" t="s">
        <v>1087</v>
      </c>
      <c r="F361" s="217" t="s">
        <v>1091</v>
      </c>
      <c r="G361" s="217" t="s">
        <v>307</v>
      </c>
      <c r="H361" s="218" t="s">
        <v>304</v>
      </c>
      <c r="I361" s="219">
        <v>308360275628</v>
      </c>
      <c r="J361" s="219">
        <v>269435178096</v>
      </c>
      <c r="K361" s="219">
        <v>833647896</v>
      </c>
    </row>
    <row r="362" spans="1:11" x14ac:dyDescent="0.3">
      <c r="A362" s="217">
        <v>361</v>
      </c>
      <c r="B362" s="217" t="s">
        <v>1092</v>
      </c>
      <c r="C362" s="217" t="s">
        <v>1090</v>
      </c>
      <c r="D362" s="217">
        <v>500415210</v>
      </c>
      <c r="E362" s="217" t="s">
        <v>1087</v>
      </c>
      <c r="F362" s="217" t="s">
        <v>1091</v>
      </c>
      <c r="G362" s="217" t="s">
        <v>309</v>
      </c>
      <c r="H362" s="218" t="s">
        <v>304</v>
      </c>
      <c r="I362" s="219">
        <v>335202535545</v>
      </c>
      <c r="J362" s="219">
        <v>295303461405</v>
      </c>
      <c r="K362" s="219">
        <v>833183409</v>
      </c>
    </row>
    <row r="363" spans="1:11" x14ac:dyDescent="0.3">
      <c r="A363" s="217">
        <v>362</v>
      </c>
      <c r="B363" s="217" t="s">
        <v>1093</v>
      </c>
      <c r="C363" s="217" t="s">
        <v>1090</v>
      </c>
      <c r="D363" s="217">
        <v>500415210</v>
      </c>
      <c r="E363" s="217" t="s">
        <v>1087</v>
      </c>
      <c r="F363" s="217" t="s">
        <v>1091</v>
      </c>
      <c r="G363" s="217" t="s">
        <v>311</v>
      </c>
      <c r="H363" s="218" t="s">
        <v>304</v>
      </c>
      <c r="I363" s="219">
        <v>312755273411</v>
      </c>
      <c r="J363" s="219">
        <v>283440099468</v>
      </c>
      <c r="K363" s="219">
        <v>693300624</v>
      </c>
    </row>
    <row r="364" spans="1:11" x14ac:dyDescent="0.3">
      <c r="A364" s="220">
        <v>363</v>
      </c>
      <c r="B364" s="220" t="s">
        <v>1094</v>
      </c>
      <c r="C364" s="220" t="s">
        <v>1095</v>
      </c>
      <c r="D364" s="220">
        <v>500416750</v>
      </c>
      <c r="E364" s="220" t="s">
        <v>1096</v>
      </c>
      <c r="F364" s="220" t="s">
        <v>1097</v>
      </c>
      <c r="G364" s="220" t="s">
        <v>25</v>
      </c>
      <c r="H364" s="221" t="s">
        <v>304</v>
      </c>
      <c r="I364" s="222">
        <v>825220325364</v>
      </c>
      <c r="J364" s="222">
        <v>777799070577</v>
      </c>
      <c r="K364" s="222">
        <v>19288353428</v>
      </c>
    </row>
    <row r="365" spans="1:11" x14ac:dyDescent="0.3">
      <c r="A365" s="220">
        <v>364</v>
      </c>
      <c r="B365" s="220" t="s">
        <v>1098</v>
      </c>
      <c r="C365" s="220" t="s">
        <v>1095</v>
      </c>
      <c r="D365" s="220">
        <v>500416750</v>
      </c>
      <c r="E365" s="220" t="s">
        <v>1096</v>
      </c>
      <c r="F365" s="220" t="s">
        <v>1099</v>
      </c>
      <c r="G365" s="220" t="s">
        <v>307</v>
      </c>
      <c r="H365" s="221" t="s">
        <v>304</v>
      </c>
      <c r="I365" s="222">
        <v>688305672947</v>
      </c>
      <c r="J365" s="222">
        <v>650745900961</v>
      </c>
      <c r="K365" s="222">
        <v>13014755180</v>
      </c>
    </row>
    <row r="366" spans="1:11" x14ac:dyDescent="0.3">
      <c r="A366" s="220">
        <v>365</v>
      </c>
      <c r="B366" s="220" t="s">
        <v>1100</v>
      </c>
      <c r="C366" s="220" t="s">
        <v>1095</v>
      </c>
      <c r="D366" s="220">
        <v>500416750</v>
      </c>
      <c r="E366" s="220" t="s">
        <v>1096</v>
      </c>
      <c r="F366" s="220" t="s">
        <v>1099</v>
      </c>
      <c r="G366" s="220" t="s">
        <v>309</v>
      </c>
      <c r="H366" s="221" t="s">
        <v>304</v>
      </c>
      <c r="I366" s="222">
        <v>572395281889</v>
      </c>
      <c r="J366" s="222">
        <v>528716249977</v>
      </c>
      <c r="K366" s="222">
        <v>14547198304</v>
      </c>
    </row>
    <row r="367" spans="1:11" x14ac:dyDescent="0.3">
      <c r="A367" s="220">
        <v>366</v>
      </c>
      <c r="B367" s="220" t="s">
        <v>1101</v>
      </c>
      <c r="C367" s="220" t="s">
        <v>1095</v>
      </c>
      <c r="D367" s="220">
        <v>500416750</v>
      </c>
      <c r="E367" s="220" t="s">
        <v>1096</v>
      </c>
      <c r="F367" s="220" t="s">
        <v>1102</v>
      </c>
      <c r="G367" s="220" t="s">
        <v>311</v>
      </c>
      <c r="H367" s="221" t="s">
        <v>304</v>
      </c>
      <c r="I367" s="222">
        <v>661124977011</v>
      </c>
      <c r="J367" s="222">
        <v>602659631286</v>
      </c>
      <c r="K367" s="222">
        <v>29473564767</v>
      </c>
    </row>
    <row r="368" spans="1:11" x14ac:dyDescent="0.3">
      <c r="A368" s="217">
        <v>367</v>
      </c>
      <c r="B368" s="217" t="s">
        <v>1103</v>
      </c>
      <c r="C368" s="217" t="s">
        <v>1104</v>
      </c>
      <c r="D368" s="217">
        <v>500436556</v>
      </c>
      <c r="E368" s="217" t="s">
        <v>324</v>
      </c>
      <c r="F368" s="217" t="s">
        <v>1105</v>
      </c>
      <c r="G368" s="217" t="s">
        <v>25</v>
      </c>
      <c r="H368" s="218" t="s">
        <v>304</v>
      </c>
      <c r="I368" s="219">
        <v>965259825990</v>
      </c>
      <c r="J368" s="219">
        <v>808298445243</v>
      </c>
      <c r="K368" s="219">
        <v>106845696480</v>
      </c>
    </row>
    <row r="369" spans="1:11" x14ac:dyDescent="0.3">
      <c r="A369" s="217">
        <v>368</v>
      </c>
      <c r="B369" s="217" t="s">
        <v>1106</v>
      </c>
      <c r="C369" s="217" t="s">
        <v>1107</v>
      </c>
      <c r="D369" s="217">
        <v>500436556</v>
      </c>
      <c r="E369" s="217" t="s">
        <v>324</v>
      </c>
      <c r="F369" s="217" t="s">
        <v>1108</v>
      </c>
      <c r="G369" s="217" t="s">
        <v>307</v>
      </c>
      <c r="H369" s="218" t="s">
        <v>304</v>
      </c>
      <c r="I369" s="219">
        <v>1203610848342</v>
      </c>
      <c r="J369" s="219">
        <v>955258066055</v>
      </c>
      <c r="K369" s="219">
        <v>205535362559</v>
      </c>
    </row>
    <row r="370" spans="1:11" x14ac:dyDescent="0.3">
      <c r="A370" s="217">
        <v>369</v>
      </c>
      <c r="B370" s="217" t="s">
        <v>1109</v>
      </c>
      <c r="C370" s="217" t="s">
        <v>1110</v>
      </c>
      <c r="D370" s="217">
        <v>500436556</v>
      </c>
      <c r="E370" s="217" t="s">
        <v>324</v>
      </c>
      <c r="F370" s="217" t="s">
        <v>1105</v>
      </c>
      <c r="G370" s="217" t="s">
        <v>309</v>
      </c>
      <c r="H370" s="218" t="s">
        <v>304</v>
      </c>
      <c r="I370" s="219">
        <v>984662855369</v>
      </c>
      <c r="J370" s="219">
        <v>816660272628</v>
      </c>
      <c r="K370" s="219">
        <v>169368330380</v>
      </c>
    </row>
    <row r="371" spans="1:11" x14ac:dyDescent="0.3">
      <c r="A371" s="217">
        <v>370</v>
      </c>
      <c r="B371" s="217" t="s">
        <v>1111</v>
      </c>
      <c r="C371" s="217" t="s">
        <v>1107</v>
      </c>
      <c r="D371" s="217">
        <v>500436556</v>
      </c>
      <c r="E371" s="217" t="s">
        <v>324</v>
      </c>
      <c r="F371" s="217" t="s">
        <v>1108</v>
      </c>
      <c r="G371" s="217" t="s">
        <v>311</v>
      </c>
      <c r="H371" s="218" t="s">
        <v>304</v>
      </c>
      <c r="I371" s="219">
        <v>1106832805868</v>
      </c>
      <c r="J371" s="219">
        <v>916370715741</v>
      </c>
      <c r="K371" s="219">
        <v>176998078930</v>
      </c>
    </row>
    <row r="372" spans="1:11" x14ac:dyDescent="0.3">
      <c r="A372" s="220">
        <v>371</v>
      </c>
      <c r="B372" s="220" t="s">
        <v>1112</v>
      </c>
      <c r="C372" s="220" t="s">
        <v>1113</v>
      </c>
      <c r="D372" s="220">
        <v>500448216</v>
      </c>
      <c r="E372" s="220" t="s">
        <v>1114</v>
      </c>
      <c r="F372" s="220" t="s">
        <v>1115</v>
      </c>
      <c r="G372" s="220" t="s">
        <v>504</v>
      </c>
      <c r="H372" s="221" t="s">
        <v>304</v>
      </c>
      <c r="I372" s="222">
        <v>244299301587</v>
      </c>
      <c r="J372" s="222">
        <v>194136926424</v>
      </c>
      <c r="K372" s="222">
        <v>-4594318183</v>
      </c>
    </row>
    <row r="373" spans="1:11" x14ac:dyDescent="0.3">
      <c r="A373" s="220">
        <v>372</v>
      </c>
      <c r="B373" s="220" t="s">
        <v>1116</v>
      </c>
      <c r="C373" s="220" t="s">
        <v>1113</v>
      </c>
      <c r="D373" s="220">
        <v>500448216</v>
      </c>
      <c r="E373" s="220" t="s">
        <v>1114</v>
      </c>
      <c r="F373" s="220" t="s">
        <v>1117</v>
      </c>
      <c r="G373" s="220" t="s">
        <v>25</v>
      </c>
      <c r="H373" s="221" t="s">
        <v>304</v>
      </c>
      <c r="I373" s="222">
        <v>362579466815</v>
      </c>
      <c r="J373" s="222">
        <v>276415131514</v>
      </c>
      <c r="K373" s="222">
        <v>-22449779441</v>
      </c>
    </row>
    <row r="374" spans="1:11" x14ac:dyDescent="0.3">
      <c r="A374" s="220">
        <v>373</v>
      </c>
      <c r="B374" s="220" t="s">
        <v>1118</v>
      </c>
      <c r="C374" s="220" t="s">
        <v>1119</v>
      </c>
      <c r="D374" s="220">
        <v>500448216</v>
      </c>
      <c r="E374" s="220" t="s">
        <v>1114</v>
      </c>
      <c r="F374" s="220" t="s">
        <v>1120</v>
      </c>
      <c r="G374" s="220" t="s">
        <v>307</v>
      </c>
      <c r="H374" s="221" t="s">
        <v>304</v>
      </c>
      <c r="I374" s="222">
        <v>353943476221</v>
      </c>
      <c r="J374" s="222">
        <v>252124167462</v>
      </c>
      <c r="K374" s="222">
        <v>175331995</v>
      </c>
    </row>
    <row r="375" spans="1:11" x14ac:dyDescent="0.3">
      <c r="A375" s="220">
        <v>374</v>
      </c>
      <c r="B375" s="220" t="s">
        <v>1121</v>
      </c>
      <c r="C375" s="220" t="s">
        <v>1119</v>
      </c>
      <c r="D375" s="220">
        <v>500448216</v>
      </c>
      <c r="E375" s="220" t="s">
        <v>1114</v>
      </c>
      <c r="F375" s="220" t="s">
        <v>1122</v>
      </c>
      <c r="G375" s="220" t="s">
        <v>309</v>
      </c>
      <c r="H375" s="221" t="s">
        <v>304</v>
      </c>
      <c r="I375" s="222">
        <v>312646102349</v>
      </c>
      <c r="J375" s="222">
        <v>236003502374</v>
      </c>
      <c r="K375" s="222">
        <v>1858726155</v>
      </c>
    </row>
    <row r="376" spans="1:11" x14ac:dyDescent="0.3">
      <c r="A376" s="220">
        <v>375</v>
      </c>
      <c r="B376" s="220" t="s">
        <v>1123</v>
      </c>
      <c r="C376" s="220" t="s">
        <v>1113</v>
      </c>
      <c r="D376" s="220">
        <v>500448216</v>
      </c>
      <c r="E376" s="220" t="s">
        <v>1114</v>
      </c>
      <c r="F376" s="220" t="s">
        <v>1124</v>
      </c>
      <c r="G376" s="220" t="s">
        <v>311</v>
      </c>
      <c r="H376" s="221" t="s">
        <v>304</v>
      </c>
      <c r="I376" s="222">
        <v>488233908405</v>
      </c>
      <c r="J376" s="222">
        <v>365049779111</v>
      </c>
      <c r="K376" s="222">
        <v>4573347086</v>
      </c>
    </row>
    <row r="377" spans="1:11" x14ac:dyDescent="0.3">
      <c r="A377" s="217">
        <v>376</v>
      </c>
      <c r="B377" s="217" t="s">
        <v>1125</v>
      </c>
      <c r="C377" s="217" t="s">
        <v>1126</v>
      </c>
      <c r="D377" s="217">
        <v>500467547</v>
      </c>
      <c r="E377" s="217" t="s">
        <v>454</v>
      </c>
      <c r="F377" s="217" t="s">
        <v>1127</v>
      </c>
      <c r="G377" s="217" t="s">
        <v>25</v>
      </c>
      <c r="H377" s="218" t="s">
        <v>304</v>
      </c>
      <c r="I377" s="219">
        <v>627723664288</v>
      </c>
      <c r="J377" s="219">
        <v>584372439018</v>
      </c>
      <c r="K377" s="219">
        <v>-1658355919</v>
      </c>
    </row>
    <row r="378" spans="1:11" x14ac:dyDescent="0.3">
      <c r="A378" s="217">
        <v>377</v>
      </c>
      <c r="B378" s="217" t="s">
        <v>1128</v>
      </c>
      <c r="C378" s="217" t="s">
        <v>1126</v>
      </c>
      <c r="D378" s="217">
        <v>500467547</v>
      </c>
      <c r="E378" s="217" t="s">
        <v>454</v>
      </c>
      <c r="F378" s="217" t="s">
        <v>1129</v>
      </c>
      <c r="G378" s="217" t="s">
        <v>307</v>
      </c>
      <c r="H378" s="218" t="s">
        <v>304</v>
      </c>
      <c r="I378" s="219">
        <v>387048525309</v>
      </c>
      <c r="J378" s="219">
        <v>305256590594</v>
      </c>
      <c r="K378" s="219">
        <v>48564985673</v>
      </c>
    </row>
    <row r="379" spans="1:11" x14ac:dyDescent="0.3">
      <c r="A379" s="217">
        <v>378</v>
      </c>
      <c r="B379" s="217" t="s">
        <v>1130</v>
      </c>
      <c r="C379" s="217" t="s">
        <v>1131</v>
      </c>
      <c r="D379" s="217">
        <v>500467547</v>
      </c>
      <c r="E379" s="217" t="s">
        <v>454</v>
      </c>
      <c r="F379" s="217" t="s">
        <v>1129</v>
      </c>
      <c r="G379" s="217" t="s">
        <v>309</v>
      </c>
      <c r="H379" s="218" t="s">
        <v>304</v>
      </c>
      <c r="I379" s="219">
        <v>405513201246</v>
      </c>
      <c r="J379" s="219">
        <v>304064997880</v>
      </c>
      <c r="K379" s="219">
        <v>85407945236</v>
      </c>
    </row>
    <row r="380" spans="1:11" x14ac:dyDescent="0.3">
      <c r="A380" s="217">
        <v>379</v>
      </c>
      <c r="B380" s="217" t="s">
        <v>1132</v>
      </c>
      <c r="C380" s="217" t="s">
        <v>1131</v>
      </c>
      <c r="D380" s="217">
        <v>500467547</v>
      </c>
      <c r="E380" s="217" t="s">
        <v>454</v>
      </c>
      <c r="F380" s="217" t="s">
        <v>1129</v>
      </c>
      <c r="G380" s="217" t="s">
        <v>311</v>
      </c>
      <c r="H380" s="218" t="s">
        <v>304</v>
      </c>
      <c r="I380" s="219">
        <v>450127047628</v>
      </c>
      <c r="J380" s="219">
        <v>324424642227</v>
      </c>
      <c r="K380" s="219">
        <v>111246948489</v>
      </c>
    </row>
    <row r="381" spans="1:11" x14ac:dyDescent="0.3">
      <c r="A381" s="220">
        <v>380</v>
      </c>
      <c r="B381" s="220" t="s">
        <v>1133</v>
      </c>
      <c r="C381" s="220" t="s">
        <v>1134</v>
      </c>
      <c r="D381" s="220">
        <v>500469512</v>
      </c>
      <c r="E381" s="220" t="s">
        <v>1135</v>
      </c>
      <c r="F381" s="220" t="s">
        <v>1136</v>
      </c>
      <c r="G381" s="220" t="s">
        <v>25</v>
      </c>
      <c r="H381" s="221" t="s">
        <v>304</v>
      </c>
      <c r="I381" s="222">
        <v>6890789923797</v>
      </c>
      <c r="J381" s="222">
        <v>4598219171681</v>
      </c>
      <c r="K381" s="222">
        <v>1986156747720</v>
      </c>
    </row>
    <row r="382" spans="1:11" x14ac:dyDescent="0.3">
      <c r="A382" s="220">
        <v>381</v>
      </c>
      <c r="B382" s="220" t="s">
        <v>1137</v>
      </c>
      <c r="C382" s="220" t="s">
        <v>1134</v>
      </c>
      <c r="D382" s="220">
        <v>500469512</v>
      </c>
      <c r="E382" s="220" t="s">
        <v>1135</v>
      </c>
      <c r="F382" s="220" t="s">
        <v>1138</v>
      </c>
      <c r="G382" s="220" t="s">
        <v>307</v>
      </c>
      <c r="H382" s="221" t="s">
        <v>304</v>
      </c>
      <c r="I382" s="222">
        <v>5383630829659</v>
      </c>
      <c r="J382" s="222">
        <v>3835468878511</v>
      </c>
      <c r="K382" s="222">
        <v>1255333850453</v>
      </c>
    </row>
    <row r="383" spans="1:11" x14ac:dyDescent="0.3">
      <c r="A383" s="220">
        <v>382</v>
      </c>
      <c r="B383" s="220" t="s">
        <v>1139</v>
      </c>
      <c r="C383" s="220" t="s">
        <v>1134</v>
      </c>
      <c r="D383" s="220">
        <v>500469512</v>
      </c>
      <c r="E383" s="220" t="s">
        <v>1135</v>
      </c>
      <c r="F383" s="220" t="s">
        <v>1138</v>
      </c>
      <c r="G383" s="220" t="s">
        <v>309</v>
      </c>
      <c r="H383" s="221" t="s">
        <v>304</v>
      </c>
      <c r="I383" s="222">
        <v>3999136899657</v>
      </c>
      <c r="J383" s="222">
        <v>2997980809398</v>
      </c>
      <c r="K383" s="222">
        <v>904367142648</v>
      </c>
    </row>
    <row r="384" spans="1:11" x14ac:dyDescent="0.3">
      <c r="A384" s="220">
        <v>383</v>
      </c>
      <c r="B384" s="220" t="s">
        <v>1140</v>
      </c>
      <c r="C384" s="220" t="s">
        <v>1134</v>
      </c>
      <c r="D384" s="220">
        <v>500469512</v>
      </c>
      <c r="E384" s="220" t="s">
        <v>1135</v>
      </c>
      <c r="F384" s="220" t="s">
        <v>1138</v>
      </c>
      <c r="G384" s="220" t="s">
        <v>311</v>
      </c>
      <c r="H384" s="221" t="s">
        <v>304</v>
      </c>
      <c r="I384" s="222">
        <v>4033047148553</v>
      </c>
      <c r="J384" s="222">
        <v>3031249054187</v>
      </c>
      <c r="K384" s="222">
        <v>850852894065</v>
      </c>
    </row>
    <row r="385" spans="1:11" x14ac:dyDescent="0.3">
      <c r="A385" s="217">
        <v>384</v>
      </c>
      <c r="B385" s="217" t="s">
        <v>1141</v>
      </c>
      <c r="C385" s="217" t="s">
        <v>1142</v>
      </c>
      <c r="D385" s="217">
        <v>500556370</v>
      </c>
      <c r="E385" s="217" t="s">
        <v>1143</v>
      </c>
      <c r="F385" s="217" t="s">
        <v>1144</v>
      </c>
      <c r="G385" s="217" t="s">
        <v>25</v>
      </c>
      <c r="H385" s="218" t="s">
        <v>304</v>
      </c>
      <c r="I385" s="219">
        <v>1512264608457</v>
      </c>
      <c r="J385" s="219">
        <v>1425051772341</v>
      </c>
      <c r="K385" s="219">
        <v>62843963703</v>
      </c>
    </row>
    <row r="386" spans="1:11" x14ac:dyDescent="0.3">
      <c r="A386" s="217">
        <v>385</v>
      </c>
      <c r="B386" s="217" t="s">
        <v>1145</v>
      </c>
      <c r="C386" s="217" t="s">
        <v>1142</v>
      </c>
      <c r="D386" s="217">
        <v>500556370</v>
      </c>
      <c r="E386" s="217" t="s">
        <v>1143</v>
      </c>
      <c r="F386" s="217" t="s">
        <v>1146</v>
      </c>
      <c r="G386" s="217" t="s">
        <v>307</v>
      </c>
      <c r="H386" s="218" t="s">
        <v>304</v>
      </c>
      <c r="I386" s="219">
        <v>1794128884194</v>
      </c>
      <c r="J386" s="219">
        <v>1610812773523</v>
      </c>
      <c r="K386" s="219">
        <v>101849197482</v>
      </c>
    </row>
    <row r="387" spans="1:11" x14ac:dyDescent="0.3">
      <c r="A387" s="217">
        <v>386</v>
      </c>
      <c r="B387" s="217" t="s">
        <v>1147</v>
      </c>
      <c r="C387" s="217" t="s">
        <v>1142</v>
      </c>
      <c r="D387" s="217">
        <v>500556370</v>
      </c>
      <c r="E387" s="217" t="s">
        <v>1143</v>
      </c>
      <c r="F387" s="217" t="s">
        <v>1146</v>
      </c>
      <c r="G387" s="217" t="s">
        <v>309</v>
      </c>
      <c r="H387" s="218" t="s">
        <v>304</v>
      </c>
      <c r="I387" s="219">
        <v>1171368989589</v>
      </c>
      <c r="J387" s="219">
        <v>1018785210386</v>
      </c>
      <c r="K387" s="219">
        <v>32964974155</v>
      </c>
    </row>
    <row r="388" spans="1:11" x14ac:dyDescent="0.3">
      <c r="A388" s="217">
        <v>387</v>
      </c>
      <c r="B388" s="217" t="s">
        <v>1148</v>
      </c>
      <c r="C388" s="217" t="s">
        <v>1142</v>
      </c>
      <c r="D388" s="217">
        <v>500556370</v>
      </c>
      <c r="E388" s="217" t="s">
        <v>1143</v>
      </c>
      <c r="F388" s="217" t="s">
        <v>1146</v>
      </c>
      <c r="G388" s="217" t="s">
        <v>311</v>
      </c>
      <c r="H388" s="218" t="s">
        <v>304</v>
      </c>
      <c r="I388" s="219">
        <v>1673423346933</v>
      </c>
      <c r="J388" s="219">
        <v>1473477002910</v>
      </c>
      <c r="K388" s="219">
        <v>73021481775</v>
      </c>
    </row>
    <row r="389" spans="1:11" x14ac:dyDescent="0.3">
      <c r="A389" s="220">
        <v>388</v>
      </c>
      <c r="B389" s="220" t="s">
        <v>1149</v>
      </c>
      <c r="C389" s="220" t="s">
        <v>1150</v>
      </c>
      <c r="D389" s="220">
        <v>500577571</v>
      </c>
      <c r="E389" s="220" t="s">
        <v>1151</v>
      </c>
      <c r="F389" s="220" t="s">
        <v>1152</v>
      </c>
      <c r="G389" s="220" t="s">
        <v>362</v>
      </c>
      <c r="H389" s="221" t="s">
        <v>304</v>
      </c>
      <c r="I389" s="222">
        <v>959504416302</v>
      </c>
      <c r="J389" s="222">
        <v>850361296131</v>
      </c>
      <c r="K389" s="222">
        <v>55301372086</v>
      </c>
    </row>
    <row r="390" spans="1:11" x14ac:dyDescent="0.3">
      <c r="A390" s="220">
        <v>389</v>
      </c>
      <c r="B390" s="220" t="s">
        <v>1153</v>
      </c>
      <c r="C390" s="220" t="s">
        <v>1150</v>
      </c>
      <c r="D390" s="220">
        <v>500577571</v>
      </c>
      <c r="E390" s="220" t="s">
        <v>1151</v>
      </c>
      <c r="F390" s="220" t="s">
        <v>1154</v>
      </c>
      <c r="G390" s="220" t="s">
        <v>366</v>
      </c>
      <c r="H390" s="221" t="s">
        <v>304</v>
      </c>
      <c r="I390" s="222">
        <v>811595146357</v>
      </c>
      <c r="J390" s="222">
        <v>724172886001</v>
      </c>
      <c r="K390" s="222">
        <v>46025433805</v>
      </c>
    </row>
    <row r="391" spans="1:11" x14ac:dyDescent="0.3">
      <c r="A391" s="220">
        <v>390</v>
      </c>
      <c r="B391" s="220" t="s">
        <v>1155</v>
      </c>
      <c r="C391" s="220" t="s">
        <v>1150</v>
      </c>
      <c r="D391" s="220">
        <v>500577571</v>
      </c>
      <c r="E391" s="220" t="s">
        <v>1151</v>
      </c>
      <c r="F391" s="220" t="s">
        <v>1154</v>
      </c>
      <c r="G391" s="220" t="s">
        <v>369</v>
      </c>
      <c r="H391" s="221" t="s">
        <v>304</v>
      </c>
      <c r="I391" s="222">
        <v>996844753243</v>
      </c>
      <c r="J391" s="222">
        <v>908273663196</v>
      </c>
      <c r="K391" s="222">
        <v>47805196540</v>
      </c>
    </row>
    <row r="392" spans="1:11" x14ac:dyDescent="0.3">
      <c r="A392" s="220">
        <v>391</v>
      </c>
      <c r="B392" s="220" t="s">
        <v>1156</v>
      </c>
      <c r="C392" s="220" t="s">
        <v>1150</v>
      </c>
      <c r="D392" s="220">
        <v>500577571</v>
      </c>
      <c r="E392" s="220" t="s">
        <v>1151</v>
      </c>
      <c r="F392" s="220" t="s">
        <v>1154</v>
      </c>
      <c r="G392" s="220" t="s">
        <v>372</v>
      </c>
      <c r="H392" s="221" t="s">
        <v>304</v>
      </c>
      <c r="I392" s="222">
        <v>1201337762557</v>
      </c>
      <c r="J392" s="222">
        <v>1031561800715</v>
      </c>
      <c r="K392" s="222">
        <v>120685446832</v>
      </c>
    </row>
    <row r="393" spans="1:11" x14ac:dyDescent="0.3">
      <c r="A393" s="217">
        <v>392</v>
      </c>
      <c r="B393" s="217" t="s">
        <v>1157</v>
      </c>
      <c r="C393" s="217" t="s">
        <v>1158</v>
      </c>
      <c r="D393" s="217">
        <v>2500214518</v>
      </c>
      <c r="E393" s="217" t="s">
        <v>1159</v>
      </c>
      <c r="F393" s="217" t="s">
        <v>1160</v>
      </c>
      <c r="G393" s="217" t="s">
        <v>25</v>
      </c>
      <c r="H393" s="218" t="s">
        <v>304</v>
      </c>
      <c r="I393" s="219">
        <v>1760862996233</v>
      </c>
      <c r="J393" s="219">
        <v>1657871701534</v>
      </c>
      <c r="K393" s="219">
        <v>41205034414</v>
      </c>
    </row>
    <row r="394" spans="1:11" x14ac:dyDescent="0.3">
      <c r="A394" s="217">
        <v>393</v>
      </c>
      <c r="B394" s="217" t="s">
        <v>1161</v>
      </c>
      <c r="C394" s="217" t="s">
        <v>1158</v>
      </c>
      <c r="D394" s="217">
        <v>2500214518</v>
      </c>
      <c r="E394" s="217" t="s">
        <v>1159</v>
      </c>
      <c r="F394" s="217" t="s">
        <v>1162</v>
      </c>
      <c r="G394" s="217" t="s">
        <v>307</v>
      </c>
      <c r="H394" s="218" t="s">
        <v>304</v>
      </c>
      <c r="I394" s="219">
        <v>1672559110727</v>
      </c>
      <c r="J394" s="219">
        <v>1536162713242</v>
      </c>
      <c r="K394" s="219">
        <v>40300078726</v>
      </c>
    </row>
    <row r="395" spans="1:11" x14ac:dyDescent="0.3">
      <c r="A395" s="217">
        <v>394</v>
      </c>
      <c r="B395" s="217" t="s">
        <v>1163</v>
      </c>
      <c r="C395" s="217" t="s">
        <v>1158</v>
      </c>
      <c r="D395" s="217">
        <v>2500214518</v>
      </c>
      <c r="E395" s="217" t="s">
        <v>1159</v>
      </c>
      <c r="F395" s="217" t="s">
        <v>1164</v>
      </c>
      <c r="G395" s="217" t="s">
        <v>309</v>
      </c>
      <c r="H395" s="218" t="s">
        <v>304</v>
      </c>
      <c r="I395" s="219">
        <v>1833840861375</v>
      </c>
      <c r="J395" s="219">
        <v>1636929099057</v>
      </c>
      <c r="K395" s="219">
        <v>64440366231</v>
      </c>
    </row>
    <row r="396" spans="1:11" x14ac:dyDescent="0.3">
      <c r="A396" s="217">
        <v>395</v>
      </c>
      <c r="B396" s="217" t="s">
        <v>1165</v>
      </c>
      <c r="C396" s="217" t="s">
        <v>1158</v>
      </c>
      <c r="D396" s="217">
        <v>2500214518</v>
      </c>
      <c r="E396" s="217" t="s">
        <v>1159</v>
      </c>
      <c r="F396" s="217" t="s">
        <v>1166</v>
      </c>
      <c r="G396" s="217" t="s">
        <v>311</v>
      </c>
      <c r="H396" s="218" t="s">
        <v>304</v>
      </c>
      <c r="I396" s="219">
        <v>1193636489466</v>
      </c>
      <c r="J396" s="219">
        <v>990130641563</v>
      </c>
      <c r="K396" s="219">
        <v>153499479238</v>
      </c>
    </row>
    <row r="397" spans="1:11" x14ac:dyDescent="0.3">
      <c r="A397" s="220">
        <v>396</v>
      </c>
      <c r="B397" s="220" t="s">
        <v>1167</v>
      </c>
      <c r="C397" s="220" t="s">
        <v>1168</v>
      </c>
      <c r="D397" s="220">
        <v>2500230213</v>
      </c>
      <c r="E397" s="220" t="s">
        <v>1169</v>
      </c>
      <c r="F397" s="220" t="s">
        <v>1170</v>
      </c>
      <c r="G397" s="220" t="s">
        <v>25</v>
      </c>
      <c r="H397" s="221" t="s">
        <v>304</v>
      </c>
      <c r="I397" s="222">
        <v>129248927339</v>
      </c>
      <c r="J397" s="222">
        <v>107801665544</v>
      </c>
      <c r="K397" s="222">
        <v>9425393872</v>
      </c>
    </row>
    <row r="398" spans="1:11" x14ac:dyDescent="0.3">
      <c r="A398" s="220">
        <v>397</v>
      </c>
      <c r="B398" s="220" t="s">
        <v>1171</v>
      </c>
      <c r="C398" s="220" t="s">
        <v>1172</v>
      </c>
      <c r="D398" s="220">
        <v>2500230213</v>
      </c>
      <c r="E398" s="220" t="s">
        <v>1169</v>
      </c>
      <c r="F398" s="220" t="s">
        <v>1173</v>
      </c>
      <c r="G398" s="220" t="s">
        <v>307</v>
      </c>
      <c r="H398" s="221" t="s">
        <v>304</v>
      </c>
      <c r="I398" s="222">
        <v>343371140866</v>
      </c>
      <c r="J398" s="222">
        <v>297404540341</v>
      </c>
      <c r="K398" s="222">
        <v>31907213624</v>
      </c>
    </row>
    <row r="399" spans="1:11" x14ac:dyDescent="0.3">
      <c r="A399" s="220">
        <v>398</v>
      </c>
      <c r="B399" s="220" t="s">
        <v>1174</v>
      </c>
      <c r="C399" s="220" t="s">
        <v>1168</v>
      </c>
      <c r="D399" s="220">
        <v>2500230213</v>
      </c>
      <c r="E399" s="220" t="s">
        <v>1169</v>
      </c>
      <c r="F399" s="220" t="s">
        <v>1175</v>
      </c>
      <c r="G399" s="220" t="s">
        <v>309</v>
      </c>
      <c r="H399" s="221" t="s">
        <v>304</v>
      </c>
      <c r="I399" s="222">
        <v>948052417783</v>
      </c>
      <c r="J399" s="222">
        <v>833439489002</v>
      </c>
      <c r="K399" s="222">
        <v>85928970954</v>
      </c>
    </row>
    <row r="400" spans="1:11" x14ac:dyDescent="0.3">
      <c r="A400" s="220">
        <v>399</v>
      </c>
      <c r="B400" s="220" t="s">
        <v>1176</v>
      </c>
      <c r="C400" s="220" t="s">
        <v>1172</v>
      </c>
      <c r="D400" s="220">
        <v>2500230213</v>
      </c>
      <c r="E400" s="220" t="s">
        <v>1169</v>
      </c>
      <c r="F400" s="220" t="s">
        <v>1177</v>
      </c>
      <c r="G400" s="220" t="s">
        <v>311</v>
      </c>
      <c r="H400" s="221" t="s">
        <v>304</v>
      </c>
      <c r="I400" s="222">
        <v>2100033034165</v>
      </c>
      <c r="J400" s="222">
        <v>1872040292044</v>
      </c>
      <c r="K400" s="222">
        <v>164769052716</v>
      </c>
    </row>
    <row r="401" spans="1:11" x14ac:dyDescent="0.3">
      <c r="A401" s="220">
        <v>400</v>
      </c>
      <c r="B401" s="220" t="s">
        <v>1178</v>
      </c>
      <c r="C401" s="220" t="s">
        <v>1172</v>
      </c>
      <c r="D401" s="220">
        <v>2500230213</v>
      </c>
      <c r="E401" s="220" t="s">
        <v>1169</v>
      </c>
      <c r="F401" s="220" t="s">
        <v>1179</v>
      </c>
      <c r="G401" s="220" t="s">
        <v>321</v>
      </c>
      <c r="H401" s="221" t="s">
        <v>304</v>
      </c>
      <c r="I401" s="222">
        <v>2706449130503</v>
      </c>
      <c r="J401" s="222">
        <v>2467326773155</v>
      </c>
      <c r="K401" s="222">
        <v>188513052010</v>
      </c>
    </row>
    <row r="402" spans="1:11" x14ac:dyDescent="0.3">
      <c r="A402" s="217">
        <v>401</v>
      </c>
      <c r="B402" s="217" t="s">
        <v>1180</v>
      </c>
      <c r="C402" s="217" t="s">
        <v>1181</v>
      </c>
      <c r="D402" s="217">
        <v>2500243660</v>
      </c>
      <c r="E402" s="217" t="s">
        <v>957</v>
      </c>
      <c r="F402" s="217" t="s">
        <v>1182</v>
      </c>
      <c r="G402" s="217" t="s">
        <v>25</v>
      </c>
      <c r="H402" s="218" t="s">
        <v>304</v>
      </c>
      <c r="I402" s="219">
        <v>6725792253900</v>
      </c>
      <c r="J402" s="219">
        <v>6302148974623</v>
      </c>
      <c r="K402" s="219">
        <v>88590615342</v>
      </c>
    </row>
    <row r="403" spans="1:11" x14ac:dyDescent="0.3">
      <c r="A403" s="217">
        <v>402</v>
      </c>
      <c r="B403" s="217" t="s">
        <v>1183</v>
      </c>
      <c r="C403" s="217" t="s">
        <v>1181</v>
      </c>
      <c r="D403" s="217">
        <v>2500243660</v>
      </c>
      <c r="E403" s="217" t="s">
        <v>957</v>
      </c>
      <c r="F403" s="217" t="s">
        <v>1184</v>
      </c>
      <c r="G403" s="217" t="s">
        <v>307</v>
      </c>
      <c r="H403" s="218" t="s">
        <v>304</v>
      </c>
      <c r="I403" s="219">
        <v>6400101633172</v>
      </c>
      <c r="J403" s="219">
        <v>5891252669728</v>
      </c>
      <c r="K403" s="219">
        <v>213513228895</v>
      </c>
    </row>
    <row r="404" spans="1:11" x14ac:dyDescent="0.3">
      <c r="A404" s="217">
        <v>403</v>
      </c>
      <c r="B404" s="217" t="s">
        <v>1185</v>
      </c>
      <c r="C404" s="217" t="s">
        <v>1181</v>
      </c>
      <c r="D404" s="217">
        <v>2500243660</v>
      </c>
      <c r="E404" s="217" t="s">
        <v>957</v>
      </c>
      <c r="F404" s="217" t="s">
        <v>1184</v>
      </c>
      <c r="G404" s="217" t="s">
        <v>309</v>
      </c>
      <c r="H404" s="218" t="s">
        <v>304</v>
      </c>
      <c r="I404" s="219">
        <v>4321435502407</v>
      </c>
      <c r="J404" s="219">
        <v>3866665198791</v>
      </c>
      <c r="K404" s="219">
        <v>249532169703</v>
      </c>
    </row>
    <row r="405" spans="1:11" x14ac:dyDescent="0.3">
      <c r="A405" s="217">
        <v>404</v>
      </c>
      <c r="B405" s="217" t="s">
        <v>1186</v>
      </c>
      <c r="C405" s="217" t="s">
        <v>1181</v>
      </c>
      <c r="D405" s="217">
        <v>2500243660</v>
      </c>
      <c r="E405" s="217" t="s">
        <v>957</v>
      </c>
      <c r="F405" s="217" t="s">
        <v>1187</v>
      </c>
      <c r="G405" s="217" t="s">
        <v>311</v>
      </c>
      <c r="H405" s="218" t="s">
        <v>304</v>
      </c>
      <c r="I405" s="219">
        <v>4086415128513</v>
      </c>
      <c r="J405" s="219">
        <v>3689105069875</v>
      </c>
      <c r="K405" s="219">
        <v>197823754575</v>
      </c>
    </row>
    <row r="406" spans="1:11" x14ac:dyDescent="0.3">
      <c r="A406" s="220">
        <v>405</v>
      </c>
      <c r="B406" s="220" t="s">
        <v>1188</v>
      </c>
      <c r="C406" s="220" t="s">
        <v>1189</v>
      </c>
      <c r="D406" s="220">
        <v>5200886602</v>
      </c>
      <c r="E406" s="220" t="s">
        <v>1190</v>
      </c>
      <c r="F406" s="220" t="s">
        <v>1191</v>
      </c>
      <c r="G406" s="220" t="s">
        <v>504</v>
      </c>
      <c r="H406" s="221" t="s">
        <v>304</v>
      </c>
      <c r="I406" s="222">
        <v>42794141627</v>
      </c>
      <c r="J406" s="222">
        <v>37607785620</v>
      </c>
      <c r="K406" s="222">
        <v>-568605795</v>
      </c>
    </row>
    <row r="407" spans="1:11" x14ac:dyDescent="0.3">
      <c r="A407" s="220">
        <v>406</v>
      </c>
      <c r="B407" s="220" t="s">
        <v>1192</v>
      </c>
      <c r="C407" s="220" t="s">
        <v>1189</v>
      </c>
      <c r="D407" s="220">
        <v>5200886602</v>
      </c>
      <c r="E407" s="220" t="s">
        <v>1190</v>
      </c>
      <c r="F407" s="220" t="s">
        <v>1191</v>
      </c>
      <c r="G407" s="220" t="s">
        <v>25</v>
      </c>
      <c r="H407" s="221" t="s">
        <v>304</v>
      </c>
      <c r="I407" s="222">
        <v>336946761627</v>
      </c>
      <c r="J407" s="222">
        <v>284773335406</v>
      </c>
      <c r="K407" s="222">
        <v>631230175</v>
      </c>
    </row>
    <row r="408" spans="1:11" x14ac:dyDescent="0.3">
      <c r="A408" s="220">
        <v>407</v>
      </c>
      <c r="B408" s="220" t="s">
        <v>1193</v>
      </c>
      <c r="C408" s="220" t="s">
        <v>1189</v>
      </c>
      <c r="D408" s="220">
        <v>5200886602</v>
      </c>
      <c r="E408" s="220" t="s">
        <v>1190</v>
      </c>
      <c r="F408" s="220" t="s">
        <v>1191</v>
      </c>
      <c r="G408" s="220" t="s">
        <v>307</v>
      </c>
      <c r="H408" s="221" t="s">
        <v>304</v>
      </c>
      <c r="I408" s="222">
        <v>460414052145</v>
      </c>
      <c r="J408" s="222">
        <v>388147237841</v>
      </c>
      <c r="K408" s="222">
        <v>-4011901742</v>
      </c>
    </row>
    <row r="409" spans="1:11" x14ac:dyDescent="0.3">
      <c r="A409" s="220">
        <v>408</v>
      </c>
      <c r="B409" s="220" t="s">
        <v>1194</v>
      </c>
      <c r="C409" s="220" t="s">
        <v>1189</v>
      </c>
      <c r="D409" s="220">
        <v>5200886602</v>
      </c>
      <c r="E409" s="220" t="s">
        <v>1190</v>
      </c>
      <c r="F409" s="220" t="s">
        <v>1191</v>
      </c>
      <c r="G409" s="220" t="s">
        <v>309</v>
      </c>
      <c r="H409" s="221" t="s">
        <v>304</v>
      </c>
      <c r="I409" s="222">
        <v>605673324980</v>
      </c>
      <c r="J409" s="222">
        <v>555383065031</v>
      </c>
      <c r="K409" s="222">
        <v>-12764792832</v>
      </c>
    </row>
    <row r="410" spans="1:11" x14ac:dyDescent="0.3">
      <c r="A410" s="220">
        <v>409</v>
      </c>
      <c r="B410" s="220" t="s">
        <v>1195</v>
      </c>
      <c r="C410" s="220" t="s">
        <v>1189</v>
      </c>
      <c r="D410" s="220">
        <v>5200886602</v>
      </c>
      <c r="E410" s="220" t="s">
        <v>1190</v>
      </c>
      <c r="F410" s="220" t="s">
        <v>1191</v>
      </c>
      <c r="G410" s="220" t="s">
        <v>311</v>
      </c>
      <c r="H410" s="221" t="s">
        <v>304</v>
      </c>
      <c r="I410" s="222">
        <v>628537045266</v>
      </c>
      <c r="J410" s="222">
        <v>558838327378</v>
      </c>
      <c r="K410" s="222">
        <v>112252779</v>
      </c>
    </row>
    <row r="411" spans="1:11" x14ac:dyDescent="0.3">
      <c r="A411" s="217">
        <v>410</v>
      </c>
      <c r="B411" s="217" t="s">
        <v>1196</v>
      </c>
      <c r="C411" s="217" t="s">
        <v>1197</v>
      </c>
      <c r="D411" s="217">
        <v>5700100256</v>
      </c>
      <c r="E411" s="217" t="s">
        <v>1198</v>
      </c>
      <c r="F411" s="217" t="s">
        <v>1199</v>
      </c>
      <c r="G411" s="217" t="s">
        <v>309</v>
      </c>
      <c r="H411" s="218" t="s">
        <v>304</v>
      </c>
      <c r="I411" s="219">
        <v>147191159628414</v>
      </c>
      <c r="J411" s="219">
        <v>136568127470488</v>
      </c>
      <c r="K411" s="219">
        <v>5583832719403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2"/>
  <sheetViews>
    <sheetView workbookViewId="0">
      <pane ySplit="6" topLeftCell="A7" activePane="bottomLeft" state="frozen"/>
      <selection activeCell="C6" sqref="C6"/>
      <selection pane="bottomLeft" activeCell="C6" sqref="C6"/>
    </sheetView>
  </sheetViews>
  <sheetFormatPr defaultRowHeight="14.4" x14ac:dyDescent="0.3"/>
  <cols>
    <col min="1" max="1" width="72.5546875" bestFit="1" customWidth="1"/>
    <col min="2" max="2" width="18.6640625" bestFit="1" customWidth="1"/>
    <col min="3" max="3" width="23.109375" bestFit="1" customWidth="1"/>
    <col min="4" max="4" width="21.77734375" bestFit="1" customWidth="1"/>
    <col min="5" max="5" width="62" bestFit="1" customWidth="1"/>
  </cols>
  <sheetData>
    <row r="1" spans="1:4" ht="36" customHeight="1" x14ac:dyDescent="0.35">
      <c r="A1" s="277" t="s">
        <v>62</v>
      </c>
      <c r="B1" s="277"/>
      <c r="C1" s="277"/>
      <c r="D1" s="277"/>
    </row>
    <row r="2" spans="1:4" ht="22.05" customHeight="1" x14ac:dyDescent="0.3">
      <c r="A2" s="278" t="s">
        <v>63</v>
      </c>
      <c r="B2" s="278"/>
      <c r="C2" s="278"/>
      <c r="D2" s="278"/>
    </row>
    <row r="3" spans="1:4" ht="18" customHeight="1" x14ac:dyDescent="0.3">
      <c r="A3" s="279" t="s">
        <v>64</v>
      </c>
      <c r="B3" s="279"/>
      <c r="C3" s="279"/>
      <c r="D3" s="279"/>
    </row>
    <row r="4" spans="1:4" ht="18" customHeight="1" x14ac:dyDescent="0.3">
      <c r="A4" s="104"/>
      <c r="B4" s="104"/>
      <c r="C4" s="104"/>
      <c r="D4" s="104"/>
    </row>
    <row r="5" spans="1:4" ht="18" customHeight="1" x14ac:dyDescent="0.3">
      <c r="A5" s="24"/>
      <c r="B5" s="25" t="s">
        <v>65</v>
      </c>
      <c r="C5" s="26" t="s">
        <v>66</v>
      </c>
      <c r="D5" s="27" t="s">
        <v>67</v>
      </c>
    </row>
    <row r="6" spans="1:4" ht="18" customHeight="1" x14ac:dyDescent="0.3">
      <c r="A6" s="28" t="s">
        <v>68</v>
      </c>
      <c r="B6" s="29" t="s">
        <v>69</v>
      </c>
      <c r="C6" s="30" t="s">
        <v>69</v>
      </c>
      <c r="D6" s="31" t="s">
        <v>69</v>
      </c>
    </row>
    <row r="7" spans="1:4" ht="18" customHeight="1" x14ac:dyDescent="0.3">
      <c r="A7" s="32" t="s">
        <v>70</v>
      </c>
      <c r="B7" s="33"/>
      <c r="C7" s="33"/>
      <c r="D7" s="33"/>
    </row>
    <row r="8" spans="1:4" ht="18" customHeight="1" x14ac:dyDescent="0.3">
      <c r="A8" s="34" t="s">
        <v>71</v>
      </c>
      <c r="B8" s="35">
        <v>223288917677</v>
      </c>
      <c r="C8" s="36">
        <v>223288917677</v>
      </c>
      <c r="D8" s="37">
        <f>B8-C8</f>
        <v>0</v>
      </c>
    </row>
    <row r="9" spans="1:4" ht="18" customHeight="1" x14ac:dyDescent="0.3">
      <c r="A9" s="34" t="s">
        <v>72</v>
      </c>
      <c r="B9" s="38">
        <v>0</v>
      </c>
      <c r="C9" s="39">
        <v>0</v>
      </c>
      <c r="D9" s="40">
        <f>B9-C9</f>
        <v>0</v>
      </c>
    </row>
    <row r="10" spans="1:4" ht="18" customHeight="1" x14ac:dyDescent="0.3">
      <c r="A10" s="41" t="s">
        <v>73</v>
      </c>
      <c r="B10" s="42">
        <f>B8-B9</f>
        <v>223288917677</v>
      </c>
      <c r="C10" s="42">
        <f>C8-C9</f>
        <v>223288917677</v>
      </c>
      <c r="D10" s="43">
        <f>B10-C10</f>
        <v>0</v>
      </c>
    </row>
    <row r="11" spans="1:4" ht="18" customHeight="1" x14ac:dyDescent="0.3">
      <c r="A11" s="34" t="s">
        <v>74</v>
      </c>
      <c r="B11" s="35">
        <v>216945387994</v>
      </c>
      <c r="C11" s="44">
        <v>170022387994</v>
      </c>
      <c r="D11" s="44">
        <f>B11-C11</f>
        <v>46923000000</v>
      </c>
    </row>
    <row r="12" spans="1:4" ht="18" customHeight="1" x14ac:dyDescent="0.3">
      <c r="A12" s="45" t="s">
        <v>75</v>
      </c>
      <c r="B12" s="46">
        <v>0</v>
      </c>
      <c r="C12" s="47">
        <v>46923000000</v>
      </c>
      <c r="D12" s="48">
        <f>-C12</f>
        <v>-46923000000</v>
      </c>
    </row>
    <row r="13" spans="1:4" ht="18" customHeight="1" x14ac:dyDescent="0.3">
      <c r="A13" s="49" t="s">
        <v>76</v>
      </c>
      <c r="B13" s="46">
        <v>0</v>
      </c>
      <c r="C13" s="47">
        <v>11090000000</v>
      </c>
      <c r="D13" s="47">
        <f>-C13</f>
        <v>-11090000000</v>
      </c>
    </row>
    <row r="14" spans="1:4" ht="18" customHeight="1" x14ac:dyDescent="0.3">
      <c r="A14" s="49" t="s">
        <v>77</v>
      </c>
      <c r="B14" s="46">
        <v>0</v>
      </c>
      <c r="C14" s="47">
        <v>24733000000</v>
      </c>
      <c r="D14" s="47">
        <f>-C14</f>
        <v>-24733000000</v>
      </c>
    </row>
    <row r="15" spans="1:4" ht="18" customHeight="1" x14ac:dyDescent="0.3">
      <c r="A15" s="49" t="s">
        <v>78</v>
      </c>
      <c r="B15" s="46">
        <v>0</v>
      </c>
      <c r="C15" s="47">
        <v>11100000000</v>
      </c>
      <c r="D15" s="47">
        <f>-C15</f>
        <v>-11100000000</v>
      </c>
    </row>
    <row r="16" spans="1:4" ht="18" customHeight="1" x14ac:dyDescent="0.3">
      <c r="A16" s="50" t="s">
        <v>79</v>
      </c>
      <c r="B16" s="51">
        <f>B10-B11</f>
        <v>6343529683</v>
      </c>
      <c r="C16" s="52">
        <f>C10-C11</f>
        <v>53266529683</v>
      </c>
      <c r="D16" s="53">
        <f t="shared" ref="D16:D30" si="0">B16-C16</f>
        <v>-46923000000</v>
      </c>
    </row>
    <row r="17" spans="1:4" ht="18" customHeight="1" x14ac:dyDescent="0.3">
      <c r="A17" s="54" t="s">
        <v>80</v>
      </c>
      <c r="B17" s="55">
        <v>2548329532</v>
      </c>
      <c r="C17" s="47">
        <v>2548329532</v>
      </c>
      <c r="D17" s="40">
        <f t="shared" si="0"/>
        <v>0</v>
      </c>
    </row>
    <row r="18" spans="1:4" ht="18" customHeight="1" x14ac:dyDescent="0.3">
      <c r="A18" s="54" t="s">
        <v>81</v>
      </c>
      <c r="B18" s="55">
        <v>3846626151</v>
      </c>
      <c r="C18" s="47">
        <v>3846626151</v>
      </c>
      <c r="D18" s="40">
        <f t="shared" si="0"/>
        <v>0</v>
      </c>
    </row>
    <row r="19" spans="1:4" ht="18" customHeight="1" x14ac:dyDescent="0.3">
      <c r="A19" s="56" t="s">
        <v>82</v>
      </c>
      <c r="B19" s="55">
        <v>2189111939</v>
      </c>
      <c r="C19" s="47">
        <v>2189111939</v>
      </c>
      <c r="D19" s="57">
        <f t="shared" si="0"/>
        <v>0</v>
      </c>
    </row>
    <row r="20" spans="1:4" ht="18" customHeight="1" x14ac:dyDescent="0.3">
      <c r="A20" s="34" t="s">
        <v>83</v>
      </c>
      <c r="B20" s="55">
        <v>361703000</v>
      </c>
      <c r="C20" s="47">
        <v>361703000</v>
      </c>
      <c r="D20" s="40">
        <f t="shared" si="0"/>
        <v>0</v>
      </c>
    </row>
    <row r="21" spans="1:4" ht="18" customHeight="1" x14ac:dyDescent="0.3">
      <c r="A21" s="34" t="s">
        <v>84</v>
      </c>
      <c r="B21" s="55">
        <v>2188466436</v>
      </c>
      <c r="C21" s="47">
        <v>2188466436</v>
      </c>
      <c r="D21" s="40">
        <f t="shared" si="0"/>
        <v>0</v>
      </c>
    </row>
    <row r="22" spans="1:4" ht="18" customHeight="1" x14ac:dyDescent="0.3">
      <c r="A22" s="41" t="s">
        <v>85</v>
      </c>
      <c r="B22" s="51">
        <f>B16+B17-B18-B20-B21</f>
        <v>2495063628</v>
      </c>
      <c r="C22" s="52">
        <f>C16+C17-C18-C20-C21</f>
        <v>49418063628</v>
      </c>
      <c r="D22" s="53">
        <f t="shared" si="0"/>
        <v>-46923000000</v>
      </c>
    </row>
    <row r="23" spans="1:4" ht="18" customHeight="1" x14ac:dyDescent="0.3">
      <c r="A23" s="34" t="s">
        <v>86</v>
      </c>
      <c r="B23" s="55">
        <v>800</v>
      </c>
      <c r="C23" s="47">
        <v>800</v>
      </c>
      <c r="D23" s="40">
        <f t="shared" si="0"/>
        <v>0</v>
      </c>
    </row>
    <row r="24" spans="1:4" ht="18" customHeight="1" x14ac:dyDescent="0.3">
      <c r="A24" s="34" t="s">
        <v>87</v>
      </c>
      <c r="B24" s="55">
        <v>14402466</v>
      </c>
      <c r="C24" s="47">
        <v>14402466</v>
      </c>
      <c r="D24" s="40">
        <f t="shared" si="0"/>
        <v>0</v>
      </c>
    </row>
    <row r="25" spans="1:4" ht="18" customHeight="1" x14ac:dyDescent="0.3">
      <c r="A25" s="34" t="s">
        <v>88</v>
      </c>
      <c r="B25" s="38">
        <f>B23-B24</f>
        <v>-14401666</v>
      </c>
      <c r="C25" s="39">
        <f>C23-C24</f>
        <v>-14401666</v>
      </c>
      <c r="D25" s="40">
        <f t="shared" si="0"/>
        <v>0</v>
      </c>
    </row>
    <row r="26" spans="1:4" ht="18" customHeight="1" x14ac:dyDescent="0.3">
      <c r="A26" s="58" t="s">
        <v>89</v>
      </c>
      <c r="B26" s="59">
        <f>B22+B25</f>
        <v>2480661962</v>
      </c>
      <c r="C26" s="60">
        <f>C22+C25</f>
        <v>49403661962</v>
      </c>
      <c r="D26" s="53">
        <f t="shared" si="0"/>
        <v>-46923000000</v>
      </c>
    </row>
    <row r="27" spans="1:4" ht="18" customHeight="1" x14ac:dyDescent="0.3">
      <c r="A27" s="34" t="s">
        <v>90</v>
      </c>
      <c r="B27" s="35">
        <v>496132392</v>
      </c>
      <c r="C27" s="44">
        <f>C26*0.2</f>
        <v>9880732392.3999996</v>
      </c>
      <c r="D27" s="61">
        <f t="shared" si="0"/>
        <v>-9384600000.3999996</v>
      </c>
    </row>
    <row r="28" spans="1:4" ht="18" customHeight="1" x14ac:dyDescent="0.3">
      <c r="A28" s="49" t="s">
        <v>91</v>
      </c>
      <c r="B28" s="62">
        <f>IF(B26&gt;0,B27/B26,0)</f>
        <v>0.19999999983875272</v>
      </c>
      <c r="C28" s="63">
        <v>0.2</v>
      </c>
      <c r="D28" s="62">
        <f t="shared" si="0"/>
        <v>-1.6124729329547449E-10</v>
      </c>
    </row>
    <row r="29" spans="1:4" ht="18" customHeight="1" x14ac:dyDescent="0.3">
      <c r="A29" s="34" t="s">
        <v>92</v>
      </c>
      <c r="B29" s="38">
        <v>0</v>
      </c>
      <c r="C29" s="39">
        <v>0</v>
      </c>
      <c r="D29" s="40">
        <f t="shared" si="0"/>
        <v>0</v>
      </c>
    </row>
    <row r="30" spans="1:4" ht="18" customHeight="1" x14ac:dyDescent="0.3">
      <c r="A30" s="64" t="s">
        <v>93</v>
      </c>
      <c r="B30" s="65">
        <f>B26-B27-B29</f>
        <v>1984529570</v>
      </c>
      <c r="C30" s="66">
        <f>C26-C27-C29</f>
        <v>39522929569.599998</v>
      </c>
      <c r="D30" s="67">
        <f t="shared" si="0"/>
        <v>-37538399999.599998</v>
      </c>
    </row>
    <row r="31" spans="1:4" ht="18" customHeight="1" x14ac:dyDescent="0.3">
      <c r="A31" s="104"/>
      <c r="B31" s="104"/>
      <c r="C31" s="104"/>
      <c r="D31" s="104"/>
    </row>
    <row r="32" spans="1:4" ht="18" customHeight="1" x14ac:dyDescent="0.3">
      <c r="A32" s="68" t="s">
        <v>94</v>
      </c>
      <c r="B32" s="69"/>
      <c r="C32" s="69"/>
      <c r="D32" s="69"/>
    </row>
    <row r="33" spans="1:4" ht="18" customHeight="1" x14ac:dyDescent="0.3">
      <c r="A33" s="70" t="s">
        <v>95</v>
      </c>
      <c r="B33" s="71" t="s">
        <v>96</v>
      </c>
      <c r="C33" s="72" t="s">
        <v>97</v>
      </c>
      <c r="D33" s="73" t="s">
        <v>98</v>
      </c>
    </row>
    <row r="34" spans="1:4" ht="18" customHeight="1" x14ac:dyDescent="0.3">
      <c r="A34" s="58" t="s">
        <v>99</v>
      </c>
      <c r="B34" s="74">
        <v>115261780437</v>
      </c>
      <c r="C34" s="75">
        <f>C35+C36+C37+C41</f>
        <v>110569480437</v>
      </c>
      <c r="D34" s="43">
        <f t="shared" ref="D34:D45" si="1">B34-C34</f>
        <v>4692300000</v>
      </c>
    </row>
    <row r="35" spans="1:4" ht="18" customHeight="1" x14ac:dyDescent="0.3">
      <c r="A35" s="34" t="s">
        <v>100</v>
      </c>
      <c r="B35" s="35">
        <v>105295911</v>
      </c>
      <c r="C35" s="36">
        <v>105295911</v>
      </c>
      <c r="D35" s="40">
        <f t="shared" si="1"/>
        <v>0</v>
      </c>
    </row>
    <row r="36" spans="1:4" ht="18" customHeight="1" x14ac:dyDescent="0.3">
      <c r="A36" s="34" t="s">
        <v>101</v>
      </c>
      <c r="B36" s="38">
        <v>0</v>
      </c>
      <c r="C36" s="39">
        <v>0</v>
      </c>
      <c r="D36" s="40">
        <f t="shared" si="1"/>
        <v>0</v>
      </c>
    </row>
    <row r="37" spans="1:4" ht="18" customHeight="1" x14ac:dyDescent="0.3">
      <c r="A37" s="34" t="s">
        <v>102</v>
      </c>
      <c r="B37" s="35">
        <v>109337086146</v>
      </c>
      <c r="C37" s="36">
        <v>109337086146</v>
      </c>
      <c r="D37" s="40">
        <f t="shared" si="1"/>
        <v>0</v>
      </c>
    </row>
    <row r="38" spans="1:4" ht="18" customHeight="1" x14ac:dyDescent="0.3">
      <c r="A38" s="56" t="s">
        <v>103</v>
      </c>
      <c r="B38" s="55">
        <v>75347944026</v>
      </c>
      <c r="C38" s="76">
        <v>75347944026</v>
      </c>
      <c r="D38" s="57">
        <f t="shared" si="1"/>
        <v>0</v>
      </c>
    </row>
    <row r="39" spans="1:4" ht="18" customHeight="1" x14ac:dyDescent="0.3">
      <c r="A39" s="56" t="s">
        <v>104</v>
      </c>
      <c r="B39" s="55">
        <v>33857645890</v>
      </c>
      <c r="C39" s="76">
        <v>33857645890</v>
      </c>
      <c r="D39" s="57">
        <f t="shared" si="1"/>
        <v>0</v>
      </c>
    </row>
    <row r="40" spans="1:4" ht="18" customHeight="1" x14ac:dyDescent="0.3">
      <c r="A40" s="34" t="s">
        <v>105</v>
      </c>
      <c r="B40" s="38">
        <v>0</v>
      </c>
      <c r="C40" s="39">
        <v>0</v>
      </c>
      <c r="D40" s="40">
        <f t="shared" si="1"/>
        <v>0</v>
      </c>
    </row>
    <row r="41" spans="1:4" ht="18" customHeight="1" x14ac:dyDescent="0.3">
      <c r="A41" s="34" t="s">
        <v>106</v>
      </c>
      <c r="B41" s="35">
        <v>5819398380</v>
      </c>
      <c r="C41" s="44">
        <f>B41-4692300000</f>
        <v>1127098380</v>
      </c>
      <c r="D41" s="61">
        <f t="shared" si="1"/>
        <v>4692300000</v>
      </c>
    </row>
    <row r="42" spans="1:4" ht="18" customHeight="1" x14ac:dyDescent="0.3">
      <c r="A42" s="56" t="s">
        <v>107</v>
      </c>
      <c r="B42" s="55">
        <v>88640003</v>
      </c>
      <c r="C42" s="76">
        <v>88640003</v>
      </c>
      <c r="D42" s="57">
        <f t="shared" si="1"/>
        <v>0</v>
      </c>
    </row>
    <row r="43" spans="1:4" ht="18" customHeight="1" x14ac:dyDescent="0.3">
      <c r="A43" s="45" t="s">
        <v>108</v>
      </c>
      <c r="B43" s="55">
        <v>5730758377</v>
      </c>
      <c r="C43" s="47">
        <f>B43-4692300000</f>
        <v>1038458377</v>
      </c>
      <c r="D43" s="48">
        <f t="shared" si="1"/>
        <v>4692300000</v>
      </c>
    </row>
    <row r="44" spans="1:4" ht="18" customHeight="1" x14ac:dyDescent="0.3">
      <c r="A44" s="58" t="s">
        <v>109</v>
      </c>
      <c r="B44" s="77">
        <v>0</v>
      </c>
      <c r="C44" s="78">
        <v>0</v>
      </c>
      <c r="D44" s="43">
        <f t="shared" si="1"/>
        <v>0</v>
      </c>
    </row>
    <row r="45" spans="1:4" ht="18" customHeight="1" x14ac:dyDescent="0.3">
      <c r="A45" s="79" t="s">
        <v>110</v>
      </c>
      <c r="B45" s="80">
        <v>115261780437</v>
      </c>
      <c r="C45" s="80">
        <f>C34+C44</f>
        <v>110569480437</v>
      </c>
      <c r="D45" s="81">
        <f t="shared" si="1"/>
        <v>4692300000</v>
      </c>
    </row>
    <row r="46" spans="1:4" ht="18" customHeight="1" x14ac:dyDescent="0.3">
      <c r="A46" s="103"/>
      <c r="B46" s="103"/>
      <c r="C46" s="103"/>
      <c r="D46" s="103"/>
    </row>
    <row r="47" spans="1:4" ht="18" customHeight="1" x14ac:dyDescent="0.3">
      <c r="A47" s="70" t="s">
        <v>111</v>
      </c>
      <c r="B47" s="71" t="s">
        <v>96</v>
      </c>
      <c r="C47" s="72" t="s">
        <v>97</v>
      </c>
      <c r="D47" s="73" t="s">
        <v>98</v>
      </c>
    </row>
    <row r="48" spans="1:4" ht="18" customHeight="1" x14ac:dyDescent="0.3">
      <c r="A48" s="58" t="s">
        <v>112</v>
      </c>
      <c r="B48" s="74">
        <f>B45-B55</f>
        <v>81907395868</v>
      </c>
      <c r="C48" s="75">
        <f>C45-C55</f>
        <v>39676695868</v>
      </c>
      <c r="D48" s="43">
        <f t="shared" ref="D48:D58" si="2">B48-C48</f>
        <v>42230700000</v>
      </c>
    </row>
    <row r="49" spans="1:4" ht="18" customHeight="1" x14ac:dyDescent="0.3">
      <c r="A49" s="34" t="s">
        <v>113</v>
      </c>
      <c r="B49" s="35">
        <v>81907395868</v>
      </c>
      <c r="C49" s="44">
        <f>C48</f>
        <v>39676695868</v>
      </c>
      <c r="D49" s="61">
        <f t="shared" si="2"/>
        <v>42230700000</v>
      </c>
    </row>
    <row r="50" spans="1:4" ht="18" customHeight="1" x14ac:dyDescent="0.3">
      <c r="A50" s="56" t="s">
        <v>114</v>
      </c>
      <c r="B50" s="55">
        <v>79657283711</v>
      </c>
      <c r="C50" s="76">
        <v>79657283711</v>
      </c>
      <c r="D50" s="57">
        <f t="shared" si="2"/>
        <v>0</v>
      </c>
    </row>
    <row r="51" spans="1:4" ht="18" customHeight="1" x14ac:dyDescent="0.3">
      <c r="A51" s="45" t="s">
        <v>115</v>
      </c>
      <c r="B51" s="55">
        <v>143026970</v>
      </c>
      <c r="C51" s="47">
        <f>B51+14076900000</f>
        <v>14219926970</v>
      </c>
      <c r="D51" s="48">
        <f t="shared" si="2"/>
        <v>-14076900000</v>
      </c>
    </row>
    <row r="52" spans="1:4" ht="18" customHeight="1" x14ac:dyDescent="0.3">
      <c r="A52" s="82" t="s">
        <v>116</v>
      </c>
      <c r="B52" s="83">
        <v>0</v>
      </c>
      <c r="C52" s="47">
        <v>4692300000</v>
      </c>
      <c r="D52" s="48">
        <f t="shared" si="2"/>
        <v>-4692300000</v>
      </c>
    </row>
    <row r="53" spans="1:4" ht="18" customHeight="1" x14ac:dyDescent="0.3">
      <c r="A53" s="82" t="s">
        <v>117</v>
      </c>
      <c r="B53" s="83">
        <v>0</v>
      </c>
      <c r="C53" s="47">
        <v>9384600000</v>
      </c>
      <c r="D53" s="48">
        <f t="shared" si="2"/>
        <v>-9384600000</v>
      </c>
    </row>
    <row r="54" spans="1:4" ht="18" customHeight="1" x14ac:dyDescent="0.3">
      <c r="A54" s="34" t="s">
        <v>118</v>
      </c>
      <c r="B54" s="38">
        <v>0</v>
      </c>
      <c r="C54" s="48">
        <v>0</v>
      </c>
      <c r="D54" s="57">
        <f t="shared" si="2"/>
        <v>0</v>
      </c>
    </row>
    <row r="55" spans="1:4" ht="18" customHeight="1" x14ac:dyDescent="0.3">
      <c r="A55" s="58" t="s">
        <v>119</v>
      </c>
      <c r="B55" s="74">
        <v>33354384569</v>
      </c>
      <c r="C55" s="84">
        <f>B55+37538400000</f>
        <v>70892784569</v>
      </c>
      <c r="D55" s="53">
        <f t="shared" si="2"/>
        <v>-37538400000</v>
      </c>
    </row>
    <row r="56" spans="1:4" ht="18" customHeight="1" x14ac:dyDescent="0.3">
      <c r="A56" s="34" t="s">
        <v>120</v>
      </c>
      <c r="B56" s="35">
        <v>30000000000</v>
      </c>
      <c r="C56" s="47">
        <v>30000000000</v>
      </c>
      <c r="D56" s="40">
        <f t="shared" si="2"/>
        <v>0</v>
      </c>
    </row>
    <row r="57" spans="1:4" ht="18" customHeight="1" x14ac:dyDescent="0.3">
      <c r="A57" s="85" t="s">
        <v>121</v>
      </c>
      <c r="B57" s="35">
        <v>3354384569</v>
      </c>
      <c r="C57" s="44">
        <f>B57+37538400000</f>
        <v>40892784569</v>
      </c>
      <c r="D57" s="61">
        <f t="shared" si="2"/>
        <v>-37538400000</v>
      </c>
    </row>
    <row r="58" spans="1:4" ht="18" customHeight="1" x14ac:dyDescent="0.3">
      <c r="A58" s="64" t="s">
        <v>122</v>
      </c>
      <c r="B58" s="86">
        <f>B48+B55</f>
        <v>115261780437</v>
      </c>
      <c r="C58" s="86">
        <f>C48+C55</f>
        <v>110569480437</v>
      </c>
      <c r="D58" s="67">
        <f t="shared" si="2"/>
        <v>4692300000</v>
      </c>
    </row>
    <row r="59" spans="1:4" ht="18" customHeight="1" x14ac:dyDescent="0.3">
      <c r="A59" s="104"/>
      <c r="B59" s="104"/>
      <c r="C59" s="104"/>
      <c r="D59" s="104"/>
    </row>
    <row r="60" spans="1:4" ht="18" customHeight="1" x14ac:dyDescent="0.3">
      <c r="A60" s="87" t="s">
        <v>123</v>
      </c>
      <c r="B60" s="88"/>
      <c r="C60" s="88"/>
      <c r="D60" s="88"/>
    </row>
    <row r="61" spans="1:4" ht="18" customHeight="1" x14ac:dyDescent="0.3">
      <c r="A61" s="89" t="s">
        <v>124</v>
      </c>
      <c r="B61" s="89" t="s">
        <v>125</v>
      </c>
      <c r="C61" s="90" t="s">
        <v>69</v>
      </c>
      <c r="D61" s="89" t="s">
        <v>126</v>
      </c>
    </row>
    <row r="62" spans="1:4" ht="18" customHeight="1" x14ac:dyDescent="0.3">
      <c r="A62" s="85" t="s">
        <v>127</v>
      </c>
      <c r="B62" s="34" t="s">
        <v>128</v>
      </c>
      <c r="C62" s="44">
        <v>11090000000</v>
      </c>
      <c r="D62" s="56" t="s">
        <v>129</v>
      </c>
    </row>
    <row r="63" spans="1:4" ht="18" customHeight="1" x14ac:dyDescent="0.3">
      <c r="A63" s="85" t="s">
        <v>130</v>
      </c>
      <c r="B63" s="34" t="s">
        <v>131</v>
      </c>
      <c r="C63" s="44">
        <v>24733000000</v>
      </c>
      <c r="D63" s="56" t="s">
        <v>132</v>
      </c>
    </row>
    <row r="64" spans="1:4" ht="18" customHeight="1" x14ac:dyDescent="0.3">
      <c r="A64" s="91" t="s">
        <v>133</v>
      </c>
      <c r="B64" s="34" t="s">
        <v>134</v>
      </c>
      <c r="C64" s="92">
        <v>11100000000</v>
      </c>
      <c r="D64" s="56" t="s">
        <v>135</v>
      </c>
    </row>
    <row r="65" spans="1:4" ht="18" customHeight="1" x14ac:dyDescent="0.3">
      <c r="A65" s="93" t="s">
        <v>136</v>
      </c>
      <c r="B65" s="93" t="s">
        <v>137</v>
      </c>
      <c r="C65" s="94">
        <f>C62+C63+C64</f>
        <v>46923000000</v>
      </c>
      <c r="D65" s="95" t="s">
        <v>138</v>
      </c>
    </row>
    <row r="66" spans="1:4" ht="18" customHeight="1" x14ac:dyDescent="0.3">
      <c r="A66" s="103"/>
      <c r="B66" s="103"/>
      <c r="C66" s="103"/>
      <c r="D66" s="103"/>
    </row>
    <row r="67" spans="1:4" ht="18" customHeight="1" x14ac:dyDescent="0.3">
      <c r="A67" s="96" t="s">
        <v>139</v>
      </c>
      <c r="B67" s="97" t="s">
        <v>140</v>
      </c>
      <c r="C67" s="97" t="s">
        <v>141</v>
      </c>
      <c r="D67" s="98" t="s">
        <v>142</v>
      </c>
    </row>
    <row r="68" spans="1:4" ht="18" customHeight="1" x14ac:dyDescent="0.3">
      <c r="A68" s="34" t="s">
        <v>143</v>
      </c>
      <c r="B68" s="35">
        <f>B43</f>
        <v>5730758377</v>
      </c>
      <c r="C68" s="36">
        <f>C43</f>
        <v>1038458377</v>
      </c>
      <c r="D68" s="99">
        <f>B68-C68</f>
        <v>4692300000</v>
      </c>
    </row>
    <row r="69" spans="1:4" ht="18" customHeight="1" x14ac:dyDescent="0.3">
      <c r="A69" s="34" t="s">
        <v>144</v>
      </c>
      <c r="B69" s="35">
        <f>B27</f>
        <v>496132392</v>
      </c>
      <c r="C69" s="36">
        <f>C27</f>
        <v>9880732392.3999996</v>
      </c>
      <c r="D69" s="99">
        <f>B69-C69</f>
        <v>-9384600000.3999996</v>
      </c>
    </row>
    <row r="70" spans="1:4" ht="18" customHeight="1" x14ac:dyDescent="0.3">
      <c r="A70" s="100" t="s">
        <v>145</v>
      </c>
      <c r="B70" s="101">
        <f>B68+B69</f>
        <v>6226890769</v>
      </c>
      <c r="C70" s="101">
        <f>C68+C69</f>
        <v>10919190769.4</v>
      </c>
      <c r="D70" s="102">
        <f>B70-C70</f>
        <v>-4692300000.3999996</v>
      </c>
    </row>
    <row r="71" spans="1:4" ht="18" customHeight="1" x14ac:dyDescent="0.3">
      <c r="A71" s="104"/>
      <c r="B71" s="104"/>
      <c r="C71" s="104"/>
      <c r="D71" s="104"/>
    </row>
    <row r="72" spans="1:4" ht="18" customHeight="1" x14ac:dyDescent="0.3">
      <c r="A72" s="23" t="s">
        <v>146</v>
      </c>
    </row>
  </sheetData>
  <mergeCells count="3">
    <mergeCell ref="A1:D1"/>
    <mergeCell ref="A2:D2"/>
    <mergeCell ref="A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topLeftCell="J1" workbookViewId="0">
      <selection activeCell="C6" sqref="C6"/>
    </sheetView>
  </sheetViews>
  <sheetFormatPr defaultRowHeight="14.4" x14ac:dyDescent="0.3"/>
  <cols>
    <col min="1" max="1" width="7.5546875" customWidth="1"/>
    <col min="2" max="2" width="17.109375" customWidth="1"/>
    <col min="3" max="3" width="15" customWidth="1"/>
    <col min="4" max="4" width="12.44140625" bestFit="1" customWidth="1"/>
    <col min="5" max="5" width="14.109375" bestFit="1" customWidth="1"/>
    <col min="6" max="6" width="43.88671875" bestFit="1" customWidth="1"/>
    <col min="7" max="7" width="61.88671875" bestFit="1" customWidth="1"/>
    <col min="8" max="8" width="19.5546875" bestFit="1" customWidth="1"/>
    <col min="9" max="9" width="14.21875" bestFit="1" customWidth="1"/>
    <col min="10" max="10" width="13.88671875" bestFit="1" customWidth="1"/>
    <col min="11" max="11" width="18.88671875" bestFit="1" customWidth="1"/>
    <col min="12" max="12" width="11.77734375" bestFit="1" customWidth="1"/>
    <col min="13" max="13" width="83.21875" bestFit="1" customWidth="1"/>
    <col min="14" max="14" width="13.6640625" bestFit="1" customWidth="1"/>
    <col min="15" max="15" width="10.21875" bestFit="1" customWidth="1"/>
  </cols>
  <sheetData>
    <row r="1" spans="1:15" ht="18" x14ac:dyDescent="0.35">
      <c r="A1" s="1" t="s">
        <v>28</v>
      </c>
    </row>
    <row r="2" spans="1:15" x14ac:dyDescent="0.3">
      <c r="A2" s="3" t="s">
        <v>29</v>
      </c>
    </row>
    <row r="4" spans="1:15" x14ac:dyDescent="0.3">
      <c r="A4" s="5" t="s">
        <v>0</v>
      </c>
      <c r="B4" s="5" t="s">
        <v>30</v>
      </c>
      <c r="C4" s="5" t="s">
        <v>2</v>
      </c>
      <c r="D4" s="5" t="s">
        <v>31</v>
      </c>
      <c r="E4" s="5" t="s">
        <v>32</v>
      </c>
      <c r="F4" s="5" t="s">
        <v>33</v>
      </c>
      <c r="G4" s="5" t="s">
        <v>1</v>
      </c>
      <c r="H4" s="6" t="s">
        <v>34</v>
      </c>
      <c r="I4" s="5" t="s">
        <v>3</v>
      </c>
      <c r="J4" s="6" t="s">
        <v>35</v>
      </c>
      <c r="K4" s="6" t="s">
        <v>36</v>
      </c>
      <c r="L4" s="5" t="s">
        <v>37</v>
      </c>
      <c r="M4" s="5" t="s">
        <v>38</v>
      </c>
      <c r="N4" s="5" t="s">
        <v>39</v>
      </c>
      <c r="O4" s="5" t="s">
        <v>40</v>
      </c>
    </row>
    <row r="5" spans="1:15" x14ac:dyDescent="0.3">
      <c r="A5" s="7">
        <v>1</v>
      </c>
      <c r="B5" s="8" t="s">
        <v>41</v>
      </c>
      <c r="C5" s="223" t="s">
        <v>1200</v>
      </c>
      <c r="D5" s="238">
        <v>44211</v>
      </c>
      <c r="E5" s="223" t="s">
        <v>1234</v>
      </c>
      <c r="F5" s="2" t="s">
        <v>661</v>
      </c>
      <c r="G5" s="2" t="s">
        <v>42</v>
      </c>
      <c r="H5" s="4">
        <v>850000000</v>
      </c>
      <c r="I5" s="9">
        <v>0.1</v>
      </c>
      <c r="J5" s="4">
        <f t="shared" ref="J5:J15" si="0">H5*0.1</f>
        <v>85000000</v>
      </c>
      <c r="K5" s="4">
        <f t="shared" ref="K5:K18" si="1">H5+J5</f>
        <v>935000000</v>
      </c>
      <c r="L5" s="2" t="s">
        <v>43</v>
      </c>
      <c r="M5" s="2" t="s">
        <v>44</v>
      </c>
      <c r="N5" s="10">
        <v>1</v>
      </c>
      <c r="O5" s="2" t="s">
        <v>45</v>
      </c>
    </row>
    <row r="6" spans="1:15" x14ac:dyDescent="0.3">
      <c r="A6" s="7">
        <v>2</v>
      </c>
      <c r="B6" s="8" t="s">
        <v>41</v>
      </c>
      <c r="C6" s="223" t="s">
        <v>1201</v>
      </c>
      <c r="D6" s="238">
        <v>44255</v>
      </c>
      <c r="E6" s="223" t="s">
        <v>1234</v>
      </c>
      <c r="F6" s="2" t="s">
        <v>661</v>
      </c>
      <c r="G6" s="2" t="s">
        <v>46</v>
      </c>
      <c r="H6" s="4">
        <v>850000000</v>
      </c>
      <c r="I6" s="9">
        <v>0.1</v>
      </c>
      <c r="J6" s="4">
        <f t="shared" si="0"/>
        <v>85000000</v>
      </c>
      <c r="K6" s="4">
        <f t="shared" si="1"/>
        <v>935000000</v>
      </c>
      <c r="L6" s="2" t="s">
        <v>43</v>
      </c>
      <c r="M6" s="2" t="s">
        <v>44</v>
      </c>
      <c r="N6" s="10">
        <v>1</v>
      </c>
      <c r="O6" s="2" t="s">
        <v>45</v>
      </c>
    </row>
    <row r="7" spans="1:15" x14ac:dyDescent="0.3">
      <c r="A7" s="7">
        <v>3</v>
      </c>
      <c r="B7" s="8" t="s">
        <v>41</v>
      </c>
      <c r="C7" s="223" t="s">
        <v>1202</v>
      </c>
      <c r="D7" s="238">
        <v>44286</v>
      </c>
      <c r="E7" s="223" t="s">
        <v>1234</v>
      </c>
      <c r="F7" s="2" t="s">
        <v>661</v>
      </c>
      <c r="G7" s="2" t="s">
        <v>47</v>
      </c>
      <c r="H7" s="4">
        <v>900000000</v>
      </c>
      <c r="I7" s="9">
        <v>0.1</v>
      </c>
      <c r="J7" s="4">
        <f t="shared" si="0"/>
        <v>90000000</v>
      </c>
      <c r="K7" s="4">
        <f t="shared" si="1"/>
        <v>990000000</v>
      </c>
      <c r="L7" s="2" t="s">
        <v>43</v>
      </c>
      <c r="M7" s="2" t="s">
        <v>44</v>
      </c>
      <c r="N7" s="10">
        <v>1</v>
      </c>
      <c r="O7" s="2" t="s">
        <v>45</v>
      </c>
    </row>
    <row r="8" spans="1:15" x14ac:dyDescent="0.3">
      <c r="A8" s="7">
        <v>4</v>
      </c>
      <c r="B8" s="8" t="s">
        <v>41</v>
      </c>
      <c r="C8" s="223" t="s">
        <v>1203</v>
      </c>
      <c r="D8" s="238">
        <v>44362</v>
      </c>
      <c r="E8" s="223" t="s">
        <v>1235</v>
      </c>
      <c r="F8" s="2" t="s">
        <v>1236</v>
      </c>
      <c r="G8" s="2" t="s">
        <v>48</v>
      </c>
      <c r="H8" s="4">
        <v>1200000000</v>
      </c>
      <c r="I8" s="9">
        <v>0.1</v>
      </c>
      <c r="J8" s="4">
        <f t="shared" si="0"/>
        <v>120000000</v>
      </c>
      <c r="K8" s="4">
        <f t="shared" si="1"/>
        <v>1320000000</v>
      </c>
      <c r="L8" s="2" t="s">
        <v>43</v>
      </c>
      <c r="M8" s="2" t="s">
        <v>44</v>
      </c>
      <c r="N8" s="10">
        <v>1</v>
      </c>
      <c r="O8" s="2" t="s">
        <v>45</v>
      </c>
    </row>
    <row r="9" spans="1:15" x14ac:dyDescent="0.3">
      <c r="A9" s="7">
        <v>5</v>
      </c>
      <c r="B9" s="8" t="s">
        <v>41</v>
      </c>
      <c r="C9" s="223" t="s">
        <v>1204</v>
      </c>
      <c r="D9" s="238">
        <v>44469</v>
      </c>
      <c r="E9" s="223" t="s">
        <v>1235</v>
      </c>
      <c r="F9" s="2" t="s">
        <v>1236</v>
      </c>
      <c r="G9" s="2" t="s">
        <v>49</v>
      </c>
      <c r="H9" s="4">
        <v>1300000000</v>
      </c>
      <c r="I9" s="9">
        <v>0.1</v>
      </c>
      <c r="J9" s="4">
        <f t="shared" si="0"/>
        <v>130000000</v>
      </c>
      <c r="K9" s="4">
        <f t="shared" si="1"/>
        <v>1430000000</v>
      </c>
      <c r="L9" s="2" t="s">
        <v>43</v>
      </c>
      <c r="M9" s="2" t="s">
        <v>44</v>
      </c>
      <c r="N9" s="10">
        <v>1</v>
      </c>
      <c r="O9" s="2" t="s">
        <v>45</v>
      </c>
    </row>
    <row r="10" spans="1:15" x14ac:dyDescent="0.3">
      <c r="A10" s="7">
        <v>6</v>
      </c>
      <c r="B10" s="8" t="s">
        <v>41</v>
      </c>
      <c r="C10" s="223" t="s">
        <v>1205</v>
      </c>
      <c r="D10" s="238">
        <v>44561</v>
      </c>
      <c r="E10" s="223" t="s">
        <v>1235</v>
      </c>
      <c r="F10" s="2" t="s">
        <v>1236</v>
      </c>
      <c r="G10" s="2" t="s">
        <v>50</v>
      </c>
      <c r="H10" s="4">
        <v>1400000000</v>
      </c>
      <c r="I10" s="9">
        <v>0.1</v>
      </c>
      <c r="J10" s="4">
        <f t="shared" si="0"/>
        <v>140000000</v>
      </c>
      <c r="K10" s="4">
        <f t="shared" si="1"/>
        <v>1540000000</v>
      </c>
      <c r="L10" s="2" t="s">
        <v>43</v>
      </c>
      <c r="M10" s="2" t="s">
        <v>44</v>
      </c>
      <c r="N10" s="10">
        <v>1</v>
      </c>
      <c r="O10" s="2" t="s">
        <v>45</v>
      </c>
    </row>
    <row r="11" spans="1:15" x14ac:dyDescent="0.3">
      <c r="A11" s="7">
        <v>7</v>
      </c>
      <c r="B11" s="11" t="s">
        <v>51</v>
      </c>
      <c r="C11" s="224" t="s">
        <v>1206</v>
      </c>
      <c r="D11" s="239">
        <v>44216</v>
      </c>
      <c r="E11" s="224" t="s">
        <v>1237</v>
      </c>
      <c r="F11" s="12" t="s">
        <v>313</v>
      </c>
      <c r="G11" s="12" t="s">
        <v>52</v>
      </c>
      <c r="H11" s="13">
        <v>3200000000</v>
      </c>
      <c r="I11" s="14">
        <v>0.1</v>
      </c>
      <c r="J11" s="13">
        <f t="shared" si="0"/>
        <v>320000000</v>
      </c>
      <c r="K11" s="13">
        <f t="shared" si="1"/>
        <v>3520000000</v>
      </c>
      <c r="L11" s="12" t="s">
        <v>43</v>
      </c>
      <c r="M11" s="12" t="s">
        <v>53</v>
      </c>
      <c r="N11" s="15">
        <v>1</v>
      </c>
      <c r="O11" s="12" t="s">
        <v>54</v>
      </c>
    </row>
    <row r="12" spans="1:15" x14ac:dyDescent="0.3">
      <c r="A12" s="7">
        <v>8</v>
      </c>
      <c r="B12" s="11" t="s">
        <v>51</v>
      </c>
      <c r="C12" s="224" t="s">
        <v>1207</v>
      </c>
      <c r="D12" s="239">
        <v>44301</v>
      </c>
      <c r="E12" s="224" t="s">
        <v>1237</v>
      </c>
      <c r="F12" s="12" t="s">
        <v>313</v>
      </c>
      <c r="G12" s="12" t="s">
        <v>55</v>
      </c>
      <c r="H12" s="13">
        <v>5800000000</v>
      </c>
      <c r="I12" s="14">
        <v>0.1</v>
      </c>
      <c r="J12" s="13">
        <f t="shared" si="0"/>
        <v>580000000</v>
      </c>
      <c r="K12" s="13">
        <f t="shared" si="1"/>
        <v>6380000000</v>
      </c>
      <c r="L12" s="12" t="s">
        <v>43</v>
      </c>
      <c r="M12" s="12" t="s">
        <v>53</v>
      </c>
      <c r="N12" s="15">
        <v>1</v>
      </c>
      <c r="O12" s="12" t="s">
        <v>54</v>
      </c>
    </row>
    <row r="13" spans="1:15" x14ac:dyDescent="0.3">
      <c r="A13" s="7">
        <v>9</v>
      </c>
      <c r="B13" s="11" t="s">
        <v>51</v>
      </c>
      <c r="C13" s="224" t="s">
        <v>1208</v>
      </c>
      <c r="D13" s="239">
        <v>44377</v>
      </c>
      <c r="E13" s="224" t="s">
        <v>1237</v>
      </c>
      <c r="F13" s="12" t="s">
        <v>313</v>
      </c>
      <c r="G13" s="12" t="s">
        <v>55</v>
      </c>
      <c r="H13" s="13">
        <v>6200000000</v>
      </c>
      <c r="I13" s="14">
        <v>0.1</v>
      </c>
      <c r="J13" s="13">
        <f t="shared" si="0"/>
        <v>620000000</v>
      </c>
      <c r="K13" s="13">
        <f t="shared" si="1"/>
        <v>6820000000</v>
      </c>
      <c r="L13" s="12" t="s">
        <v>43</v>
      </c>
      <c r="M13" s="12" t="s">
        <v>53</v>
      </c>
      <c r="N13" s="15">
        <v>1</v>
      </c>
      <c r="O13" s="12" t="s">
        <v>54</v>
      </c>
    </row>
    <row r="14" spans="1:15" x14ac:dyDescent="0.3">
      <c r="A14" s="7">
        <v>10</v>
      </c>
      <c r="B14" s="11" t="s">
        <v>51</v>
      </c>
      <c r="C14" s="224" t="s">
        <v>1209</v>
      </c>
      <c r="D14" s="239">
        <v>44500</v>
      </c>
      <c r="E14" s="224" t="s">
        <v>1237</v>
      </c>
      <c r="F14" s="12" t="s">
        <v>313</v>
      </c>
      <c r="G14" s="12" t="s">
        <v>55</v>
      </c>
      <c r="H14" s="13">
        <v>9525743216</v>
      </c>
      <c r="I14" s="14">
        <v>0.1</v>
      </c>
      <c r="J14" s="13">
        <f t="shared" si="0"/>
        <v>952574321.60000002</v>
      </c>
      <c r="K14" s="13">
        <f t="shared" si="1"/>
        <v>10478317537.6</v>
      </c>
      <c r="L14" s="12" t="s">
        <v>43</v>
      </c>
      <c r="M14" s="12" t="s">
        <v>53</v>
      </c>
      <c r="N14" s="15">
        <v>1</v>
      </c>
      <c r="O14" s="12" t="s">
        <v>54</v>
      </c>
    </row>
    <row r="15" spans="1:15" x14ac:dyDescent="0.3">
      <c r="A15" s="7">
        <v>11</v>
      </c>
      <c r="B15" s="16" t="s">
        <v>56</v>
      </c>
      <c r="C15" s="225" t="s">
        <v>1210</v>
      </c>
      <c r="D15" s="240">
        <v>44255</v>
      </c>
      <c r="E15" s="225" t="s">
        <v>1238</v>
      </c>
      <c r="F15" s="17" t="s">
        <v>453</v>
      </c>
      <c r="G15" s="17" t="s">
        <v>57</v>
      </c>
      <c r="H15" s="18">
        <v>1300000000</v>
      </c>
      <c r="I15" s="19">
        <v>0.1</v>
      </c>
      <c r="J15" s="18">
        <f t="shared" si="0"/>
        <v>130000000</v>
      </c>
      <c r="K15" s="18">
        <f t="shared" si="1"/>
        <v>1430000000</v>
      </c>
      <c r="L15" s="17" t="s">
        <v>58</v>
      </c>
      <c r="M15" s="17" t="s">
        <v>59</v>
      </c>
      <c r="N15" s="20">
        <v>1</v>
      </c>
      <c r="O15" s="17" t="s">
        <v>60</v>
      </c>
    </row>
    <row r="16" spans="1:15" x14ac:dyDescent="0.3">
      <c r="A16" s="20">
        <v>12</v>
      </c>
      <c r="B16" s="16" t="s">
        <v>56</v>
      </c>
      <c r="C16" s="225" t="s">
        <v>1211</v>
      </c>
      <c r="D16" s="241">
        <v>44347</v>
      </c>
      <c r="E16" s="226" t="s">
        <v>1238</v>
      </c>
      <c r="F16" s="17" t="s">
        <v>453</v>
      </c>
      <c r="G16" s="17" t="s">
        <v>283</v>
      </c>
      <c r="H16" s="207">
        <v>1950000000</v>
      </c>
      <c r="I16" s="19">
        <v>0.1</v>
      </c>
      <c r="J16" s="208">
        <f>H16*I16</f>
        <v>195000000</v>
      </c>
      <c r="K16" s="208">
        <f t="shared" si="1"/>
        <v>2145000000</v>
      </c>
      <c r="L16" s="206" t="s">
        <v>58</v>
      </c>
      <c r="M16" s="17" t="s">
        <v>284</v>
      </c>
      <c r="N16" s="209">
        <v>1</v>
      </c>
      <c r="O16" s="17" t="s">
        <v>60</v>
      </c>
    </row>
    <row r="17" spans="1:15" x14ac:dyDescent="0.3">
      <c r="A17" s="20">
        <v>13</v>
      </c>
      <c r="B17" s="16" t="s">
        <v>56</v>
      </c>
      <c r="C17" s="225" t="s">
        <v>1212</v>
      </c>
      <c r="D17" s="241">
        <v>44469</v>
      </c>
      <c r="E17" s="226" t="s">
        <v>1238</v>
      </c>
      <c r="F17" s="17" t="s">
        <v>453</v>
      </c>
      <c r="G17" s="17" t="s">
        <v>285</v>
      </c>
      <c r="H17" s="207">
        <v>3380000000</v>
      </c>
      <c r="I17" s="19">
        <v>0.1</v>
      </c>
      <c r="J17" s="208">
        <f>H17*I17</f>
        <v>338000000</v>
      </c>
      <c r="K17" s="208">
        <f t="shared" si="1"/>
        <v>3718000000</v>
      </c>
      <c r="L17" s="206" t="s">
        <v>58</v>
      </c>
      <c r="M17" s="17" t="s">
        <v>286</v>
      </c>
      <c r="N17" s="209">
        <v>1</v>
      </c>
      <c r="O17" s="17" t="s">
        <v>60</v>
      </c>
    </row>
    <row r="18" spans="1:15" x14ac:dyDescent="0.3">
      <c r="A18" s="20">
        <v>14</v>
      </c>
      <c r="B18" s="16" t="s">
        <v>56</v>
      </c>
      <c r="C18" s="225" t="s">
        <v>1213</v>
      </c>
      <c r="D18" s="241">
        <v>44561</v>
      </c>
      <c r="E18" s="226" t="s">
        <v>1238</v>
      </c>
      <c r="F18" s="17" t="s">
        <v>453</v>
      </c>
      <c r="G18" s="17" t="s">
        <v>287</v>
      </c>
      <c r="H18" s="207">
        <v>4480098477</v>
      </c>
      <c r="I18" s="19">
        <v>0.1</v>
      </c>
      <c r="J18" s="208">
        <f>H18*I18</f>
        <v>448009847.70000005</v>
      </c>
      <c r="K18" s="208">
        <f t="shared" si="1"/>
        <v>4928108324.6999998</v>
      </c>
      <c r="L18" s="206" t="s">
        <v>58</v>
      </c>
      <c r="M18" s="17" t="s">
        <v>288</v>
      </c>
      <c r="N18" s="209">
        <v>1</v>
      </c>
      <c r="O18" s="17" t="s">
        <v>60</v>
      </c>
    </row>
    <row r="19" spans="1:15" x14ac:dyDescent="0.3">
      <c r="A19" s="169" t="s">
        <v>233</v>
      </c>
      <c r="B19" s="170"/>
      <c r="C19" s="170"/>
      <c r="D19" s="170"/>
      <c r="E19" s="170"/>
      <c r="F19" s="170"/>
      <c r="G19" s="170"/>
      <c r="H19" s="170"/>
      <c r="I19" s="170"/>
      <c r="J19" s="170"/>
      <c r="K19" s="170"/>
      <c r="L19" s="170"/>
      <c r="M19" s="170"/>
      <c r="N19" s="170"/>
      <c r="O19" s="170"/>
    </row>
    <row r="20" spans="1:15" x14ac:dyDescent="0.3">
      <c r="A20" s="107">
        <v>15</v>
      </c>
      <c r="B20" s="171" t="s">
        <v>234</v>
      </c>
      <c r="C20" s="232" t="s">
        <v>1214</v>
      </c>
      <c r="D20" s="109">
        <v>44440</v>
      </c>
      <c r="E20" s="227" t="s">
        <v>1239</v>
      </c>
      <c r="F20" s="108" t="s">
        <v>435</v>
      </c>
      <c r="G20" s="108" t="s">
        <v>235</v>
      </c>
      <c r="H20" s="110">
        <v>8500000000</v>
      </c>
      <c r="I20" s="111">
        <v>0.1</v>
      </c>
      <c r="J20" s="110">
        <f t="shared" ref="J20:J39" si="2">H20*I20</f>
        <v>850000000</v>
      </c>
      <c r="K20" s="110">
        <f t="shared" ref="K20:K39" si="3">H20+J20</f>
        <v>9350000000</v>
      </c>
      <c r="L20" s="107" t="s">
        <v>58</v>
      </c>
      <c r="M20" s="108" t="s">
        <v>236</v>
      </c>
      <c r="N20" s="112">
        <v>0</v>
      </c>
      <c r="O20" s="107" t="s">
        <v>61</v>
      </c>
    </row>
    <row r="21" spans="1:15" x14ac:dyDescent="0.3">
      <c r="A21" s="107">
        <v>16</v>
      </c>
      <c r="B21" s="108" t="s">
        <v>234</v>
      </c>
      <c r="C21" s="232" t="s">
        <v>1215</v>
      </c>
      <c r="D21" s="109">
        <v>44249</v>
      </c>
      <c r="E21" s="227" t="s">
        <v>1240</v>
      </c>
      <c r="F21" s="107" t="s">
        <v>425</v>
      </c>
      <c r="G21" s="107" t="s">
        <v>237</v>
      </c>
      <c r="H21" s="110">
        <v>6200000000</v>
      </c>
      <c r="I21" s="111">
        <v>0.1</v>
      </c>
      <c r="J21" s="110">
        <f t="shared" si="2"/>
        <v>620000000</v>
      </c>
      <c r="K21" s="110">
        <f t="shared" si="3"/>
        <v>6820000000</v>
      </c>
      <c r="L21" s="107" t="s">
        <v>58</v>
      </c>
      <c r="M21" s="108" t="s">
        <v>238</v>
      </c>
      <c r="N21" s="112">
        <v>0</v>
      </c>
      <c r="O21" s="107" t="s">
        <v>61</v>
      </c>
    </row>
    <row r="22" spans="1:15" x14ac:dyDescent="0.3">
      <c r="A22" s="107">
        <v>17</v>
      </c>
      <c r="B22" s="108" t="s">
        <v>234</v>
      </c>
      <c r="C22" s="232" t="s">
        <v>1216</v>
      </c>
      <c r="D22" s="109">
        <v>44306</v>
      </c>
      <c r="E22" s="227" t="s">
        <v>1239</v>
      </c>
      <c r="F22" s="107" t="s">
        <v>435</v>
      </c>
      <c r="G22" s="107" t="s">
        <v>239</v>
      </c>
      <c r="H22" s="110">
        <v>9800000000</v>
      </c>
      <c r="I22" s="111">
        <v>0.1</v>
      </c>
      <c r="J22" s="110">
        <f t="shared" si="2"/>
        <v>980000000</v>
      </c>
      <c r="K22" s="110">
        <f t="shared" si="3"/>
        <v>10780000000</v>
      </c>
      <c r="L22" s="107" t="s">
        <v>58</v>
      </c>
      <c r="M22" s="108" t="s">
        <v>236</v>
      </c>
      <c r="N22" s="112">
        <v>0</v>
      </c>
      <c r="O22" s="107" t="s">
        <v>61</v>
      </c>
    </row>
    <row r="23" spans="1:15" x14ac:dyDescent="0.3">
      <c r="A23" s="107">
        <v>18</v>
      </c>
      <c r="B23" s="108" t="s">
        <v>234</v>
      </c>
      <c r="C23" s="232" t="s">
        <v>1217</v>
      </c>
      <c r="D23" s="109">
        <v>44395</v>
      </c>
      <c r="E23" s="227" t="s">
        <v>1239</v>
      </c>
      <c r="F23" s="107" t="s">
        <v>435</v>
      </c>
      <c r="G23" s="107" t="s">
        <v>240</v>
      </c>
      <c r="H23" s="110">
        <v>11300000000</v>
      </c>
      <c r="I23" s="111">
        <v>0.1</v>
      </c>
      <c r="J23" s="110">
        <f t="shared" si="2"/>
        <v>1130000000</v>
      </c>
      <c r="K23" s="110">
        <f t="shared" si="3"/>
        <v>12430000000</v>
      </c>
      <c r="L23" s="107" t="s">
        <v>58</v>
      </c>
      <c r="M23" s="108" t="s">
        <v>236</v>
      </c>
      <c r="N23" s="112">
        <v>0</v>
      </c>
      <c r="O23" s="107" t="s">
        <v>61</v>
      </c>
    </row>
    <row r="24" spans="1:15" x14ac:dyDescent="0.3">
      <c r="A24" s="107">
        <v>19</v>
      </c>
      <c r="B24" s="108" t="s">
        <v>234</v>
      </c>
      <c r="C24" s="232" t="s">
        <v>1218</v>
      </c>
      <c r="D24" s="109">
        <v>44484</v>
      </c>
      <c r="E24" s="227" t="s">
        <v>1239</v>
      </c>
      <c r="F24" s="107" t="s">
        <v>435</v>
      </c>
      <c r="G24" s="107" t="s">
        <v>241</v>
      </c>
      <c r="H24" s="110">
        <v>8900000000</v>
      </c>
      <c r="I24" s="111">
        <v>0.1</v>
      </c>
      <c r="J24" s="110">
        <f t="shared" si="2"/>
        <v>890000000</v>
      </c>
      <c r="K24" s="110">
        <f t="shared" si="3"/>
        <v>9790000000</v>
      </c>
      <c r="L24" s="107" t="s">
        <v>58</v>
      </c>
      <c r="M24" s="108" t="s">
        <v>236</v>
      </c>
      <c r="N24" s="112">
        <v>0</v>
      </c>
      <c r="O24" s="107" t="s">
        <v>61</v>
      </c>
    </row>
    <row r="25" spans="1:15" x14ac:dyDescent="0.3">
      <c r="A25" s="107">
        <v>20</v>
      </c>
      <c r="B25" s="108" t="s">
        <v>234</v>
      </c>
      <c r="C25" s="232" t="s">
        <v>1219</v>
      </c>
      <c r="D25" s="109">
        <v>44520</v>
      </c>
      <c r="E25" s="227" t="s">
        <v>1240</v>
      </c>
      <c r="F25" s="107" t="s">
        <v>425</v>
      </c>
      <c r="G25" s="107" t="s">
        <v>242</v>
      </c>
      <c r="H25" s="110">
        <v>5300000000</v>
      </c>
      <c r="I25" s="111">
        <v>0.1</v>
      </c>
      <c r="J25" s="110">
        <f t="shared" si="2"/>
        <v>530000000</v>
      </c>
      <c r="K25" s="110">
        <f t="shared" si="3"/>
        <v>5830000000</v>
      </c>
      <c r="L25" s="107" t="s">
        <v>58</v>
      </c>
      <c r="M25" s="108" t="s">
        <v>238</v>
      </c>
      <c r="N25" s="112">
        <v>0</v>
      </c>
      <c r="O25" s="107" t="s">
        <v>61</v>
      </c>
    </row>
    <row r="26" spans="1:15" x14ac:dyDescent="0.3">
      <c r="A26" s="172">
        <v>21</v>
      </c>
      <c r="B26" s="173" t="s">
        <v>243</v>
      </c>
      <c r="C26" s="233" t="s">
        <v>1220</v>
      </c>
      <c r="D26" s="177">
        <v>44216</v>
      </c>
      <c r="E26" s="228" t="s">
        <v>1241</v>
      </c>
      <c r="F26" s="173" t="s">
        <v>374</v>
      </c>
      <c r="G26" s="173" t="s">
        <v>244</v>
      </c>
      <c r="H26" s="174">
        <v>11000000000</v>
      </c>
      <c r="I26" s="175">
        <v>0.1</v>
      </c>
      <c r="J26" s="174">
        <f t="shared" si="2"/>
        <v>1100000000</v>
      </c>
      <c r="K26" s="174">
        <f t="shared" si="3"/>
        <v>12100000000</v>
      </c>
      <c r="L26" s="172" t="s">
        <v>58</v>
      </c>
      <c r="M26" s="173" t="s">
        <v>245</v>
      </c>
      <c r="N26" s="176">
        <v>0</v>
      </c>
      <c r="O26" s="172" t="s">
        <v>61</v>
      </c>
    </row>
    <row r="27" spans="1:15" x14ac:dyDescent="0.3">
      <c r="A27" s="172">
        <v>22</v>
      </c>
      <c r="B27" s="173" t="s">
        <v>243</v>
      </c>
      <c r="C27" s="233" t="s">
        <v>1221</v>
      </c>
      <c r="D27" s="177">
        <v>44245</v>
      </c>
      <c r="E27" s="228" t="s">
        <v>1242</v>
      </c>
      <c r="F27" s="172" t="s">
        <v>351</v>
      </c>
      <c r="G27" s="172" t="s">
        <v>246</v>
      </c>
      <c r="H27" s="174">
        <v>11200000000</v>
      </c>
      <c r="I27" s="175">
        <v>0.1</v>
      </c>
      <c r="J27" s="174">
        <f t="shared" si="2"/>
        <v>1120000000</v>
      </c>
      <c r="K27" s="174">
        <f t="shared" si="3"/>
        <v>12320000000</v>
      </c>
      <c r="L27" s="172" t="s">
        <v>58</v>
      </c>
      <c r="M27" s="173" t="s">
        <v>247</v>
      </c>
      <c r="N27" s="176">
        <v>0</v>
      </c>
      <c r="O27" s="172" t="s">
        <v>61</v>
      </c>
    </row>
    <row r="28" spans="1:15" x14ac:dyDescent="0.3">
      <c r="A28" s="176">
        <v>23</v>
      </c>
      <c r="B28" s="173" t="s">
        <v>243</v>
      </c>
      <c r="C28" s="234" t="s">
        <v>1222</v>
      </c>
      <c r="D28" s="177">
        <v>44311</v>
      </c>
      <c r="E28" s="228" t="s">
        <v>1241</v>
      </c>
      <c r="F28" s="178" t="s">
        <v>374</v>
      </c>
      <c r="G28" s="173" t="s">
        <v>248</v>
      </c>
      <c r="H28" s="179">
        <v>10800000000</v>
      </c>
      <c r="I28" s="175">
        <v>0.1</v>
      </c>
      <c r="J28" s="174">
        <f t="shared" si="2"/>
        <v>1080000000</v>
      </c>
      <c r="K28" s="174">
        <f t="shared" si="3"/>
        <v>11880000000</v>
      </c>
      <c r="L28" s="172" t="s">
        <v>58</v>
      </c>
      <c r="M28" s="173" t="s">
        <v>245</v>
      </c>
      <c r="N28" s="176">
        <v>0</v>
      </c>
      <c r="O28" s="172" t="s">
        <v>61</v>
      </c>
    </row>
    <row r="29" spans="1:15" x14ac:dyDescent="0.3">
      <c r="A29" s="172">
        <v>24</v>
      </c>
      <c r="B29" s="173" t="s">
        <v>243</v>
      </c>
      <c r="C29" s="233" t="s">
        <v>1223</v>
      </c>
      <c r="D29" s="177">
        <v>44313</v>
      </c>
      <c r="E29" s="228" t="s">
        <v>1242</v>
      </c>
      <c r="F29" s="173" t="s">
        <v>351</v>
      </c>
      <c r="G29" s="173" t="s">
        <v>249</v>
      </c>
      <c r="H29" s="174">
        <v>9500000000</v>
      </c>
      <c r="I29" s="175">
        <v>0.1</v>
      </c>
      <c r="J29" s="174">
        <f t="shared" si="2"/>
        <v>950000000</v>
      </c>
      <c r="K29" s="174">
        <f t="shared" si="3"/>
        <v>10450000000</v>
      </c>
      <c r="L29" s="172" t="s">
        <v>58</v>
      </c>
      <c r="M29" s="173" t="s">
        <v>247</v>
      </c>
      <c r="N29" s="176">
        <v>0</v>
      </c>
      <c r="O29" s="172" t="s">
        <v>61</v>
      </c>
    </row>
    <row r="30" spans="1:15" x14ac:dyDescent="0.3">
      <c r="A30" s="172">
        <v>25</v>
      </c>
      <c r="B30" s="173" t="s">
        <v>243</v>
      </c>
      <c r="C30" s="233" t="s">
        <v>1224</v>
      </c>
      <c r="D30" s="177">
        <v>44314</v>
      </c>
      <c r="E30" s="228" t="s">
        <v>1241</v>
      </c>
      <c r="F30" s="173" t="s">
        <v>374</v>
      </c>
      <c r="G30" s="173" t="s">
        <v>250</v>
      </c>
      <c r="H30" s="174">
        <v>12500000000</v>
      </c>
      <c r="I30" s="175">
        <v>0.1</v>
      </c>
      <c r="J30" s="174">
        <f t="shared" si="2"/>
        <v>1250000000</v>
      </c>
      <c r="K30" s="174">
        <f t="shared" si="3"/>
        <v>13750000000</v>
      </c>
      <c r="L30" s="172" t="s">
        <v>58</v>
      </c>
      <c r="M30" s="173" t="s">
        <v>245</v>
      </c>
      <c r="N30" s="176">
        <v>0</v>
      </c>
      <c r="O30" s="172" t="s">
        <v>61</v>
      </c>
    </row>
    <row r="31" spans="1:15" x14ac:dyDescent="0.3">
      <c r="A31" s="172">
        <v>26</v>
      </c>
      <c r="B31" s="173" t="s">
        <v>243</v>
      </c>
      <c r="C31" s="233" t="s">
        <v>1225</v>
      </c>
      <c r="D31" s="177">
        <v>44140</v>
      </c>
      <c r="E31" s="228" t="s">
        <v>1242</v>
      </c>
      <c r="F31" s="173" t="s">
        <v>351</v>
      </c>
      <c r="G31" s="173" t="s">
        <v>251</v>
      </c>
      <c r="H31" s="174">
        <v>9800000000</v>
      </c>
      <c r="I31" s="175">
        <v>0.1</v>
      </c>
      <c r="J31" s="174">
        <f t="shared" si="2"/>
        <v>980000000</v>
      </c>
      <c r="K31" s="174">
        <f t="shared" si="3"/>
        <v>10780000000</v>
      </c>
      <c r="L31" s="172" t="s">
        <v>58</v>
      </c>
      <c r="M31" s="173" t="s">
        <v>247</v>
      </c>
      <c r="N31" s="176">
        <v>0</v>
      </c>
      <c r="O31" s="172" t="s">
        <v>61</v>
      </c>
    </row>
    <row r="32" spans="1:15" x14ac:dyDescent="0.3">
      <c r="A32" s="172">
        <v>27</v>
      </c>
      <c r="B32" s="173" t="s">
        <v>243</v>
      </c>
      <c r="C32" s="233" t="s">
        <v>1226</v>
      </c>
      <c r="D32" s="177">
        <v>44141</v>
      </c>
      <c r="E32" s="228" t="s">
        <v>1241</v>
      </c>
      <c r="F32" s="173" t="s">
        <v>374</v>
      </c>
      <c r="G32" s="173" t="s">
        <v>252</v>
      </c>
      <c r="H32" s="174">
        <v>20200000000</v>
      </c>
      <c r="I32" s="175">
        <v>0.1</v>
      </c>
      <c r="J32" s="174">
        <f t="shared" si="2"/>
        <v>2020000000</v>
      </c>
      <c r="K32" s="174">
        <f t="shared" si="3"/>
        <v>22220000000</v>
      </c>
      <c r="L32" s="172" t="s">
        <v>58</v>
      </c>
      <c r="M32" s="173" t="s">
        <v>245</v>
      </c>
      <c r="N32" s="176">
        <v>0</v>
      </c>
      <c r="O32" s="172" t="s">
        <v>61</v>
      </c>
    </row>
    <row r="33" spans="1:15" x14ac:dyDescent="0.3">
      <c r="A33" s="180">
        <v>28</v>
      </c>
      <c r="B33" s="181" t="s">
        <v>253</v>
      </c>
      <c r="C33" s="235" t="s">
        <v>1227</v>
      </c>
      <c r="D33" s="242">
        <v>44270</v>
      </c>
      <c r="E33" s="229" t="s">
        <v>1243</v>
      </c>
      <c r="F33" s="181" t="s">
        <v>346</v>
      </c>
      <c r="G33" s="181" t="s">
        <v>254</v>
      </c>
      <c r="H33" s="182">
        <v>5500000000</v>
      </c>
      <c r="I33" s="183">
        <v>0.1</v>
      </c>
      <c r="J33" s="182">
        <f t="shared" si="2"/>
        <v>550000000</v>
      </c>
      <c r="K33" s="182">
        <f t="shared" si="3"/>
        <v>6050000000</v>
      </c>
      <c r="L33" s="180" t="s">
        <v>58</v>
      </c>
      <c r="M33" s="181" t="s">
        <v>255</v>
      </c>
      <c r="N33" s="184">
        <v>0</v>
      </c>
      <c r="O33" s="180" t="s">
        <v>61</v>
      </c>
    </row>
    <row r="34" spans="1:15" x14ac:dyDescent="0.3">
      <c r="A34" s="180">
        <v>29</v>
      </c>
      <c r="B34" s="181" t="s">
        <v>253</v>
      </c>
      <c r="C34" s="235" t="s">
        <v>1228</v>
      </c>
      <c r="D34" s="242">
        <v>44362</v>
      </c>
      <c r="E34" s="229" t="s">
        <v>1243</v>
      </c>
      <c r="F34" s="181" t="s">
        <v>346</v>
      </c>
      <c r="G34" s="181" t="s">
        <v>256</v>
      </c>
      <c r="H34" s="182">
        <v>6800000000</v>
      </c>
      <c r="I34" s="183">
        <v>0.1</v>
      </c>
      <c r="J34" s="182">
        <f t="shared" si="2"/>
        <v>680000000</v>
      </c>
      <c r="K34" s="182">
        <f t="shared" si="3"/>
        <v>7480000000</v>
      </c>
      <c r="L34" s="180" t="s">
        <v>58</v>
      </c>
      <c r="M34" s="181" t="s">
        <v>255</v>
      </c>
      <c r="N34" s="184">
        <v>0</v>
      </c>
      <c r="O34" s="180" t="s">
        <v>61</v>
      </c>
    </row>
    <row r="35" spans="1:15" x14ac:dyDescent="0.3">
      <c r="A35" s="180">
        <v>30</v>
      </c>
      <c r="B35" s="181" t="s">
        <v>253</v>
      </c>
      <c r="C35" s="235" t="s">
        <v>1229</v>
      </c>
      <c r="D35" s="242">
        <v>44484</v>
      </c>
      <c r="E35" s="229" t="s">
        <v>1243</v>
      </c>
      <c r="F35" s="181" t="s">
        <v>346</v>
      </c>
      <c r="G35" s="181" t="s">
        <v>257</v>
      </c>
      <c r="H35" s="182">
        <v>7700000000</v>
      </c>
      <c r="I35" s="183">
        <v>0.1</v>
      </c>
      <c r="J35" s="182">
        <f t="shared" si="2"/>
        <v>770000000</v>
      </c>
      <c r="K35" s="182">
        <f t="shared" si="3"/>
        <v>8470000000</v>
      </c>
      <c r="L35" s="180" t="s">
        <v>58</v>
      </c>
      <c r="M35" s="181" t="s">
        <v>255</v>
      </c>
      <c r="N35" s="184">
        <v>0</v>
      </c>
      <c r="O35" s="180" t="s">
        <v>61</v>
      </c>
    </row>
    <row r="36" spans="1:15" x14ac:dyDescent="0.3">
      <c r="A36" s="185">
        <v>31</v>
      </c>
      <c r="B36" s="186" t="s">
        <v>258</v>
      </c>
      <c r="C36" s="236" t="s">
        <v>1230</v>
      </c>
      <c r="D36" s="243">
        <v>44377</v>
      </c>
      <c r="E36" s="230" t="s">
        <v>1244</v>
      </c>
      <c r="F36" s="186" t="s">
        <v>548</v>
      </c>
      <c r="G36" s="186" t="s">
        <v>259</v>
      </c>
      <c r="H36" s="187">
        <v>5800000000</v>
      </c>
      <c r="I36" s="188">
        <v>0.1</v>
      </c>
      <c r="J36" s="187">
        <f t="shared" si="2"/>
        <v>580000000</v>
      </c>
      <c r="K36" s="187">
        <f t="shared" si="3"/>
        <v>6380000000</v>
      </c>
      <c r="L36" s="185" t="s">
        <v>58</v>
      </c>
      <c r="M36" s="186" t="s">
        <v>260</v>
      </c>
      <c r="N36" s="189">
        <v>0</v>
      </c>
      <c r="O36" s="185" t="s">
        <v>61</v>
      </c>
    </row>
    <row r="37" spans="1:15" x14ac:dyDescent="0.3">
      <c r="A37" s="185">
        <v>32</v>
      </c>
      <c r="B37" s="186" t="s">
        <v>258</v>
      </c>
      <c r="C37" s="236" t="s">
        <v>1231</v>
      </c>
      <c r="D37" s="243">
        <v>44561</v>
      </c>
      <c r="E37" s="230" t="s">
        <v>1244</v>
      </c>
      <c r="F37" s="186" t="s">
        <v>548</v>
      </c>
      <c r="G37" s="186" t="s">
        <v>261</v>
      </c>
      <c r="H37" s="187">
        <v>10787158307</v>
      </c>
      <c r="I37" s="188">
        <v>0.1</v>
      </c>
      <c r="J37" s="187">
        <f t="shared" si="2"/>
        <v>1078715830.7</v>
      </c>
      <c r="K37" s="187">
        <f t="shared" si="3"/>
        <v>11865874137.700001</v>
      </c>
      <c r="L37" s="185" t="s">
        <v>58</v>
      </c>
      <c r="M37" s="186" t="s">
        <v>282</v>
      </c>
      <c r="N37" s="189">
        <v>0</v>
      </c>
      <c r="O37" s="185" t="s">
        <v>61</v>
      </c>
    </row>
    <row r="38" spans="1:15" x14ac:dyDescent="0.3">
      <c r="A38" s="190">
        <v>33</v>
      </c>
      <c r="B38" s="191" t="s">
        <v>262</v>
      </c>
      <c r="C38" s="237" t="s">
        <v>1232</v>
      </c>
      <c r="D38" s="244">
        <v>44377</v>
      </c>
      <c r="E38" s="231" t="s">
        <v>1245</v>
      </c>
      <c r="F38" s="191" t="s">
        <v>323</v>
      </c>
      <c r="G38" s="191" t="s">
        <v>263</v>
      </c>
      <c r="H38" s="192">
        <v>512000000</v>
      </c>
      <c r="I38" s="193">
        <v>0.1</v>
      </c>
      <c r="J38" s="192">
        <f t="shared" si="2"/>
        <v>51200000</v>
      </c>
      <c r="K38" s="192">
        <f t="shared" si="3"/>
        <v>563200000</v>
      </c>
      <c r="L38" s="190" t="s">
        <v>58</v>
      </c>
      <c r="M38" s="191" t="s">
        <v>264</v>
      </c>
      <c r="N38" s="194">
        <v>0</v>
      </c>
      <c r="O38" s="190" t="s">
        <v>61</v>
      </c>
    </row>
    <row r="39" spans="1:15" x14ac:dyDescent="0.3">
      <c r="A39" s="190">
        <v>34</v>
      </c>
      <c r="B39" s="191" t="s">
        <v>262</v>
      </c>
      <c r="C39" s="237" t="s">
        <v>1233</v>
      </c>
      <c r="D39" s="244">
        <v>44561</v>
      </c>
      <c r="E39" s="231" t="s">
        <v>1246</v>
      </c>
      <c r="F39" s="190" t="s">
        <v>1247</v>
      </c>
      <c r="G39" s="190" t="s">
        <v>265</v>
      </c>
      <c r="H39" s="192">
        <v>2510387994</v>
      </c>
      <c r="I39" s="193">
        <v>0.1</v>
      </c>
      <c r="J39" s="192">
        <f t="shared" si="2"/>
        <v>251038799.40000001</v>
      </c>
      <c r="K39" s="192">
        <f t="shared" si="3"/>
        <v>2761426793.4000001</v>
      </c>
      <c r="L39" s="190" t="s">
        <v>58</v>
      </c>
      <c r="M39" s="191" t="s">
        <v>266</v>
      </c>
      <c r="N39" s="194">
        <v>0</v>
      </c>
      <c r="O39" s="190" t="s">
        <v>61</v>
      </c>
    </row>
    <row r="41" spans="1:15" x14ac:dyDescent="0.3">
      <c r="A41" s="21" t="s">
        <v>267</v>
      </c>
      <c r="B41" s="21" t="s">
        <v>268</v>
      </c>
      <c r="C41" s="106" t="s">
        <v>269</v>
      </c>
      <c r="D41" s="22"/>
      <c r="E41" s="106" t="s">
        <v>270</v>
      </c>
      <c r="F41" s="106" t="s">
        <v>271</v>
      </c>
      <c r="G41" s="106" t="s">
        <v>272</v>
      </c>
      <c r="H41" s="106" t="s">
        <v>26</v>
      </c>
    </row>
    <row r="42" spans="1:15" x14ac:dyDescent="0.3">
      <c r="A42" s="195" t="s">
        <v>273</v>
      </c>
      <c r="B42" s="196" t="s">
        <v>274</v>
      </c>
      <c r="C42" s="214">
        <v>14</v>
      </c>
      <c r="D42" s="197"/>
      <c r="E42" s="210">
        <f>SUMIF(N5:N39,1,H5:H39)</f>
        <v>42335841693</v>
      </c>
      <c r="F42" s="211">
        <f>SUMIF(N5:N39,1,J5:J39)</f>
        <v>4233584169.3000002</v>
      </c>
      <c r="G42" s="211">
        <f>SUMIF(N5:N39,1,K5:K39)</f>
        <v>46569425862.299995</v>
      </c>
      <c r="H42" s="196" t="s">
        <v>275</v>
      </c>
    </row>
    <row r="43" spans="1:15" x14ac:dyDescent="0.3">
      <c r="A43" s="171" t="s">
        <v>276</v>
      </c>
      <c r="B43" s="108" t="s">
        <v>277</v>
      </c>
      <c r="C43" s="112">
        <v>20</v>
      </c>
      <c r="D43" s="198"/>
      <c r="E43" s="199">
        <f>SUMIF(N5:N39,0,H5:H39)</f>
        <v>174609546301</v>
      </c>
      <c r="F43" s="110">
        <f>SUMIF(N5:N39,0,J5:J39)</f>
        <v>17460954630.100002</v>
      </c>
      <c r="G43" s="110">
        <f>SUMIF(N5:N39,0,K5:K39)</f>
        <v>192070500931.10001</v>
      </c>
      <c r="H43" s="108" t="s">
        <v>278</v>
      </c>
    </row>
    <row r="44" spans="1:15" x14ac:dyDescent="0.3">
      <c r="A44" s="21" t="s">
        <v>27</v>
      </c>
      <c r="B44" s="21" t="s">
        <v>279</v>
      </c>
      <c r="C44" s="106">
        <v>34</v>
      </c>
      <c r="D44" s="22"/>
      <c r="E44" s="212">
        <f>E42+E43</f>
        <v>216945387994</v>
      </c>
      <c r="F44" s="212">
        <f>F42+F43</f>
        <v>21694538799.400002</v>
      </c>
      <c r="G44" s="212">
        <f>G42+G43</f>
        <v>238639926793.39999</v>
      </c>
      <c r="H44" s="213" t="s">
        <v>289</v>
      </c>
    </row>
    <row r="46" spans="1:15" x14ac:dyDescent="0.3">
      <c r="A46" s="200" t="s">
        <v>221</v>
      </c>
      <c r="B46" s="113" t="s">
        <v>280</v>
      </c>
      <c r="C46" s="201">
        <v>216945387994</v>
      </c>
    </row>
    <row r="47" spans="1:15" x14ac:dyDescent="0.3">
      <c r="A47" s="202"/>
      <c r="B47" s="113" t="s">
        <v>281</v>
      </c>
      <c r="C47" s="114">
        <f>E44</f>
        <v>216945387994</v>
      </c>
    </row>
    <row r="48" spans="1:15" x14ac:dyDescent="0.3">
      <c r="A48" s="203" t="s">
        <v>224</v>
      </c>
      <c r="B48" s="204" t="s">
        <v>225</v>
      </c>
      <c r="C48" s="205">
        <f>C46-C47</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N50"/>
  <sheetViews>
    <sheetView workbookViewId="0">
      <pane ySplit="5" topLeftCell="A24" activePane="bottomLeft" state="frozen"/>
      <selection activeCell="C6" sqref="C6"/>
      <selection pane="bottomLeft" activeCell="C6" sqref="C6"/>
    </sheetView>
  </sheetViews>
  <sheetFormatPr defaultRowHeight="14.4" x14ac:dyDescent="0.3"/>
  <cols>
    <col min="1" max="1" width="9.21875" customWidth="1"/>
    <col min="2" max="2" width="28.21875" bestFit="1" customWidth="1"/>
    <col min="3" max="3" width="19.21875" bestFit="1" customWidth="1"/>
    <col min="4" max="4" width="13.77734375" bestFit="1" customWidth="1"/>
    <col min="5" max="5" width="15.21875" bestFit="1" customWidth="1"/>
    <col min="6" max="6" width="56.44140625" bestFit="1" customWidth="1"/>
    <col min="7" max="7" width="46.109375" bestFit="1" customWidth="1"/>
    <col min="8" max="8" width="8.6640625" bestFit="1" customWidth="1"/>
    <col min="9" max="9" width="19.5546875" bestFit="1" customWidth="1"/>
    <col min="10" max="10" width="14.21875" bestFit="1" customWidth="1"/>
    <col min="11" max="11" width="13.88671875" bestFit="1" customWidth="1"/>
    <col min="12" max="12" width="18.88671875" bestFit="1" customWidth="1"/>
    <col min="13" max="13" width="12.44140625" bestFit="1" customWidth="1"/>
    <col min="14" max="14" width="7.77734375" bestFit="1" customWidth="1"/>
  </cols>
  <sheetData>
    <row r="1" spans="1:14" ht="22.05" customHeight="1" x14ac:dyDescent="0.35">
      <c r="A1" s="105" t="s">
        <v>147</v>
      </c>
      <c r="B1" s="280"/>
      <c r="C1" s="280"/>
      <c r="D1" s="280"/>
      <c r="E1" s="280"/>
      <c r="F1" s="280"/>
      <c r="G1" s="280"/>
      <c r="H1" s="280"/>
      <c r="I1" s="280"/>
      <c r="J1" s="280"/>
      <c r="K1" s="280"/>
      <c r="L1" s="280"/>
      <c r="M1" s="280"/>
      <c r="N1" s="280"/>
    </row>
    <row r="2" spans="1:14" x14ac:dyDescent="0.3">
      <c r="A2" s="281" t="s">
        <v>148</v>
      </c>
      <c r="B2" s="281"/>
      <c r="C2" s="281"/>
      <c r="D2" s="281"/>
      <c r="E2" s="281"/>
      <c r="F2" s="281"/>
      <c r="G2" s="281"/>
      <c r="H2" s="281"/>
      <c r="I2" s="281"/>
      <c r="J2" s="281"/>
      <c r="K2" s="281"/>
      <c r="L2" s="281"/>
      <c r="M2" s="281"/>
      <c r="N2" s="281"/>
    </row>
    <row r="3" spans="1:14" x14ac:dyDescent="0.3">
      <c r="A3" s="282" t="s">
        <v>149</v>
      </c>
      <c r="B3" s="282"/>
      <c r="C3" s="282"/>
      <c r="D3" s="282"/>
      <c r="E3" s="282"/>
      <c r="F3" s="282"/>
      <c r="G3" s="282"/>
      <c r="H3" s="282"/>
      <c r="I3" s="282"/>
      <c r="J3" s="282"/>
      <c r="K3" s="282"/>
      <c r="L3" s="282"/>
      <c r="M3" s="282"/>
      <c r="N3" s="282"/>
    </row>
    <row r="5" spans="1:14" ht="30" customHeight="1" x14ac:dyDescent="0.3">
      <c r="A5" s="168" t="s">
        <v>0</v>
      </c>
      <c r="B5" s="168" t="s">
        <v>2</v>
      </c>
      <c r="C5" s="168" t="s">
        <v>31</v>
      </c>
      <c r="D5" s="168" t="s">
        <v>150</v>
      </c>
      <c r="E5" s="168" t="s">
        <v>151</v>
      </c>
      <c r="F5" s="168" t="s">
        <v>152</v>
      </c>
      <c r="G5" s="168" t="s">
        <v>153</v>
      </c>
      <c r="H5" s="168" t="s">
        <v>154</v>
      </c>
      <c r="I5" s="168" t="s">
        <v>34</v>
      </c>
      <c r="J5" s="168" t="s">
        <v>3</v>
      </c>
      <c r="K5" s="168" t="s">
        <v>35</v>
      </c>
      <c r="L5" s="168" t="s">
        <v>36</v>
      </c>
      <c r="M5" s="168" t="s">
        <v>37</v>
      </c>
      <c r="N5" s="168" t="s">
        <v>155</v>
      </c>
    </row>
    <row r="6" spans="1:14" x14ac:dyDescent="0.3">
      <c r="A6" s="128">
        <v>1</v>
      </c>
      <c r="B6" s="129" t="s">
        <v>156</v>
      </c>
      <c r="C6" s="130">
        <v>44470</v>
      </c>
      <c r="D6" s="128" t="s">
        <v>157</v>
      </c>
      <c r="E6" s="245" t="s">
        <v>1249</v>
      </c>
      <c r="F6" s="129" t="s">
        <v>444</v>
      </c>
      <c r="G6" s="129" t="s">
        <v>158</v>
      </c>
      <c r="H6" s="128" t="s">
        <v>159</v>
      </c>
      <c r="I6" s="131">
        <v>12500000000</v>
      </c>
      <c r="J6" s="132">
        <v>0.1</v>
      </c>
      <c r="K6" s="131">
        <f t="shared" ref="K6:K30" si="0">I6*J6</f>
        <v>1250000000</v>
      </c>
      <c r="L6" s="131">
        <f t="shared" ref="L6:L30" si="1">I6+K6</f>
        <v>13750000000</v>
      </c>
      <c r="M6" s="128" t="s">
        <v>58</v>
      </c>
      <c r="N6" s="133">
        <v>0</v>
      </c>
    </row>
    <row r="7" spans="1:14" x14ac:dyDescent="0.3">
      <c r="A7" s="128">
        <v>2</v>
      </c>
      <c r="B7" s="129" t="s">
        <v>160</v>
      </c>
      <c r="C7" s="128" t="s">
        <v>4</v>
      </c>
      <c r="D7" s="128" t="s">
        <v>157</v>
      </c>
      <c r="E7" s="245" t="s">
        <v>1250</v>
      </c>
      <c r="F7" s="128" t="s">
        <v>480</v>
      </c>
      <c r="G7" s="128" t="s">
        <v>161</v>
      </c>
      <c r="H7" s="128" t="s">
        <v>159</v>
      </c>
      <c r="I7" s="131">
        <v>8900000000</v>
      </c>
      <c r="J7" s="132">
        <v>0.1</v>
      </c>
      <c r="K7" s="131">
        <f t="shared" si="0"/>
        <v>890000000</v>
      </c>
      <c r="L7" s="131">
        <f t="shared" si="1"/>
        <v>9790000000</v>
      </c>
      <c r="M7" s="128" t="s">
        <v>58</v>
      </c>
      <c r="N7" s="133">
        <v>0</v>
      </c>
    </row>
    <row r="8" spans="1:14" x14ac:dyDescent="0.3">
      <c r="A8" s="128">
        <v>3</v>
      </c>
      <c r="B8" s="129" t="s">
        <v>162</v>
      </c>
      <c r="C8" s="128" t="s">
        <v>5</v>
      </c>
      <c r="D8" s="128" t="s">
        <v>157</v>
      </c>
      <c r="E8" s="245" t="s">
        <v>1249</v>
      </c>
      <c r="F8" s="128" t="s">
        <v>444</v>
      </c>
      <c r="G8" s="128" t="s">
        <v>163</v>
      </c>
      <c r="H8" s="128" t="s">
        <v>164</v>
      </c>
      <c r="I8" s="131">
        <v>3200000000</v>
      </c>
      <c r="J8" s="132">
        <v>0.1</v>
      </c>
      <c r="K8" s="131">
        <f t="shared" si="0"/>
        <v>320000000</v>
      </c>
      <c r="L8" s="131">
        <f t="shared" si="1"/>
        <v>3520000000</v>
      </c>
      <c r="M8" s="128" t="s">
        <v>58</v>
      </c>
      <c r="N8" s="133">
        <v>0</v>
      </c>
    </row>
    <row r="9" spans="1:14" x14ac:dyDescent="0.3">
      <c r="A9" s="128">
        <v>4</v>
      </c>
      <c r="B9" s="129" t="s">
        <v>165</v>
      </c>
      <c r="C9" s="128" t="s">
        <v>6</v>
      </c>
      <c r="D9" s="128" t="s">
        <v>157</v>
      </c>
      <c r="E9" s="245" t="s">
        <v>1248</v>
      </c>
      <c r="F9" s="128" t="s">
        <v>408</v>
      </c>
      <c r="G9" s="128" t="s">
        <v>166</v>
      </c>
      <c r="H9" s="128" t="s">
        <v>159</v>
      </c>
      <c r="I9" s="131">
        <v>14200000000</v>
      </c>
      <c r="J9" s="132">
        <v>0.1</v>
      </c>
      <c r="K9" s="131">
        <f t="shared" si="0"/>
        <v>1420000000</v>
      </c>
      <c r="L9" s="131">
        <f t="shared" si="1"/>
        <v>15620000000</v>
      </c>
      <c r="M9" s="128" t="s">
        <v>58</v>
      </c>
      <c r="N9" s="133">
        <v>0</v>
      </c>
    </row>
    <row r="10" spans="1:14" x14ac:dyDescent="0.3">
      <c r="A10" s="128">
        <v>5</v>
      </c>
      <c r="B10" s="129" t="s">
        <v>167</v>
      </c>
      <c r="C10" s="128" t="s">
        <v>7</v>
      </c>
      <c r="D10" s="128" t="s">
        <v>157</v>
      </c>
      <c r="E10" s="245" t="s">
        <v>1239</v>
      </c>
      <c r="F10" s="128" t="s">
        <v>435</v>
      </c>
      <c r="G10" s="128" t="s">
        <v>168</v>
      </c>
      <c r="H10" s="128" t="s">
        <v>159</v>
      </c>
      <c r="I10" s="131">
        <v>8500000000</v>
      </c>
      <c r="J10" s="132">
        <v>0.1</v>
      </c>
      <c r="K10" s="131">
        <f t="shared" si="0"/>
        <v>850000000</v>
      </c>
      <c r="L10" s="131">
        <f t="shared" si="1"/>
        <v>9350000000</v>
      </c>
      <c r="M10" s="128" t="s">
        <v>58</v>
      </c>
      <c r="N10" s="133">
        <v>0</v>
      </c>
    </row>
    <row r="11" spans="1:14" x14ac:dyDescent="0.3">
      <c r="A11" s="128">
        <v>6</v>
      </c>
      <c r="B11" s="129" t="s">
        <v>169</v>
      </c>
      <c r="C11" s="128" t="s">
        <v>8</v>
      </c>
      <c r="D11" s="128" t="s">
        <v>157</v>
      </c>
      <c r="E11" s="245" t="s">
        <v>1251</v>
      </c>
      <c r="F11" s="128" t="s">
        <v>652</v>
      </c>
      <c r="G11" s="128" t="s">
        <v>170</v>
      </c>
      <c r="H11" s="128" t="s">
        <v>159</v>
      </c>
      <c r="I11" s="131">
        <v>2900000000</v>
      </c>
      <c r="J11" s="132">
        <v>0.1</v>
      </c>
      <c r="K11" s="131">
        <f t="shared" si="0"/>
        <v>290000000</v>
      </c>
      <c r="L11" s="131">
        <f t="shared" si="1"/>
        <v>3190000000</v>
      </c>
      <c r="M11" s="128" t="s">
        <v>58</v>
      </c>
      <c r="N11" s="133">
        <v>0</v>
      </c>
    </row>
    <row r="12" spans="1:14" x14ac:dyDescent="0.3">
      <c r="A12" s="134">
        <v>7</v>
      </c>
      <c r="B12" s="135" t="s">
        <v>171</v>
      </c>
      <c r="C12" s="136">
        <v>44534</v>
      </c>
      <c r="D12" s="134" t="s">
        <v>172</v>
      </c>
      <c r="E12" s="246" t="s">
        <v>1249</v>
      </c>
      <c r="F12" s="134" t="s">
        <v>444</v>
      </c>
      <c r="G12" s="134" t="s">
        <v>173</v>
      </c>
      <c r="H12" s="134" t="s">
        <v>159</v>
      </c>
      <c r="I12" s="137">
        <v>11800000000</v>
      </c>
      <c r="J12" s="138">
        <v>0.1</v>
      </c>
      <c r="K12" s="137">
        <f t="shared" si="0"/>
        <v>1180000000</v>
      </c>
      <c r="L12" s="137">
        <f t="shared" si="1"/>
        <v>12980000000</v>
      </c>
      <c r="M12" s="134" t="s">
        <v>58</v>
      </c>
      <c r="N12" s="139">
        <v>0</v>
      </c>
    </row>
    <row r="13" spans="1:14" x14ac:dyDescent="0.3">
      <c r="A13" s="134">
        <v>8</v>
      </c>
      <c r="B13" s="135" t="s">
        <v>174</v>
      </c>
      <c r="C13" s="134" t="s">
        <v>9</v>
      </c>
      <c r="D13" s="134" t="s">
        <v>172</v>
      </c>
      <c r="E13" s="246" t="s">
        <v>1250</v>
      </c>
      <c r="F13" s="134" t="s">
        <v>480</v>
      </c>
      <c r="G13" s="134" t="s">
        <v>175</v>
      </c>
      <c r="H13" s="134" t="s">
        <v>159</v>
      </c>
      <c r="I13" s="137">
        <v>9600000000</v>
      </c>
      <c r="J13" s="138">
        <v>0.1</v>
      </c>
      <c r="K13" s="137">
        <f t="shared" si="0"/>
        <v>960000000</v>
      </c>
      <c r="L13" s="137">
        <f t="shared" si="1"/>
        <v>10560000000</v>
      </c>
      <c r="M13" s="134" t="s">
        <v>58</v>
      </c>
      <c r="N13" s="139">
        <v>0</v>
      </c>
    </row>
    <row r="14" spans="1:14" x14ac:dyDescent="0.3">
      <c r="A14" s="134">
        <v>9</v>
      </c>
      <c r="B14" s="135" t="s">
        <v>176</v>
      </c>
      <c r="C14" s="134" t="s">
        <v>10</v>
      </c>
      <c r="D14" s="134" t="s">
        <v>172</v>
      </c>
      <c r="E14" s="246" t="s">
        <v>1248</v>
      </c>
      <c r="F14" s="134" t="s">
        <v>408</v>
      </c>
      <c r="G14" s="134" t="s">
        <v>177</v>
      </c>
      <c r="H14" s="134" t="s">
        <v>159</v>
      </c>
      <c r="I14" s="137">
        <v>13200000000</v>
      </c>
      <c r="J14" s="138">
        <v>0.1</v>
      </c>
      <c r="K14" s="137">
        <f t="shared" si="0"/>
        <v>1320000000</v>
      </c>
      <c r="L14" s="137">
        <f t="shared" si="1"/>
        <v>14520000000</v>
      </c>
      <c r="M14" s="134" t="s">
        <v>58</v>
      </c>
      <c r="N14" s="139">
        <v>0</v>
      </c>
    </row>
    <row r="15" spans="1:14" x14ac:dyDescent="0.3">
      <c r="A15" s="134">
        <v>10</v>
      </c>
      <c r="B15" s="135" t="s">
        <v>178</v>
      </c>
      <c r="C15" s="134" t="s">
        <v>11</v>
      </c>
      <c r="D15" s="134" t="s">
        <v>172</v>
      </c>
      <c r="E15" s="246" t="s">
        <v>1235</v>
      </c>
      <c r="F15" s="134" t="s">
        <v>1236</v>
      </c>
      <c r="G15" s="134" t="s">
        <v>179</v>
      </c>
      <c r="H15" s="134" t="s">
        <v>164</v>
      </c>
      <c r="I15" s="137">
        <v>2800000000</v>
      </c>
      <c r="J15" s="138">
        <v>0.1</v>
      </c>
      <c r="K15" s="137">
        <f t="shared" si="0"/>
        <v>280000000</v>
      </c>
      <c r="L15" s="137">
        <f t="shared" si="1"/>
        <v>3080000000</v>
      </c>
      <c r="M15" s="134" t="s">
        <v>58</v>
      </c>
      <c r="N15" s="139">
        <v>0</v>
      </c>
    </row>
    <row r="16" spans="1:14" x14ac:dyDescent="0.3">
      <c r="A16" s="134">
        <v>11</v>
      </c>
      <c r="B16" s="135" t="s">
        <v>180</v>
      </c>
      <c r="C16" s="134" t="s">
        <v>12</v>
      </c>
      <c r="D16" s="134" t="s">
        <v>172</v>
      </c>
      <c r="E16" s="246" t="s">
        <v>1239</v>
      </c>
      <c r="F16" s="134" t="s">
        <v>435</v>
      </c>
      <c r="G16" s="134" t="s">
        <v>177</v>
      </c>
      <c r="H16" s="134" t="s">
        <v>159</v>
      </c>
      <c r="I16" s="137">
        <v>10500000000</v>
      </c>
      <c r="J16" s="138">
        <v>0.1</v>
      </c>
      <c r="K16" s="137">
        <f t="shared" si="0"/>
        <v>1050000000</v>
      </c>
      <c r="L16" s="137">
        <f t="shared" si="1"/>
        <v>11550000000</v>
      </c>
      <c r="M16" s="134" t="s">
        <v>58</v>
      </c>
      <c r="N16" s="139">
        <v>0</v>
      </c>
    </row>
    <row r="17" spans="1:14" x14ac:dyDescent="0.3">
      <c r="A17" s="134">
        <v>12</v>
      </c>
      <c r="B17" s="135" t="s">
        <v>181</v>
      </c>
      <c r="C17" s="134" t="s">
        <v>13</v>
      </c>
      <c r="D17" s="134" t="s">
        <v>172</v>
      </c>
      <c r="E17" s="246" t="s">
        <v>1252</v>
      </c>
      <c r="F17" s="134" t="s">
        <v>461</v>
      </c>
      <c r="G17" s="134" t="s">
        <v>182</v>
      </c>
      <c r="H17" s="134" t="s">
        <v>164</v>
      </c>
      <c r="I17" s="137">
        <v>4200000000</v>
      </c>
      <c r="J17" s="138">
        <v>0.1</v>
      </c>
      <c r="K17" s="137">
        <f t="shared" si="0"/>
        <v>420000000</v>
      </c>
      <c r="L17" s="137">
        <f t="shared" si="1"/>
        <v>4620000000</v>
      </c>
      <c r="M17" s="134" t="s">
        <v>58</v>
      </c>
      <c r="N17" s="139">
        <v>0</v>
      </c>
    </row>
    <row r="18" spans="1:14" x14ac:dyDescent="0.3">
      <c r="A18" s="134">
        <v>13</v>
      </c>
      <c r="B18" s="135" t="s">
        <v>183</v>
      </c>
      <c r="C18" s="134" t="s">
        <v>14</v>
      </c>
      <c r="D18" s="134" t="s">
        <v>172</v>
      </c>
      <c r="E18" s="246" t="s">
        <v>1251</v>
      </c>
      <c r="F18" s="134" t="s">
        <v>652</v>
      </c>
      <c r="G18" s="134" t="s">
        <v>184</v>
      </c>
      <c r="H18" s="134" t="s">
        <v>159</v>
      </c>
      <c r="I18" s="137">
        <v>3400000000</v>
      </c>
      <c r="J18" s="138">
        <v>0.1</v>
      </c>
      <c r="K18" s="137">
        <f t="shared" si="0"/>
        <v>340000000</v>
      </c>
      <c r="L18" s="137">
        <f t="shared" si="1"/>
        <v>3740000000</v>
      </c>
      <c r="M18" s="134" t="s">
        <v>58</v>
      </c>
      <c r="N18" s="139">
        <v>0</v>
      </c>
    </row>
    <row r="19" spans="1:14" x14ac:dyDescent="0.3">
      <c r="A19" s="140">
        <v>14</v>
      </c>
      <c r="B19" s="141" t="s">
        <v>185</v>
      </c>
      <c r="C19" s="140" t="s">
        <v>15</v>
      </c>
      <c r="D19" s="140" t="s">
        <v>186</v>
      </c>
      <c r="E19" s="247" t="s">
        <v>1249</v>
      </c>
      <c r="F19" s="140" t="s">
        <v>444</v>
      </c>
      <c r="G19" s="140" t="s">
        <v>187</v>
      </c>
      <c r="H19" s="140" t="s">
        <v>159</v>
      </c>
      <c r="I19" s="142">
        <v>13500000000</v>
      </c>
      <c r="J19" s="143">
        <v>0.1</v>
      </c>
      <c r="K19" s="142">
        <f t="shared" si="0"/>
        <v>1350000000</v>
      </c>
      <c r="L19" s="142">
        <f t="shared" si="1"/>
        <v>14850000000</v>
      </c>
      <c r="M19" s="140" t="s">
        <v>58</v>
      </c>
      <c r="N19" s="144">
        <v>0</v>
      </c>
    </row>
    <row r="20" spans="1:14" x14ac:dyDescent="0.3">
      <c r="A20" s="140">
        <v>15</v>
      </c>
      <c r="B20" s="141" t="s">
        <v>188</v>
      </c>
      <c r="C20" s="140" t="s">
        <v>16</v>
      </c>
      <c r="D20" s="140" t="s">
        <v>186</v>
      </c>
      <c r="E20" s="247" t="s">
        <v>1248</v>
      </c>
      <c r="F20" s="140" t="s">
        <v>408</v>
      </c>
      <c r="G20" s="140" t="s">
        <v>189</v>
      </c>
      <c r="H20" s="140" t="s">
        <v>159</v>
      </c>
      <c r="I20" s="142">
        <v>14800000000</v>
      </c>
      <c r="J20" s="143">
        <v>0.1</v>
      </c>
      <c r="K20" s="142">
        <f t="shared" si="0"/>
        <v>1480000000</v>
      </c>
      <c r="L20" s="142">
        <f t="shared" si="1"/>
        <v>16280000000</v>
      </c>
      <c r="M20" s="140" t="s">
        <v>58</v>
      </c>
      <c r="N20" s="144">
        <v>0</v>
      </c>
    </row>
    <row r="21" spans="1:14" x14ac:dyDescent="0.3">
      <c r="A21" s="140">
        <v>16</v>
      </c>
      <c r="B21" s="141" t="s">
        <v>190</v>
      </c>
      <c r="C21" s="140" t="s">
        <v>17</v>
      </c>
      <c r="D21" s="140" t="s">
        <v>186</v>
      </c>
      <c r="E21" s="247" t="s">
        <v>1250</v>
      </c>
      <c r="F21" s="140" t="s">
        <v>480</v>
      </c>
      <c r="G21" s="140" t="s">
        <v>191</v>
      </c>
      <c r="H21" s="140" t="s">
        <v>159</v>
      </c>
      <c r="I21" s="142">
        <v>10200000000</v>
      </c>
      <c r="J21" s="143">
        <v>0.1</v>
      </c>
      <c r="K21" s="142">
        <f t="shared" si="0"/>
        <v>1020000000</v>
      </c>
      <c r="L21" s="142">
        <f t="shared" si="1"/>
        <v>11220000000</v>
      </c>
      <c r="M21" s="140" t="s">
        <v>58</v>
      </c>
      <c r="N21" s="144">
        <v>0</v>
      </c>
    </row>
    <row r="22" spans="1:14" x14ac:dyDescent="0.3">
      <c r="A22" s="140">
        <v>17</v>
      </c>
      <c r="B22" s="141" t="s">
        <v>192</v>
      </c>
      <c r="C22" s="140" t="s">
        <v>18</v>
      </c>
      <c r="D22" s="140" t="s">
        <v>186</v>
      </c>
      <c r="E22" s="247" t="s">
        <v>1235</v>
      </c>
      <c r="F22" s="140" t="s">
        <v>1236</v>
      </c>
      <c r="G22" s="140" t="s">
        <v>193</v>
      </c>
      <c r="H22" s="140" t="s">
        <v>164</v>
      </c>
      <c r="I22" s="142">
        <v>3600000000</v>
      </c>
      <c r="J22" s="143">
        <v>0.1</v>
      </c>
      <c r="K22" s="142">
        <f t="shared" si="0"/>
        <v>360000000</v>
      </c>
      <c r="L22" s="142">
        <f t="shared" si="1"/>
        <v>3960000000</v>
      </c>
      <c r="M22" s="140" t="s">
        <v>58</v>
      </c>
      <c r="N22" s="144">
        <v>0</v>
      </c>
    </row>
    <row r="23" spans="1:14" x14ac:dyDescent="0.3">
      <c r="A23" s="140">
        <v>18</v>
      </c>
      <c r="B23" s="141" t="s">
        <v>194</v>
      </c>
      <c r="C23" s="140" t="s">
        <v>19</v>
      </c>
      <c r="D23" s="140" t="s">
        <v>186</v>
      </c>
      <c r="E23" s="247" t="s">
        <v>1239</v>
      </c>
      <c r="F23" s="140" t="s">
        <v>435</v>
      </c>
      <c r="G23" s="140" t="s">
        <v>189</v>
      </c>
      <c r="H23" s="140" t="s">
        <v>159</v>
      </c>
      <c r="I23" s="142">
        <v>11500000000</v>
      </c>
      <c r="J23" s="143">
        <v>0.1</v>
      </c>
      <c r="K23" s="142">
        <f t="shared" si="0"/>
        <v>1150000000</v>
      </c>
      <c r="L23" s="142">
        <f t="shared" si="1"/>
        <v>12650000000</v>
      </c>
      <c r="M23" s="140" t="s">
        <v>58</v>
      </c>
      <c r="N23" s="144">
        <v>0</v>
      </c>
    </row>
    <row r="24" spans="1:14" x14ac:dyDescent="0.3">
      <c r="A24" s="140">
        <v>19</v>
      </c>
      <c r="B24" s="141" t="s">
        <v>195</v>
      </c>
      <c r="C24" s="140" t="s">
        <v>20</v>
      </c>
      <c r="D24" s="140" t="s">
        <v>186</v>
      </c>
      <c r="E24" s="247" t="s">
        <v>1252</v>
      </c>
      <c r="F24" s="140" t="s">
        <v>461</v>
      </c>
      <c r="G24" s="140" t="s">
        <v>196</v>
      </c>
      <c r="H24" s="140" t="s">
        <v>164</v>
      </c>
      <c r="I24" s="142">
        <v>4200000000</v>
      </c>
      <c r="J24" s="143">
        <v>0.1</v>
      </c>
      <c r="K24" s="142">
        <f t="shared" si="0"/>
        <v>420000000</v>
      </c>
      <c r="L24" s="142">
        <f t="shared" si="1"/>
        <v>4620000000</v>
      </c>
      <c r="M24" s="140" t="s">
        <v>58</v>
      </c>
      <c r="N24" s="144">
        <v>0</v>
      </c>
    </row>
    <row r="25" spans="1:14" x14ac:dyDescent="0.3">
      <c r="A25" s="140">
        <v>20</v>
      </c>
      <c r="B25" s="141" t="s">
        <v>197</v>
      </c>
      <c r="C25" s="140" t="s">
        <v>21</v>
      </c>
      <c r="D25" s="140" t="s">
        <v>186</v>
      </c>
      <c r="E25" s="247" t="s">
        <v>1251</v>
      </c>
      <c r="F25" s="140" t="s">
        <v>652</v>
      </c>
      <c r="G25" s="140" t="s">
        <v>198</v>
      </c>
      <c r="H25" s="140" t="s">
        <v>159</v>
      </c>
      <c r="I25" s="142">
        <v>3000000000</v>
      </c>
      <c r="J25" s="143">
        <v>0.1</v>
      </c>
      <c r="K25" s="142">
        <f t="shared" si="0"/>
        <v>300000000</v>
      </c>
      <c r="L25" s="142">
        <f t="shared" si="1"/>
        <v>3300000000</v>
      </c>
      <c r="M25" s="140" t="s">
        <v>58</v>
      </c>
      <c r="N25" s="144">
        <v>0</v>
      </c>
    </row>
    <row r="26" spans="1:14" x14ac:dyDescent="0.3">
      <c r="A26" s="145">
        <v>21</v>
      </c>
      <c r="B26" s="146" t="s">
        <v>199</v>
      </c>
      <c r="C26" s="145" t="s">
        <v>22</v>
      </c>
      <c r="D26" s="145" t="s">
        <v>200</v>
      </c>
      <c r="E26" s="248" t="s">
        <v>1249</v>
      </c>
      <c r="F26" s="145" t="s">
        <v>444</v>
      </c>
      <c r="G26" s="145" t="s">
        <v>201</v>
      </c>
      <c r="H26" s="145" t="s">
        <v>159</v>
      </c>
      <c r="I26" s="147">
        <v>11900000000</v>
      </c>
      <c r="J26" s="148">
        <v>0.1</v>
      </c>
      <c r="K26" s="147">
        <f t="shared" si="0"/>
        <v>1190000000</v>
      </c>
      <c r="L26" s="147">
        <f t="shared" si="1"/>
        <v>13090000000</v>
      </c>
      <c r="M26" s="145" t="s">
        <v>58</v>
      </c>
      <c r="N26" s="149">
        <v>0</v>
      </c>
    </row>
    <row r="27" spans="1:14" x14ac:dyDescent="0.3">
      <c r="A27" s="145">
        <v>22</v>
      </c>
      <c r="B27" s="146" t="s">
        <v>202</v>
      </c>
      <c r="C27" s="150">
        <v>44480</v>
      </c>
      <c r="D27" s="145" t="s">
        <v>200</v>
      </c>
      <c r="E27" s="248" t="s">
        <v>1248</v>
      </c>
      <c r="F27" s="145" t="s">
        <v>408</v>
      </c>
      <c r="G27" s="145" t="s">
        <v>203</v>
      </c>
      <c r="H27" s="145" t="s">
        <v>159</v>
      </c>
      <c r="I27" s="147">
        <v>15200000000</v>
      </c>
      <c r="J27" s="148">
        <v>0.1</v>
      </c>
      <c r="K27" s="147">
        <f t="shared" si="0"/>
        <v>1520000000</v>
      </c>
      <c r="L27" s="147">
        <f t="shared" si="1"/>
        <v>16720000000</v>
      </c>
      <c r="M27" s="145" t="s">
        <v>58</v>
      </c>
      <c r="N27" s="149">
        <v>0</v>
      </c>
    </row>
    <row r="28" spans="1:14" x14ac:dyDescent="0.3">
      <c r="A28" s="145">
        <v>23</v>
      </c>
      <c r="B28" s="146" t="s">
        <v>204</v>
      </c>
      <c r="C28" s="145" t="s">
        <v>23</v>
      </c>
      <c r="D28" s="145" t="s">
        <v>200</v>
      </c>
      <c r="E28" s="248" t="s">
        <v>1250</v>
      </c>
      <c r="F28" s="145" t="s">
        <v>480</v>
      </c>
      <c r="G28" s="145" t="s">
        <v>205</v>
      </c>
      <c r="H28" s="145" t="s">
        <v>159</v>
      </c>
      <c r="I28" s="147">
        <v>9800000000</v>
      </c>
      <c r="J28" s="148">
        <v>0.1</v>
      </c>
      <c r="K28" s="147">
        <f t="shared" si="0"/>
        <v>980000000</v>
      </c>
      <c r="L28" s="147">
        <f t="shared" si="1"/>
        <v>10780000000</v>
      </c>
      <c r="M28" s="145" t="s">
        <v>58</v>
      </c>
      <c r="N28" s="149">
        <v>0</v>
      </c>
    </row>
    <row r="29" spans="1:14" x14ac:dyDescent="0.3">
      <c r="A29" s="145">
        <v>24</v>
      </c>
      <c r="B29" s="146" t="s">
        <v>206</v>
      </c>
      <c r="C29" s="145" t="s">
        <v>24</v>
      </c>
      <c r="D29" s="145" t="s">
        <v>200</v>
      </c>
      <c r="E29" s="248" t="s">
        <v>1235</v>
      </c>
      <c r="F29" s="145" t="s">
        <v>1236</v>
      </c>
      <c r="G29" s="145" t="s">
        <v>207</v>
      </c>
      <c r="H29" s="145" t="s">
        <v>164</v>
      </c>
      <c r="I29" s="147">
        <v>4200000000</v>
      </c>
      <c r="J29" s="148">
        <v>0.1</v>
      </c>
      <c r="K29" s="147">
        <f t="shared" si="0"/>
        <v>420000000</v>
      </c>
      <c r="L29" s="147">
        <f t="shared" si="1"/>
        <v>4620000000</v>
      </c>
      <c r="M29" s="145" t="s">
        <v>58</v>
      </c>
      <c r="N29" s="149">
        <v>0</v>
      </c>
    </row>
    <row r="30" spans="1:14" x14ac:dyDescent="0.3">
      <c r="A30" s="145">
        <v>25</v>
      </c>
      <c r="B30" s="146" t="s">
        <v>208</v>
      </c>
      <c r="C30" s="145" t="s">
        <v>25</v>
      </c>
      <c r="D30" s="145" t="s">
        <v>200</v>
      </c>
      <c r="E30" s="248" t="s">
        <v>1239</v>
      </c>
      <c r="F30" s="145" t="s">
        <v>435</v>
      </c>
      <c r="G30" s="145" t="s">
        <v>209</v>
      </c>
      <c r="H30" s="145" t="s">
        <v>159</v>
      </c>
      <c r="I30" s="147">
        <v>15688917677</v>
      </c>
      <c r="J30" s="148">
        <v>0.1</v>
      </c>
      <c r="K30" s="147">
        <f t="shared" si="0"/>
        <v>1568891767.7</v>
      </c>
      <c r="L30" s="147">
        <f t="shared" si="1"/>
        <v>17257809444.700001</v>
      </c>
      <c r="M30" s="145" t="s">
        <v>58</v>
      </c>
      <c r="N30" s="149">
        <v>0</v>
      </c>
    </row>
    <row r="32" spans="1:14" x14ac:dyDescent="0.3">
      <c r="A32" s="283" t="s">
        <v>210</v>
      </c>
      <c r="B32" s="283"/>
      <c r="C32" s="283"/>
      <c r="D32" s="283"/>
      <c r="E32" s="283"/>
      <c r="F32" s="283"/>
      <c r="G32" s="283"/>
      <c r="H32" s="283"/>
      <c r="I32" s="283"/>
      <c r="J32" s="283"/>
      <c r="K32" s="283"/>
      <c r="L32" s="283"/>
      <c r="M32" s="283"/>
      <c r="N32" s="283"/>
    </row>
    <row r="33" spans="1:5" x14ac:dyDescent="0.3">
      <c r="A33" s="151" t="s">
        <v>211</v>
      </c>
      <c r="B33" s="152" t="s">
        <v>212</v>
      </c>
      <c r="C33" s="152" t="s">
        <v>213</v>
      </c>
      <c r="D33" s="152" t="s">
        <v>214</v>
      </c>
      <c r="E33" s="152" t="s">
        <v>215</v>
      </c>
    </row>
    <row r="34" spans="1:5" x14ac:dyDescent="0.3">
      <c r="A34" s="116" t="s">
        <v>216</v>
      </c>
      <c r="B34" s="117">
        <v>6</v>
      </c>
      <c r="C34" s="118">
        <f>SUMIF(D6:D30,"Q1",I6:I30)</f>
        <v>50200000000</v>
      </c>
      <c r="D34" s="118">
        <f>SUMIF(D6:D30,"Q1",K6:K30)</f>
        <v>5020000000</v>
      </c>
      <c r="E34" s="118">
        <f>C34+D34</f>
        <v>55220000000</v>
      </c>
    </row>
    <row r="35" spans="1:5" x14ac:dyDescent="0.3">
      <c r="A35" s="119" t="s">
        <v>217</v>
      </c>
      <c r="B35" s="120">
        <v>7</v>
      </c>
      <c r="C35" s="121">
        <f>SUMIF(D6:D30,"Q2",I6:I30)</f>
        <v>55500000000</v>
      </c>
      <c r="D35" s="121">
        <f>SUMIF(D6:D30,"Q2",K6:K30)</f>
        <v>5550000000</v>
      </c>
      <c r="E35" s="121">
        <f>C35+D35</f>
        <v>61050000000</v>
      </c>
    </row>
    <row r="36" spans="1:5" x14ac:dyDescent="0.3">
      <c r="A36" s="122" t="s">
        <v>218</v>
      </c>
      <c r="B36" s="123">
        <v>7</v>
      </c>
      <c r="C36" s="124">
        <f>SUMIF(D6:D30,"Q3",I6:I30)</f>
        <v>60800000000</v>
      </c>
      <c r="D36" s="124">
        <f>SUMIF(D6:D30,"Q3",K6:K30)</f>
        <v>6080000000</v>
      </c>
      <c r="E36" s="124">
        <f>C36+D36</f>
        <v>66880000000</v>
      </c>
    </row>
    <row r="37" spans="1:5" x14ac:dyDescent="0.3">
      <c r="A37" s="125" t="s">
        <v>219</v>
      </c>
      <c r="B37" s="126">
        <v>5</v>
      </c>
      <c r="C37" s="127">
        <f>SUMIF(D6:D30,"Q4",I6:I30)</f>
        <v>56788917677</v>
      </c>
      <c r="D37" s="127">
        <f>SUMIF(D6:D30,"Q4",K6:K30)</f>
        <v>5678891767.6999998</v>
      </c>
      <c r="E37" s="127">
        <f>C37+D37</f>
        <v>62467809444.699997</v>
      </c>
    </row>
    <row r="38" spans="1:5" x14ac:dyDescent="0.3">
      <c r="A38" s="153" t="s">
        <v>220</v>
      </c>
      <c r="B38" s="115">
        <f>SUM(B34:B37)</f>
        <v>25</v>
      </c>
      <c r="C38" s="154">
        <f>SUM(C34:C37)</f>
        <v>223288917677</v>
      </c>
      <c r="D38" s="154">
        <f>SUM(D34:D37)</f>
        <v>22328891767.700001</v>
      </c>
      <c r="E38" s="154">
        <f>SUM(E34:E37)</f>
        <v>245617809444.70001</v>
      </c>
    </row>
    <row r="39" spans="1:5" x14ac:dyDescent="0.3">
      <c r="A39" s="155"/>
      <c r="B39" s="155"/>
      <c r="C39" s="155"/>
      <c r="D39" s="155"/>
      <c r="E39" s="155"/>
    </row>
    <row r="40" spans="1:5" x14ac:dyDescent="0.3">
      <c r="A40" s="156" t="s">
        <v>221</v>
      </c>
      <c r="B40" s="157" t="s">
        <v>222</v>
      </c>
      <c r="C40" s="158">
        <v>223288917677</v>
      </c>
      <c r="D40" s="155"/>
      <c r="E40" s="155"/>
    </row>
    <row r="41" spans="1:5" x14ac:dyDescent="0.3">
      <c r="A41" s="157"/>
      <c r="B41" s="157" t="s">
        <v>223</v>
      </c>
      <c r="C41" s="159">
        <f>C38</f>
        <v>223288917677</v>
      </c>
      <c r="D41" s="155"/>
      <c r="E41" s="155"/>
    </row>
    <row r="42" spans="1:5" x14ac:dyDescent="0.3">
      <c r="A42" s="160" t="s">
        <v>224</v>
      </c>
      <c r="B42" s="156" t="s">
        <v>225</v>
      </c>
      <c r="C42" s="161">
        <f>C40-C41</f>
        <v>0</v>
      </c>
      <c r="D42" s="155"/>
      <c r="E42" s="155"/>
    </row>
    <row r="43" spans="1:5" x14ac:dyDescent="0.3">
      <c r="A43" s="155"/>
      <c r="B43" s="155"/>
      <c r="C43" s="155"/>
      <c r="D43" s="155"/>
      <c r="E43" s="155"/>
    </row>
    <row r="44" spans="1:5" x14ac:dyDescent="0.3">
      <c r="A44" s="162" t="s">
        <v>226</v>
      </c>
      <c r="B44" s="163" t="s">
        <v>227</v>
      </c>
      <c r="C44" s="164">
        <f>SUMIF(H6:H30,"Hàng hóa",I6:I30)</f>
        <v>201088917677</v>
      </c>
      <c r="D44" s="165">
        <f>C44/C38</f>
        <v>0.90057724211770529</v>
      </c>
      <c r="E44" s="155"/>
    </row>
    <row r="45" spans="1:5" x14ac:dyDescent="0.3">
      <c r="A45" s="163"/>
      <c r="B45" s="163" t="s">
        <v>228</v>
      </c>
      <c r="C45" s="164">
        <f>SUMIF(H6:H30,"Dịch vụ",I6:I30)</f>
        <v>22200000000</v>
      </c>
      <c r="D45" s="165">
        <f>C45/C38</f>
        <v>9.9422757882294682E-2</v>
      </c>
      <c r="E45" s="155"/>
    </row>
    <row r="46" spans="1:5" x14ac:dyDescent="0.3">
      <c r="A46" s="155"/>
      <c r="B46" s="155"/>
      <c r="C46" s="155"/>
      <c r="D46" s="155"/>
      <c r="E46" s="155"/>
    </row>
    <row r="47" spans="1:5" x14ac:dyDescent="0.3">
      <c r="A47" s="166" t="s">
        <v>229</v>
      </c>
      <c r="B47" s="155"/>
      <c r="C47" s="155"/>
      <c r="D47" s="155"/>
      <c r="E47" s="155"/>
    </row>
    <row r="48" spans="1:5" x14ac:dyDescent="0.3">
      <c r="A48" s="167" t="s">
        <v>230</v>
      </c>
      <c r="B48" s="155"/>
      <c r="C48" s="155"/>
      <c r="D48" s="155"/>
      <c r="E48" s="155"/>
    </row>
    <row r="49" spans="1:5" x14ac:dyDescent="0.3">
      <c r="A49" s="167" t="s">
        <v>231</v>
      </c>
      <c r="B49" s="155"/>
      <c r="C49" s="155"/>
      <c r="D49" s="155"/>
      <c r="E49" s="155"/>
    </row>
    <row r="50" spans="1:5" x14ac:dyDescent="0.3">
      <c r="A50" s="167" t="s">
        <v>232</v>
      </c>
      <c r="B50" s="155"/>
      <c r="C50" s="155"/>
      <c r="D50" s="155"/>
      <c r="E50" s="155"/>
    </row>
  </sheetData>
  <mergeCells count="4">
    <mergeCell ref="B1:N1"/>
    <mergeCell ref="A2:N2"/>
    <mergeCell ref="A3:N3"/>
    <mergeCell ref="A32:N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topLeftCell="D1" workbookViewId="0">
      <selection activeCell="F24" sqref="F24"/>
    </sheetView>
  </sheetViews>
  <sheetFormatPr defaultRowHeight="12" x14ac:dyDescent="0.25"/>
  <cols>
    <col min="1" max="1" width="4" style="249" bestFit="1" customWidth="1"/>
    <col min="2" max="2" width="21.44140625" style="249" bestFit="1" customWidth="1"/>
    <col min="3" max="3" width="35.44140625" style="249" customWidth="1"/>
    <col min="4" max="4" width="11" style="249" bestFit="1" customWidth="1"/>
    <col min="5" max="5" width="26.88671875" style="249" customWidth="1"/>
    <col min="6" max="6" width="46.5546875" style="249" customWidth="1"/>
    <col min="7" max="7" width="12.44140625" style="249" bestFit="1" customWidth="1"/>
    <col min="8" max="8" width="8.77734375" style="249" bestFit="1" customWidth="1"/>
    <col min="9" max="11" width="14.44140625" style="250" customWidth="1"/>
    <col min="12" max="16384" width="8.88671875" style="249"/>
  </cols>
  <sheetData>
    <row r="1" spans="1:11" ht="22.8" x14ac:dyDescent="0.25">
      <c r="A1" s="253" t="s">
        <v>0</v>
      </c>
      <c r="B1" s="253" t="s">
        <v>290</v>
      </c>
      <c r="C1" s="253" t="s">
        <v>291</v>
      </c>
      <c r="D1" s="253" t="s">
        <v>292</v>
      </c>
      <c r="E1" s="253" t="s">
        <v>293</v>
      </c>
      <c r="F1" s="253" t="s">
        <v>294</v>
      </c>
      <c r="G1" s="253" t="s">
        <v>295</v>
      </c>
      <c r="H1" s="253" t="s">
        <v>296</v>
      </c>
      <c r="I1" s="254" t="s">
        <v>297</v>
      </c>
      <c r="J1" s="254" t="s">
        <v>298</v>
      </c>
      <c r="K1" s="254" t="s">
        <v>299</v>
      </c>
    </row>
    <row r="2" spans="1:11" x14ac:dyDescent="0.25">
      <c r="A2" s="251">
        <v>1</v>
      </c>
      <c r="B2" s="251" t="s">
        <v>300</v>
      </c>
      <c r="C2" s="251" t="s">
        <v>301</v>
      </c>
      <c r="D2" s="255" t="s">
        <v>1253</v>
      </c>
      <c r="E2" s="251" t="s">
        <v>302</v>
      </c>
      <c r="F2" s="251" t="s">
        <v>303</v>
      </c>
      <c r="G2" s="251" t="s">
        <v>25</v>
      </c>
      <c r="H2" s="251" t="s">
        <v>304</v>
      </c>
      <c r="I2" s="252">
        <v>1764268876041</v>
      </c>
      <c r="J2" s="252">
        <v>1683378057124</v>
      </c>
      <c r="K2" s="252">
        <v>6136725987</v>
      </c>
    </row>
    <row r="3" spans="1:11" x14ac:dyDescent="0.25">
      <c r="A3" s="251">
        <v>2</v>
      </c>
      <c r="B3" s="251" t="s">
        <v>312</v>
      </c>
      <c r="C3" s="251" t="s">
        <v>313</v>
      </c>
      <c r="D3" s="255" t="s">
        <v>1254</v>
      </c>
      <c r="E3" s="251" t="s">
        <v>314</v>
      </c>
      <c r="F3" s="251" t="s">
        <v>315</v>
      </c>
      <c r="G3" s="251" t="s">
        <v>25</v>
      </c>
      <c r="H3" s="251" t="s">
        <v>304</v>
      </c>
      <c r="I3" s="252">
        <v>7363570736961</v>
      </c>
      <c r="J3" s="252">
        <v>6554599458507</v>
      </c>
      <c r="K3" s="252">
        <v>74926748334</v>
      </c>
    </row>
    <row r="4" spans="1:11" x14ac:dyDescent="0.25">
      <c r="A4" s="251">
        <v>3</v>
      </c>
      <c r="B4" s="251" t="s">
        <v>322</v>
      </c>
      <c r="C4" s="251" t="s">
        <v>323</v>
      </c>
      <c r="D4" s="255" t="s">
        <v>1255</v>
      </c>
      <c r="E4" s="251" t="s">
        <v>324</v>
      </c>
      <c r="F4" s="251" t="s">
        <v>325</v>
      </c>
      <c r="G4" s="251" t="s">
        <v>25</v>
      </c>
      <c r="H4" s="251" t="s">
        <v>304</v>
      </c>
      <c r="I4" s="252">
        <v>3462145069140</v>
      </c>
      <c r="J4" s="252">
        <v>3058827787790</v>
      </c>
      <c r="K4" s="252">
        <v>90466853992</v>
      </c>
    </row>
    <row r="5" spans="1:11" x14ac:dyDescent="0.25">
      <c r="A5" s="251">
        <v>4</v>
      </c>
      <c r="B5" s="251" t="s">
        <v>330</v>
      </c>
      <c r="C5" s="251" t="s">
        <v>331</v>
      </c>
      <c r="D5" s="255" t="s">
        <v>1256</v>
      </c>
      <c r="E5" s="251" t="s">
        <v>324</v>
      </c>
      <c r="F5" s="251" t="s">
        <v>332</v>
      </c>
      <c r="G5" s="251" t="s">
        <v>25</v>
      </c>
      <c r="H5" s="251" t="s">
        <v>304</v>
      </c>
      <c r="I5" s="252">
        <v>1916240323661</v>
      </c>
      <c r="J5" s="252">
        <v>1662313108169</v>
      </c>
      <c r="K5" s="252">
        <v>27143433986</v>
      </c>
    </row>
    <row r="6" spans="1:11" x14ac:dyDescent="0.25">
      <c r="A6" s="251">
        <v>5</v>
      </c>
      <c r="B6" s="251" t="s">
        <v>337</v>
      </c>
      <c r="C6" s="251" t="s">
        <v>338</v>
      </c>
      <c r="D6" s="255" t="s">
        <v>1257</v>
      </c>
      <c r="E6" s="251" t="s">
        <v>339</v>
      </c>
      <c r="F6" s="251" t="s">
        <v>340</v>
      </c>
      <c r="G6" s="251" t="s">
        <v>25</v>
      </c>
      <c r="H6" s="251" t="s">
        <v>304</v>
      </c>
      <c r="I6" s="252">
        <v>938638903649</v>
      </c>
      <c r="J6" s="252">
        <v>903653934652</v>
      </c>
      <c r="K6" s="252">
        <v>11107915901</v>
      </c>
    </row>
    <row r="7" spans="1:11" x14ac:dyDescent="0.25">
      <c r="A7" s="251">
        <v>6</v>
      </c>
      <c r="B7" s="251" t="s">
        <v>350</v>
      </c>
      <c r="C7" s="251" t="s">
        <v>351</v>
      </c>
      <c r="D7" s="255" t="s">
        <v>1258</v>
      </c>
      <c r="E7" s="251" t="s">
        <v>352</v>
      </c>
      <c r="F7" s="251" t="s">
        <v>353</v>
      </c>
      <c r="G7" s="251" t="s">
        <v>25</v>
      </c>
      <c r="H7" s="251" t="s">
        <v>304</v>
      </c>
      <c r="I7" s="252">
        <v>1572072876382</v>
      </c>
      <c r="J7" s="252">
        <v>1423979501539</v>
      </c>
      <c r="K7" s="252">
        <v>92822818261</v>
      </c>
    </row>
    <row r="8" spans="1:11" x14ac:dyDescent="0.25">
      <c r="A8" s="251">
        <v>7</v>
      </c>
      <c r="B8" s="251" t="s">
        <v>393</v>
      </c>
      <c r="C8" s="251" t="s">
        <v>394</v>
      </c>
      <c r="D8" s="255" t="s">
        <v>1259</v>
      </c>
      <c r="E8" s="251" t="s">
        <v>395</v>
      </c>
      <c r="F8" s="251" t="s">
        <v>396</v>
      </c>
      <c r="G8" s="251" t="s">
        <v>25</v>
      </c>
      <c r="H8" s="251" t="s">
        <v>304</v>
      </c>
      <c r="I8" s="252">
        <v>495157311217</v>
      </c>
      <c r="J8" s="252">
        <v>474972270538</v>
      </c>
      <c r="K8" s="252">
        <v>1198313916</v>
      </c>
    </row>
    <row r="9" spans="1:11" x14ac:dyDescent="0.25">
      <c r="A9" s="251">
        <v>8</v>
      </c>
      <c r="B9" s="251" t="s">
        <v>407</v>
      </c>
      <c r="C9" s="251" t="s">
        <v>408</v>
      </c>
      <c r="D9" s="255" t="s">
        <v>1260</v>
      </c>
      <c r="E9" s="251" t="s">
        <v>409</v>
      </c>
      <c r="F9" s="251" t="s">
        <v>410</v>
      </c>
      <c r="G9" s="251" t="s">
        <v>25</v>
      </c>
      <c r="H9" s="251" t="s">
        <v>304</v>
      </c>
      <c r="I9" s="252">
        <v>1198257196092</v>
      </c>
      <c r="J9" s="252">
        <v>930697522920</v>
      </c>
      <c r="K9" s="252">
        <v>-31759970220</v>
      </c>
    </row>
    <row r="10" spans="1:11" x14ac:dyDescent="0.25">
      <c r="A10" s="251">
        <v>9</v>
      </c>
      <c r="B10" s="251" t="s">
        <v>416</v>
      </c>
      <c r="C10" s="251" t="s">
        <v>417</v>
      </c>
      <c r="D10" s="255" t="s">
        <v>1261</v>
      </c>
      <c r="E10" s="251" t="s">
        <v>418</v>
      </c>
      <c r="F10" s="251" t="s">
        <v>419</v>
      </c>
      <c r="G10" s="251" t="s">
        <v>25</v>
      </c>
      <c r="H10" s="251" t="s">
        <v>304</v>
      </c>
      <c r="I10" s="252">
        <v>678637161237</v>
      </c>
      <c r="J10" s="252">
        <v>611008326041</v>
      </c>
      <c r="K10" s="252">
        <v>2259962226</v>
      </c>
    </row>
    <row r="11" spans="1:11" x14ac:dyDescent="0.25">
      <c r="A11" s="251">
        <v>10</v>
      </c>
      <c r="B11" s="251" t="s">
        <v>424</v>
      </c>
      <c r="C11" s="251" t="s">
        <v>425</v>
      </c>
      <c r="D11" s="255" t="s">
        <v>1262</v>
      </c>
      <c r="E11" s="251" t="s">
        <v>426</v>
      </c>
      <c r="F11" s="251" t="s">
        <v>427</v>
      </c>
      <c r="G11" s="251" t="s">
        <v>25</v>
      </c>
      <c r="H11" s="251" t="s">
        <v>304</v>
      </c>
      <c r="I11" s="252">
        <v>790012673309</v>
      </c>
      <c r="J11" s="252">
        <v>755885253676</v>
      </c>
      <c r="K11" s="252">
        <v>4016239631</v>
      </c>
    </row>
    <row r="12" spans="1:11" x14ac:dyDescent="0.25">
      <c r="A12" s="251">
        <v>11</v>
      </c>
      <c r="B12" s="251" t="s">
        <v>443</v>
      </c>
      <c r="C12" s="251" t="s">
        <v>444</v>
      </c>
      <c r="D12" s="255" t="s">
        <v>1263</v>
      </c>
      <c r="E12" s="251" t="s">
        <v>445</v>
      </c>
      <c r="F12" s="251" t="s">
        <v>446</v>
      </c>
      <c r="G12" s="251" t="s">
        <v>25</v>
      </c>
      <c r="H12" s="251" t="s">
        <v>304</v>
      </c>
      <c r="I12" s="252">
        <v>4254804824809</v>
      </c>
      <c r="J12" s="252">
        <v>3436981752619</v>
      </c>
      <c r="K12" s="252">
        <v>346561996407</v>
      </c>
    </row>
    <row r="13" spans="1:11" x14ac:dyDescent="0.25">
      <c r="A13" s="251">
        <v>12</v>
      </c>
      <c r="B13" s="251" t="s">
        <v>452</v>
      </c>
      <c r="C13" s="251" t="s">
        <v>453</v>
      </c>
      <c r="D13" s="255" t="s">
        <v>1264</v>
      </c>
      <c r="E13" s="251" t="s">
        <v>454</v>
      </c>
      <c r="F13" s="251" t="s">
        <v>455</v>
      </c>
      <c r="G13" s="251" t="s">
        <v>25</v>
      </c>
      <c r="H13" s="251" t="s">
        <v>304</v>
      </c>
      <c r="I13" s="252">
        <v>2242927867851</v>
      </c>
      <c r="J13" s="252">
        <v>1941456533886</v>
      </c>
      <c r="K13" s="252">
        <v>203216692398</v>
      </c>
    </row>
    <row r="14" spans="1:11" x14ac:dyDescent="0.25">
      <c r="A14" s="251">
        <v>13</v>
      </c>
      <c r="B14" s="251" t="s">
        <v>460</v>
      </c>
      <c r="C14" s="251" t="s">
        <v>461</v>
      </c>
      <c r="D14" s="255" t="s">
        <v>1265</v>
      </c>
      <c r="E14" s="251" t="s">
        <v>462</v>
      </c>
      <c r="F14" s="251" t="s">
        <v>463</v>
      </c>
      <c r="G14" s="251" t="s">
        <v>25</v>
      </c>
      <c r="H14" s="251" t="s">
        <v>304</v>
      </c>
      <c r="I14" s="252">
        <v>866764520099</v>
      </c>
      <c r="J14" s="252">
        <v>727332287078</v>
      </c>
      <c r="K14" s="252">
        <v>79146097731</v>
      </c>
    </row>
    <row r="15" spans="1:11" x14ac:dyDescent="0.25">
      <c r="A15" s="251">
        <v>14</v>
      </c>
      <c r="B15" s="251" t="s">
        <v>468</v>
      </c>
      <c r="C15" s="251" t="s">
        <v>469</v>
      </c>
      <c r="D15" s="255" t="s">
        <v>1266</v>
      </c>
      <c r="E15" s="251" t="s">
        <v>470</v>
      </c>
      <c r="F15" s="251" t="s">
        <v>471</v>
      </c>
      <c r="G15" s="251" t="s">
        <v>25</v>
      </c>
      <c r="H15" s="251" t="s">
        <v>472</v>
      </c>
      <c r="I15" s="252">
        <v>587737211876</v>
      </c>
      <c r="J15" s="252">
        <v>537403645780</v>
      </c>
      <c r="K15" s="252">
        <v>11747139513</v>
      </c>
    </row>
    <row r="16" spans="1:11" x14ac:dyDescent="0.25">
      <c r="A16" s="251">
        <v>15</v>
      </c>
      <c r="B16" s="251" t="s">
        <v>489</v>
      </c>
      <c r="C16" s="251" t="s">
        <v>490</v>
      </c>
      <c r="D16" s="255" t="s">
        <v>1267</v>
      </c>
      <c r="E16" s="251" t="s">
        <v>491</v>
      </c>
      <c r="F16" s="251" t="s">
        <v>492</v>
      </c>
      <c r="G16" s="251" t="s">
        <v>25</v>
      </c>
      <c r="H16" s="251" t="s">
        <v>472</v>
      </c>
      <c r="I16" s="252">
        <v>835203563984</v>
      </c>
      <c r="J16" s="252">
        <v>778108440852</v>
      </c>
      <c r="K16" s="252">
        <v>6841859698</v>
      </c>
    </row>
    <row r="17" spans="1:11" x14ac:dyDescent="0.25">
      <c r="A17" s="251">
        <v>16</v>
      </c>
      <c r="B17" s="251" t="s">
        <v>505</v>
      </c>
      <c r="C17" s="251" t="s">
        <v>498</v>
      </c>
      <c r="D17" s="255" t="s">
        <v>1268</v>
      </c>
      <c r="E17" s="251" t="s">
        <v>499</v>
      </c>
      <c r="F17" s="251" t="s">
        <v>503</v>
      </c>
      <c r="G17" s="251" t="s">
        <v>25</v>
      </c>
      <c r="H17" s="251" t="s">
        <v>304</v>
      </c>
      <c r="I17" s="252">
        <v>3588660524367</v>
      </c>
      <c r="J17" s="252">
        <v>3382394605011</v>
      </c>
      <c r="K17" s="252">
        <v>2543124898</v>
      </c>
    </row>
    <row r="18" spans="1:11" x14ac:dyDescent="0.25">
      <c r="A18" s="251">
        <v>17</v>
      </c>
      <c r="B18" s="251" t="s">
        <v>514</v>
      </c>
      <c r="C18" s="251" t="s">
        <v>511</v>
      </c>
      <c r="D18" s="255" t="s">
        <v>1269</v>
      </c>
      <c r="E18" s="251" t="s">
        <v>512</v>
      </c>
      <c r="F18" s="251" t="s">
        <v>513</v>
      </c>
      <c r="G18" s="251" t="s">
        <v>25</v>
      </c>
      <c r="H18" s="251" t="s">
        <v>304</v>
      </c>
      <c r="I18" s="252">
        <v>7132738085336</v>
      </c>
      <c r="J18" s="252">
        <v>5385677383345</v>
      </c>
      <c r="K18" s="252">
        <v>1402763310732</v>
      </c>
    </row>
    <row r="19" spans="1:11" x14ac:dyDescent="0.25">
      <c r="A19" s="251">
        <v>18</v>
      </c>
      <c r="B19" s="251" t="s">
        <v>520</v>
      </c>
      <c r="C19" s="251" t="s">
        <v>521</v>
      </c>
      <c r="D19" s="255" t="s">
        <v>1270</v>
      </c>
      <c r="E19" s="251" t="s">
        <v>522</v>
      </c>
      <c r="F19" s="251" t="s">
        <v>523</v>
      </c>
      <c r="G19" s="251" t="s">
        <v>25</v>
      </c>
      <c r="H19" s="251" t="s">
        <v>304</v>
      </c>
      <c r="I19" s="252">
        <v>220106676044</v>
      </c>
      <c r="J19" s="252">
        <v>186886287295</v>
      </c>
      <c r="K19" s="252">
        <v>932227142</v>
      </c>
    </row>
    <row r="20" spans="1:11" x14ac:dyDescent="0.25">
      <c r="A20" s="251">
        <v>19</v>
      </c>
      <c r="B20" s="251" t="s">
        <v>531</v>
      </c>
      <c r="C20" s="251" t="s">
        <v>532</v>
      </c>
      <c r="D20" s="255" t="s">
        <v>1271</v>
      </c>
      <c r="E20" s="251" t="s">
        <v>533</v>
      </c>
      <c r="F20" s="251" t="s">
        <v>534</v>
      </c>
      <c r="G20" s="251" t="s">
        <v>25</v>
      </c>
      <c r="H20" s="251" t="s">
        <v>304</v>
      </c>
      <c r="I20" s="252">
        <v>1558754280956</v>
      </c>
      <c r="J20" s="252">
        <v>1371010297576</v>
      </c>
      <c r="K20" s="252">
        <v>75587002484</v>
      </c>
    </row>
    <row r="21" spans="1:11" x14ac:dyDescent="0.25">
      <c r="A21" s="251">
        <v>20</v>
      </c>
      <c r="B21" s="251" t="s">
        <v>543</v>
      </c>
      <c r="C21" s="251" t="s">
        <v>540</v>
      </c>
      <c r="D21" s="255" t="s">
        <v>1272</v>
      </c>
      <c r="E21" s="251" t="s">
        <v>541</v>
      </c>
      <c r="F21" s="251" t="s">
        <v>544</v>
      </c>
      <c r="G21" s="251" t="s">
        <v>25</v>
      </c>
      <c r="H21" s="251" t="s">
        <v>304</v>
      </c>
      <c r="I21" s="252">
        <v>2393803745114</v>
      </c>
      <c r="J21" s="252">
        <v>1797282377332</v>
      </c>
      <c r="K21" s="252">
        <v>1930699315646</v>
      </c>
    </row>
    <row r="22" spans="1:11" x14ac:dyDescent="0.25">
      <c r="A22" s="251">
        <v>21</v>
      </c>
      <c r="B22" s="251" t="s">
        <v>547</v>
      </c>
      <c r="C22" s="251" t="s">
        <v>548</v>
      </c>
      <c r="D22" s="255" t="s">
        <v>1273</v>
      </c>
      <c r="E22" s="251" t="s">
        <v>549</v>
      </c>
      <c r="F22" s="251" t="s">
        <v>550</v>
      </c>
      <c r="G22" s="251" t="s">
        <v>25</v>
      </c>
      <c r="H22" s="251" t="s">
        <v>304</v>
      </c>
      <c r="I22" s="252">
        <v>1240074967818</v>
      </c>
      <c r="J22" s="252">
        <v>1163415254286</v>
      </c>
      <c r="K22" s="252">
        <v>4633992381</v>
      </c>
    </row>
    <row r="23" spans="1:11" x14ac:dyDescent="0.25">
      <c r="A23" s="251">
        <v>22</v>
      </c>
      <c r="B23" s="251" t="s">
        <v>556</v>
      </c>
      <c r="C23" s="251" t="s">
        <v>557</v>
      </c>
      <c r="D23" s="255" t="s">
        <v>1274</v>
      </c>
      <c r="E23" s="251" t="s">
        <v>558</v>
      </c>
      <c r="F23" s="251" t="s">
        <v>559</v>
      </c>
      <c r="G23" s="251" t="s">
        <v>25</v>
      </c>
      <c r="H23" s="251" t="s">
        <v>472</v>
      </c>
      <c r="I23" s="252">
        <v>468158108525</v>
      </c>
      <c r="J23" s="252">
        <v>420567840344</v>
      </c>
      <c r="K23" s="252">
        <v>3112855063</v>
      </c>
    </row>
    <row r="24" spans="1:11" x14ac:dyDescent="0.25">
      <c r="A24" s="251">
        <v>23</v>
      </c>
      <c r="B24" s="251" t="s">
        <v>568</v>
      </c>
      <c r="C24" s="251" t="s">
        <v>569</v>
      </c>
      <c r="D24" s="255" t="s">
        <v>1275</v>
      </c>
      <c r="E24" s="251" t="s">
        <v>570</v>
      </c>
      <c r="F24" s="251" t="s">
        <v>571</v>
      </c>
      <c r="G24" s="251" t="s">
        <v>25</v>
      </c>
      <c r="H24" s="251" t="s">
        <v>304</v>
      </c>
      <c r="I24" s="252">
        <v>378580541096</v>
      </c>
      <c r="J24" s="252">
        <v>345145683054</v>
      </c>
      <c r="K24" s="252">
        <v>2631384945</v>
      </c>
    </row>
    <row r="25" spans="1:11" x14ac:dyDescent="0.25">
      <c r="A25" s="251">
        <v>24</v>
      </c>
      <c r="B25" s="251" t="s">
        <v>577</v>
      </c>
      <c r="C25" s="251" t="s">
        <v>578</v>
      </c>
      <c r="D25" s="255" t="s">
        <v>1276</v>
      </c>
      <c r="E25" s="251" t="s">
        <v>579</v>
      </c>
      <c r="F25" s="251" t="s">
        <v>580</v>
      </c>
      <c r="G25" s="251" t="s">
        <v>25</v>
      </c>
      <c r="H25" s="251" t="s">
        <v>472</v>
      </c>
      <c r="I25" s="252">
        <v>485533564712</v>
      </c>
      <c r="J25" s="252">
        <v>417440175906</v>
      </c>
      <c r="K25" s="252">
        <v>6685993701</v>
      </c>
    </row>
    <row r="26" spans="1:11" x14ac:dyDescent="0.25">
      <c r="A26" s="251">
        <v>25</v>
      </c>
      <c r="B26" s="251" t="s">
        <v>585</v>
      </c>
      <c r="C26" s="251" t="s">
        <v>586</v>
      </c>
      <c r="D26" s="255" t="s">
        <v>1277</v>
      </c>
      <c r="E26" s="251" t="s">
        <v>587</v>
      </c>
      <c r="F26" s="251" t="s">
        <v>588</v>
      </c>
      <c r="G26" s="251" t="s">
        <v>25</v>
      </c>
      <c r="H26" s="251" t="s">
        <v>304</v>
      </c>
      <c r="I26" s="252">
        <v>830555780828</v>
      </c>
      <c r="J26" s="252">
        <v>807673351703</v>
      </c>
      <c r="K26" s="252">
        <v>4641065470</v>
      </c>
    </row>
    <row r="27" spans="1:11" x14ac:dyDescent="0.25">
      <c r="A27" s="251">
        <v>26</v>
      </c>
      <c r="B27" s="251" t="s">
        <v>602</v>
      </c>
      <c r="C27" s="251" t="s">
        <v>596</v>
      </c>
      <c r="D27" s="255" t="s">
        <v>1278</v>
      </c>
      <c r="E27" s="251" t="s">
        <v>597</v>
      </c>
      <c r="F27" s="251" t="s">
        <v>603</v>
      </c>
      <c r="G27" s="251" t="s">
        <v>25</v>
      </c>
      <c r="H27" s="251" t="s">
        <v>304</v>
      </c>
      <c r="I27" s="252">
        <v>4079425418438</v>
      </c>
      <c r="J27" s="252">
        <v>3668492665969</v>
      </c>
      <c r="K27" s="252">
        <v>18620203536</v>
      </c>
    </row>
    <row r="28" spans="1:11" x14ac:dyDescent="0.25">
      <c r="A28" s="251">
        <v>27</v>
      </c>
      <c r="B28" s="251" t="s">
        <v>610</v>
      </c>
      <c r="C28" s="251" t="s">
        <v>611</v>
      </c>
      <c r="D28" s="255" t="s">
        <v>1279</v>
      </c>
      <c r="E28" s="251" t="s">
        <v>324</v>
      </c>
      <c r="F28" s="251" t="s">
        <v>612</v>
      </c>
      <c r="G28" s="251" t="s">
        <v>25</v>
      </c>
      <c r="H28" s="251" t="s">
        <v>304</v>
      </c>
      <c r="I28" s="252">
        <v>424228472463</v>
      </c>
      <c r="J28" s="252">
        <v>355355619782</v>
      </c>
      <c r="K28" s="252">
        <v>22628020619</v>
      </c>
    </row>
    <row r="29" spans="1:11" x14ac:dyDescent="0.25">
      <c r="A29" s="251">
        <v>28</v>
      </c>
      <c r="B29" s="251" t="s">
        <v>621</v>
      </c>
      <c r="C29" s="251" t="s">
        <v>618</v>
      </c>
      <c r="D29" s="255" t="s">
        <v>1280</v>
      </c>
      <c r="E29" s="251" t="s">
        <v>619</v>
      </c>
      <c r="F29" s="251" t="s">
        <v>620</v>
      </c>
      <c r="G29" s="251" t="s">
        <v>25</v>
      </c>
      <c r="H29" s="251" t="s">
        <v>304</v>
      </c>
      <c r="I29" s="252">
        <v>1366281236829</v>
      </c>
      <c r="J29" s="252">
        <v>1291204196188</v>
      </c>
      <c r="K29" s="252">
        <v>1016622187</v>
      </c>
    </row>
    <row r="30" spans="1:11" x14ac:dyDescent="0.25">
      <c r="A30" s="251">
        <v>29</v>
      </c>
      <c r="B30" s="251" t="s">
        <v>634</v>
      </c>
      <c r="C30" s="251" t="s">
        <v>635</v>
      </c>
      <c r="D30" s="255" t="s">
        <v>1281</v>
      </c>
      <c r="E30" s="251" t="s">
        <v>636</v>
      </c>
      <c r="F30" s="251" t="s">
        <v>637</v>
      </c>
      <c r="G30" s="251" t="s">
        <v>25</v>
      </c>
      <c r="H30" s="251" t="s">
        <v>304</v>
      </c>
      <c r="I30" s="252">
        <v>1088945440000</v>
      </c>
      <c r="J30" s="252">
        <v>1063830474858</v>
      </c>
      <c r="K30" s="252">
        <v>22145799226</v>
      </c>
    </row>
    <row r="31" spans="1:11" x14ac:dyDescent="0.25">
      <c r="A31" s="251">
        <v>30</v>
      </c>
      <c r="B31" s="251" t="s">
        <v>642</v>
      </c>
      <c r="C31" s="251" t="s">
        <v>643</v>
      </c>
      <c r="D31" s="255" t="s">
        <v>1282</v>
      </c>
      <c r="E31" s="251" t="s">
        <v>644</v>
      </c>
      <c r="F31" s="251" t="s">
        <v>645</v>
      </c>
      <c r="G31" s="251" t="s">
        <v>25</v>
      </c>
      <c r="H31" s="251" t="s">
        <v>472</v>
      </c>
      <c r="I31" s="252">
        <v>696441939806</v>
      </c>
      <c r="J31" s="252">
        <v>620995994868</v>
      </c>
      <c r="K31" s="252">
        <v>2333401155</v>
      </c>
    </row>
    <row r="32" spans="1:11" x14ac:dyDescent="0.25">
      <c r="A32" s="251">
        <v>31</v>
      </c>
      <c r="B32" s="251" t="s">
        <v>651</v>
      </c>
      <c r="C32" s="251" t="s">
        <v>652</v>
      </c>
      <c r="D32" s="255" t="s">
        <v>1283</v>
      </c>
      <c r="E32" s="251" t="s">
        <v>653</v>
      </c>
      <c r="F32" s="251" t="s">
        <v>654</v>
      </c>
      <c r="G32" s="251" t="s">
        <v>25</v>
      </c>
      <c r="H32" s="251" t="s">
        <v>304</v>
      </c>
      <c r="I32" s="252">
        <v>4416824916083</v>
      </c>
      <c r="J32" s="252">
        <v>4265845326657</v>
      </c>
      <c r="K32" s="252">
        <v>61240870853</v>
      </c>
    </row>
    <row r="33" spans="1:11" x14ac:dyDescent="0.25">
      <c r="A33" s="251">
        <v>32</v>
      </c>
      <c r="B33" s="251" t="s">
        <v>660</v>
      </c>
      <c r="C33" s="251" t="s">
        <v>661</v>
      </c>
      <c r="D33" s="255" t="s">
        <v>1284</v>
      </c>
      <c r="E33" s="251" t="s">
        <v>491</v>
      </c>
      <c r="F33" s="251" t="s">
        <v>662</v>
      </c>
      <c r="G33" s="251" t="s">
        <v>25</v>
      </c>
      <c r="H33" s="251" t="s">
        <v>304</v>
      </c>
      <c r="I33" s="252">
        <v>551349097561</v>
      </c>
      <c r="J33" s="252">
        <v>469518543982</v>
      </c>
      <c r="K33" s="252">
        <v>6361618547</v>
      </c>
    </row>
    <row r="34" spans="1:11" x14ac:dyDescent="0.25">
      <c r="A34" s="251">
        <v>33</v>
      </c>
      <c r="B34" s="251" t="s">
        <v>673</v>
      </c>
      <c r="C34" s="251" t="s">
        <v>668</v>
      </c>
      <c r="D34" s="255" t="s">
        <v>1285</v>
      </c>
      <c r="E34" s="251" t="s">
        <v>669</v>
      </c>
      <c r="F34" s="251" t="s">
        <v>670</v>
      </c>
      <c r="G34" s="251" t="s">
        <v>25</v>
      </c>
      <c r="H34" s="251" t="s">
        <v>472</v>
      </c>
      <c r="I34" s="252">
        <v>215740210865</v>
      </c>
      <c r="J34" s="252">
        <v>202480111956</v>
      </c>
      <c r="K34" s="252">
        <v>1312850975</v>
      </c>
    </row>
    <row r="35" spans="1:11" x14ac:dyDescent="0.25">
      <c r="A35" s="251">
        <v>34</v>
      </c>
      <c r="B35" s="251" t="s">
        <v>679</v>
      </c>
      <c r="C35" s="251" t="s">
        <v>680</v>
      </c>
      <c r="D35" s="255" t="s">
        <v>1286</v>
      </c>
      <c r="E35" s="251" t="s">
        <v>681</v>
      </c>
      <c r="F35" s="251" t="s">
        <v>682</v>
      </c>
      <c r="G35" s="251" t="s">
        <v>25</v>
      </c>
      <c r="H35" s="251" t="s">
        <v>472</v>
      </c>
      <c r="I35" s="252">
        <v>484336693302</v>
      </c>
      <c r="J35" s="252">
        <v>437044954149</v>
      </c>
      <c r="K35" s="252">
        <v>-718361962</v>
      </c>
    </row>
    <row r="36" spans="1:11" x14ac:dyDescent="0.25">
      <c r="A36" s="251">
        <v>35</v>
      </c>
      <c r="B36" s="251" t="s">
        <v>690</v>
      </c>
      <c r="C36" s="251" t="s">
        <v>691</v>
      </c>
      <c r="D36" s="255" t="s">
        <v>1287</v>
      </c>
      <c r="E36" s="251" t="s">
        <v>499</v>
      </c>
      <c r="F36" s="251" t="s">
        <v>692</v>
      </c>
      <c r="G36" s="251" t="s">
        <v>25</v>
      </c>
      <c r="H36" s="251" t="s">
        <v>304</v>
      </c>
      <c r="I36" s="252">
        <v>954267366808</v>
      </c>
      <c r="J36" s="252">
        <v>911508040888</v>
      </c>
      <c r="K36" s="252">
        <v>5406157194</v>
      </c>
    </row>
    <row r="37" spans="1:11" x14ac:dyDescent="0.25">
      <c r="A37" s="251">
        <v>36</v>
      </c>
      <c r="B37" s="251" t="s">
        <v>697</v>
      </c>
      <c r="C37" s="251" t="s">
        <v>698</v>
      </c>
      <c r="D37" s="255" t="s">
        <v>1288</v>
      </c>
      <c r="E37" s="251" t="s">
        <v>352</v>
      </c>
      <c r="F37" s="251" t="s">
        <v>699</v>
      </c>
      <c r="G37" s="251" t="s">
        <v>25</v>
      </c>
      <c r="H37" s="251" t="s">
        <v>472</v>
      </c>
      <c r="I37" s="252">
        <v>570579630866</v>
      </c>
      <c r="J37" s="252">
        <v>547126107224</v>
      </c>
      <c r="K37" s="252">
        <v>36468320</v>
      </c>
    </row>
    <row r="38" spans="1:11" x14ac:dyDescent="0.25">
      <c r="A38" s="251">
        <v>37</v>
      </c>
      <c r="B38" s="251" t="s">
        <v>705</v>
      </c>
      <c r="C38" s="251" t="s">
        <v>706</v>
      </c>
      <c r="D38" s="255" t="s">
        <v>1289</v>
      </c>
      <c r="E38" s="251" t="s">
        <v>707</v>
      </c>
      <c r="F38" s="251" t="s">
        <v>708</v>
      </c>
      <c r="G38" s="251" t="s">
        <v>25</v>
      </c>
      <c r="H38" s="251" t="s">
        <v>304</v>
      </c>
      <c r="I38" s="252">
        <v>494205167532</v>
      </c>
      <c r="J38" s="252">
        <v>462215237547</v>
      </c>
      <c r="K38" s="252">
        <v>12093042155</v>
      </c>
    </row>
    <row r="39" spans="1:11" x14ac:dyDescent="0.25">
      <c r="A39" s="251">
        <v>38</v>
      </c>
      <c r="B39" s="251" t="s">
        <v>714</v>
      </c>
      <c r="C39" s="251" t="s">
        <v>715</v>
      </c>
      <c r="D39" s="255" t="s">
        <v>1290</v>
      </c>
      <c r="E39" s="251" t="s">
        <v>716</v>
      </c>
      <c r="F39" s="251" t="s">
        <v>717</v>
      </c>
      <c r="G39" s="251" t="s">
        <v>25</v>
      </c>
      <c r="H39" s="251" t="s">
        <v>304</v>
      </c>
      <c r="I39" s="252">
        <v>1632212762920</v>
      </c>
      <c r="J39" s="252">
        <v>1522289503016</v>
      </c>
      <c r="K39" s="252">
        <v>12511591827</v>
      </c>
    </row>
    <row r="40" spans="1:11" x14ac:dyDescent="0.25">
      <c r="A40" s="251">
        <v>39</v>
      </c>
      <c r="B40" s="251" t="s">
        <v>722</v>
      </c>
      <c r="C40" s="251" t="s">
        <v>723</v>
      </c>
      <c r="D40" s="255" t="s">
        <v>1291</v>
      </c>
      <c r="E40" s="251" t="s">
        <v>724</v>
      </c>
      <c r="F40" s="251" t="s">
        <v>725</v>
      </c>
      <c r="G40" s="251" t="s">
        <v>25</v>
      </c>
      <c r="H40" s="251" t="s">
        <v>304</v>
      </c>
      <c r="I40" s="252">
        <v>3091602023791</v>
      </c>
      <c r="J40" s="252">
        <v>2860734002987</v>
      </c>
      <c r="K40" s="252">
        <v>120981756604</v>
      </c>
    </row>
    <row r="41" spans="1:11" x14ac:dyDescent="0.25">
      <c r="A41" s="251">
        <v>40</v>
      </c>
      <c r="B41" s="251" t="s">
        <v>747</v>
      </c>
      <c r="C41" s="251" t="s">
        <v>742</v>
      </c>
      <c r="D41" s="255" t="s">
        <v>1292</v>
      </c>
      <c r="E41" s="251" t="s">
        <v>743</v>
      </c>
      <c r="F41" s="251" t="s">
        <v>744</v>
      </c>
      <c r="G41" s="251" t="s">
        <v>25</v>
      </c>
      <c r="H41" s="251" t="s">
        <v>472</v>
      </c>
      <c r="I41" s="252">
        <v>411445826760</v>
      </c>
      <c r="J41" s="252">
        <v>368422617475</v>
      </c>
      <c r="K41" s="252">
        <v>-4813388</v>
      </c>
    </row>
    <row r="42" spans="1:11" x14ac:dyDescent="0.25">
      <c r="A42" s="251">
        <v>41</v>
      </c>
      <c r="B42" s="251" t="s">
        <v>753</v>
      </c>
      <c r="C42" s="251" t="s">
        <v>754</v>
      </c>
      <c r="D42" s="255" t="s">
        <v>1293</v>
      </c>
      <c r="E42" s="251" t="s">
        <v>755</v>
      </c>
      <c r="F42" s="251" t="s">
        <v>756</v>
      </c>
      <c r="G42" s="251" t="s">
        <v>25</v>
      </c>
      <c r="H42" s="251" t="s">
        <v>472</v>
      </c>
      <c r="I42" s="252">
        <v>323836731333</v>
      </c>
      <c r="J42" s="252">
        <v>279012596519</v>
      </c>
      <c r="K42" s="252">
        <v>4485063617</v>
      </c>
    </row>
    <row r="43" spans="1:11" x14ac:dyDescent="0.25">
      <c r="A43" s="251">
        <v>42</v>
      </c>
      <c r="B43" s="251" t="s">
        <v>764</v>
      </c>
      <c r="C43" s="251" t="s">
        <v>765</v>
      </c>
      <c r="D43" s="255" t="s">
        <v>1294</v>
      </c>
      <c r="E43" s="251" t="s">
        <v>766</v>
      </c>
      <c r="F43" s="251" t="s">
        <v>767</v>
      </c>
      <c r="G43" s="251" t="s">
        <v>25</v>
      </c>
      <c r="H43" s="251" t="s">
        <v>304</v>
      </c>
      <c r="I43" s="252">
        <v>109509837003</v>
      </c>
      <c r="J43" s="252">
        <v>94710224693</v>
      </c>
      <c r="K43" s="252">
        <v>633976250</v>
      </c>
    </row>
    <row r="44" spans="1:11" x14ac:dyDescent="0.25">
      <c r="A44" s="251">
        <v>43</v>
      </c>
      <c r="B44" s="251" t="s">
        <v>775</v>
      </c>
      <c r="C44" s="251" t="s">
        <v>776</v>
      </c>
      <c r="D44" s="255" t="s">
        <v>1295</v>
      </c>
      <c r="E44" s="251" t="s">
        <v>777</v>
      </c>
      <c r="F44" s="251" t="s">
        <v>778</v>
      </c>
      <c r="G44" s="251" t="s">
        <v>25</v>
      </c>
      <c r="H44" s="251" t="s">
        <v>304</v>
      </c>
      <c r="I44" s="252">
        <v>2759907910326</v>
      </c>
      <c r="J44" s="252">
        <v>2515381899716</v>
      </c>
      <c r="K44" s="252">
        <v>3413038283</v>
      </c>
    </row>
    <row r="45" spans="1:11" x14ac:dyDescent="0.25">
      <c r="A45" s="251">
        <v>44</v>
      </c>
      <c r="B45" s="251" t="s">
        <v>783</v>
      </c>
      <c r="C45" s="251" t="s">
        <v>784</v>
      </c>
      <c r="D45" s="255" t="s">
        <v>1296</v>
      </c>
      <c r="E45" s="251" t="s">
        <v>785</v>
      </c>
      <c r="F45" s="251" t="s">
        <v>786</v>
      </c>
      <c r="G45" s="251" t="s">
        <v>25</v>
      </c>
      <c r="H45" s="251" t="s">
        <v>304</v>
      </c>
      <c r="I45" s="252">
        <v>2450923032915</v>
      </c>
      <c r="J45" s="252">
        <v>2312752264722</v>
      </c>
      <c r="K45" s="252">
        <v>-2316591729</v>
      </c>
    </row>
    <row r="46" spans="1:11" x14ac:dyDescent="0.25">
      <c r="A46" s="251">
        <v>45</v>
      </c>
      <c r="B46" s="251" t="s">
        <v>791</v>
      </c>
      <c r="C46" s="251" t="s">
        <v>792</v>
      </c>
      <c r="D46" s="255" t="s">
        <v>1297</v>
      </c>
      <c r="E46" s="251" t="s">
        <v>793</v>
      </c>
      <c r="F46" s="251" t="s">
        <v>794</v>
      </c>
      <c r="G46" s="251" t="s">
        <v>25</v>
      </c>
      <c r="H46" s="251" t="s">
        <v>304</v>
      </c>
      <c r="I46" s="252">
        <v>1538175184153</v>
      </c>
      <c r="J46" s="252">
        <v>1595980573761</v>
      </c>
      <c r="K46" s="252">
        <v>1462588468</v>
      </c>
    </row>
    <row r="47" spans="1:11" x14ac:dyDescent="0.25">
      <c r="A47" s="251">
        <v>46</v>
      </c>
      <c r="B47" s="251" t="s">
        <v>799</v>
      </c>
      <c r="C47" s="251" t="s">
        <v>800</v>
      </c>
      <c r="D47" s="255" t="s">
        <v>1298</v>
      </c>
      <c r="E47" s="251" t="s">
        <v>801</v>
      </c>
      <c r="F47" s="251" t="s">
        <v>802</v>
      </c>
      <c r="G47" s="251" t="s">
        <v>25</v>
      </c>
      <c r="H47" s="251" t="s">
        <v>472</v>
      </c>
      <c r="I47" s="252">
        <v>1066323841344</v>
      </c>
      <c r="J47" s="252">
        <v>715372887174</v>
      </c>
      <c r="K47" s="252">
        <v>2634548398</v>
      </c>
    </row>
    <row r="48" spans="1:11" x14ac:dyDescent="0.25">
      <c r="A48" s="251">
        <v>47</v>
      </c>
      <c r="B48" s="251" t="s">
        <v>808</v>
      </c>
      <c r="C48" s="251" t="s">
        <v>809</v>
      </c>
      <c r="D48" s="255" t="s">
        <v>1299</v>
      </c>
      <c r="E48" s="251" t="s">
        <v>810</v>
      </c>
      <c r="F48" s="251" t="s">
        <v>811</v>
      </c>
      <c r="G48" s="251" t="s">
        <v>25</v>
      </c>
      <c r="H48" s="251" t="s">
        <v>304</v>
      </c>
      <c r="I48" s="252">
        <v>370611247587</v>
      </c>
      <c r="J48" s="252">
        <v>235227274528</v>
      </c>
      <c r="K48" s="252">
        <v>156016883193</v>
      </c>
    </row>
    <row r="49" spans="1:11" x14ac:dyDescent="0.25">
      <c r="A49" s="251">
        <v>48</v>
      </c>
      <c r="B49" s="251" t="s">
        <v>817</v>
      </c>
      <c r="C49" s="251" t="s">
        <v>818</v>
      </c>
      <c r="D49" s="255" t="s">
        <v>1300</v>
      </c>
      <c r="E49" s="251" t="s">
        <v>819</v>
      </c>
      <c r="F49" s="251" t="s">
        <v>820</v>
      </c>
      <c r="G49" s="251" t="s">
        <v>25</v>
      </c>
      <c r="H49" s="251" t="s">
        <v>304</v>
      </c>
      <c r="I49" s="252">
        <v>806667497231</v>
      </c>
      <c r="J49" s="252">
        <v>762396683302</v>
      </c>
      <c r="K49" s="252">
        <v>4055815556</v>
      </c>
    </row>
    <row r="50" spans="1:11" x14ac:dyDescent="0.25">
      <c r="A50" s="251">
        <v>49</v>
      </c>
      <c r="B50" s="251" t="s">
        <v>825</v>
      </c>
      <c r="C50" s="251" t="s">
        <v>826</v>
      </c>
      <c r="D50" s="255" t="s">
        <v>1301</v>
      </c>
      <c r="E50" s="251" t="s">
        <v>491</v>
      </c>
      <c r="F50" s="251" t="s">
        <v>827</v>
      </c>
      <c r="G50" s="251" t="s">
        <v>25</v>
      </c>
      <c r="H50" s="251" t="s">
        <v>472</v>
      </c>
      <c r="I50" s="252">
        <v>431920722238</v>
      </c>
      <c r="J50" s="252">
        <v>393954748487</v>
      </c>
      <c r="K50" s="252">
        <v>7737391449</v>
      </c>
    </row>
    <row r="51" spans="1:11" x14ac:dyDescent="0.25">
      <c r="A51" s="251">
        <v>50</v>
      </c>
      <c r="B51" s="251" t="s">
        <v>834</v>
      </c>
      <c r="C51" s="251" t="s">
        <v>835</v>
      </c>
      <c r="D51" s="255" t="s">
        <v>1302</v>
      </c>
      <c r="E51" s="251" t="s">
        <v>836</v>
      </c>
      <c r="F51" s="251" t="s">
        <v>837</v>
      </c>
      <c r="G51" s="251" t="s">
        <v>25</v>
      </c>
      <c r="H51" s="251" t="s">
        <v>472</v>
      </c>
      <c r="I51" s="252">
        <v>1054238715647</v>
      </c>
      <c r="J51" s="252">
        <v>1005292637004</v>
      </c>
      <c r="K51" s="252">
        <v>36568810129</v>
      </c>
    </row>
    <row r="52" spans="1:11" x14ac:dyDescent="0.25">
      <c r="A52" s="251">
        <v>51</v>
      </c>
      <c r="B52" s="251" t="s">
        <v>845</v>
      </c>
      <c r="C52" s="251" t="s">
        <v>846</v>
      </c>
      <c r="D52" s="255" t="s">
        <v>1303</v>
      </c>
      <c r="E52" s="251" t="s">
        <v>847</v>
      </c>
      <c r="F52" s="251" t="s">
        <v>848</v>
      </c>
      <c r="G52" s="251" t="s">
        <v>25</v>
      </c>
      <c r="H52" s="251" t="s">
        <v>304</v>
      </c>
      <c r="I52" s="252">
        <v>801951828845</v>
      </c>
      <c r="J52" s="252">
        <v>571450385006</v>
      </c>
      <c r="K52" s="252">
        <v>54482065444</v>
      </c>
    </row>
    <row r="53" spans="1:11" x14ac:dyDescent="0.25">
      <c r="A53" s="251">
        <v>52</v>
      </c>
      <c r="B53" s="251" t="s">
        <v>853</v>
      </c>
      <c r="C53" s="251" t="s">
        <v>854</v>
      </c>
      <c r="D53" s="255" t="s">
        <v>1304</v>
      </c>
      <c r="E53" s="251" t="s">
        <v>855</v>
      </c>
      <c r="F53" s="251" t="s">
        <v>856</v>
      </c>
      <c r="G53" s="251" t="s">
        <v>25</v>
      </c>
      <c r="H53" s="251" t="s">
        <v>304</v>
      </c>
      <c r="I53" s="252">
        <v>2792821394348</v>
      </c>
      <c r="J53" s="252">
        <v>2635287022345</v>
      </c>
      <c r="K53" s="252">
        <v>112876092432</v>
      </c>
    </row>
    <row r="54" spans="1:11" x14ac:dyDescent="0.25">
      <c r="A54" s="251">
        <v>53</v>
      </c>
      <c r="B54" s="251" t="s">
        <v>866</v>
      </c>
      <c r="C54" s="251" t="s">
        <v>867</v>
      </c>
      <c r="D54" s="255" t="s">
        <v>1305</v>
      </c>
      <c r="E54" s="251" t="s">
        <v>868</v>
      </c>
      <c r="F54" s="251" t="s">
        <v>869</v>
      </c>
      <c r="G54" s="251" t="s">
        <v>25</v>
      </c>
      <c r="H54" s="251" t="s">
        <v>304</v>
      </c>
      <c r="I54" s="252">
        <v>2947558928163</v>
      </c>
      <c r="J54" s="252">
        <v>2625701175593</v>
      </c>
      <c r="K54" s="252">
        <v>109178511881</v>
      </c>
    </row>
    <row r="55" spans="1:11" x14ac:dyDescent="0.25">
      <c r="A55" s="251">
        <v>54</v>
      </c>
      <c r="B55" s="251" t="s">
        <v>877</v>
      </c>
      <c r="C55" s="251" t="s">
        <v>878</v>
      </c>
      <c r="D55" s="255" t="s">
        <v>1306</v>
      </c>
      <c r="E55" s="251" t="s">
        <v>454</v>
      </c>
      <c r="F55" s="251" t="s">
        <v>879</v>
      </c>
      <c r="G55" s="251" t="s">
        <v>25</v>
      </c>
      <c r="H55" s="251" t="s">
        <v>304</v>
      </c>
      <c r="I55" s="252">
        <v>367286841847</v>
      </c>
      <c r="J55" s="252">
        <v>340072509717</v>
      </c>
      <c r="K55" s="252">
        <v>-2295362015</v>
      </c>
    </row>
    <row r="56" spans="1:11" x14ac:dyDescent="0.25">
      <c r="A56" s="251">
        <v>55</v>
      </c>
      <c r="B56" s="251" t="s">
        <v>887</v>
      </c>
      <c r="C56" s="251" t="s">
        <v>888</v>
      </c>
      <c r="D56" s="255" t="s">
        <v>1307</v>
      </c>
      <c r="E56" s="251" t="s">
        <v>889</v>
      </c>
      <c r="F56" s="251" t="s">
        <v>890</v>
      </c>
      <c r="G56" s="251" t="s">
        <v>25</v>
      </c>
      <c r="H56" s="251" t="s">
        <v>304</v>
      </c>
      <c r="I56" s="252">
        <v>777897084416</v>
      </c>
      <c r="J56" s="252">
        <v>619091271074</v>
      </c>
      <c r="K56" s="252">
        <v>88488664442</v>
      </c>
    </row>
    <row r="57" spans="1:11" x14ac:dyDescent="0.25">
      <c r="A57" s="251">
        <v>56</v>
      </c>
      <c r="B57" s="251" t="s">
        <v>896</v>
      </c>
      <c r="C57" s="251" t="s">
        <v>897</v>
      </c>
      <c r="D57" s="255" t="s">
        <v>1308</v>
      </c>
      <c r="E57" s="251" t="s">
        <v>653</v>
      </c>
      <c r="F57" s="251" t="s">
        <v>898</v>
      </c>
      <c r="G57" s="251" t="s">
        <v>25</v>
      </c>
      <c r="H57" s="251" t="s">
        <v>304</v>
      </c>
      <c r="I57" s="252">
        <v>967705956035</v>
      </c>
      <c r="J57" s="252">
        <v>918852036766</v>
      </c>
      <c r="K57" s="252">
        <v>19328663634</v>
      </c>
    </row>
    <row r="58" spans="1:11" x14ac:dyDescent="0.25">
      <c r="A58" s="251">
        <v>57</v>
      </c>
      <c r="B58" s="251" t="s">
        <v>902</v>
      </c>
      <c r="C58" s="251" t="s">
        <v>903</v>
      </c>
      <c r="D58" s="255" t="s">
        <v>1309</v>
      </c>
      <c r="E58" s="251" t="s">
        <v>904</v>
      </c>
      <c r="F58" s="251" t="s">
        <v>905</v>
      </c>
      <c r="G58" s="251" t="s">
        <v>25</v>
      </c>
      <c r="H58" s="251" t="s">
        <v>304</v>
      </c>
      <c r="I58" s="252">
        <v>685273315817</v>
      </c>
      <c r="J58" s="252">
        <v>533517013823</v>
      </c>
      <c r="K58" s="252">
        <v>3420345364</v>
      </c>
    </row>
    <row r="59" spans="1:11" x14ac:dyDescent="0.25">
      <c r="A59" s="251">
        <v>58</v>
      </c>
      <c r="B59" s="251" t="s">
        <v>911</v>
      </c>
      <c r="C59" s="251" t="s">
        <v>912</v>
      </c>
      <c r="D59" s="255" t="s">
        <v>1310</v>
      </c>
      <c r="E59" s="251" t="s">
        <v>913</v>
      </c>
      <c r="F59" s="251" t="s">
        <v>914</v>
      </c>
      <c r="G59" s="251" t="s">
        <v>25</v>
      </c>
      <c r="H59" s="251" t="s">
        <v>304</v>
      </c>
      <c r="I59" s="252">
        <v>194198073299</v>
      </c>
      <c r="J59" s="252">
        <v>175173945986</v>
      </c>
      <c r="K59" s="252">
        <v>-12875857400</v>
      </c>
    </row>
    <row r="60" spans="1:11" x14ac:dyDescent="0.25">
      <c r="A60" s="251">
        <v>59</v>
      </c>
      <c r="B60" s="251" t="s">
        <v>919</v>
      </c>
      <c r="C60" s="251" t="s">
        <v>920</v>
      </c>
      <c r="D60" s="255" t="s">
        <v>1311</v>
      </c>
      <c r="E60" s="251" t="s">
        <v>491</v>
      </c>
      <c r="F60" s="251" t="s">
        <v>921</v>
      </c>
      <c r="G60" s="251" t="s">
        <v>25</v>
      </c>
      <c r="H60" s="251" t="s">
        <v>472</v>
      </c>
      <c r="I60" s="252">
        <v>414933892207</v>
      </c>
      <c r="J60" s="252">
        <v>365664160562</v>
      </c>
      <c r="K60" s="252">
        <v>12869750504</v>
      </c>
    </row>
    <row r="61" spans="1:11" x14ac:dyDescent="0.25">
      <c r="A61" s="251">
        <v>60</v>
      </c>
      <c r="B61" s="251" t="s">
        <v>927</v>
      </c>
      <c r="C61" s="251" t="s">
        <v>928</v>
      </c>
      <c r="D61" s="255" t="s">
        <v>1312</v>
      </c>
      <c r="E61" s="251" t="s">
        <v>929</v>
      </c>
      <c r="F61" s="251" t="s">
        <v>930</v>
      </c>
      <c r="G61" s="251" t="s">
        <v>25</v>
      </c>
      <c r="H61" s="251"/>
      <c r="I61" s="252">
        <v>1328145807823</v>
      </c>
      <c r="J61" s="252">
        <v>1196584696563</v>
      </c>
      <c r="K61" s="252">
        <v>350838191</v>
      </c>
    </row>
    <row r="62" spans="1:11" x14ac:dyDescent="0.25">
      <c r="A62" s="251">
        <v>61</v>
      </c>
      <c r="B62" s="251" t="s">
        <v>941</v>
      </c>
      <c r="C62" s="251" t="s">
        <v>938</v>
      </c>
      <c r="D62" s="255" t="s">
        <v>1313</v>
      </c>
      <c r="E62" s="251" t="s">
        <v>939</v>
      </c>
      <c r="F62" s="251" t="s">
        <v>940</v>
      </c>
      <c r="G62" s="251" t="s">
        <v>25</v>
      </c>
      <c r="H62" s="251" t="s">
        <v>304</v>
      </c>
      <c r="I62" s="252">
        <v>687945552157</v>
      </c>
      <c r="J62" s="252">
        <v>672081751911</v>
      </c>
      <c r="K62" s="252">
        <v>8226930216</v>
      </c>
    </row>
    <row r="63" spans="1:11" x14ac:dyDescent="0.25">
      <c r="A63" s="251">
        <v>62</v>
      </c>
      <c r="B63" s="251" t="s">
        <v>947</v>
      </c>
      <c r="C63" s="251" t="s">
        <v>948</v>
      </c>
      <c r="D63" s="255" t="s">
        <v>1314</v>
      </c>
      <c r="E63" s="251" t="s">
        <v>949</v>
      </c>
      <c r="F63" s="251" t="s">
        <v>950</v>
      </c>
      <c r="G63" s="251" t="s">
        <v>25</v>
      </c>
      <c r="H63" s="251" t="s">
        <v>304</v>
      </c>
      <c r="I63" s="252">
        <v>802558887580</v>
      </c>
      <c r="J63" s="252">
        <v>773710842533</v>
      </c>
      <c r="K63" s="252">
        <v>3200987596</v>
      </c>
    </row>
    <row r="64" spans="1:11" x14ac:dyDescent="0.25">
      <c r="A64" s="251">
        <v>63</v>
      </c>
      <c r="B64" s="251" t="s">
        <v>955</v>
      </c>
      <c r="C64" s="251" t="s">
        <v>956</v>
      </c>
      <c r="D64" s="255" t="s">
        <v>1315</v>
      </c>
      <c r="E64" s="251" t="s">
        <v>957</v>
      </c>
      <c r="F64" s="251" t="s">
        <v>958</v>
      </c>
      <c r="G64" s="251" t="s">
        <v>25</v>
      </c>
      <c r="H64" s="251" t="s">
        <v>304</v>
      </c>
      <c r="I64" s="252">
        <v>979399197083</v>
      </c>
      <c r="J64" s="252">
        <v>901324725492</v>
      </c>
      <c r="K64" s="252">
        <v>37676667075</v>
      </c>
    </row>
    <row r="65" spans="1:11" x14ac:dyDescent="0.25">
      <c r="A65" s="251">
        <v>64</v>
      </c>
      <c r="B65" s="251" t="s">
        <v>963</v>
      </c>
      <c r="C65" s="251" t="s">
        <v>964</v>
      </c>
      <c r="D65" s="255" t="s">
        <v>1316</v>
      </c>
      <c r="E65" s="251" t="s">
        <v>965</v>
      </c>
      <c r="F65" s="251" t="s">
        <v>966</v>
      </c>
      <c r="G65" s="251" t="s">
        <v>25</v>
      </c>
      <c r="H65" s="251" t="s">
        <v>472</v>
      </c>
      <c r="I65" s="252">
        <v>287761331996</v>
      </c>
      <c r="J65" s="252">
        <v>268366828629</v>
      </c>
      <c r="K65" s="252">
        <v>211799878</v>
      </c>
    </row>
    <row r="66" spans="1:11" x14ac:dyDescent="0.25">
      <c r="A66" s="251">
        <v>65</v>
      </c>
      <c r="B66" s="251" t="s">
        <v>974</v>
      </c>
      <c r="C66" s="251" t="s">
        <v>975</v>
      </c>
      <c r="D66" s="255" t="s">
        <v>1317</v>
      </c>
      <c r="E66" s="251" t="s">
        <v>491</v>
      </c>
      <c r="F66" s="251" t="s">
        <v>976</v>
      </c>
      <c r="G66" s="251" t="s">
        <v>25</v>
      </c>
      <c r="H66" s="251" t="s">
        <v>472</v>
      </c>
      <c r="I66" s="252">
        <v>296529677550</v>
      </c>
      <c r="J66" s="252">
        <v>288173692272</v>
      </c>
      <c r="K66" s="252">
        <v>3770944540</v>
      </c>
    </row>
    <row r="67" spans="1:11" x14ac:dyDescent="0.25">
      <c r="A67" s="251">
        <v>66</v>
      </c>
      <c r="B67" s="251" t="s">
        <v>981</v>
      </c>
      <c r="C67" s="251" t="s">
        <v>982</v>
      </c>
      <c r="D67" s="255" t="s">
        <v>1318</v>
      </c>
      <c r="E67" s="251" t="s">
        <v>983</v>
      </c>
      <c r="F67" s="251" t="s">
        <v>984</v>
      </c>
      <c r="G67" s="251" t="s">
        <v>25</v>
      </c>
      <c r="H67" s="251" t="s">
        <v>304</v>
      </c>
      <c r="I67" s="252">
        <v>661846737272</v>
      </c>
      <c r="J67" s="252">
        <v>581712454009</v>
      </c>
      <c r="K67" s="252">
        <v>34134774249</v>
      </c>
    </row>
    <row r="68" spans="1:11" x14ac:dyDescent="0.25">
      <c r="A68" s="251">
        <v>67</v>
      </c>
      <c r="B68" s="251" t="s">
        <v>992</v>
      </c>
      <c r="C68" s="251" t="s">
        <v>993</v>
      </c>
      <c r="D68" s="255" t="s">
        <v>1319</v>
      </c>
      <c r="E68" s="251" t="s">
        <v>994</v>
      </c>
      <c r="F68" s="251" t="s">
        <v>995</v>
      </c>
      <c r="G68" s="251" t="s">
        <v>25</v>
      </c>
      <c r="H68" s="251" t="s">
        <v>472</v>
      </c>
      <c r="I68" s="252">
        <v>226525924032</v>
      </c>
      <c r="J68" s="252">
        <v>199114252875</v>
      </c>
      <c r="K68" s="252">
        <v>600328212</v>
      </c>
    </row>
    <row r="69" spans="1:11" x14ac:dyDescent="0.25">
      <c r="A69" s="251">
        <v>68</v>
      </c>
      <c r="B69" s="251" t="s">
        <v>1000</v>
      </c>
      <c r="C69" s="251" t="s">
        <v>1001</v>
      </c>
      <c r="D69" s="255" t="s">
        <v>1320</v>
      </c>
      <c r="E69" s="251" t="s">
        <v>1002</v>
      </c>
      <c r="F69" s="251" t="s">
        <v>1003</v>
      </c>
      <c r="G69" s="251" t="s">
        <v>25</v>
      </c>
      <c r="H69" s="251" t="s">
        <v>304</v>
      </c>
      <c r="I69" s="252">
        <v>766066839085</v>
      </c>
      <c r="J69" s="252">
        <v>741203233215</v>
      </c>
      <c r="K69" s="252">
        <v>3424133552</v>
      </c>
    </row>
    <row r="70" spans="1:11" x14ac:dyDescent="0.25">
      <c r="A70" s="251">
        <v>69</v>
      </c>
      <c r="B70" s="251" t="s">
        <v>1013</v>
      </c>
      <c r="C70" s="251" t="s">
        <v>1009</v>
      </c>
      <c r="D70" s="255" t="s">
        <v>1321</v>
      </c>
      <c r="E70" s="251" t="s">
        <v>1010</v>
      </c>
      <c r="F70" s="251" t="s">
        <v>1014</v>
      </c>
      <c r="G70" s="251" t="s">
        <v>25</v>
      </c>
      <c r="H70" s="251"/>
      <c r="I70" s="252">
        <v>222864112243</v>
      </c>
      <c r="J70" s="252">
        <v>191022054884</v>
      </c>
      <c r="K70" s="252">
        <v>23476543198</v>
      </c>
    </row>
    <row r="71" spans="1:11" x14ac:dyDescent="0.25">
      <c r="A71" s="251">
        <v>70</v>
      </c>
      <c r="B71" s="251" t="s">
        <v>1020</v>
      </c>
      <c r="C71" s="251" t="s">
        <v>1021</v>
      </c>
      <c r="D71" s="255" t="s">
        <v>1322</v>
      </c>
      <c r="E71" s="251" t="s">
        <v>836</v>
      </c>
      <c r="F71" s="251" t="s">
        <v>1022</v>
      </c>
      <c r="G71" s="251" t="s">
        <v>25</v>
      </c>
      <c r="H71" s="251" t="s">
        <v>304</v>
      </c>
      <c r="I71" s="252">
        <v>223288917677</v>
      </c>
      <c r="J71" s="252">
        <v>216945387994</v>
      </c>
      <c r="K71" s="252">
        <v>2480661962</v>
      </c>
    </row>
    <row r="72" spans="1:11" x14ac:dyDescent="0.25">
      <c r="A72" s="251">
        <v>71</v>
      </c>
      <c r="B72" s="251" t="s">
        <v>1027</v>
      </c>
      <c r="C72" s="251" t="s">
        <v>1028</v>
      </c>
      <c r="D72" s="255" t="s">
        <v>1323</v>
      </c>
      <c r="E72" s="251" t="s">
        <v>653</v>
      </c>
      <c r="F72" s="251" t="s">
        <v>1029</v>
      </c>
      <c r="G72" s="251" t="s">
        <v>25</v>
      </c>
      <c r="H72" s="251" t="s">
        <v>304</v>
      </c>
      <c r="I72" s="252">
        <v>0</v>
      </c>
      <c r="J72" s="252">
        <v>0</v>
      </c>
      <c r="K72" s="252">
        <v>-50420999</v>
      </c>
    </row>
    <row r="73" spans="1:11" x14ac:dyDescent="0.25">
      <c r="A73" s="251">
        <v>72</v>
      </c>
      <c r="B73" s="251" t="s">
        <v>1036</v>
      </c>
      <c r="C73" s="251" t="s">
        <v>1037</v>
      </c>
      <c r="D73" s="255" t="s">
        <v>1324</v>
      </c>
      <c r="E73" s="251" t="s">
        <v>965</v>
      </c>
      <c r="F73" s="251" t="s">
        <v>1038</v>
      </c>
      <c r="G73" s="251" t="s">
        <v>25</v>
      </c>
      <c r="H73" s="251" t="s">
        <v>304</v>
      </c>
      <c r="I73" s="252">
        <v>301975997811</v>
      </c>
      <c r="J73" s="252">
        <v>298973610600</v>
      </c>
      <c r="K73" s="252">
        <v>771984166</v>
      </c>
    </row>
    <row r="74" spans="1:11" x14ac:dyDescent="0.25">
      <c r="A74" s="251">
        <v>73</v>
      </c>
      <c r="B74" s="251" t="s">
        <v>1054</v>
      </c>
      <c r="C74" s="251" t="s">
        <v>1055</v>
      </c>
      <c r="D74" s="255" t="s">
        <v>1325</v>
      </c>
      <c r="E74" s="251" t="s">
        <v>1056</v>
      </c>
      <c r="F74" s="251" t="s">
        <v>1057</v>
      </c>
      <c r="G74" s="251" t="s">
        <v>25</v>
      </c>
      <c r="H74" s="251" t="s">
        <v>472</v>
      </c>
      <c r="I74" s="252">
        <v>47430000</v>
      </c>
      <c r="J74" s="252">
        <v>39525000</v>
      </c>
      <c r="K74" s="252">
        <v>-399608133</v>
      </c>
    </row>
    <row r="75" spans="1:11" x14ac:dyDescent="0.25">
      <c r="A75" s="251">
        <v>74</v>
      </c>
      <c r="B75" s="251" t="s">
        <v>1064</v>
      </c>
      <c r="C75" s="251" t="s">
        <v>1065</v>
      </c>
      <c r="D75" s="255" t="s">
        <v>1326</v>
      </c>
      <c r="E75" s="251" t="s">
        <v>454</v>
      </c>
      <c r="F75" s="251" t="s">
        <v>1066</v>
      </c>
      <c r="G75" s="251" t="s">
        <v>25</v>
      </c>
      <c r="H75" s="251" t="s">
        <v>304</v>
      </c>
      <c r="I75" s="252">
        <v>197025017432</v>
      </c>
      <c r="J75" s="252">
        <v>162712558189</v>
      </c>
      <c r="K75" s="252">
        <v>16950475113</v>
      </c>
    </row>
    <row r="76" spans="1:11" x14ac:dyDescent="0.25">
      <c r="A76" s="251">
        <v>75</v>
      </c>
      <c r="B76" s="251" t="s">
        <v>1075</v>
      </c>
      <c r="C76" s="251" t="s">
        <v>1076</v>
      </c>
      <c r="D76" s="255" t="s">
        <v>1327</v>
      </c>
      <c r="E76" s="251" t="s">
        <v>1077</v>
      </c>
      <c r="F76" s="251" t="s">
        <v>1078</v>
      </c>
      <c r="G76" s="251" t="s">
        <v>25</v>
      </c>
      <c r="H76" s="251" t="s">
        <v>304</v>
      </c>
      <c r="I76" s="252">
        <v>229583553228</v>
      </c>
      <c r="J76" s="252">
        <v>220055973598</v>
      </c>
      <c r="K76" s="252">
        <v>5047171109</v>
      </c>
    </row>
    <row r="77" spans="1:11" x14ac:dyDescent="0.25">
      <c r="A77" s="251">
        <v>76</v>
      </c>
      <c r="B77" s="251" t="s">
        <v>1085</v>
      </c>
      <c r="C77" s="251" t="s">
        <v>1086</v>
      </c>
      <c r="D77" s="255" t="s">
        <v>1328</v>
      </c>
      <c r="E77" s="251" t="s">
        <v>1087</v>
      </c>
      <c r="F77" s="251" t="s">
        <v>1088</v>
      </c>
      <c r="G77" s="251" t="s">
        <v>25</v>
      </c>
      <c r="H77" s="251" t="s">
        <v>304</v>
      </c>
      <c r="I77" s="252">
        <v>428883718714</v>
      </c>
      <c r="J77" s="252">
        <v>390297898313</v>
      </c>
      <c r="K77" s="252">
        <v>843349271</v>
      </c>
    </row>
    <row r="78" spans="1:11" x14ac:dyDescent="0.25">
      <c r="A78" s="251">
        <v>77</v>
      </c>
      <c r="B78" s="251" t="s">
        <v>1094</v>
      </c>
      <c r="C78" s="251" t="s">
        <v>1095</v>
      </c>
      <c r="D78" s="255" t="s">
        <v>1329</v>
      </c>
      <c r="E78" s="251" t="s">
        <v>1096</v>
      </c>
      <c r="F78" s="251" t="s">
        <v>1097</v>
      </c>
      <c r="G78" s="251" t="s">
        <v>25</v>
      </c>
      <c r="H78" s="251" t="s">
        <v>304</v>
      </c>
      <c r="I78" s="252">
        <v>825220325364</v>
      </c>
      <c r="J78" s="252">
        <v>777799070577</v>
      </c>
      <c r="K78" s="252">
        <v>19288353428</v>
      </c>
    </row>
    <row r="79" spans="1:11" x14ac:dyDescent="0.25">
      <c r="A79" s="251">
        <v>78</v>
      </c>
      <c r="B79" s="251" t="s">
        <v>1103</v>
      </c>
      <c r="C79" s="251" t="s">
        <v>1104</v>
      </c>
      <c r="D79" s="255" t="s">
        <v>1330</v>
      </c>
      <c r="E79" s="251" t="s">
        <v>324</v>
      </c>
      <c r="F79" s="251" t="s">
        <v>1105</v>
      </c>
      <c r="G79" s="251" t="s">
        <v>25</v>
      </c>
      <c r="H79" s="251" t="s">
        <v>304</v>
      </c>
      <c r="I79" s="252">
        <v>965259825990</v>
      </c>
      <c r="J79" s="252">
        <v>808298445243</v>
      </c>
      <c r="K79" s="252">
        <v>106845696480</v>
      </c>
    </row>
    <row r="80" spans="1:11" x14ac:dyDescent="0.25">
      <c r="A80" s="251">
        <v>79</v>
      </c>
      <c r="B80" s="251" t="s">
        <v>1116</v>
      </c>
      <c r="C80" s="251" t="s">
        <v>1113</v>
      </c>
      <c r="D80" s="255" t="s">
        <v>1331</v>
      </c>
      <c r="E80" s="251" t="s">
        <v>1114</v>
      </c>
      <c r="F80" s="251" t="s">
        <v>1117</v>
      </c>
      <c r="G80" s="251" t="s">
        <v>25</v>
      </c>
      <c r="H80" s="251" t="s">
        <v>304</v>
      </c>
      <c r="I80" s="252">
        <v>362579466815</v>
      </c>
      <c r="J80" s="252">
        <v>276415131514</v>
      </c>
      <c r="K80" s="252">
        <v>-22449779441</v>
      </c>
    </row>
    <row r="81" spans="1:11" x14ac:dyDescent="0.25">
      <c r="A81" s="251">
        <v>80</v>
      </c>
      <c r="B81" s="251" t="s">
        <v>1125</v>
      </c>
      <c r="C81" s="251" t="s">
        <v>1126</v>
      </c>
      <c r="D81" s="255" t="s">
        <v>1332</v>
      </c>
      <c r="E81" s="251" t="s">
        <v>454</v>
      </c>
      <c r="F81" s="251" t="s">
        <v>1127</v>
      </c>
      <c r="G81" s="251" t="s">
        <v>25</v>
      </c>
      <c r="H81" s="251" t="s">
        <v>304</v>
      </c>
      <c r="I81" s="252">
        <v>627723664288</v>
      </c>
      <c r="J81" s="252">
        <v>584372439018</v>
      </c>
      <c r="K81" s="252">
        <v>-1658355919</v>
      </c>
    </row>
    <row r="82" spans="1:11" x14ac:dyDescent="0.25">
      <c r="A82" s="251">
        <v>81</v>
      </c>
      <c r="B82" s="251" t="s">
        <v>1133</v>
      </c>
      <c r="C82" s="251" t="s">
        <v>1134</v>
      </c>
      <c r="D82" s="255" t="s">
        <v>1333</v>
      </c>
      <c r="E82" s="251" t="s">
        <v>1135</v>
      </c>
      <c r="F82" s="251" t="s">
        <v>1136</v>
      </c>
      <c r="G82" s="251" t="s">
        <v>25</v>
      </c>
      <c r="H82" s="251" t="s">
        <v>304</v>
      </c>
      <c r="I82" s="252">
        <v>6890789923797</v>
      </c>
      <c r="J82" s="252">
        <v>4598219171681</v>
      </c>
      <c r="K82" s="252">
        <v>1986156747720</v>
      </c>
    </row>
    <row r="83" spans="1:11" x14ac:dyDescent="0.25">
      <c r="A83" s="251">
        <v>82</v>
      </c>
      <c r="B83" s="251" t="s">
        <v>1141</v>
      </c>
      <c r="C83" s="251" t="s">
        <v>1142</v>
      </c>
      <c r="D83" s="255" t="s">
        <v>1334</v>
      </c>
      <c r="E83" s="251" t="s">
        <v>1143</v>
      </c>
      <c r="F83" s="251" t="s">
        <v>1144</v>
      </c>
      <c r="G83" s="251" t="s">
        <v>25</v>
      </c>
      <c r="H83" s="251" t="s">
        <v>304</v>
      </c>
      <c r="I83" s="252">
        <v>1512264608457</v>
      </c>
      <c r="J83" s="252">
        <v>1425051772341</v>
      </c>
      <c r="K83" s="252">
        <v>62843963703</v>
      </c>
    </row>
    <row r="84" spans="1:11" x14ac:dyDescent="0.25">
      <c r="A84" s="251">
        <v>83</v>
      </c>
      <c r="B84" s="251" t="s">
        <v>1157</v>
      </c>
      <c r="C84" s="251" t="s">
        <v>1158</v>
      </c>
      <c r="D84" s="255" t="s">
        <v>1335</v>
      </c>
      <c r="E84" s="251" t="s">
        <v>1159</v>
      </c>
      <c r="F84" s="251" t="s">
        <v>1160</v>
      </c>
      <c r="G84" s="251" t="s">
        <v>25</v>
      </c>
      <c r="H84" s="251" t="s">
        <v>304</v>
      </c>
      <c r="I84" s="252">
        <v>1760862996233</v>
      </c>
      <c r="J84" s="252">
        <v>1657871701534</v>
      </c>
      <c r="K84" s="252">
        <v>41205034414</v>
      </c>
    </row>
    <row r="85" spans="1:11" x14ac:dyDescent="0.25">
      <c r="A85" s="251">
        <v>84</v>
      </c>
      <c r="B85" s="251" t="s">
        <v>1167</v>
      </c>
      <c r="C85" s="251" t="s">
        <v>1168</v>
      </c>
      <c r="D85" s="255" t="s">
        <v>1336</v>
      </c>
      <c r="E85" s="251" t="s">
        <v>1169</v>
      </c>
      <c r="F85" s="251" t="s">
        <v>1170</v>
      </c>
      <c r="G85" s="251" t="s">
        <v>25</v>
      </c>
      <c r="H85" s="251" t="s">
        <v>304</v>
      </c>
      <c r="I85" s="252">
        <v>129248927339</v>
      </c>
      <c r="J85" s="252">
        <v>107801665544</v>
      </c>
      <c r="K85" s="252">
        <v>9425393872</v>
      </c>
    </row>
    <row r="86" spans="1:11" x14ac:dyDescent="0.25">
      <c r="A86" s="251">
        <v>85</v>
      </c>
      <c r="B86" s="251" t="s">
        <v>1180</v>
      </c>
      <c r="C86" s="251" t="s">
        <v>1181</v>
      </c>
      <c r="D86" s="255" t="s">
        <v>1337</v>
      </c>
      <c r="E86" s="251" t="s">
        <v>957</v>
      </c>
      <c r="F86" s="251" t="s">
        <v>1182</v>
      </c>
      <c r="G86" s="251" t="s">
        <v>25</v>
      </c>
      <c r="H86" s="251" t="s">
        <v>304</v>
      </c>
      <c r="I86" s="252">
        <v>6725792253900</v>
      </c>
      <c r="J86" s="252">
        <v>6302148974623</v>
      </c>
      <c r="K86" s="252">
        <v>88590615342</v>
      </c>
    </row>
    <row r="87" spans="1:11" x14ac:dyDescent="0.25">
      <c r="A87" s="251">
        <v>86</v>
      </c>
      <c r="B87" s="251" t="s">
        <v>1192</v>
      </c>
      <c r="C87" s="251" t="s">
        <v>1189</v>
      </c>
      <c r="D87" s="255" t="s">
        <v>1338</v>
      </c>
      <c r="E87" s="251" t="s">
        <v>1190</v>
      </c>
      <c r="F87" s="251" t="s">
        <v>1191</v>
      </c>
      <c r="G87" s="251" t="s">
        <v>25</v>
      </c>
      <c r="H87" s="251" t="s">
        <v>304</v>
      </c>
      <c r="I87" s="252">
        <v>336946761627</v>
      </c>
      <c r="J87" s="252">
        <v>284773335406</v>
      </c>
      <c r="K87" s="252">
        <v>631230175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
  <sheetViews>
    <sheetView topLeftCell="B81" workbookViewId="0">
      <selection activeCell="G113" sqref="G113"/>
    </sheetView>
  </sheetViews>
  <sheetFormatPr defaultRowHeight="12" x14ac:dyDescent="0.25"/>
  <cols>
    <col min="1" max="1" width="12.21875" style="256" bestFit="1" customWidth="1"/>
    <col min="2" max="2" width="24" style="256" bestFit="1" customWidth="1"/>
    <col min="3" max="3" width="10.5546875" style="256" bestFit="1" customWidth="1"/>
    <col min="4" max="4" width="12" style="256" bestFit="1" customWidth="1"/>
    <col min="5" max="5" width="46.6640625" style="256" bestFit="1" customWidth="1"/>
    <col min="6" max="6" width="29.5546875" style="256" bestFit="1" customWidth="1"/>
    <col min="7" max="7" width="14.21875" style="256" bestFit="1" customWidth="1"/>
    <col min="8" max="8" width="8" style="256" bestFit="1" customWidth="1"/>
    <col min="9" max="9" width="12.88671875" style="256" bestFit="1" customWidth="1"/>
    <col min="10" max="10" width="14.21875" style="256" bestFit="1" customWidth="1"/>
    <col min="11" max="11" width="8" style="256" bestFit="1" customWidth="1"/>
    <col min="12" max="16384" width="8.88671875" style="256"/>
  </cols>
  <sheetData>
    <row r="1" spans="1:11" x14ac:dyDescent="0.25">
      <c r="A1" s="256" t="s">
        <v>1340</v>
      </c>
      <c r="B1" s="256" t="s">
        <v>301</v>
      </c>
    </row>
    <row r="2" spans="1:11" x14ac:dyDescent="0.25">
      <c r="A2" s="256" t="s">
        <v>1339</v>
      </c>
      <c r="B2" s="257" t="s">
        <v>1253</v>
      </c>
    </row>
    <row r="3" spans="1:11" x14ac:dyDescent="0.25">
      <c r="A3" s="256" t="s">
        <v>1343</v>
      </c>
      <c r="B3" s="258">
        <v>1764268876041</v>
      </c>
    </row>
    <row r="4" spans="1:11" x14ac:dyDescent="0.25">
      <c r="A4" s="256" t="s">
        <v>1345</v>
      </c>
      <c r="B4" s="261">
        <v>2021</v>
      </c>
    </row>
    <row r="6" spans="1:11" x14ac:dyDescent="0.25">
      <c r="A6" s="256" t="s">
        <v>1341</v>
      </c>
    </row>
    <row r="7" spans="1:11" ht="22.8" x14ac:dyDescent="0.25">
      <c r="A7" s="260" t="s">
        <v>0</v>
      </c>
      <c r="B7" s="260" t="s">
        <v>2</v>
      </c>
      <c r="C7" s="260" t="s">
        <v>1344</v>
      </c>
      <c r="D7" s="260" t="s">
        <v>32</v>
      </c>
      <c r="E7" s="260" t="s">
        <v>1342</v>
      </c>
      <c r="F7" s="260" t="s">
        <v>1</v>
      </c>
      <c r="G7" s="260" t="s">
        <v>34</v>
      </c>
      <c r="H7" s="260" t="s">
        <v>3</v>
      </c>
      <c r="I7" s="260" t="s">
        <v>35</v>
      </c>
      <c r="J7" s="260" t="s">
        <v>36</v>
      </c>
      <c r="K7" s="260" t="s">
        <v>37</v>
      </c>
    </row>
    <row r="8" spans="1:11" x14ac:dyDescent="0.25">
      <c r="A8" s="259">
        <v>1</v>
      </c>
      <c r="B8" s="264" t="s">
        <v>1200</v>
      </c>
      <c r="C8" s="274">
        <v>44206</v>
      </c>
      <c r="D8" s="264" t="s">
        <v>1352</v>
      </c>
      <c r="E8" s="259" t="s">
        <v>627</v>
      </c>
      <c r="F8" s="259" t="s">
        <v>1353</v>
      </c>
      <c r="G8" s="263">
        <v>30962000000</v>
      </c>
      <c r="H8" s="262">
        <v>0.1</v>
      </c>
      <c r="I8" s="263">
        <v>3096200000</v>
      </c>
      <c r="J8" s="263">
        <v>34058200000</v>
      </c>
      <c r="K8" s="259" t="s">
        <v>1346</v>
      </c>
    </row>
    <row r="9" spans="1:11" x14ac:dyDescent="0.25">
      <c r="A9" s="259">
        <v>2</v>
      </c>
      <c r="B9" s="264" t="s">
        <v>1200</v>
      </c>
      <c r="C9" s="274">
        <v>44357</v>
      </c>
      <c r="D9" s="264" t="s">
        <v>1277</v>
      </c>
      <c r="E9" s="259" t="s">
        <v>586</v>
      </c>
      <c r="F9" s="259" t="s">
        <v>1353</v>
      </c>
      <c r="G9" s="263">
        <v>8299000000</v>
      </c>
      <c r="H9" s="262">
        <v>0.1</v>
      </c>
      <c r="I9" s="263">
        <v>829900000</v>
      </c>
      <c r="J9" s="263">
        <v>9128900000</v>
      </c>
      <c r="K9" s="259" t="s">
        <v>1346</v>
      </c>
    </row>
    <row r="10" spans="1:11" x14ac:dyDescent="0.25">
      <c r="A10" s="259">
        <v>3</v>
      </c>
      <c r="B10" s="264" t="s">
        <v>1200</v>
      </c>
      <c r="C10" s="274">
        <v>44387</v>
      </c>
      <c r="D10" s="264" t="s">
        <v>1266</v>
      </c>
      <c r="E10" s="259" t="s">
        <v>469</v>
      </c>
      <c r="F10" s="259" t="s">
        <v>1354</v>
      </c>
      <c r="G10" s="263">
        <v>17521000000</v>
      </c>
      <c r="H10" s="262">
        <v>0.1</v>
      </c>
      <c r="I10" s="263">
        <v>1752100000</v>
      </c>
      <c r="J10" s="263">
        <v>19273100000</v>
      </c>
      <c r="K10" s="259" t="s">
        <v>1346</v>
      </c>
    </row>
    <row r="11" spans="1:11" x14ac:dyDescent="0.25">
      <c r="A11" s="259">
        <v>4</v>
      </c>
      <c r="B11" s="264" t="s">
        <v>1200</v>
      </c>
      <c r="C11" s="274">
        <v>44449</v>
      </c>
      <c r="D11" s="264" t="s">
        <v>1257</v>
      </c>
      <c r="E11" s="259" t="s">
        <v>338</v>
      </c>
      <c r="F11" s="259" t="s">
        <v>1347</v>
      </c>
      <c r="G11" s="263">
        <v>15610000000</v>
      </c>
      <c r="H11" s="262">
        <v>0.1</v>
      </c>
      <c r="I11" s="263">
        <v>1561000000</v>
      </c>
      <c r="J11" s="263">
        <v>17171000000</v>
      </c>
      <c r="K11" s="259" t="s">
        <v>1346</v>
      </c>
    </row>
    <row r="12" spans="1:11" x14ac:dyDescent="0.25">
      <c r="A12" s="259">
        <v>5</v>
      </c>
      <c r="B12" s="264" t="s">
        <v>1200</v>
      </c>
      <c r="C12" s="274">
        <v>44211</v>
      </c>
      <c r="D12" s="264" t="s">
        <v>1280</v>
      </c>
      <c r="E12" s="259" t="s">
        <v>618</v>
      </c>
      <c r="F12" s="259" t="s">
        <v>1357</v>
      </c>
      <c r="G12" s="263">
        <v>34541000000</v>
      </c>
      <c r="H12" s="262">
        <v>0.1</v>
      </c>
      <c r="I12" s="263">
        <v>3454100000</v>
      </c>
      <c r="J12" s="263">
        <v>37995100000</v>
      </c>
      <c r="K12" s="259" t="s">
        <v>1348</v>
      </c>
    </row>
    <row r="13" spans="1:11" x14ac:dyDescent="0.25">
      <c r="A13" s="259">
        <v>6</v>
      </c>
      <c r="B13" s="264" t="s">
        <v>1200</v>
      </c>
      <c r="C13" s="274">
        <v>44242</v>
      </c>
      <c r="D13" s="264" t="s">
        <v>1267</v>
      </c>
      <c r="E13" s="259" t="s">
        <v>490</v>
      </c>
      <c r="F13" s="259" t="s">
        <v>1359</v>
      </c>
      <c r="G13" s="263">
        <v>32336000000</v>
      </c>
      <c r="H13" s="262">
        <v>0.1</v>
      </c>
      <c r="I13" s="263">
        <v>3233600000</v>
      </c>
      <c r="J13" s="263">
        <v>35569600000</v>
      </c>
      <c r="K13" s="259" t="s">
        <v>1348</v>
      </c>
    </row>
    <row r="14" spans="1:11" x14ac:dyDescent="0.25">
      <c r="A14" s="259">
        <v>7</v>
      </c>
      <c r="B14" s="264" t="s">
        <v>1200</v>
      </c>
      <c r="C14" s="274">
        <v>44270</v>
      </c>
      <c r="D14" s="264" t="s">
        <v>1282</v>
      </c>
      <c r="E14" s="259" t="s">
        <v>1361</v>
      </c>
      <c r="F14" s="259" t="s">
        <v>1353</v>
      </c>
      <c r="G14" s="263">
        <v>40284000000</v>
      </c>
      <c r="H14" s="262">
        <v>0.1</v>
      </c>
      <c r="I14" s="263">
        <v>4028400000</v>
      </c>
      <c r="J14" s="263">
        <v>44312400000</v>
      </c>
      <c r="K14" s="259" t="s">
        <v>1346</v>
      </c>
    </row>
    <row r="15" spans="1:11" x14ac:dyDescent="0.25">
      <c r="A15" s="259">
        <v>8</v>
      </c>
      <c r="B15" s="264" t="s">
        <v>1200</v>
      </c>
      <c r="C15" s="274">
        <v>44331</v>
      </c>
      <c r="D15" s="264" t="s">
        <v>1279</v>
      </c>
      <c r="E15" s="259" t="s">
        <v>611</v>
      </c>
      <c r="F15" s="259" t="s">
        <v>1363</v>
      </c>
      <c r="G15" s="263">
        <v>10584000000</v>
      </c>
      <c r="H15" s="262">
        <v>0.1</v>
      </c>
      <c r="I15" s="263">
        <v>1058400000</v>
      </c>
      <c r="J15" s="263">
        <v>11642400000</v>
      </c>
      <c r="K15" s="259" t="s">
        <v>1346</v>
      </c>
    </row>
    <row r="16" spans="1:11" x14ac:dyDescent="0.25">
      <c r="A16" s="259">
        <v>9</v>
      </c>
      <c r="B16" s="264" t="s">
        <v>1200</v>
      </c>
      <c r="C16" s="274">
        <v>44331</v>
      </c>
      <c r="D16" s="264" t="s">
        <v>1278</v>
      </c>
      <c r="E16" s="259" t="s">
        <v>1349</v>
      </c>
      <c r="F16" s="259" t="s">
        <v>1365</v>
      </c>
      <c r="G16" s="263">
        <v>22939000000</v>
      </c>
      <c r="H16" s="262">
        <v>0.1</v>
      </c>
      <c r="I16" s="263">
        <v>2293900000</v>
      </c>
      <c r="J16" s="263">
        <v>25232900000</v>
      </c>
      <c r="K16" s="259" t="s">
        <v>1348</v>
      </c>
    </row>
    <row r="17" spans="1:11" x14ac:dyDescent="0.25">
      <c r="A17" s="259">
        <v>10</v>
      </c>
      <c r="B17" s="264" t="s">
        <v>1200</v>
      </c>
      <c r="C17" s="274">
        <v>44423</v>
      </c>
      <c r="D17" s="264" t="s">
        <v>1260</v>
      </c>
      <c r="E17" s="259" t="s">
        <v>408</v>
      </c>
      <c r="F17" s="259" t="s">
        <v>1367</v>
      </c>
      <c r="G17" s="263">
        <v>8476000000</v>
      </c>
      <c r="H17" s="262">
        <v>0.1</v>
      </c>
      <c r="I17" s="263">
        <v>847600000</v>
      </c>
      <c r="J17" s="263">
        <v>9323600000</v>
      </c>
      <c r="K17" s="259" t="s">
        <v>1348</v>
      </c>
    </row>
    <row r="18" spans="1:11" s="249" customFormat="1" x14ac:dyDescent="0.25">
      <c r="A18" s="251">
        <v>11</v>
      </c>
      <c r="B18" s="255" t="s">
        <v>1200</v>
      </c>
      <c r="C18" s="275">
        <v>44454</v>
      </c>
      <c r="D18" s="255" t="s">
        <v>1369</v>
      </c>
      <c r="E18" s="251" t="s">
        <v>346</v>
      </c>
      <c r="F18" s="251" t="s">
        <v>1370</v>
      </c>
      <c r="G18" s="270">
        <v>15441000000</v>
      </c>
      <c r="H18" s="271">
        <v>0.05</v>
      </c>
      <c r="I18" s="270">
        <v>772050000</v>
      </c>
      <c r="J18" s="270">
        <v>16213050000</v>
      </c>
      <c r="K18" s="251" t="s">
        <v>1346</v>
      </c>
    </row>
    <row r="19" spans="1:11" x14ac:dyDescent="0.25">
      <c r="A19" s="259">
        <v>12</v>
      </c>
      <c r="B19" s="264" t="s">
        <v>1200</v>
      </c>
      <c r="C19" s="274">
        <v>44484</v>
      </c>
      <c r="D19" s="264" t="s">
        <v>1263</v>
      </c>
      <c r="E19" s="259" t="s">
        <v>444</v>
      </c>
      <c r="F19" s="259" t="s">
        <v>1372</v>
      </c>
      <c r="G19" s="263">
        <v>26017000000</v>
      </c>
      <c r="H19" s="262">
        <v>0.1</v>
      </c>
      <c r="I19" s="263">
        <v>2601700000</v>
      </c>
      <c r="J19" s="263">
        <v>28618700000</v>
      </c>
      <c r="K19" s="259" t="s">
        <v>1346</v>
      </c>
    </row>
    <row r="20" spans="1:11" x14ac:dyDescent="0.25">
      <c r="A20" s="259">
        <v>13</v>
      </c>
      <c r="B20" s="264" t="s">
        <v>1200</v>
      </c>
      <c r="C20" s="274">
        <v>44515</v>
      </c>
      <c r="D20" s="264" t="s">
        <v>1281</v>
      </c>
      <c r="E20" s="259" t="s">
        <v>635</v>
      </c>
      <c r="F20" s="259" t="s">
        <v>1353</v>
      </c>
      <c r="G20" s="263">
        <v>8356000000</v>
      </c>
      <c r="H20" s="262">
        <v>0.1</v>
      </c>
      <c r="I20" s="263">
        <v>835600000</v>
      </c>
      <c r="J20" s="263">
        <v>9191600000</v>
      </c>
      <c r="K20" s="259" t="s">
        <v>1346</v>
      </c>
    </row>
    <row r="21" spans="1:11" x14ac:dyDescent="0.25">
      <c r="A21" s="259">
        <v>14</v>
      </c>
      <c r="B21" s="264" t="s">
        <v>1200</v>
      </c>
      <c r="C21" s="274">
        <v>44515</v>
      </c>
      <c r="D21" s="264" t="s">
        <v>1283</v>
      </c>
      <c r="E21" s="259" t="s">
        <v>652</v>
      </c>
      <c r="F21" s="259" t="s">
        <v>1375</v>
      </c>
      <c r="G21" s="263">
        <v>14711000000</v>
      </c>
      <c r="H21" s="262">
        <v>0.1</v>
      </c>
      <c r="I21" s="263">
        <v>1471100000</v>
      </c>
      <c r="J21" s="263">
        <v>16182100000</v>
      </c>
      <c r="K21" s="259" t="s">
        <v>1348</v>
      </c>
    </row>
    <row r="22" spans="1:11" x14ac:dyDescent="0.25">
      <c r="A22" s="259">
        <v>15</v>
      </c>
      <c r="B22" s="264" t="s">
        <v>1200</v>
      </c>
      <c r="C22" s="274">
        <v>44545</v>
      </c>
      <c r="D22" s="264" t="s">
        <v>1258</v>
      </c>
      <c r="E22" s="259" t="s">
        <v>351</v>
      </c>
      <c r="F22" s="259" t="s">
        <v>1377</v>
      </c>
      <c r="G22" s="263">
        <v>31347000000</v>
      </c>
      <c r="H22" s="262">
        <v>0.1</v>
      </c>
      <c r="I22" s="263">
        <v>3134700000</v>
      </c>
      <c r="J22" s="263">
        <v>34481700000</v>
      </c>
      <c r="K22" s="259" t="s">
        <v>1346</v>
      </c>
    </row>
    <row r="23" spans="1:11" x14ac:dyDescent="0.25">
      <c r="A23" s="259">
        <v>16</v>
      </c>
      <c r="B23" s="264" t="s">
        <v>1201</v>
      </c>
      <c r="C23" s="274">
        <v>44545</v>
      </c>
      <c r="D23" s="264" t="s">
        <v>1282</v>
      </c>
      <c r="E23" s="259" t="s">
        <v>1361</v>
      </c>
      <c r="F23" s="259" t="s">
        <v>1367</v>
      </c>
      <c r="G23" s="263">
        <v>27477000000</v>
      </c>
      <c r="H23" s="262">
        <v>0.1</v>
      </c>
      <c r="I23" s="263">
        <v>2747700000</v>
      </c>
      <c r="J23" s="263">
        <v>30224700000</v>
      </c>
      <c r="K23" s="259" t="s">
        <v>1346</v>
      </c>
    </row>
    <row r="24" spans="1:11" x14ac:dyDescent="0.25">
      <c r="A24" s="259">
        <v>17</v>
      </c>
      <c r="B24" s="264" t="s">
        <v>1201</v>
      </c>
      <c r="C24" s="274">
        <v>44545</v>
      </c>
      <c r="D24" s="264" t="s">
        <v>1267</v>
      </c>
      <c r="E24" s="259" t="s">
        <v>490</v>
      </c>
      <c r="F24" s="259" t="s">
        <v>1380</v>
      </c>
      <c r="G24" s="263">
        <v>15508000000</v>
      </c>
      <c r="H24" s="262">
        <v>0.1</v>
      </c>
      <c r="I24" s="263">
        <v>1550800000</v>
      </c>
      <c r="J24" s="263">
        <v>17058800000</v>
      </c>
      <c r="K24" s="259" t="s">
        <v>1346</v>
      </c>
    </row>
    <row r="25" spans="1:11" x14ac:dyDescent="0.25">
      <c r="A25" s="259">
        <v>18</v>
      </c>
      <c r="B25" s="264" t="s">
        <v>1200</v>
      </c>
      <c r="C25" s="274">
        <v>44216</v>
      </c>
      <c r="D25" s="264" t="s">
        <v>1262</v>
      </c>
      <c r="E25" s="259" t="s">
        <v>425</v>
      </c>
      <c r="F25" s="259" t="s">
        <v>1347</v>
      </c>
      <c r="G25" s="263">
        <v>29111000000</v>
      </c>
      <c r="H25" s="262">
        <v>0.1</v>
      </c>
      <c r="I25" s="263">
        <v>2911100000</v>
      </c>
      <c r="J25" s="263">
        <v>32022100000</v>
      </c>
      <c r="K25" s="259" t="s">
        <v>1346</v>
      </c>
    </row>
    <row r="26" spans="1:11" x14ac:dyDescent="0.25">
      <c r="A26" s="259">
        <v>19</v>
      </c>
      <c r="B26" s="264" t="s">
        <v>1202</v>
      </c>
      <c r="C26" s="274">
        <v>44247</v>
      </c>
      <c r="D26" s="264" t="s">
        <v>1267</v>
      </c>
      <c r="E26" s="259" t="s">
        <v>490</v>
      </c>
      <c r="F26" s="259" t="s">
        <v>1354</v>
      </c>
      <c r="G26" s="263">
        <v>37232000000</v>
      </c>
      <c r="H26" s="262">
        <v>0.1</v>
      </c>
      <c r="I26" s="263">
        <v>3723200000</v>
      </c>
      <c r="J26" s="263">
        <v>40955200000</v>
      </c>
      <c r="K26" s="259" t="s">
        <v>1346</v>
      </c>
    </row>
    <row r="27" spans="1:11" x14ac:dyDescent="0.25">
      <c r="A27" s="259">
        <v>20</v>
      </c>
      <c r="B27" s="264" t="s">
        <v>1200</v>
      </c>
      <c r="C27" s="274">
        <v>44275</v>
      </c>
      <c r="D27" s="264" t="s">
        <v>1272</v>
      </c>
      <c r="E27" s="259" t="s">
        <v>540</v>
      </c>
      <c r="F27" s="259" t="s">
        <v>1359</v>
      </c>
      <c r="G27" s="263">
        <v>7617000000</v>
      </c>
      <c r="H27" s="262">
        <v>0.1</v>
      </c>
      <c r="I27" s="263">
        <v>761700000</v>
      </c>
      <c r="J27" s="263">
        <v>8378700000</v>
      </c>
      <c r="K27" s="259" t="s">
        <v>1348</v>
      </c>
    </row>
    <row r="28" spans="1:11" x14ac:dyDescent="0.25">
      <c r="A28" s="259">
        <v>21</v>
      </c>
      <c r="B28" s="264" t="s">
        <v>1200</v>
      </c>
      <c r="C28" s="274">
        <v>44306</v>
      </c>
      <c r="D28" s="264" t="s">
        <v>1384</v>
      </c>
      <c r="E28" s="259" t="s">
        <v>480</v>
      </c>
      <c r="F28" s="259" t="s">
        <v>1359</v>
      </c>
      <c r="G28" s="263">
        <v>37099000000</v>
      </c>
      <c r="H28" s="262">
        <v>0.1</v>
      </c>
      <c r="I28" s="263">
        <v>3709900000</v>
      </c>
      <c r="J28" s="263">
        <v>40808900000</v>
      </c>
      <c r="K28" s="259" t="s">
        <v>1346</v>
      </c>
    </row>
    <row r="29" spans="1:11" x14ac:dyDescent="0.25">
      <c r="A29" s="259">
        <v>22</v>
      </c>
      <c r="B29" s="264" t="s">
        <v>1201</v>
      </c>
      <c r="C29" s="274">
        <v>44306</v>
      </c>
      <c r="D29" s="264" t="s">
        <v>1369</v>
      </c>
      <c r="E29" s="259" t="s">
        <v>346</v>
      </c>
      <c r="F29" s="259" t="s">
        <v>1370</v>
      </c>
      <c r="G29" s="263">
        <v>33127000000</v>
      </c>
      <c r="H29" s="262">
        <v>0.05</v>
      </c>
      <c r="I29" s="263">
        <v>1656350000</v>
      </c>
      <c r="J29" s="263">
        <v>34783350000</v>
      </c>
      <c r="K29" s="259" t="s">
        <v>1348</v>
      </c>
    </row>
    <row r="30" spans="1:11" x14ac:dyDescent="0.25">
      <c r="A30" s="259">
        <v>23</v>
      </c>
      <c r="B30" s="264" t="s">
        <v>1200</v>
      </c>
      <c r="C30" s="274">
        <v>44306</v>
      </c>
      <c r="D30" s="264" t="s">
        <v>1284</v>
      </c>
      <c r="E30" s="259" t="s">
        <v>661</v>
      </c>
      <c r="F30" s="259" t="s">
        <v>1372</v>
      </c>
      <c r="G30" s="263">
        <v>19927000000</v>
      </c>
      <c r="H30" s="262">
        <v>0.1</v>
      </c>
      <c r="I30" s="263">
        <v>1992700000</v>
      </c>
      <c r="J30" s="263">
        <v>21919700000</v>
      </c>
      <c r="K30" s="259" t="s">
        <v>1346</v>
      </c>
    </row>
    <row r="31" spans="1:11" x14ac:dyDescent="0.25">
      <c r="A31" s="259">
        <v>24</v>
      </c>
      <c r="B31" s="264" t="s">
        <v>1200</v>
      </c>
      <c r="C31" s="274">
        <v>44367</v>
      </c>
      <c r="D31" s="264" t="s">
        <v>1386</v>
      </c>
      <c r="E31" s="259" t="s">
        <v>1236</v>
      </c>
      <c r="F31" s="259" t="s">
        <v>1380</v>
      </c>
      <c r="G31" s="263">
        <v>13112000000</v>
      </c>
      <c r="H31" s="262">
        <v>0.1</v>
      </c>
      <c r="I31" s="263">
        <v>1311200000</v>
      </c>
      <c r="J31" s="263">
        <v>14423200000</v>
      </c>
      <c r="K31" s="259" t="s">
        <v>1348</v>
      </c>
    </row>
    <row r="32" spans="1:11" x14ac:dyDescent="0.25">
      <c r="A32" s="259">
        <v>25</v>
      </c>
      <c r="B32" s="264" t="s">
        <v>1201</v>
      </c>
      <c r="C32" s="274">
        <v>44489</v>
      </c>
      <c r="D32" s="264" t="s">
        <v>1262</v>
      </c>
      <c r="E32" s="259" t="s">
        <v>425</v>
      </c>
      <c r="F32" s="259" t="s">
        <v>1367</v>
      </c>
      <c r="G32" s="263">
        <v>42683000000</v>
      </c>
      <c r="H32" s="262">
        <v>0.1</v>
      </c>
      <c r="I32" s="263">
        <v>4268300000</v>
      </c>
      <c r="J32" s="263">
        <v>46951300000</v>
      </c>
      <c r="K32" s="259" t="s">
        <v>1346</v>
      </c>
    </row>
    <row r="33" spans="1:11" x14ac:dyDescent="0.25">
      <c r="A33" s="259">
        <v>26</v>
      </c>
      <c r="B33" s="264" t="s">
        <v>1200</v>
      </c>
      <c r="C33" s="274">
        <v>44489</v>
      </c>
      <c r="D33" s="264" t="s">
        <v>1389</v>
      </c>
      <c r="E33" s="259" t="s">
        <v>384</v>
      </c>
      <c r="F33" s="259" t="s">
        <v>1390</v>
      </c>
      <c r="G33" s="263">
        <v>19792000000</v>
      </c>
      <c r="H33" s="262">
        <v>0.1</v>
      </c>
      <c r="I33" s="263">
        <v>1979200000</v>
      </c>
      <c r="J33" s="263">
        <v>21771200000</v>
      </c>
      <c r="K33" s="259" t="s">
        <v>1346</v>
      </c>
    </row>
    <row r="34" spans="1:11" x14ac:dyDescent="0.25">
      <c r="A34" s="259">
        <v>27</v>
      </c>
      <c r="B34" s="264" t="s">
        <v>1202</v>
      </c>
      <c r="C34" s="274">
        <v>44520</v>
      </c>
      <c r="D34" s="264" t="s">
        <v>1369</v>
      </c>
      <c r="E34" s="259" t="s">
        <v>346</v>
      </c>
      <c r="F34" s="259" t="s">
        <v>1350</v>
      </c>
      <c r="G34" s="263">
        <v>10798000000</v>
      </c>
      <c r="H34" s="262">
        <v>0</v>
      </c>
      <c r="I34" s="263">
        <v>0</v>
      </c>
      <c r="J34" s="263">
        <v>10798000000</v>
      </c>
      <c r="K34" s="259" t="s">
        <v>1346</v>
      </c>
    </row>
    <row r="35" spans="1:11" x14ac:dyDescent="0.25">
      <c r="A35" s="259">
        <v>28</v>
      </c>
      <c r="B35" s="264" t="s">
        <v>1200</v>
      </c>
      <c r="C35" s="274">
        <v>44550</v>
      </c>
      <c r="D35" s="264" t="s">
        <v>1270</v>
      </c>
      <c r="E35" s="259" t="s">
        <v>1393</v>
      </c>
      <c r="F35" s="259" t="s">
        <v>1372</v>
      </c>
      <c r="G35" s="263">
        <v>10944000000</v>
      </c>
      <c r="H35" s="262">
        <v>0.1</v>
      </c>
      <c r="I35" s="263">
        <v>1094400000</v>
      </c>
      <c r="J35" s="263">
        <v>12038400000</v>
      </c>
      <c r="K35" s="259" t="s">
        <v>1346</v>
      </c>
    </row>
    <row r="36" spans="1:11" x14ac:dyDescent="0.25">
      <c r="A36" s="259">
        <v>29</v>
      </c>
      <c r="B36" s="264" t="s">
        <v>1200</v>
      </c>
      <c r="C36" s="274">
        <v>44221</v>
      </c>
      <c r="D36" s="264" t="s">
        <v>1395</v>
      </c>
      <c r="E36" s="259" t="s">
        <v>561</v>
      </c>
      <c r="F36" s="259" t="s">
        <v>1380</v>
      </c>
      <c r="G36" s="263">
        <v>38636000000</v>
      </c>
      <c r="H36" s="262">
        <v>0.1</v>
      </c>
      <c r="I36" s="263">
        <v>3863600000</v>
      </c>
      <c r="J36" s="263">
        <v>42499600000</v>
      </c>
      <c r="K36" s="259" t="s">
        <v>1346</v>
      </c>
    </row>
    <row r="37" spans="1:11" x14ac:dyDescent="0.25">
      <c r="A37" s="259">
        <v>30</v>
      </c>
      <c r="B37" s="264" t="s">
        <v>1201</v>
      </c>
      <c r="C37" s="274">
        <v>44252</v>
      </c>
      <c r="D37" s="264" t="s">
        <v>1384</v>
      </c>
      <c r="E37" s="259" t="s">
        <v>480</v>
      </c>
      <c r="F37" s="259" t="s">
        <v>1347</v>
      </c>
      <c r="G37" s="263">
        <v>29645000000</v>
      </c>
      <c r="H37" s="262">
        <v>0.1</v>
      </c>
      <c r="I37" s="263">
        <v>2964500000</v>
      </c>
      <c r="J37" s="263">
        <v>32609500000</v>
      </c>
      <c r="K37" s="259" t="s">
        <v>1346</v>
      </c>
    </row>
    <row r="38" spans="1:11" x14ac:dyDescent="0.25">
      <c r="A38" s="259">
        <v>31</v>
      </c>
      <c r="B38" s="264" t="s">
        <v>1201</v>
      </c>
      <c r="C38" s="274">
        <v>44252</v>
      </c>
      <c r="D38" s="264" t="s">
        <v>1279</v>
      </c>
      <c r="E38" s="259" t="s">
        <v>611</v>
      </c>
      <c r="F38" s="259" t="s">
        <v>1347</v>
      </c>
      <c r="G38" s="263">
        <v>37147000000</v>
      </c>
      <c r="H38" s="262">
        <v>0.1</v>
      </c>
      <c r="I38" s="263">
        <v>3714700000</v>
      </c>
      <c r="J38" s="263">
        <v>40861700000</v>
      </c>
      <c r="K38" s="259" t="s">
        <v>1348</v>
      </c>
    </row>
    <row r="39" spans="1:11" x14ac:dyDescent="0.25">
      <c r="A39" s="259">
        <v>32</v>
      </c>
      <c r="B39" s="264" t="s">
        <v>1201</v>
      </c>
      <c r="C39" s="274">
        <v>44372</v>
      </c>
      <c r="D39" s="264" t="s">
        <v>1352</v>
      </c>
      <c r="E39" s="259" t="s">
        <v>627</v>
      </c>
      <c r="F39" s="259" t="s">
        <v>1354</v>
      </c>
      <c r="G39" s="263">
        <v>34292000000</v>
      </c>
      <c r="H39" s="262">
        <v>0.1</v>
      </c>
      <c r="I39" s="263">
        <v>3429200000</v>
      </c>
      <c r="J39" s="263">
        <v>37721200000</v>
      </c>
      <c r="K39" s="259" t="s">
        <v>1346</v>
      </c>
    </row>
    <row r="40" spans="1:11" x14ac:dyDescent="0.25">
      <c r="A40" s="259">
        <v>33</v>
      </c>
      <c r="B40" s="264" t="s">
        <v>1201</v>
      </c>
      <c r="C40" s="274">
        <v>44402</v>
      </c>
      <c r="D40" s="264" t="s">
        <v>1386</v>
      </c>
      <c r="E40" s="259" t="s">
        <v>1236</v>
      </c>
      <c r="F40" s="259" t="s">
        <v>1400</v>
      </c>
      <c r="G40" s="263">
        <v>27155000000</v>
      </c>
      <c r="H40" s="262">
        <v>0.1</v>
      </c>
      <c r="I40" s="263">
        <v>2715500000</v>
      </c>
      <c r="J40" s="263">
        <v>29870500000</v>
      </c>
      <c r="K40" s="259" t="s">
        <v>1346</v>
      </c>
    </row>
    <row r="41" spans="1:11" x14ac:dyDescent="0.25">
      <c r="A41" s="259">
        <v>34</v>
      </c>
      <c r="B41" s="264" t="s">
        <v>1201</v>
      </c>
      <c r="C41" s="274">
        <v>44402</v>
      </c>
      <c r="D41" s="264" t="s">
        <v>1389</v>
      </c>
      <c r="E41" s="259" t="s">
        <v>384</v>
      </c>
      <c r="F41" s="259" t="s">
        <v>1367</v>
      </c>
      <c r="G41" s="263">
        <v>43269000000</v>
      </c>
      <c r="H41" s="262">
        <v>0.1</v>
      </c>
      <c r="I41" s="263">
        <v>4326900000</v>
      </c>
      <c r="J41" s="263">
        <v>47595900000</v>
      </c>
      <c r="K41" s="259" t="s">
        <v>1346</v>
      </c>
    </row>
    <row r="42" spans="1:11" x14ac:dyDescent="0.25">
      <c r="A42" s="259">
        <v>35</v>
      </c>
      <c r="B42" s="264" t="s">
        <v>1202</v>
      </c>
      <c r="C42" s="274">
        <v>44464</v>
      </c>
      <c r="D42" s="264" t="s">
        <v>1386</v>
      </c>
      <c r="E42" s="259" t="s">
        <v>1236</v>
      </c>
      <c r="F42" s="259" t="s">
        <v>1357</v>
      </c>
      <c r="G42" s="263">
        <v>21339000000</v>
      </c>
      <c r="H42" s="262">
        <v>0.1</v>
      </c>
      <c r="I42" s="263">
        <v>2133900000</v>
      </c>
      <c r="J42" s="263">
        <v>23472900000</v>
      </c>
      <c r="K42" s="259" t="s">
        <v>1346</v>
      </c>
    </row>
    <row r="43" spans="1:11" x14ac:dyDescent="0.25">
      <c r="A43" s="259">
        <v>36</v>
      </c>
      <c r="B43" s="264" t="s">
        <v>1200</v>
      </c>
      <c r="C43" s="274">
        <v>44464</v>
      </c>
      <c r="D43" s="264" t="s">
        <v>1259</v>
      </c>
      <c r="E43" s="259" t="s">
        <v>394</v>
      </c>
      <c r="F43" s="259" t="s">
        <v>1367</v>
      </c>
      <c r="G43" s="263">
        <v>27738000000</v>
      </c>
      <c r="H43" s="262">
        <v>0.1</v>
      </c>
      <c r="I43" s="263">
        <v>2773800000</v>
      </c>
      <c r="J43" s="263">
        <v>30511800000</v>
      </c>
      <c r="K43" s="259" t="s">
        <v>1346</v>
      </c>
    </row>
    <row r="44" spans="1:11" x14ac:dyDescent="0.25">
      <c r="A44" s="259">
        <v>37</v>
      </c>
      <c r="B44" s="264" t="s">
        <v>1201</v>
      </c>
      <c r="C44" s="274">
        <v>44525</v>
      </c>
      <c r="D44" s="264" t="s">
        <v>1283</v>
      </c>
      <c r="E44" s="259" t="s">
        <v>652</v>
      </c>
      <c r="F44" s="259" t="s">
        <v>1353</v>
      </c>
      <c r="G44" s="263">
        <v>37969000000</v>
      </c>
      <c r="H44" s="262">
        <v>0.1</v>
      </c>
      <c r="I44" s="263">
        <v>3796900000</v>
      </c>
      <c r="J44" s="263">
        <v>41765900000</v>
      </c>
      <c r="K44" s="259" t="s">
        <v>1346</v>
      </c>
    </row>
    <row r="45" spans="1:11" x14ac:dyDescent="0.25">
      <c r="A45" s="259">
        <v>38</v>
      </c>
      <c r="B45" s="264" t="s">
        <v>1200</v>
      </c>
      <c r="C45" s="274">
        <v>44224</v>
      </c>
      <c r="D45" s="264" t="s">
        <v>1268</v>
      </c>
      <c r="E45" s="259" t="s">
        <v>498</v>
      </c>
      <c r="F45" s="259" t="s">
        <v>1363</v>
      </c>
      <c r="G45" s="263">
        <v>30190000000</v>
      </c>
      <c r="H45" s="262">
        <v>0.1</v>
      </c>
      <c r="I45" s="263">
        <v>3019000000</v>
      </c>
      <c r="J45" s="263">
        <v>33209000000</v>
      </c>
      <c r="K45" s="259" t="s">
        <v>1346</v>
      </c>
    </row>
    <row r="46" spans="1:11" x14ac:dyDescent="0.25">
      <c r="A46" s="259">
        <v>39</v>
      </c>
      <c r="B46" s="264" t="s">
        <v>1200</v>
      </c>
      <c r="C46" s="274">
        <v>44255</v>
      </c>
      <c r="D46" s="264" t="s">
        <v>1285</v>
      </c>
      <c r="E46" s="259" t="s">
        <v>1407</v>
      </c>
      <c r="F46" s="259" t="s">
        <v>1353</v>
      </c>
      <c r="G46" s="263">
        <v>39160000000</v>
      </c>
      <c r="H46" s="262">
        <v>0.1</v>
      </c>
      <c r="I46" s="263">
        <v>3916000000</v>
      </c>
      <c r="J46" s="263">
        <v>43076000000</v>
      </c>
      <c r="K46" s="259" t="s">
        <v>1346</v>
      </c>
    </row>
    <row r="47" spans="1:11" x14ac:dyDescent="0.25">
      <c r="A47" s="259">
        <v>40</v>
      </c>
      <c r="B47" s="264" t="s">
        <v>1201</v>
      </c>
      <c r="C47" s="274">
        <v>44283</v>
      </c>
      <c r="D47" s="264" t="s">
        <v>1278</v>
      </c>
      <c r="E47" s="259" t="s">
        <v>1349</v>
      </c>
      <c r="F47" s="259" t="s">
        <v>1350</v>
      </c>
      <c r="G47" s="263">
        <v>28672000000</v>
      </c>
      <c r="H47" s="262">
        <v>0</v>
      </c>
      <c r="I47" s="263">
        <v>0</v>
      </c>
      <c r="J47" s="263">
        <v>28672000000</v>
      </c>
      <c r="K47" s="259" t="s">
        <v>1346</v>
      </c>
    </row>
    <row r="48" spans="1:11" x14ac:dyDescent="0.25">
      <c r="A48" s="259">
        <v>41</v>
      </c>
      <c r="B48" s="264" t="s">
        <v>1201</v>
      </c>
      <c r="C48" s="274">
        <v>44283</v>
      </c>
      <c r="D48" s="264" t="s">
        <v>1257</v>
      </c>
      <c r="E48" s="259" t="s">
        <v>338</v>
      </c>
      <c r="F48" s="259" t="s">
        <v>1410</v>
      </c>
      <c r="G48" s="263">
        <v>33364000000</v>
      </c>
      <c r="H48" s="262">
        <v>0.1</v>
      </c>
      <c r="I48" s="263">
        <v>3336400000</v>
      </c>
      <c r="J48" s="263">
        <v>36700400000</v>
      </c>
      <c r="K48" s="259" t="s">
        <v>1348</v>
      </c>
    </row>
    <row r="49" spans="1:11" x14ac:dyDescent="0.25">
      <c r="A49" s="259">
        <v>42</v>
      </c>
      <c r="B49" s="264" t="s">
        <v>1200</v>
      </c>
      <c r="C49" s="274">
        <v>44405</v>
      </c>
      <c r="D49" s="264" t="s">
        <v>1274</v>
      </c>
      <c r="E49" s="259" t="s">
        <v>1412</v>
      </c>
      <c r="F49" s="259" t="s">
        <v>1413</v>
      </c>
      <c r="G49" s="263">
        <v>9067000000</v>
      </c>
      <c r="H49" s="262">
        <v>0.1</v>
      </c>
      <c r="I49" s="263">
        <v>906700000</v>
      </c>
      <c r="J49" s="263">
        <v>9973700000</v>
      </c>
      <c r="K49" s="259" t="s">
        <v>1346</v>
      </c>
    </row>
    <row r="50" spans="1:11" x14ac:dyDescent="0.25">
      <c r="A50" s="259">
        <v>43</v>
      </c>
      <c r="B50" s="264" t="s">
        <v>1200</v>
      </c>
      <c r="C50" s="274">
        <v>44436</v>
      </c>
      <c r="D50" s="264" t="s">
        <v>1256</v>
      </c>
      <c r="E50" s="259" t="s">
        <v>331</v>
      </c>
      <c r="F50" s="259" t="s">
        <v>1380</v>
      </c>
      <c r="G50" s="263">
        <v>15783000000</v>
      </c>
      <c r="H50" s="262">
        <v>0.1</v>
      </c>
      <c r="I50" s="263">
        <v>1578300000</v>
      </c>
      <c r="J50" s="263">
        <v>17361300000</v>
      </c>
      <c r="K50" s="259" t="s">
        <v>1348</v>
      </c>
    </row>
    <row r="51" spans="1:11" x14ac:dyDescent="0.25">
      <c r="A51" s="259">
        <v>44</v>
      </c>
      <c r="B51" s="264" t="s">
        <v>1202</v>
      </c>
      <c r="C51" s="274">
        <v>44497</v>
      </c>
      <c r="D51" s="264" t="s">
        <v>1389</v>
      </c>
      <c r="E51" s="259" t="s">
        <v>384</v>
      </c>
      <c r="F51" s="259" t="s">
        <v>1353</v>
      </c>
      <c r="G51" s="263">
        <v>18051000000</v>
      </c>
      <c r="H51" s="262">
        <v>0.1</v>
      </c>
      <c r="I51" s="263">
        <v>1805100000</v>
      </c>
      <c r="J51" s="263">
        <v>19856100000</v>
      </c>
      <c r="K51" s="259" t="s">
        <v>1346</v>
      </c>
    </row>
    <row r="52" spans="1:11" x14ac:dyDescent="0.25">
      <c r="A52" s="259">
        <v>45</v>
      </c>
      <c r="B52" s="264" t="s">
        <v>1200</v>
      </c>
      <c r="C52" s="274">
        <v>44316</v>
      </c>
      <c r="D52" s="264" t="s">
        <v>1264</v>
      </c>
      <c r="E52" s="259" t="s">
        <v>453</v>
      </c>
      <c r="F52" s="259" t="s">
        <v>1410</v>
      </c>
      <c r="G52" s="263">
        <v>10320000000</v>
      </c>
      <c r="H52" s="262">
        <v>0.1</v>
      </c>
      <c r="I52" s="263">
        <v>1032000000</v>
      </c>
      <c r="J52" s="263">
        <v>11352000000</v>
      </c>
      <c r="K52" s="259" t="s">
        <v>1346</v>
      </c>
    </row>
    <row r="53" spans="1:11" x14ac:dyDescent="0.25">
      <c r="A53" s="259">
        <v>46</v>
      </c>
      <c r="B53" s="264" t="s">
        <v>1201</v>
      </c>
      <c r="C53" s="274">
        <v>44377</v>
      </c>
      <c r="D53" s="264" t="s">
        <v>1395</v>
      </c>
      <c r="E53" s="259" t="s">
        <v>561</v>
      </c>
      <c r="F53" s="259" t="s">
        <v>1350</v>
      </c>
      <c r="G53" s="263">
        <v>15963000000</v>
      </c>
      <c r="H53" s="262">
        <v>0</v>
      </c>
      <c r="I53" s="263">
        <v>0</v>
      </c>
      <c r="J53" s="263">
        <v>15963000000</v>
      </c>
      <c r="K53" s="259" t="s">
        <v>1346</v>
      </c>
    </row>
    <row r="54" spans="1:11" x14ac:dyDescent="0.25">
      <c r="A54" s="259">
        <v>47</v>
      </c>
      <c r="B54" s="264" t="s">
        <v>1201</v>
      </c>
      <c r="C54" s="274">
        <v>44347</v>
      </c>
      <c r="D54" s="264" t="s">
        <v>1274</v>
      </c>
      <c r="E54" s="259" t="s">
        <v>1412</v>
      </c>
      <c r="F54" s="259" t="s">
        <v>1353</v>
      </c>
      <c r="G54" s="263">
        <v>11102000000</v>
      </c>
      <c r="H54" s="262">
        <v>0.1</v>
      </c>
      <c r="I54" s="263">
        <v>1110200000</v>
      </c>
      <c r="J54" s="263">
        <v>12212200000</v>
      </c>
      <c r="K54" s="259" t="s">
        <v>1346</v>
      </c>
    </row>
    <row r="55" spans="1:11" x14ac:dyDescent="0.25">
      <c r="A55" s="259">
        <v>48</v>
      </c>
      <c r="B55" s="264" t="s">
        <v>1200</v>
      </c>
      <c r="C55" s="274">
        <v>44347</v>
      </c>
      <c r="D55" s="264" t="s">
        <v>1416</v>
      </c>
      <c r="E55" s="259" t="s">
        <v>374</v>
      </c>
      <c r="F55" s="259" t="s">
        <v>1417</v>
      </c>
      <c r="G55" s="263">
        <v>17630000000</v>
      </c>
      <c r="H55" s="262">
        <v>0.1</v>
      </c>
      <c r="I55" s="263">
        <v>1763000000</v>
      </c>
      <c r="J55" s="263">
        <v>19393000000</v>
      </c>
      <c r="K55" s="259" t="s">
        <v>1348</v>
      </c>
    </row>
    <row r="56" spans="1:11" x14ac:dyDescent="0.25">
      <c r="A56" s="259">
        <v>49</v>
      </c>
      <c r="B56" s="264" t="s">
        <v>1201</v>
      </c>
      <c r="C56" s="274">
        <v>44439</v>
      </c>
      <c r="D56" s="264" t="s">
        <v>1259</v>
      </c>
      <c r="E56" s="259" t="s">
        <v>394</v>
      </c>
      <c r="F56" s="259" t="s">
        <v>1353</v>
      </c>
      <c r="G56" s="263">
        <v>30824000000</v>
      </c>
      <c r="H56" s="262">
        <v>0.1</v>
      </c>
      <c r="I56" s="263">
        <v>3082400000</v>
      </c>
      <c r="J56" s="263">
        <v>33906400000</v>
      </c>
      <c r="K56" s="259" t="s">
        <v>1346</v>
      </c>
    </row>
    <row r="57" spans="1:11" x14ac:dyDescent="0.25">
      <c r="A57" s="259">
        <v>50</v>
      </c>
      <c r="B57" s="264" t="s">
        <v>1201</v>
      </c>
      <c r="C57" s="274">
        <v>44439</v>
      </c>
      <c r="D57" s="264" t="s">
        <v>1270</v>
      </c>
      <c r="E57" s="259" t="s">
        <v>1393</v>
      </c>
      <c r="F57" s="259" t="s">
        <v>1400</v>
      </c>
      <c r="G57" s="263">
        <v>20833000000</v>
      </c>
      <c r="H57" s="262">
        <v>0.1</v>
      </c>
      <c r="I57" s="263">
        <v>2083300000</v>
      </c>
      <c r="J57" s="263">
        <v>22916300000</v>
      </c>
      <c r="K57" s="259" t="s">
        <v>1346</v>
      </c>
    </row>
    <row r="58" spans="1:11" x14ac:dyDescent="0.25">
      <c r="A58" s="268" t="s">
        <v>1351</v>
      </c>
      <c r="B58" s="268"/>
      <c r="C58" s="268"/>
      <c r="D58" s="268"/>
      <c r="E58" s="268"/>
      <c r="F58" s="268"/>
      <c r="G58" s="269">
        <f>SUM(G8:G57)</f>
        <v>1200000000000</v>
      </c>
      <c r="H58" s="268"/>
      <c r="I58" s="269">
        <f>SUM(I8:I57)</f>
        <v>112028300000</v>
      </c>
      <c r="J58" s="269">
        <f>SUM(J8:J57)</f>
        <v>1312028300000</v>
      </c>
      <c r="K58" s="268"/>
    </row>
    <row r="61" spans="1:11" x14ac:dyDescent="0.25">
      <c r="A61" s="256" t="s">
        <v>1420</v>
      </c>
    </row>
    <row r="62" spans="1:11" ht="22.8" x14ac:dyDescent="0.25">
      <c r="A62" s="260" t="s">
        <v>0</v>
      </c>
      <c r="B62" s="260" t="s">
        <v>2</v>
      </c>
      <c r="C62" s="260" t="s">
        <v>1344</v>
      </c>
      <c r="D62" s="260" t="s">
        <v>1421</v>
      </c>
      <c r="E62" s="260" t="s">
        <v>1422</v>
      </c>
      <c r="F62" s="260" t="s">
        <v>1</v>
      </c>
      <c r="G62" s="260" t="s">
        <v>34</v>
      </c>
      <c r="H62" s="260" t="s">
        <v>3</v>
      </c>
      <c r="I62" s="260" t="s">
        <v>35</v>
      </c>
      <c r="J62" s="260" t="s">
        <v>36</v>
      </c>
      <c r="K62" s="260" t="s">
        <v>37</v>
      </c>
    </row>
    <row r="63" spans="1:11" x14ac:dyDescent="0.25">
      <c r="A63" s="256">
        <v>1</v>
      </c>
      <c r="B63" s="257" t="s">
        <v>1200</v>
      </c>
      <c r="C63" s="276">
        <v>44206</v>
      </c>
      <c r="D63" s="257" t="s">
        <v>1352</v>
      </c>
      <c r="E63" s="256" t="s">
        <v>627</v>
      </c>
      <c r="F63" s="256" t="s">
        <v>1423</v>
      </c>
      <c r="G63" s="258">
        <v>54058000000</v>
      </c>
      <c r="H63" s="265">
        <v>0.1</v>
      </c>
      <c r="I63" s="258">
        <v>5405800000</v>
      </c>
      <c r="J63" s="258">
        <v>59463800000</v>
      </c>
      <c r="K63" s="256" t="s">
        <v>1346</v>
      </c>
    </row>
    <row r="64" spans="1:11" x14ac:dyDescent="0.25">
      <c r="A64" s="256">
        <v>2</v>
      </c>
      <c r="B64" s="257" t="s">
        <v>1201</v>
      </c>
      <c r="C64" s="276">
        <v>44206</v>
      </c>
      <c r="D64" s="257" t="s">
        <v>1384</v>
      </c>
      <c r="E64" s="256" t="s">
        <v>480</v>
      </c>
      <c r="F64" s="256" t="s">
        <v>1424</v>
      </c>
      <c r="G64" s="258">
        <v>21695000000</v>
      </c>
      <c r="H64" s="265">
        <v>0.1</v>
      </c>
      <c r="I64" s="258">
        <v>2169500000</v>
      </c>
      <c r="J64" s="258">
        <v>23864500000</v>
      </c>
      <c r="K64" s="256" t="s">
        <v>1346</v>
      </c>
    </row>
    <row r="65" spans="1:11" x14ac:dyDescent="0.25">
      <c r="A65" s="256">
        <v>3</v>
      </c>
      <c r="B65" s="257" t="s">
        <v>1202</v>
      </c>
      <c r="C65" s="276">
        <v>44237</v>
      </c>
      <c r="D65" s="257" t="s">
        <v>1264</v>
      </c>
      <c r="E65" s="256" t="s">
        <v>453</v>
      </c>
      <c r="F65" s="256" t="s">
        <v>1424</v>
      </c>
      <c r="G65" s="258">
        <v>52019000000</v>
      </c>
      <c r="H65" s="265">
        <v>0.1</v>
      </c>
      <c r="I65" s="258">
        <v>5201900000</v>
      </c>
      <c r="J65" s="258">
        <v>57220900000</v>
      </c>
      <c r="K65" s="256" t="s">
        <v>1346</v>
      </c>
    </row>
    <row r="66" spans="1:11" x14ac:dyDescent="0.25">
      <c r="A66" s="256">
        <v>4</v>
      </c>
      <c r="B66" s="257" t="s">
        <v>1355</v>
      </c>
      <c r="C66" s="276">
        <v>44265</v>
      </c>
      <c r="D66" s="257" t="s">
        <v>1389</v>
      </c>
      <c r="E66" s="256" t="s">
        <v>384</v>
      </c>
      <c r="F66" s="256" t="s">
        <v>1425</v>
      </c>
      <c r="G66" s="258">
        <v>44624000000</v>
      </c>
      <c r="H66" s="265">
        <v>0.1</v>
      </c>
      <c r="I66" s="258">
        <v>4462400000</v>
      </c>
      <c r="J66" s="258">
        <v>49086400000</v>
      </c>
      <c r="K66" s="256" t="s">
        <v>1346</v>
      </c>
    </row>
    <row r="67" spans="1:11" x14ac:dyDescent="0.25">
      <c r="A67" s="256">
        <v>5</v>
      </c>
      <c r="B67" s="257" t="s">
        <v>1356</v>
      </c>
      <c r="C67" s="276">
        <v>44296</v>
      </c>
      <c r="D67" s="257" t="s">
        <v>1283</v>
      </c>
      <c r="E67" s="256" t="s">
        <v>652</v>
      </c>
      <c r="F67" s="256" t="s">
        <v>1426</v>
      </c>
      <c r="G67" s="258">
        <v>17826000000</v>
      </c>
      <c r="H67" s="265">
        <v>0.1</v>
      </c>
      <c r="I67" s="258">
        <v>1782600000</v>
      </c>
      <c r="J67" s="258">
        <v>19608600000</v>
      </c>
      <c r="K67" s="256" t="s">
        <v>1346</v>
      </c>
    </row>
    <row r="68" spans="1:11" x14ac:dyDescent="0.25">
      <c r="A68" s="256">
        <v>6</v>
      </c>
      <c r="B68" s="257" t="s">
        <v>1358</v>
      </c>
      <c r="C68" s="276">
        <v>44326</v>
      </c>
      <c r="D68" s="257" t="s">
        <v>1259</v>
      </c>
      <c r="E68" s="256" t="s">
        <v>394</v>
      </c>
      <c r="F68" s="256" t="s">
        <v>1424</v>
      </c>
      <c r="G68" s="258">
        <v>62033000000</v>
      </c>
      <c r="H68" s="265">
        <v>0.1</v>
      </c>
      <c r="I68" s="258">
        <v>6203300000</v>
      </c>
      <c r="J68" s="258">
        <v>68236300000</v>
      </c>
      <c r="K68" s="256" t="s">
        <v>1346</v>
      </c>
    </row>
    <row r="69" spans="1:11" x14ac:dyDescent="0.25">
      <c r="A69" s="256">
        <v>7</v>
      </c>
      <c r="B69" s="257" t="s">
        <v>1360</v>
      </c>
      <c r="C69" s="276">
        <v>44357</v>
      </c>
      <c r="D69" s="257" t="s">
        <v>1265</v>
      </c>
      <c r="E69" s="256" t="s">
        <v>461</v>
      </c>
      <c r="F69" s="256" t="s">
        <v>1427</v>
      </c>
      <c r="G69" s="258">
        <v>14992000000</v>
      </c>
      <c r="H69" s="265">
        <v>0.1</v>
      </c>
      <c r="I69" s="258">
        <v>1499200000</v>
      </c>
      <c r="J69" s="258">
        <v>16491200000</v>
      </c>
      <c r="K69" s="256" t="s">
        <v>1346</v>
      </c>
    </row>
    <row r="70" spans="1:11" x14ac:dyDescent="0.25">
      <c r="A70" s="256">
        <v>8</v>
      </c>
      <c r="B70" s="257" t="s">
        <v>1362</v>
      </c>
      <c r="C70" s="276">
        <v>44387</v>
      </c>
      <c r="D70" s="257" t="s">
        <v>1279</v>
      </c>
      <c r="E70" s="256" t="s">
        <v>611</v>
      </c>
      <c r="F70" s="256" t="s">
        <v>1426</v>
      </c>
      <c r="G70" s="258">
        <v>38014000000</v>
      </c>
      <c r="H70" s="265">
        <v>0.1</v>
      </c>
      <c r="I70" s="258">
        <v>3801400000</v>
      </c>
      <c r="J70" s="258">
        <v>41815400000</v>
      </c>
      <c r="K70" s="256" t="s">
        <v>1346</v>
      </c>
    </row>
    <row r="71" spans="1:11" x14ac:dyDescent="0.25">
      <c r="A71" s="256">
        <v>9</v>
      </c>
      <c r="B71" s="257" t="s">
        <v>1364</v>
      </c>
      <c r="C71" s="276">
        <v>44418</v>
      </c>
      <c r="D71" s="257" t="s">
        <v>1269</v>
      </c>
      <c r="E71" s="256" t="s">
        <v>511</v>
      </c>
      <c r="F71" s="256" t="s">
        <v>1424</v>
      </c>
      <c r="G71" s="258">
        <v>26699000000</v>
      </c>
      <c r="H71" s="265">
        <v>0.1</v>
      </c>
      <c r="I71" s="258">
        <v>2669900000</v>
      </c>
      <c r="J71" s="258">
        <v>29368900000</v>
      </c>
      <c r="K71" s="256" t="s">
        <v>1346</v>
      </c>
    </row>
    <row r="72" spans="1:11" x14ac:dyDescent="0.25">
      <c r="A72" s="256">
        <v>10</v>
      </c>
      <c r="B72" s="257" t="s">
        <v>1366</v>
      </c>
      <c r="C72" s="276">
        <v>44449</v>
      </c>
      <c r="D72" s="257" t="s">
        <v>1428</v>
      </c>
      <c r="E72" s="256" t="s">
        <v>402</v>
      </c>
      <c r="F72" s="256" t="s">
        <v>1429</v>
      </c>
      <c r="G72" s="258">
        <v>55142000000</v>
      </c>
      <c r="H72" s="265">
        <v>0</v>
      </c>
      <c r="I72" s="258">
        <v>0</v>
      </c>
      <c r="J72" s="258">
        <v>55142000000</v>
      </c>
      <c r="K72" s="256" t="s">
        <v>1346</v>
      </c>
    </row>
    <row r="73" spans="1:11" x14ac:dyDescent="0.25">
      <c r="A73" s="256">
        <v>11</v>
      </c>
      <c r="B73" s="257" t="s">
        <v>1368</v>
      </c>
      <c r="C73" s="276">
        <v>44479</v>
      </c>
      <c r="D73" s="257" t="s">
        <v>1263</v>
      </c>
      <c r="E73" s="256" t="s">
        <v>444</v>
      </c>
      <c r="F73" s="256" t="s">
        <v>1423</v>
      </c>
      <c r="G73" s="258">
        <v>29841000000</v>
      </c>
      <c r="H73" s="265">
        <v>0.1</v>
      </c>
      <c r="I73" s="258">
        <v>2984100000</v>
      </c>
      <c r="J73" s="258">
        <v>32825100000</v>
      </c>
      <c r="K73" s="256" t="s">
        <v>1346</v>
      </c>
    </row>
    <row r="74" spans="1:11" x14ac:dyDescent="0.25">
      <c r="A74" s="256">
        <v>12</v>
      </c>
      <c r="B74" s="257" t="s">
        <v>1371</v>
      </c>
      <c r="C74" s="276">
        <v>44510</v>
      </c>
      <c r="D74" s="257" t="s">
        <v>1281</v>
      </c>
      <c r="E74" s="256" t="s">
        <v>635</v>
      </c>
      <c r="F74" s="256" t="s">
        <v>1424</v>
      </c>
      <c r="G74" s="258">
        <v>41386000000</v>
      </c>
      <c r="H74" s="265">
        <v>0.1</v>
      </c>
      <c r="I74" s="258">
        <v>4138600000</v>
      </c>
      <c r="J74" s="258">
        <v>45524600000</v>
      </c>
      <c r="K74" s="256" t="s">
        <v>1346</v>
      </c>
    </row>
    <row r="75" spans="1:11" x14ac:dyDescent="0.25">
      <c r="A75" s="256">
        <v>13</v>
      </c>
      <c r="B75" s="257" t="s">
        <v>1373</v>
      </c>
      <c r="C75" s="276">
        <v>44540</v>
      </c>
      <c r="D75" s="257" t="s">
        <v>1258</v>
      </c>
      <c r="E75" s="256" t="s">
        <v>351</v>
      </c>
      <c r="F75" s="256" t="s">
        <v>1430</v>
      </c>
      <c r="G75" s="258">
        <v>33183000000</v>
      </c>
      <c r="H75" s="265">
        <v>0.1</v>
      </c>
      <c r="I75" s="258">
        <v>3318300000</v>
      </c>
      <c r="J75" s="258">
        <v>36501300000</v>
      </c>
      <c r="K75" s="256" t="s">
        <v>1346</v>
      </c>
    </row>
    <row r="76" spans="1:11" x14ac:dyDescent="0.25">
      <c r="A76" s="256">
        <v>14</v>
      </c>
      <c r="B76" s="257" t="s">
        <v>1374</v>
      </c>
      <c r="C76" s="276">
        <v>44211</v>
      </c>
      <c r="D76" s="257" t="s">
        <v>1262</v>
      </c>
      <c r="E76" s="256" t="s">
        <v>425</v>
      </c>
      <c r="F76" s="256" t="s">
        <v>1427</v>
      </c>
      <c r="G76" s="258">
        <v>71523000000</v>
      </c>
      <c r="H76" s="265">
        <v>0.1</v>
      </c>
      <c r="I76" s="258">
        <v>7152300000</v>
      </c>
      <c r="J76" s="258">
        <v>78675300000</v>
      </c>
      <c r="K76" s="256" t="s">
        <v>1346</v>
      </c>
    </row>
    <row r="77" spans="1:11" x14ac:dyDescent="0.25">
      <c r="A77" s="256">
        <v>15</v>
      </c>
      <c r="B77" s="257" t="s">
        <v>1376</v>
      </c>
      <c r="C77" s="276">
        <v>44242</v>
      </c>
      <c r="D77" s="257" t="s">
        <v>1275</v>
      </c>
      <c r="E77" s="256" t="s">
        <v>569</v>
      </c>
      <c r="F77" s="256" t="s">
        <v>1424</v>
      </c>
      <c r="G77" s="258">
        <v>18436000000</v>
      </c>
      <c r="H77" s="265">
        <v>0.1</v>
      </c>
      <c r="I77" s="258">
        <v>1843600000</v>
      </c>
      <c r="J77" s="258">
        <v>20279600000</v>
      </c>
      <c r="K77" s="256" t="s">
        <v>1346</v>
      </c>
    </row>
    <row r="78" spans="1:11" x14ac:dyDescent="0.25">
      <c r="A78" s="256">
        <v>16</v>
      </c>
      <c r="B78" s="257" t="s">
        <v>1378</v>
      </c>
      <c r="C78" s="276">
        <v>44270</v>
      </c>
      <c r="D78" s="257" t="s">
        <v>1282</v>
      </c>
      <c r="E78" s="256" t="s">
        <v>1361</v>
      </c>
      <c r="F78" s="256" t="s">
        <v>1431</v>
      </c>
      <c r="G78" s="258">
        <v>47201000000</v>
      </c>
      <c r="H78" s="265">
        <v>0</v>
      </c>
      <c r="I78" s="258">
        <v>0</v>
      </c>
      <c r="J78" s="258">
        <v>47201000000</v>
      </c>
      <c r="K78" s="256" t="s">
        <v>1346</v>
      </c>
    </row>
    <row r="79" spans="1:11" x14ac:dyDescent="0.25">
      <c r="A79" s="256">
        <v>17</v>
      </c>
      <c r="B79" s="257" t="s">
        <v>1379</v>
      </c>
      <c r="C79" s="276">
        <v>44301</v>
      </c>
      <c r="D79" s="257" t="s">
        <v>1268</v>
      </c>
      <c r="E79" s="256" t="s">
        <v>498</v>
      </c>
      <c r="F79" s="256" t="s">
        <v>1424</v>
      </c>
      <c r="G79" s="258">
        <v>23584000000</v>
      </c>
      <c r="H79" s="265">
        <v>0.1</v>
      </c>
      <c r="I79" s="258">
        <v>2358400000</v>
      </c>
      <c r="J79" s="258">
        <v>25942400000</v>
      </c>
      <c r="K79" s="256" t="s">
        <v>1346</v>
      </c>
    </row>
    <row r="80" spans="1:11" x14ac:dyDescent="0.25">
      <c r="A80" s="256">
        <v>18</v>
      </c>
      <c r="B80" s="257" t="s">
        <v>1381</v>
      </c>
      <c r="C80" s="276">
        <v>44331</v>
      </c>
      <c r="D80" s="257" t="s">
        <v>1416</v>
      </c>
      <c r="E80" s="256" t="s">
        <v>374</v>
      </c>
      <c r="F80" s="256" t="s">
        <v>1432</v>
      </c>
      <c r="G80" s="258">
        <v>55980000000</v>
      </c>
      <c r="H80" s="265">
        <v>0.1</v>
      </c>
      <c r="I80" s="258">
        <v>5598000000</v>
      </c>
      <c r="J80" s="258">
        <v>61578000000</v>
      </c>
      <c r="K80" s="256" t="s">
        <v>1346</v>
      </c>
    </row>
    <row r="81" spans="1:11" x14ac:dyDescent="0.25">
      <c r="A81" s="256">
        <v>19</v>
      </c>
      <c r="B81" s="257" t="s">
        <v>1382</v>
      </c>
      <c r="C81" s="276">
        <v>44362</v>
      </c>
      <c r="D81" s="257" t="s">
        <v>1270</v>
      </c>
      <c r="E81" s="256" t="s">
        <v>1393</v>
      </c>
      <c r="F81" s="256" t="s">
        <v>1433</v>
      </c>
      <c r="G81" s="258">
        <v>19274000000</v>
      </c>
      <c r="H81" s="265">
        <v>0.1</v>
      </c>
      <c r="I81" s="258">
        <v>1927400000</v>
      </c>
      <c r="J81" s="258">
        <v>21201400000</v>
      </c>
      <c r="K81" s="256" t="s">
        <v>1346</v>
      </c>
    </row>
    <row r="82" spans="1:11" x14ac:dyDescent="0.25">
      <c r="A82" s="256">
        <v>20</v>
      </c>
      <c r="B82" s="257" t="s">
        <v>1383</v>
      </c>
      <c r="C82" s="276">
        <v>44392</v>
      </c>
      <c r="D82" s="257" t="s">
        <v>1266</v>
      </c>
      <c r="E82" s="256" t="s">
        <v>469</v>
      </c>
      <c r="F82" s="256" t="s">
        <v>1427</v>
      </c>
      <c r="G82" s="258">
        <v>43756000000</v>
      </c>
      <c r="H82" s="265">
        <v>0.1</v>
      </c>
      <c r="I82" s="258">
        <v>4375600000</v>
      </c>
      <c r="J82" s="258">
        <v>48131600000</v>
      </c>
      <c r="K82" s="256" t="s">
        <v>1346</v>
      </c>
    </row>
    <row r="83" spans="1:11" x14ac:dyDescent="0.25">
      <c r="A83" s="256">
        <v>21</v>
      </c>
      <c r="B83" s="257" t="s">
        <v>1203</v>
      </c>
      <c r="C83" s="276">
        <v>44423</v>
      </c>
      <c r="D83" s="257" t="s">
        <v>1260</v>
      </c>
      <c r="E83" s="256" t="s">
        <v>408</v>
      </c>
      <c r="F83" s="256" t="s">
        <v>1426</v>
      </c>
      <c r="G83" s="258">
        <v>15861000000</v>
      </c>
      <c r="H83" s="265">
        <v>0.1</v>
      </c>
      <c r="I83" s="258">
        <v>1586100000</v>
      </c>
      <c r="J83" s="258">
        <v>17447100000</v>
      </c>
      <c r="K83" s="256" t="s">
        <v>1346</v>
      </c>
    </row>
    <row r="84" spans="1:11" x14ac:dyDescent="0.25">
      <c r="A84" s="256">
        <v>22</v>
      </c>
      <c r="B84" s="257" t="s">
        <v>1204</v>
      </c>
      <c r="C84" s="276">
        <v>44454</v>
      </c>
      <c r="D84" s="257" t="s">
        <v>1395</v>
      </c>
      <c r="E84" s="256" t="s">
        <v>561</v>
      </c>
      <c r="F84" s="256" t="s">
        <v>1429</v>
      </c>
      <c r="G84" s="258">
        <v>68447000000</v>
      </c>
      <c r="H84" s="265">
        <v>0</v>
      </c>
      <c r="I84" s="258">
        <v>0</v>
      </c>
      <c r="J84" s="258">
        <v>68447000000</v>
      </c>
      <c r="K84" s="256" t="s">
        <v>1346</v>
      </c>
    </row>
    <row r="85" spans="1:11" x14ac:dyDescent="0.25">
      <c r="A85" s="256">
        <v>23</v>
      </c>
      <c r="B85" s="257" t="s">
        <v>1205</v>
      </c>
      <c r="C85" s="276">
        <v>44484</v>
      </c>
      <c r="D85" s="257" t="s">
        <v>1280</v>
      </c>
      <c r="E85" s="256" t="s">
        <v>618</v>
      </c>
      <c r="F85" s="256" t="s">
        <v>1423</v>
      </c>
      <c r="G85" s="258">
        <v>35529000000</v>
      </c>
      <c r="H85" s="265">
        <v>0.1</v>
      </c>
      <c r="I85" s="258">
        <v>3552900000</v>
      </c>
      <c r="J85" s="258">
        <v>39081900000</v>
      </c>
      <c r="K85" s="256" t="s">
        <v>1346</v>
      </c>
    </row>
    <row r="86" spans="1:11" x14ac:dyDescent="0.25">
      <c r="A86" s="256">
        <v>24</v>
      </c>
      <c r="B86" s="257" t="s">
        <v>1385</v>
      </c>
      <c r="C86" s="276">
        <v>44515</v>
      </c>
      <c r="D86" s="257" t="s">
        <v>1274</v>
      </c>
      <c r="E86" s="256" t="s">
        <v>1412</v>
      </c>
      <c r="F86" s="256" t="s">
        <v>1424</v>
      </c>
      <c r="G86" s="258">
        <v>53816000000</v>
      </c>
      <c r="H86" s="265">
        <v>0.1</v>
      </c>
      <c r="I86" s="258">
        <v>5381600000</v>
      </c>
      <c r="J86" s="258">
        <v>59197600000</v>
      </c>
      <c r="K86" s="256" t="s">
        <v>1346</v>
      </c>
    </row>
    <row r="87" spans="1:11" x14ac:dyDescent="0.25">
      <c r="A87" s="256">
        <v>25</v>
      </c>
      <c r="B87" s="257" t="s">
        <v>1387</v>
      </c>
      <c r="C87" s="276">
        <v>44545</v>
      </c>
      <c r="D87" s="257" t="s">
        <v>1255</v>
      </c>
      <c r="E87" s="256" t="s">
        <v>323</v>
      </c>
      <c r="F87" s="256" t="s">
        <v>1425</v>
      </c>
      <c r="G87" s="258">
        <v>28374000000</v>
      </c>
      <c r="H87" s="265">
        <v>0.1</v>
      </c>
      <c r="I87" s="258">
        <v>2837400000</v>
      </c>
      <c r="J87" s="258">
        <v>31211400000</v>
      </c>
      <c r="K87" s="256" t="s">
        <v>1346</v>
      </c>
    </row>
    <row r="88" spans="1:11" x14ac:dyDescent="0.25">
      <c r="A88" s="256">
        <v>26</v>
      </c>
      <c r="B88" s="257" t="s">
        <v>1388</v>
      </c>
      <c r="C88" s="276">
        <v>44216</v>
      </c>
      <c r="D88" s="257" t="s">
        <v>1273</v>
      </c>
      <c r="E88" s="256" t="s">
        <v>548</v>
      </c>
      <c r="F88" s="256" t="s">
        <v>1426</v>
      </c>
      <c r="G88" s="258">
        <v>47693000000</v>
      </c>
      <c r="H88" s="265">
        <v>0.1</v>
      </c>
      <c r="I88" s="258">
        <v>4769300000</v>
      </c>
      <c r="J88" s="258">
        <v>52462300000</v>
      </c>
      <c r="K88" s="256" t="s">
        <v>1346</v>
      </c>
    </row>
    <row r="89" spans="1:11" x14ac:dyDescent="0.25">
      <c r="A89" s="256">
        <v>27</v>
      </c>
      <c r="B89" s="257" t="s">
        <v>1391</v>
      </c>
      <c r="C89" s="276">
        <v>44247</v>
      </c>
      <c r="D89" s="257" t="s">
        <v>1276</v>
      </c>
      <c r="E89" s="256" t="s">
        <v>578</v>
      </c>
      <c r="F89" s="256" t="s">
        <v>1434</v>
      </c>
      <c r="G89" s="258">
        <v>30261000000</v>
      </c>
      <c r="H89" s="265">
        <v>0.1</v>
      </c>
      <c r="I89" s="258">
        <v>3026100000</v>
      </c>
      <c r="J89" s="258">
        <v>33287100000</v>
      </c>
      <c r="K89" s="256" t="s">
        <v>1348</v>
      </c>
    </row>
    <row r="90" spans="1:11" x14ac:dyDescent="0.25">
      <c r="A90" s="256">
        <v>28</v>
      </c>
      <c r="B90" s="257" t="s">
        <v>1392</v>
      </c>
      <c r="C90" s="276">
        <v>44275</v>
      </c>
      <c r="D90" s="257" t="s">
        <v>1256</v>
      </c>
      <c r="E90" s="256" t="s">
        <v>331</v>
      </c>
      <c r="F90" s="256" t="s">
        <v>1424</v>
      </c>
      <c r="G90" s="258">
        <v>59318000000</v>
      </c>
      <c r="H90" s="265">
        <v>0.1</v>
      </c>
      <c r="I90" s="258">
        <v>5931800000</v>
      </c>
      <c r="J90" s="258">
        <v>65249800000</v>
      </c>
      <c r="K90" s="256" t="s">
        <v>1346</v>
      </c>
    </row>
    <row r="91" spans="1:11" x14ac:dyDescent="0.25">
      <c r="A91" s="256">
        <v>29</v>
      </c>
      <c r="B91" s="257" t="s">
        <v>1394</v>
      </c>
      <c r="C91" s="276">
        <v>44306</v>
      </c>
      <c r="D91" s="257" t="s">
        <v>1277</v>
      </c>
      <c r="E91" s="256" t="s">
        <v>586</v>
      </c>
      <c r="F91" s="256" t="s">
        <v>1432</v>
      </c>
      <c r="G91" s="258">
        <v>24115000000</v>
      </c>
      <c r="H91" s="265">
        <v>0.1</v>
      </c>
      <c r="I91" s="258">
        <v>2411500000</v>
      </c>
      <c r="J91" s="258">
        <v>26526500000</v>
      </c>
      <c r="K91" s="256" t="s">
        <v>1346</v>
      </c>
    </row>
    <row r="92" spans="1:11" x14ac:dyDescent="0.25">
      <c r="A92" s="256">
        <v>30</v>
      </c>
      <c r="B92" s="257" t="s">
        <v>1396</v>
      </c>
      <c r="C92" s="276">
        <v>44336</v>
      </c>
      <c r="D92" s="257" t="s">
        <v>1278</v>
      </c>
      <c r="E92" s="256" t="s">
        <v>1349</v>
      </c>
      <c r="F92" s="256" t="s">
        <v>1426</v>
      </c>
      <c r="G92" s="258">
        <v>36847000000</v>
      </c>
      <c r="H92" s="265">
        <v>0.1</v>
      </c>
      <c r="I92" s="258">
        <v>3684700000</v>
      </c>
      <c r="J92" s="258">
        <v>40531700000</v>
      </c>
      <c r="K92" s="256" t="s">
        <v>1346</v>
      </c>
    </row>
    <row r="93" spans="1:11" x14ac:dyDescent="0.25">
      <c r="A93" s="256">
        <v>31</v>
      </c>
      <c r="B93" s="257" t="s">
        <v>1397</v>
      </c>
      <c r="C93" s="276">
        <v>44367</v>
      </c>
      <c r="D93" s="257" t="s">
        <v>1435</v>
      </c>
      <c r="E93" s="256" t="s">
        <v>435</v>
      </c>
      <c r="F93" s="256" t="s">
        <v>1427</v>
      </c>
      <c r="G93" s="258">
        <v>22193000000</v>
      </c>
      <c r="H93" s="265">
        <v>0.1</v>
      </c>
      <c r="I93" s="258">
        <v>2219300000</v>
      </c>
      <c r="J93" s="258">
        <v>24412300000</v>
      </c>
      <c r="K93" s="256" t="s">
        <v>1346</v>
      </c>
    </row>
    <row r="94" spans="1:11" x14ac:dyDescent="0.25">
      <c r="A94" s="256">
        <v>32</v>
      </c>
      <c r="B94" s="257" t="s">
        <v>1398</v>
      </c>
      <c r="C94" s="276">
        <v>44397</v>
      </c>
      <c r="D94" s="257" t="s">
        <v>1261</v>
      </c>
      <c r="E94" s="256" t="s">
        <v>417</v>
      </c>
      <c r="F94" s="256" t="s">
        <v>1436</v>
      </c>
      <c r="G94" s="258">
        <v>11048000000</v>
      </c>
      <c r="H94" s="265">
        <v>0.1</v>
      </c>
      <c r="I94" s="258">
        <v>1104800000</v>
      </c>
      <c r="J94" s="258">
        <v>12152800000</v>
      </c>
      <c r="K94" s="256" t="s">
        <v>1346</v>
      </c>
    </row>
    <row r="95" spans="1:11" x14ac:dyDescent="0.25">
      <c r="A95" s="256">
        <v>33</v>
      </c>
      <c r="B95" s="257" t="s">
        <v>1399</v>
      </c>
      <c r="C95" s="276">
        <v>44428</v>
      </c>
      <c r="D95" s="257" t="s">
        <v>1285</v>
      </c>
      <c r="E95" s="256" t="s">
        <v>1407</v>
      </c>
      <c r="F95" s="256" t="s">
        <v>1424</v>
      </c>
      <c r="G95" s="258">
        <v>48532000000</v>
      </c>
      <c r="H95" s="265">
        <v>0.1</v>
      </c>
      <c r="I95" s="258">
        <v>4853200000</v>
      </c>
      <c r="J95" s="258">
        <v>53385200000</v>
      </c>
      <c r="K95" s="256" t="s">
        <v>1346</v>
      </c>
    </row>
    <row r="96" spans="1:11" x14ac:dyDescent="0.25">
      <c r="A96" s="256">
        <v>34</v>
      </c>
      <c r="B96" s="257" t="s">
        <v>1401</v>
      </c>
      <c r="C96" s="276">
        <v>44459</v>
      </c>
      <c r="D96" s="257" t="s">
        <v>1271</v>
      </c>
      <c r="E96" s="256" t="s">
        <v>532</v>
      </c>
      <c r="F96" s="256" t="s">
        <v>1430</v>
      </c>
      <c r="G96" s="258">
        <v>40718000000</v>
      </c>
      <c r="H96" s="265">
        <v>0.1</v>
      </c>
      <c r="I96" s="258">
        <v>4071800000</v>
      </c>
      <c r="J96" s="258">
        <v>44789800000</v>
      </c>
      <c r="K96" s="256" t="s">
        <v>1346</v>
      </c>
    </row>
    <row r="97" spans="1:11" x14ac:dyDescent="0.25">
      <c r="A97" s="256">
        <v>35</v>
      </c>
      <c r="B97" s="257" t="s">
        <v>1402</v>
      </c>
      <c r="C97" s="276">
        <v>44489</v>
      </c>
      <c r="D97" s="257" t="s">
        <v>1257</v>
      </c>
      <c r="E97" s="256" t="s">
        <v>338</v>
      </c>
      <c r="F97" s="256" t="s">
        <v>1431</v>
      </c>
      <c r="G97" s="258">
        <v>32965000000</v>
      </c>
      <c r="H97" s="265">
        <v>0</v>
      </c>
      <c r="I97" s="258">
        <v>0</v>
      </c>
      <c r="J97" s="258">
        <v>32965000000</v>
      </c>
      <c r="K97" s="256" t="s">
        <v>1346</v>
      </c>
    </row>
    <row r="98" spans="1:11" x14ac:dyDescent="0.25">
      <c r="A98" s="256">
        <v>36</v>
      </c>
      <c r="B98" s="257" t="s">
        <v>1403</v>
      </c>
      <c r="C98" s="276">
        <v>44520</v>
      </c>
      <c r="D98" s="257" t="s">
        <v>1284</v>
      </c>
      <c r="E98" s="256" t="s">
        <v>661</v>
      </c>
      <c r="F98" s="256" t="s">
        <v>1424</v>
      </c>
      <c r="G98" s="258">
        <v>27384000000</v>
      </c>
      <c r="H98" s="265">
        <v>0.1</v>
      </c>
      <c r="I98" s="258">
        <v>2738400000</v>
      </c>
      <c r="J98" s="258">
        <v>30122400000</v>
      </c>
      <c r="K98" s="256" t="s">
        <v>1346</v>
      </c>
    </row>
    <row r="99" spans="1:11" x14ac:dyDescent="0.25">
      <c r="A99" s="256">
        <v>37</v>
      </c>
      <c r="B99" s="257" t="s">
        <v>1404</v>
      </c>
      <c r="C99" s="276">
        <v>44550</v>
      </c>
      <c r="D99" s="257" t="s">
        <v>1272</v>
      </c>
      <c r="E99" s="256" t="s">
        <v>540</v>
      </c>
      <c r="F99" s="256" t="s">
        <v>1423</v>
      </c>
      <c r="G99" s="258">
        <v>45291000000</v>
      </c>
      <c r="H99" s="265">
        <v>0.1</v>
      </c>
      <c r="I99" s="258">
        <v>4529100000</v>
      </c>
      <c r="J99" s="258">
        <v>49820100000</v>
      </c>
      <c r="K99" s="256" t="s">
        <v>1346</v>
      </c>
    </row>
    <row r="100" spans="1:11" x14ac:dyDescent="0.25">
      <c r="A100" s="256">
        <v>38</v>
      </c>
      <c r="B100" s="257" t="s">
        <v>1405</v>
      </c>
      <c r="C100" s="276">
        <v>44221</v>
      </c>
      <c r="D100" s="257" t="s">
        <v>1267</v>
      </c>
      <c r="E100" s="256" t="s">
        <v>490</v>
      </c>
      <c r="F100" s="256" t="s">
        <v>1426</v>
      </c>
      <c r="G100" s="258">
        <v>33906000000</v>
      </c>
      <c r="H100" s="265">
        <v>0.1</v>
      </c>
      <c r="I100" s="258">
        <v>3390600000</v>
      </c>
      <c r="J100" s="258">
        <v>37296600000</v>
      </c>
      <c r="K100" s="256" t="s">
        <v>1346</v>
      </c>
    </row>
    <row r="101" spans="1:11" x14ac:dyDescent="0.25">
      <c r="A101" s="256">
        <v>39</v>
      </c>
      <c r="B101" s="257" t="s">
        <v>1406</v>
      </c>
      <c r="C101" s="276">
        <v>44252</v>
      </c>
      <c r="D101" s="257" t="s">
        <v>1386</v>
      </c>
      <c r="E101" s="256" t="s">
        <v>1236</v>
      </c>
      <c r="F101" s="256" t="s">
        <v>1429</v>
      </c>
      <c r="G101" s="258">
        <v>57284000000</v>
      </c>
      <c r="H101" s="265">
        <v>0</v>
      </c>
      <c r="I101" s="258">
        <v>0</v>
      </c>
      <c r="J101" s="258">
        <v>57284000000</v>
      </c>
      <c r="K101" s="256" t="s">
        <v>1348</v>
      </c>
    </row>
    <row r="102" spans="1:11" x14ac:dyDescent="0.25">
      <c r="A102" s="256">
        <v>40</v>
      </c>
      <c r="B102" s="257" t="s">
        <v>1408</v>
      </c>
      <c r="C102" s="276">
        <v>44280</v>
      </c>
      <c r="D102" s="257" t="s">
        <v>1352</v>
      </c>
      <c r="E102" s="256" t="s">
        <v>627</v>
      </c>
      <c r="F102" s="256" t="s">
        <v>1424</v>
      </c>
      <c r="G102" s="258">
        <v>31072000000</v>
      </c>
      <c r="H102" s="265">
        <v>0.1</v>
      </c>
      <c r="I102" s="258">
        <v>3107200000</v>
      </c>
      <c r="J102" s="258">
        <v>34179200000</v>
      </c>
      <c r="K102" s="256" t="s">
        <v>1346</v>
      </c>
    </row>
    <row r="103" spans="1:11" x14ac:dyDescent="0.25">
      <c r="A103" s="256">
        <v>41</v>
      </c>
      <c r="B103" s="257" t="s">
        <v>1409</v>
      </c>
      <c r="C103" s="276">
        <v>44311</v>
      </c>
      <c r="D103" s="257" t="s">
        <v>1254</v>
      </c>
      <c r="E103" s="256" t="s">
        <v>313</v>
      </c>
      <c r="F103" s="256" t="s">
        <v>1434</v>
      </c>
      <c r="G103" s="258">
        <v>18965000000</v>
      </c>
      <c r="H103" s="265">
        <v>0.1</v>
      </c>
      <c r="I103" s="258">
        <v>1896500000</v>
      </c>
      <c r="J103" s="258">
        <v>20861500000</v>
      </c>
      <c r="K103" s="256" t="s">
        <v>1346</v>
      </c>
    </row>
    <row r="104" spans="1:11" x14ac:dyDescent="0.25">
      <c r="A104" s="256">
        <v>42</v>
      </c>
      <c r="B104" s="257" t="s">
        <v>1411</v>
      </c>
      <c r="C104" s="276">
        <v>44372</v>
      </c>
      <c r="D104" s="257" t="s">
        <v>1262</v>
      </c>
      <c r="E104" s="256" t="s">
        <v>425</v>
      </c>
      <c r="F104" s="256" t="s">
        <v>1432</v>
      </c>
      <c r="G104" s="258">
        <v>36414000000</v>
      </c>
      <c r="H104" s="265">
        <v>0.1</v>
      </c>
      <c r="I104" s="258">
        <v>3641400000</v>
      </c>
      <c r="J104" s="258">
        <v>40055400000</v>
      </c>
      <c r="K104" s="256" t="s">
        <v>1346</v>
      </c>
    </row>
    <row r="105" spans="1:11" x14ac:dyDescent="0.25">
      <c r="A105" s="256">
        <v>43</v>
      </c>
      <c r="B105" s="257" t="s">
        <v>1414</v>
      </c>
      <c r="C105" s="276">
        <v>44402</v>
      </c>
      <c r="D105" s="257" t="s">
        <v>1369</v>
      </c>
      <c r="E105" s="256" t="s">
        <v>346</v>
      </c>
      <c r="F105" s="256" t="s">
        <v>1427</v>
      </c>
      <c r="G105" s="258">
        <v>29547000000</v>
      </c>
      <c r="H105" s="265">
        <v>0.1</v>
      </c>
      <c r="I105" s="258">
        <v>2954700000</v>
      </c>
      <c r="J105" s="258">
        <v>32501700000</v>
      </c>
      <c r="K105" s="256" t="s">
        <v>1346</v>
      </c>
    </row>
    <row r="106" spans="1:11" x14ac:dyDescent="0.25">
      <c r="A106" s="256">
        <v>44</v>
      </c>
      <c r="B106" s="257" t="s">
        <v>1415</v>
      </c>
      <c r="C106" s="276">
        <v>44464</v>
      </c>
      <c r="D106" s="257" t="s">
        <v>1281</v>
      </c>
      <c r="E106" s="256" t="s">
        <v>635</v>
      </c>
      <c r="F106" s="256" t="s">
        <v>1424</v>
      </c>
      <c r="G106" s="258">
        <v>53119000000</v>
      </c>
      <c r="H106" s="265">
        <v>0.1</v>
      </c>
      <c r="I106" s="258">
        <v>5311900000</v>
      </c>
      <c r="J106" s="258">
        <v>58430900000</v>
      </c>
      <c r="K106" s="256" t="s">
        <v>1346</v>
      </c>
    </row>
    <row r="107" spans="1:11" x14ac:dyDescent="0.25">
      <c r="A107" s="256">
        <v>45</v>
      </c>
      <c r="B107" s="257" t="s">
        <v>1206</v>
      </c>
      <c r="C107" s="276">
        <v>44494</v>
      </c>
      <c r="D107" s="257" t="s">
        <v>1263</v>
      </c>
      <c r="E107" s="256" t="s">
        <v>444</v>
      </c>
      <c r="F107" s="256" t="s">
        <v>1426</v>
      </c>
      <c r="G107" s="258">
        <v>22061000000</v>
      </c>
      <c r="H107" s="265">
        <v>0.1</v>
      </c>
      <c r="I107" s="258">
        <v>2206100000</v>
      </c>
      <c r="J107" s="258">
        <v>24267100000</v>
      </c>
      <c r="K107" s="256" t="s">
        <v>1346</v>
      </c>
    </row>
    <row r="108" spans="1:11" x14ac:dyDescent="0.25">
      <c r="A108" s="256">
        <v>46</v>
      </c>
      <c r="B108" s="257" t="s">
        <v>1207</v>
      </c>
      <c r="C108" s="276">
        <v>44525</v>
      </c>
      <c r="D108" s="257" t="s">
        <v>1259</v>
      </c>
      <c r="E108" s="256" t="s">
        <v>394</v>
      </c>
      <c r="F108" s="256" t="s">
        <v>1430</v>
      </c>
      <c r="G108" s="258">
        <v>34773000000</v>
      </c>
      <c r="H108" s="265">
        <v>0.1</v>
      </c>
      <c r="I108" s="258">
        <v>3477300000</v>
      </c>
      <c r="J108" s="258">
        <v>38250300000</v>
      </c>
      <c r="K108" s="256" t="s">
        <v>1346</v>
      </c>
    </row>
    <row r="109" spans="1:11" x14ac:dyDescent="0.25">
      <c r="A109" s="256">
        <v>47</v>
      </c>
      <c r="B109" s="257" t="s">
        <v>1208</v>
      </c>
      <c r="C109" s="276">
        <v>44255</v>
      </c>
      <c r="D109" s="257" t="s">
        <v>1279</v>
      </c>
      <c r="E109" s="256" t="s">
        <v>611</v>
      </c>
      <c r="F109" s="256" t="s">
        <v>1424</v>
      </c>
      <c r="G109" s="258">
        <v>17463000000</v>
      </c>
      <c r="H109" s="265">
        <v>0.1</v>
      </c>
      <c r="I109" s="258">
        <v>1746300000</v>
      </c>
      <c r="J109" s="258">
        <v>19209300000</v>
      </c>
      <c r="K109" s="256" t="s">
        <v>1346</v>
      </c>
    </row>
    <row r="110" spans="1:11" x14ac:dyDescent="0.25">
      <c r="A110" s="256">
        <v>48</v>
      </c>
      <c r="B110" s="257" t="s">
        <v>1209</v>
      </c>
      <c r="C110" s="276">
        <v>44314</v>
      </c>
      <c r="D110" s="257" t="s">
        <v>1266</v>
      </c>
      <c r="E110" s="256" t="s">
        <v>469</v>
      </c>
      <c r="F110" s="256" t="s">
        <v>1423</v>
      </c>
      <c r="G110" s="258">
        <v>41829000000</v>
      </c>
      <c r="H110" s="265">
        <v>0.1</v>
      </c>
      <c r="I110" s="258">
        <v>4182900000</v>
      </c>
      <c r="J110" s="258">
        <v>46011900000</v>
      </c>
      <c r="K110" s="256" t="s">
        <v>1346</v>
      </c>
    </row>
    <row r="111" spans="1:11" x14ac:dyDescent="0.25">
      <c r="A111" s="256">
        <v>49</v>
      </c>
      <c r="B111" s="257" t="s">
        <v>1418</v>
      </c>
      <c r="C111" s="276">
        <v>44497</v>
      </c>
      <c r="D111" s="257" t="s">
        <v>1268</v>
      </c>
      <c r="E111" s="256" t="s">
        <v>498</v>
      </c>
      <c r="F111" s="256" t="s">
        <v>1426</v>
      </c>
      <c r="G111" s="258">
        <v>26581000000</v>
      </c>
      <c r="H111" s="265">
        <v>0.1</v>
      </c>
      <c r="I111" s="258">
        <v>2658100000</v>
      </c>
      <c r="J111" s="258">
        <v>29239100000</v>
      </c>
      <c r="K111" s="256" t="s">
        <v>1346</v>
      </c>
    </row>
    <row r="112" spans="1:11" x14ac:dyDescent="0.25">
      <c r="A112" s="256">
        <v>50</v>
      </c>
      <c r="B112" s="257" t="s">
        <v>1419</v>
      </c>
      <c r="C112" s="276">
        <v>44561</v>
      </c>
      <c r="D112" s="257" t="s">
        <v>1277</v>
      </c>
      <c r="E112" s="256" t="s">
        <v>586</v>
      </c>
      <c r="F112" s="256" t="s">
        <v>1423</v>
      </c>
      <c r="G112" s="258">
        <v>64797876041</v>
      </c>
      <c r="H112" s="265">
        <v>0.1</v>
      </c>
      <c r="I112" s="258">
        <v>6479787604</v>
      </c>
      <c r="J112" s="258">
        <v>71277663645</v>
      </c>
      <c r="K112" s="256" t="s">
        <v>1346</v>
      </c>
    </row>
    <row r="113" spans="1:11" x14ac:dyDescent="0.25">
      <c r="A113" s="266" t="s">
        <v>1351</v>
      </c>
      <c r="B113" s="266"/>
      <c r="C113" s="266"/>
      <c r="D113" s="266"/>
      <c r="E113" s="266"/>
      <c r="F113" s="266"/>
      <c r="G113" s="267">
        <f>SUM(G63:G112)</f>
        <v>1867469876041</v>
      </c>
      <c r="H113" s="266"/>
      <c r="I113" s="267">
        <f>SUM(I63:I112)</f>
        <v>160643087604</v>
      </c>
      <c r="J113" s="267">
        <f>SUM(J63:J112)</f>
        <v>2028112963645</v>
      </c>
      <c r="K113" s="2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2"/>
  <sheetViews>
    <sheetView topLeftCell="B1" workbookViewId="0">
      <selection activeCell="B219" sqref="B219"/>
    </sheetView>
  </sheetViews>
  <sheetFormatPr defaultRowHeight="14.4" x14ac:dyDescent="0.3"/>
  <cols>
    <col min="1" max="1" width="13.77734375" bestFit="1" customWidth="1"/>
    <col min="2" max="2" width="35.88671875" bestFit="1" customWidth="1"/>
    <col min="3" max="3" width="12.88671875" bestFit="1" customWidth="1"/>
    <col min="4" max="4" width="14.6640625" bestFit="1" customWidth="1"/>
    <col min="5" max="5" width="48.5546875" bestFit="1" customWidth="1"/>
    <col min="6" max="6" width="36.6640625" bestFit="1" customWidth="1"/>
    <col min="7" max="7" width="19.5546875" bestFit="1" customWidth="1"/>
    <col min="8" max="8" width="14.21875" bestFit="1" customWidth="1"/>
    <col min="9" max="9" width="14.77734375" bestFit="1" customWidth="1"/>
    <col min="10" max="10" width="18.88671875" bestFit="1" customWidth="1"/>
    <col min="11" max="11" width="11.77734375" bestFit="1" customWidth="1"/>
  </cols>
  <sheetData>
    <row r="1" spans="1:11" x14ac:dyDescent="0.3">
      <c r="A1" s="256" t="s">
        <v>1340</v>
      </c>
      <c r="B1" s="256" t="s">
        <v>313</v>
      </c>
      <c r="C1" s="256"/>
      <c r="D1" s="256"/>
      <c r="E1" s="256"/>
      <c r="F1" s="256"/>
      <c r="G1" s="256"/>
      <c r="H1" s="256"/>
      <c r="I1" s="256"/>
      <c r="J1" s="256"/>
      <c r="K1" s="256"/>
    </row>
    <row r="2" spans="1:11" x14ac:dyDescent="0.3">
      <c r="A2" s="256" t="s">
        <v>1339</v>
      </c>
      <c r="B2" s="257" t="s">
        <v>1254</v>
      </c>
      <c r="C2" s="256"/>
      <c r="D2" s="256"/>
      <c r="E2" s="256"/>
      <c r="F2" s="256"/>
      <c r="G2" s="256"/>
      <c r="H2" s="256"/>
      <c r="I2" s="256"/>
      <c r="J2" s="256"/>
      <c r="K2" s="256"/>
    </row>
    <row r="3" spans="1:11" x14ac:dyDescent="0.3">
      <c r="A3" s="256" t="s">
        <v>1343</v>
      </c>
      <c r="B3" s="258">
        <v>7363570736961</v>
      </c>
      <c r="C3" s="256"/>
      <c r="D3" s="256"/>
      <c r="E3" s="256"/>
      <c r="F3" s="256"/>
      <c r="G3" s="256"/>
      <c r="H3" s="256"/>
      <c r="I3" s="256"/>
      <c r="J3" s="256"/>
      <c r="K3" s="256"/>
    </row>
    <row r="4" spans="1:11" x14ac:dyDescent="0.3">
      <c r="A4" s="256" t="s">
        <v>1345</v>
      </c>
      <c r="B4" s="261">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72" t="s">
        <v>0</v>
      </c>
      <c r="B7" s="272" t="s">
        <v>2</v>
      </c>
      <c r="C7" s="272" t="s">
        <v>1344</v>
      </c>
      <c r="D7" s="272" t="s">
        <v>32</v>
      </c>
      <c r="E7" s="272" t="s">
        <v>1342</v>
      </c>
      <c r="F7" s="272" t="s">
        <v>1</v>
      </c>
      <c r="G7" s="272" t="s">
        <v>34</v>
      </c>
      <c r="H7" s="272" t="s">
        <v>3</v>
      </c>
      <c r="I7" s="272" t="s">
        <v>35</v>
      </c>
      <c r="J7" s="272" t="s">
        <v>36</v>
      </c>
      <c r="K7" s="272" t="s">
        <v>37</v>
      </c>
    </row>
    <row r="8" spans="1:11" x14ac:dyDescent="0.3">
      <c r="A8" s="256">
        <v>1</v>
      </c>
      <c r="B8" s="257" t="s">
        <v>1202</v>
      </c>
      <c r="C8" s="276">
        <v>44201</v>
      </c>
      <c r="D8" s="257" t="s">
        <v>1352</v>
      </c>
      <c r="E8" s="257" t="s">
        <v>627</v>
      </c>
      <c r="F8" s="257" t="s">
        <v>1437</v>
      </c>
      <c r="G8" s="258">
        <v>37230000000</v>
      </c>
      <c r="H8" s="265">
        <v>0.1</v>
      </c>
      <c r="I8" s="258">
        <v>3723000000</v>
      </c>
      <c r="J8" s="258">
        <v>40953000000</v>
      </c>
      <c r="K8" s="256" t="s">
        <v>1346</v>
      </c>
    </row>
    <row r="9" spans="1:11" x14ac:dyDescent="0.3">
      <c r="A9" s="256">
        <v>2</v>
      </c>
      <c r="B9" s="257" t="s">
        <v>1200</v>
      </c>
      <c r="C9" s="276">
        <v>44201</v>
      </c>
      <c r="D9" s="257" t="s">
        <v>1265</v>
      </c>
      <c r="E9" s="257" t="s">
        <v>461</v>
      </c>
      <c r="F9" s="257" t="s">
        <v>1438</v>
      </c>
      <c r="G9" s="258">
        <v>65516000000</v>
      </c>
      <c r="H9" s="265">
        <v>0.1</v>
      </c>
      <c r="I9" s="258">
        <v>6551600000</v>
      </c>
      <c r="J9" s="258">
        <v>72067600000</v>
      </c>
      <c r="K9" s="256" t="s">
        <v>1346</v>
      </c>
    </row>
    <row r="10" spans="1:11" x14ac:dyDescent="0.3">
      <c r="A10" s="256">
        <v>3</v>
      </c>
      <c r="B10" s="257" t="s">
        <v>1202</v>
      </c>
      <c r="C10" s="276">
        <v>44232</v>
      </c>
      <c r="D10" s="257" t="s">
        <v>1283</v>
      </c>
      <c r="E10" s="257" t="s">
        <v>652</v>
      </c>
      <c r="F10" s="257" t="s">
        <v>1439</v>
      </c>
      <c r="G10" s="258">
        <v>98544000000</v>
      </c>
      <c r="H10" s="265">
        <v>0.1</v>
      </c>
      <c r="I10" s="258">
        <v>9854400000</v>
      </c>
      <c r="J10" s="258">
        <v>108398400000</v>
      </c>
      <c r="K10" s="256" t="s">
        <v>1346</v>
      </c>
    </row>
    <row r="11" spans="1:11" x14ac:dyDescent="0.3">
      <c r="A11" s="256">
        <v>4</v>
      </c>
      <c r="B11" s="257" t="s">
        <v>1200</v>
      </c>
      <c r="C11" s="276">
        <v>44232</v>
      </c>
      <c r="D11" s="257" t="s">
        <v>1273</v>
      </c>
      <c r="E11" s="257" t="s">
        <v>548</v>
      </c>
      <c r="F11" s="257" t="s">
        <v>1440</v>
      </c>
      <c r="G11" s="258">
        <v>23148000000</v>
      </c>
      <c r="H11" s="265">
        <v>0.1</v>
      </c>
      <c r="I11" s="258">
        <v>2314800000</v>
      </c>
      <c r="J11" s="258">
        <v>25462800000</v>
      </c>
      <c r="K11" s="256" t="s">
        <v>1346</v>
      </c>
    </row>
    <row r="12" spans="1:11" x14ac:dyDescent="0.3">
      <c r="A12" s="256">
        <v>5</v>
      </c>
      <c r="B12" s="257" t="s">
        <v>1200</v>
      </c>
      <c r="C12" s="276">
        <v>44260</v>
      </c>
      <c r="D12" s="257" t="s">
        <v>1261</v>
      </c>
      <c r="E12" s="257" t="s">
        <v>417</v>
      </c>
      <c r="F12" s="257" t="s">
        <v>1441</v>
      </c>
      <c r="G12" s="258">
        <v>112386000000</v>
      </c>
      <c r="H12" s="265">
        <v>0.1</v>
      </c>
      <c r="I12" s="258">
        <v>11238600000</v>
      </c>
      <c r="J12" s="258">
        <v>123624600000</v>
      </c>
      <c r="K12" s="256" t="s">
        <v>1346</v>
      </c>
    </row>
    <row r="13" spans="1:11" x14ac:dyDescent="0.3">
      <c r="A13" s="256">
        <v>6</v>
      </c>
      <c r="B13" s="257" t="s">
        <v>1201</v>
      </c>
      <c r="C13" s="276">
        <v>44291</v>
      </c>
      <c r="D13" s="257" t="s">
        <v>1263</v>
      </c>
      <c r="E13" s="257" t="s">
        <v>444</v>
      </c>
      <c r="F13" s="257" t="s">
        <v>1442</v>
      </c>
      <c r="G13" s="258">
        <v>57842000000</v>
      </c>
      <c r="H13" s="265">
        <v>0.1</v>
      </c>
      <c r="I13" s="258">
        <v>5784200000</v>
      </c>
      <c r="J13" s="258">
        <v>63626200000</v>
      </c>
      <c r="K13" s="256" t="s">
        <v>1346</v>
      </c>
    </row>
    <row r="14" spans="1:11" x14ac:dyDescent="0.3">
      <c r="A14" s="256">
        <v>7</v>
      </c>
      <c r="B14" s="257" t="s">
        <v>1202</v>
      </c>
      <c r="C14" s="276">
        <v>44291</v>
      </c>
      <c r="D14" s="257" t="s">
        <v>1279</v>
      </c>
      <c r="E14" s="257" t="s">
        <v>611</v>
      </c>
      <c r="F14" s="257" t="s">
        <v>1443</v>
      </c>
      <c r="G14" s="258">
        <v>44318000000</v>
      </c>
      <c r="H14" s="265">
        <v>0.1</v>
      </c>
      <c r="I14" s="258">
        <v>4431800000</v>
      </c>
      <c r="J14" s="258">
        <v>48749800000</v>
      </c>
      <c r="K14" s="256" t="s">
        <v>1346</v>
      </c>
    </row>
    <row r="15" spans="1:11" x14ac:dyDescent="0.3">
      <c r="A15" s="256">
        <v>8</v>
      </c>
      <c r="B15" s="257" t="s">
        <v>1201</v>
      </c>
      <c r="C15" s="276">
        <v>44321</v>
      </c>
      <c r="D15" s="257" t="s">
        <v>1266</v>
      </c>
      <c r="E15" s="257" t="s">
        <v>469</v>
      </c>
      <c r="F15" s="257" t="s">
        <v>1444</v>
      </c>
      <c r="G15" s="258">
        <v>80924000000</v>
      </c>
      <c r="H15" s="265">
        <v>0.1</v>
      </c>
      <c r="I15" s="258">
        <v>8092400000</v>
      </c>
      <c r="J15" s="258">
        <v>89016400000</v>
      </c>
      <c r="K15" s="256" t="s">
        <v>1346</v>
      </c>
    </row>
    <row r="16" spans="1:11" x14ac:dyDescent="0.3">
      <c r="A16" s="256">
        <v>9</v>
      </c>
      <c r="B16" s="257" t="s">
        <v>1355</v>
      </c>
      <c r="C16" s="276">
        <v>44321</v>
      </c>
      <c r="D16" s="257" t="s">
        <v>1386</v>
      </c>
      <c r="E16" s="257" t="s">
        <v>1236</v>
      </c>
      <c r="F16" s="257" t="s">
        <v>1445</v>
      </c>
      <c r="G16" s="258">
        <v>71563000000</v>
      </c>
      <c r="H16" s="265">
        <v>0.1</v>
      </c>
      <c r="I16" s="258">
        <v>7156300000</v>
      </c>
      <c r="J16" s="258">
        <v>78719300000</v>
      </c>
      <c r="K16" s="256" t="s">
        <v>1346</v>
      </c>
    </row>
    <row r="17" spans="1:11" x14ac:dyDescent="0.3">
      <c r="A17" s="256">
        <v>10</v>
      </c>
      <c r="B17" s="257" t="s">
        <v>1201</v>
      </c>
      <c r="C17" s="276">
        <v>44352</v>
      </c>
      <c r="D17" s="257" t="s">
        <v>1260</v>
      </c>
      <c r="E17" s="257" t="s">
        <v>408</v>
      </c>
      <c r="F17" s="257" t="s">
        <v>1439</v>
      </c>
      <c r="G17" s="258">
        <v>52437000000</v>
      </c>
      <c r="H17" s="265">
        <v>0.1</v>
      </c>
      <c r="I17" s="258">
        <v>5243700000</v>
      </c>
      <c r="J17" s="258">
        <v>57680700000</v>
      </c>
      <c r="K17" s="256" t="s">
        <v>1346</v>
      </c>
    </row>
    <row r="18" spans="1:11" x14ac:dyDescent="0.3">
      <c r="A18" s="256">
        <v>11</v>
      </c>
      <c r="B18" s="257" t="s">
        <v>1202</v>
      </c>
      <c r="C18" s="276">
        <v>44352</v>
      </c>
      <c r="D18" s="257" t="s">
        <v>1395</v>
      </c>
      <c r="E18" s="257" t="s">
        <v>561</v>
      </c>
      <c r="F18" s="257" t="s">
        <v>1350</v>
      </c>
      <c r="G18" s="258">
        <v>89256000000</v>
      </c>
      <c r="H18" s="265">
        <v>0</v>
      </c>
      <c r="I18" s="258">
        <v>0</v>
      </c>
      <c r="J18" s="258">
        <v>89256000000</v>
      </c>
      <c r="K18" s="256" t="s">
        <v>1346</v>
      </c>
    </row>
    <row r="19" spans="1:11" x14ac:dyDescent="0.3">
      <c r="A19" s="256">
        <v>12</v>
      </c>
      <c r="B19" s="257" t="s">
        <v>1201</v>
      </c>
      <c r="C19" s="276">
        <v>44382</v>
      </c>
      <c r="D19" s="257" t="s">
        <v>1284</v>
      </c>
      <c r="E19" s="257" t="s">
        <v>661</v>
      </c>
      <c r="F19" s="257" t="s">
        <v>1441</v>
      </c>
      <c r="G19" s="258">
        <v>130847000000</v>
      </c>
      <c r="H19" s="265">
        <v>0.1</v>
      </c>
      <c r="I19" s="258">
        <v>13084700000</v>
      </c>
      <c r="J19" s="258">
        <v>143931700000</v>
      </c>
      <c r="K19" s="256" t="s">
        <v>1346</v>
      </c>
    </row>
    <row r="20" spans="1:11" x14ac:dyDescent="0.3">
      <c r="A20" s="256">
        <v>13</v>
      </c>
      <c r="B20" s="257" t="s">
        <v>1201</v>
      </c>
      <c r="C20" s="276">
        <v>44382</v>
      </c>
      <c r="D20" s="257" t="s">
        <v>1280</v>
      </c>
      <c r="E20" s="257" t="s">
        <v>618</v>
      </c>
      <c r="F20" s="257" t="s">
        <v>1446</v>
      </c>
      <c r="G20" s="258">
        <v>61234000000</v>
      </c>
      <c r="H20" s="265">
        <v>0.1</v>
      </c>
      <c r="I20" s="258">
        <v>6123400000</v>
      </c>
      <c r="J20" s="258">
        <v>67357400000</v>
      </c>
      <c r="K20" s="256" t="s">
        <v>1346</v>
      </c>
    </row>
    <row r="21" spans="1:11" x14ac:dyDescent="0.3">
      <c r="A21" s="256">
        <v>14</v>
      </c>
      <c r="B21" s="257" t="s">
        <v>1202</v>
      </c>
      <c r="C21" s="276">
        <v>44413</v>
      </c>
      <c r="D21" s="257" t="s">
        <v>1262</v>
      </c>
      <c r="E21" s="257" t="s">
        <v>425</v>
      </c>
      <c r="F21" s="257" t="s">
        <v>1447</v>
      </c>
      <c r="G21" s="258">
        <v>35671000000</v>
      </c>
      <c r="H21" s="265">
        <v>0.1</v>
      </c>
      <c r="I21" s="258">
        <v>3567100000</v>
      </c>
      <c r="J21" s="258">
        <v>39238100000</v>
      </c>
      <c r="K21" s="256" t="s">
        <v>1348</v>
      </c>
    </row>
    <row r="22" spans="1:11" x14ac:dyDescent="0.3">
      <c r="A22" s="256">
        <v>15</v>
      </c>
      <c r="B22" s="257" t="s">
        <v>1202</v>
      </c>
      <c r="C22" s="276">
        <v>44413</v>
      </c>
      <c r="D22" s="257" t="s">
        <v>1259</v>
      </c>
      <c r="E22" s="257" t="s">
        <v>394</v>
      </c>
      <c r="F22" s="257" t="s">
        <v>1445</v>
      </c>
      <c r="G22" s="258">
        <v>93814000000</v>
      </c>
      <c r="H22" s="265">
        <v>0.1</v>
      </c>
      <c r="I22" s="258">
        <v>9381400000</v>
      </c>
      <c r="J22" s="258">
        <v>103195400000</v>
      </c>
      <c r="K22" s="256" t="s">
        <v>1346</v>
      </c>
    </row>
    <row r="23" spans="1:11" x14ac:dyDescent="0.3">
      <c r="A23" s="256">
        <v>16</v>
      </c>
      <c r="B23" s="257" t="s">
        <v>1200</v>
      </c>
      <c r="C23" s="276">
        <v>44444</v>
      </c>
      <c r="D23" s="257" t="s">
        <v>1275</v>
      </c>
      <c r="E23" s="257" t="s">
        <v>569</v>
      </c>
      <c r="F23" s="257" t="s">
        <v>1448</v>
      </c>
      <c r="G23" s="258">
        <v>28456000000</v>
      </c>
      <c r="H23" s="265">
        <v>0.1</v>
      </c>
      <c r="I23" s="258">
        <v>2845600000</v>
      </c>
      <c r="J23" s="258">
        <v>31301600000</v>
      </c>
      <c r="K23" s="256" t="s">
        <v>1346</v>
      </c>
    </row>
    <row r="24" spans="1:11" x14ac:dyDescent="0.3">
      <c r="A24" s="256">
        <v>17</v>
      </c>
      <c r="B24" s="257" t="s">
        <v>1202</v>
      </c>
      <c r="C24" s="276">
        <v>44444</v>
      </c>
      <c r="D24" s="257" t="s">
        <v>1384</v>
      </c>
      <c r="E24" s="257" t="s">
        <v>480</v>
      </c>
      <c r="F24" s="257" t="s">
        <v>1449</v>
      </c>
      <c r="G24" s="258">
        <v>42319000000</v>
      </c>
      <c r="H24" s="265">
        <v>0.1</v>
      </c>
      <c r="I24" s="258">
        <v>4231900000</v>
      </c>
      <c r="J24" s="258">
        <v>46550900000</v>
      </c>
      <c r="K24" s="256" t="s">
        <v>1346</v>
      </c>
    </row>
    <row r="25" spans="1:11" x14ac:dyDescent="0.3">
      <c r="A25" s="256">
        <v>18</v>
      </c>
      <c r="B25" s="257" t="s">
        <v>1201</v>
      </c>
      <c r="C25" s="276">
        <v>44474</v>
      </c>
      <c r="D25" s="257" t="s">
        <v>1416</v>
      </c>
      <c r="E25" s="257" t="s">
        <v>374</v>
      </c>
      <c r="F25" s="257" t="s">
        <v>1450</v>
      </c>
      <c r="G25" s="258">
        <v>67823000000</v>
      </c>
      <c r="H25" s="265">
        <v>0.1</v>
      </c>
      <c r="I25" s="258">
        <v>6782300000</v>
      </c>
      <c r="J25" s="258">
        <v>74605300000</v>
      </c>
      <c r="K25" s="256" t="s">
        <v>1346</v>
      </c>
    </row>
    <row r="26" spans="1:11" x14ac:dyDescent="0.3">
      <c r="A26" s="256">
        <v>19</v>
      </c>
      <c r="B26" s="257" t="s">
        <v>1201</v>
      </c>
      <c r="C26" s="276">
        <v>44474</v>
      </c>
      <c r="D26" s="257" t="s">
        <v>1268</v>
      </c>
      <c r="E26" s="257" t="s">
        <v>498</v>
      </c>
      <c r="F26" s="257" t="s">
        <v>1439</v>
      </c>
      <c r="G26" s="258">
        <v>81345000000</v>
      </c>
      <c r="H26" s="265">
        <v>0.1</v>
      </c>
      <c r="I26" s="258">
        <v>8134500000</v>
      </c>
      <c r="J26" s="258">
        <v>89479500000</v>
      </c>
      <c r="K26" s="256" t="s">
        <v>1346</v>
      </c>
    </row>
    <row r="27" spans="1:11" x14ac:dyDescent="0.3">
      <c r="A27" s="256">
        <v>20</v>
      </c>
      <c r="B27" s="257" t="s">
        <v>1202</v>
      </c>
      <c r="C27" s="276">
        <v>44505</v>
      </c>
      <c r="D27" s="257" t="s">
        <v>1282</v>
      </c>
      <c r="E27" s="257" t="s">
        <v>1361</v>
      </c>
      <c r="F27" s="257" t="s">
        <v>1441</v>
      </c>
      <c r="G27" s="258">
        <v>104567000000</v>
      </c>
      <c r="H27" s="265">
        <v>0.1</v>
      </c>
      <c r="I27" s="258">
        <v>10456700000</v>
      </c>
      <c r="J27" s="258">
        <v>115023700000</v>
      </c>
      <c r="K27" s="256" t="s">
        <v>1346</v>
      </c>
    </row>
    <row r="28" spans="1:11" x14ac:dyDescent="0.3">
      <c r="A28" s="256">
        <v>21</v>
      </c>
      <c r="B28" s="257" t="s">
        <v>1201</v>
      </c>
      <c r="C28" s="276">
        <v>44535</v>
      </c>
      <c r="D28" s="257" t="s">
        <v>1281</v>
      </c>
      <c r="E28" s="257" t="s">
        <v>635</v>
      </c>
      <c r="F28" s="257" t="s">
        <v>1444</v>
      </c>
      <c r="G28" s="258">
        <v>59234000000</v>
      </c>
      <c r="H28" s="265">
        <v>0.1</v>
      </c>
      <c r="I28" s="258">
        <v>5923400000</v>
      </c>
      <c r="J28" s="258">
        <v>65157400000</v>
      </c>
      <c r="K28" s="256" t="s">
        <v>1346</v>
      </c>
    </row>
    <row r="29" spans="1:11" x14ac:dyDescent="0.3">
      <c r="A29" s="256">
        <v>22</v>
      </c>
      <c r="B29" s="257" t="s">
        <v>1202</v>
      </c>
      <c r="C29" s="276">
        <v>44206</v>
      </c>
      <c r="D29" s="257" t="s">
        <v>1270</v>
      </c>
      <c r="E29" s="257" t="s">
        <v>1393</v>
      </c>
      <c r="F29" s="257" t="s">
        <v>1440</v>
      </c>
      <c r="G29" s="258">
        <v>31876000000</v>
      </c>
      <c r="H29" s="265">
        <v>0.1</v>
      </c>
      <c r="I29" s="258">
        <v>3187600000</v>
      </c>
      <c r="J29" s="258">
        <v>35063600000</v>
      </c>
      <c r="K29" s="256" t="s">
        <v>1346</v>
      </c>
    </row>
    <row r="30" spans="1:11" x14ac:dyDescent="0.3">
      <c r="A30" s="256">
        <v>23</v>
      </c>
      <c r="B30" s="257" t="s">
        <v>1202</v>
      </c>
      <c r="C30" s="276">
        <v>44206</v>
      </c>
      <c r="D30" s="257" t="s">
        <v>1257</v>
      </c>
      <c r="E30" s="257" t="s">
        <v>338</v>
      </c>
      <c r="F30" s="257" t="s">
        <v>1443</v>
      </c>
      <c r="G30" s="258">
        <v>76543000000</v>
      </c>
      <c r="H30" s="265">
        <v>0.1</v>
      </c>
      <c r="I30" s="258">
        <v>7654300000</v>
      </c>
      <c r="J30" s="258">
        <v>84197300000</v>
      </c>
      <c r="K30" s="256" t="s">
        <v>1346</v>
      </c>
    </row>
    <row r="31" spans="1:11" x14ac:dyDescent="0.3">
      <c r="A31" s="256">
        <v>24</v>
      </c>
      <c r="B31" s="257" t="s">
        <v>1201</v>
      </c>
      <c r="C31" s="276">
        <v>44237</v>
      </c>
      <c r="D31" s="257" t="s">
        <v>1264</v>
      </c>
      <c r="E31" s="257" t="s">
        <v>453</v>
      </c>
      <c r="F31" s="257" t="s">
        <v>1442</v>
      </c>
      <c r="G31" s="258">
        <v>48912000000</v>
      </c>
      <c r="H31" s="265">
        <v>0.1</v>
      </c>
      <c r="I31" s="258">
        <v>4891200000</v>
      </c>
      <c r="J31" s="258">
        <v>53803200000</v>
      </c>
      <c r="K31" s="256" t="s">
        <v>1348</v>
      </c>
    </row>
    <row r="32" spans="1:11" x14ac:dyDescent="0.3">
      <c r="A32" s="256">
        <v>25</v>
      </c>
      <c r="B32" s="257" t="s">
        <v>1355</v>
      </c>
      <c r="C32" s="276">
        <v>44237</v>
      </c>
      <c r="D32" s="257" t="s">
        <v>1389</v>
      </c>
      <c r="E32" s="257" t="s">
        <v>384</v>
      </c>
      <c r="F32" s="257" t="s">
        <v>1451</v>
      </c>
      <c r="G32" s="258">
        <v>19345000000</v>
      </c>
      <c r="H32" s="265">
        <v>0.1</v>
      </c>
      <c r="I32" s="258">
        <v>1934500000</v>
      </c>
      <c r="J32" s="258">
        <v>21279500000</v>
      </c>
      <c r="K32" s="256" t="s">
        <v>1346</v>
      </c>
    </row>
    <row r="33" spans="1:11" x14ac:dyDescent="0.3">
      <c r="A33" s="256">
        <v>26</v>
      </c>
      <c r="B33" s="257" t="s">
        <v>1200</v>
      </c>
      <c r="C33" s="276">
        <v>44265</v>
      </c>
      <c r="D33" s="257" t="s">
        <v>1276</v>
      </c>
      <c r="E33" s="257" t="s">
        <v>578</v>
      </c>
      <c r="F33" s="257" t="s">
        <v>1446</v>
      </c>
      <c r="G33" s="258">
        <v>53678000000</v>
      </c>
      <c r="H33" s="265">
        <v>0.1</v>
      </c>
      <c r="I33" s="258">
        <v>5367800000</v>
      </c>
      <c r="J33" s="258">
        <v>59045800000</v>
      </c>
      <c r="K33" s="256" t="s">
        <v>1346</v>
      </c>
    </row>
    <row r="34" spans="1:11" x14ac:dyDescent="0.3">
      <c r="A34" s="256">
        <v>27</v>
      </c>
      <c r="B34" s="257" t="s">
        <v>1201</v>
      </c>
      <c r="C34" s="276">
        <v>44265</v>
      </c>
      <c r="D34" s="257" t="s">
        <v>1272</v>
      </c>
      <c r="E34" s="257" t="s">
        <v>540</v>
      </c>
      <c r="F34" s="257" t="s">
        <v>1452</v>
      </c>
      <c r="G34" s="258">
        <v>28934000000</v>
      </c>
      <c r="H34" s="265">
        <v>0.1</v>
      </c>
      <c r="I34" s="258">
        <v>2893400000</v>
      </c>
      <c r="J34" s="258">
        <v>31827400000</v>
      </c>
      <c r="K34" s="256" t="s">
        <v>1346</v>
      </c>
    </row>
    <row r="35" spans="1:11" x14ac:dyDescent="0.3">
      <c r="A35" s="256">
        <v>28</v>
      </c>
      <c r="B35" s="257" t="s">
        <v>1200</v>
      </c>
      <c r="C35" s="276">
        <v>44296</v>
      </c>
      <c r="D35" s="257" t="s">
        <v>1428</v>
      </c>
      <c r="E35" s="257" t="s">
        <v>402</v>
      </c>
      <c r="F35" s="257" t="s">
        <v>1445</v>
      </c>
      <c r="G35" s="258">
        <v>87654000000</v>
      </c>
      <c r="H35" s="265">
        <v>0.1</v>
      </c>
      <c r="I35" s="258">
        <v>8765400000</v>
      </c>
      <c r="J35" s="258">
        <v>96419400000</v>
      </c>
      <c r="K35" s="256" t="s">
        <v>1346</v>
      </c>
    </row>
    <row r="36" spans="1:11" x14ac:dyDescent="0.3">
      <c r="A36" s="256">
        <v>29</v>
      </c>
      <c r="B36" s="257" t="s">
        <v>1201</v>
      </c>
      <c r="C36" s="276">
        <v>44296</v>
      </c>
      <c r="D36" s="257" t="s">
        <v>1285</v>
      </c>
      <c r="E36" s="257" t="s">
        <v>1407</v>
      </c>
      <c r="F36" s="257" t="s">
        <v>1453</v>
      </c>
      <c r="G36" s="258">
        <v>14567000000</v>
      </c>
      <c r="H36" s="265">
        <v>0.05</v>
      </c>
      <c r="I36" s="258">
        <v>728350000</v>
      </c>
      <c r="J36" s="258">
        <v>15295350000</v>
      </c>
      <c r="K36" s="256" t="s">
        <v>1346</v>
      </c>
    </row>
    <row r="37" spans="1:11" x14ac:dyDescent="0.3">
      <c r="A37" s="256">
        <v>30</v>
      </c>
      <c r="B37" s="257" t="s">
        <v>1200</v>
      </c>
      <c r="C37" s="276">
        <v>44326</v>
      </c>
      <c r="D37" s="257" t="s">
        <v>1269</v>
      </c>
      <c r="E37" s="257" t="s">
        <v>511</v>
      </c>
      <c r="F37" s="257" t="s">
        <v>1454</v>
      </c>
      <c r="G37" s="258">
        <v>62341000000</v>
      </c>
      <c r="H37" s="265">
        <v>0.1</v>
      </c>
      <c r="I37" s="258">
        <v>6234100000</v>
      </c>
      <c r="J37" s="258">
        <v>68575100000</v>
      </c>
      <c r="K37" s="256" t="s">
        <v>1346</v>
      </c>
    </row>
    <row r="38" spans="1:11" x14ac:dyDescent="0.3">
      <c r="A38" s="256">
        <v>31</v>
      </c>
      <c r="B38" s="257" t="s">
        <v>1202</v>
      </c>
      <c r="C38" s="276">
        <v>44326</v>
      </c>
      <c r="D38" s="257" t="s">
        <v>1274</v>
      </c>
      <c r="E38" s="257" t="s">
        <v>1412</v>
      </c>
      <c r="F38" s="257" t="s">
        <v>1439</v>
      </c>
      <c r="G38" s="258">
        <v>74329000000</v>
      </c>
      <c r="H38" s="265">
        <v>0.1</v>
      </c>
      <c r="I38" s="258">
        <v>7432900000</v>
      </c>
      <c r="J38" s="258">
        <v>81761900000</v>
      </c>
      <c r="K38" s="256" t="s">
        <v>1346</v>
      </c>
    </row>
    <row r="39" spans="1:11" x14ac:dyDescent="0.3">
      <c r="A39" s="256">
        <v>32</v>
      </c>
      <c r="B39" s="257" t="s">
        <v>1201</v>
      </c>
      <c r="C39" s="276">
        <v>44357</v>
      </c>
      <c r="D39" s="257" t="s">
        <v>1258</v>
      </c>
      <c r="E39" s="257" t="s">
        <v>351</v>
      </c>
      <c r="F39" s="257" t="s">
        <v>1441</v>
      </c>
      <c r="G39" s="258">
        <v>118923000000</v>
      </c>
      <c r="H39" s="265">
        <v>0.1</v>
      </c>
      <c r="I39" s="258">
        <v>11892300000</v>
      </c>
      <c r="J39" s="258">
        <v>130815300000</v>
      </c>
      <c r="K39" s="256" t="s">
        <v>1346</v>
      </c>
    </row>
    <row r="40" spans="1:11" x14ac:dyDescent="0.3">
      <c r="A40" s="256">
        <v>33</v>
      </c>
      <c r="B40" s="257" t="s">
        <v>1201</v>
      </c>
      <c r="C40" s="276">
        <v>44387</v>
      </c>
      <c r="D40" s="257" t="s">
        <v>1277</v>
      </c>
      <c r="E40" s="257" t="s">
        <v>586</v>
      </c>
      <c r="F40" s="257" t="s">
        <v>1437</v>
      </c>
      <c r="G40" s="258">
        <v>45612000000</v>
      </c>
      <c r="H40" s="265">
        <v>0.1</v>
      </c>
      <c r="I40" s="258">
        <v>4561200000</v>
      </c>
      <c r="J40" s="258">
        <v>50173200000</v>
      </c>
      <c r="K40" s="256" t="s">
        <v>1346</v>
      </c>
    </row>
    <row r="41" spans="1:11" x14ac:dyDescent="0.3">
      <c r="A41" s="256">
        <v>34</v>
      </c>
      <c r="B41" s="257" t="s">
        <v>1200</v>
      </c>
      <c r="C41" s="276">
        <v>44418</v>
      </c>
      <c r="D41" s="257" t="s">
        <v>1435</v>
      </c>
      <c r="E41" s="257" t="s">
        <v>435</v>
      </c>
      <c r="F41" s="257" t="s">
        <v>1443</v>
      </c>
      <c r="G41" s="258">
        <v>69845000000</v>
      </c>
      <c r="H41" s="265">
        <v>0.1</v>
      </c>
      <c r="I41" s="258">
        <v>6984500000</v>
      </c>
      <c r="J41" s="258">
        <v>76829500000</v>
      </c>
      <c r="K41" s="256" t="s">
        <v>1348</v>
      </c>
    </row>
    <row r="42" spans="1:11" x14ac:dyDescent="0.3">
      <c r="A42" s="256">
        <v>35</v>
      </c>
      <c r="B42" s="257" t="s">
        <v>1202</v>
      </c>
      <c r="C42" s="276">
        <v>44449</v>
      </c>
      <c r="D42" s="257" t="s">
        <v>1278</v>
      </c>
      <c r="E42" s="257" t="s">
        <v>1349</v>
      </c>
      <c r="F42" s="257" t="s">
        <v>1350</v>
      </c>
      <c r="G42" s="258">
        <v>103456000000</v>
      </c>
      <c r="H42" s="265">
        <v>0</v>
      </c>
      <c r="I42" s="258">
        <v>0</v>
      </c>
      <c r="J42" s="258">
        <v>103456000000</v>
      </c>
      <c r="K42" s="256" t="s">
        <v>1346</v>
      </c>
    </row>
    <row r="43" spans="1:11" x14ac:dyDescent="0.3">
      <c r="A43" s="256">
        <v>36</v>
      </c>
      <c r="B43" s="257" t="s">
        <v>1200</v>
      </c>
      <c r="C43" s="276">
        <v>44479</v>
      </c>
      <c r="D43" s="257" t="s">
        <v>1253</v>
      </c>
      <c r="E43" s="257" t="s">
        <v>1247</v>
      </c>
      <c r="F43" s="257" t="s">
        <v>1447</v>
      </c>
      <c r="G43" s="258">
        <v>28734000000</v>
      </c>
      <c r="H43" s="265">
        <v>0.1</v>
      </c>
      <c r="I43" s="258">
        <v>2873400000</v>
      </c>
      <c r="J43" s="258">
        <v>31607400000</v>
      </c>
      <c r="K43" s="256" t="s">
        <v>1346</v>
      </c>
    </row>
    <row r="44" spans="1:11" x14ac:dyDescent="0.3">
      <c r="A44" s="256">
        <v>37</v>
      </c>
      <c r="B44" s="257" t="s">
        <v>1200</v>
      </c>
      <c r="C44" s="276">
        <v>44510</v>
      </c>
      <c r="D44" s="257" t="s">
        <v>1271</v>
      </c>
      <c r="E44" s="257" t="s">
        <v>532</v>
      </c>
      <c r="F44" s="257" t="s">
        <v>1448</v>
      </c>
      <c r="G44" s="258">
        <v>37456000000</v>
      </c>
      <c r="H44" s="265">
        <v>0.1</v>
      </c>
      <c r="I44" s="258">
        <v>3745600000</v>
      </c>
      <c r="J44" s="258">
        <v>41201600000</v>
      </c>
      <c r="K44" s="256" t="s">
        <v>1346</v>
      </c>
    </row>
    <row r="45" spans="1:11" x14ac:dyDescent="0.3">
      <c r="A45" s="256">
        <v>38</v>
      </c>
      <c r="B45" s="257" t="s">
        <v>1202</v>
      </c>
      <c r="C45" s="276">
        <v>44540</v>
      </c>
      <c r="D45" s="257" t="s">
        <v>1284</v>
      </c>
      <c r="E45" s="257" t="s">
        <v>661</v>
      </c>
      <c r="F45" s="257" t="s">
        <v>1445</v>
      </c>
      <c r="G45" s="258">
        <v>82341000000</v>
      </c>
      <c r="H45" s="265">
        <v>0.1</v>
      </c>
      <c r="I45" s="258">
        <v>8234100000</v>
      </c>
      <c r="J45" s="258">
        <v>90575100000</v>
      </c>
      <c r="K45" s="256" t="s">
        <v>1346</v>
      </c>
    </row>
    <row r="46" spans="1:11" x14ac:dyDescent="0.3">
      <c r="A46" s="256">
        <v>39</v>
      </c>
      <c r="B46" s="257" t="s">
        <v>1355</v>
      </c>
      <c r="C46" s="276">
        <v>44211</v>
      </c>
      <c r="D46" s="257" t="s">
        <v>1267</v>
      </c>
      <c r="E46" s="257" t="s">
        <v>490</v>
      </c>
      <c r="F46" s="257" t="s">
        <v>1446</v>
      </c>
      <c r="G46" s="258">
        <v>58923000000</v>
      </c>
      <c r="H46" s="265">
        <v>0.1</v>
      </c>
      <c r="I46" s="258">
        <v>5892300000</v>
      </c>
      <c r="J46" s="258">
        <v>64815300000</v>
      </c>
      <c r="K46" s="256" t="s">
        <v>1346</v>
      </c>
    </row>
    <row r="47" spans="1:11" x14ac:dyDescent="0.3">
      <c r="A47" s="256">
        <v>40</v>
      </c>
      <c r="B47" s="257" t="s">
        <v>1355</v>
      </c>
      <c r="C47" s="276">
        <v>44242</v>
      </c>
      <c r="D47" s="257" t="s">
        <v>1369</v>
      </c>
      <c r="E47" s="257" t="s">
        <v>346</v>
      </c>
      <c r="F47" s="257" t="s">
        <v>1442</v>
      </c>
      <c r="G47" s="258">
        <v>41267000000</v>
      </c>
      <c r="H47" s="265">
        <v>0.1</v>
      </c>
      <c r="I47" s="258">
        <v>4126700000</v>
      </c>
      <c r="J47" s="258">
        <v>45393700000</v>
      </c>
      <c r="K47" s="256" t="s">
        <v>1346</v>
      </c>
    </row>
    <row r="48" spans="1:11" x14ac:dyDescent="0.3">
      <c r="A48" s="256">
        <v>41</v>
      </c>
      <c r="B48" s="257" t="s">
        <v>1355</v>
      </c>
      <c r="C48" s="276">
        <v>44242</v>
      </c>
      <c r="D48" s="257" t="s">
        <v>1352</v>
      </c>
      <c r="E48" s="257" t="s">
        <v>627</v>
      </c>
      <c r="F48" s="257" t="s">
        <v>1441</v>
      </c>
      <c r="G48" s="258">
        <v>95634000000</v>
      </c>
      <c r="H48" s="265">
        <v>0.1</v>
      </c>
      <c r="I48" s="258">
        <v>9563400000</v>
      </c>
      <c r="J48" s="258">
        <v>105197400000</v>
      </c>
      <c r="K48" s="256" t="s">
        <v>1346</v>
      </c>
    </row>
    <row r="49" spans="1:11" x14ac:dyDescent="0.3">
      <c r="A49" s="256">
        <v>42</v>
      </c>
      <c r="B49" s="257" t="s">
        <v>1355</v>
      </c>
      <c r="C49" s="276">
        <v>44270</v>
      </c>
      <c r="D49" s="257" t="s">
        <v>1262</v>
      </c>
      <c r="E49" s="257" t="s">
        <v>425</v>
      </c>
      <c r="F49" s="257" t="s">
        <v>1449</v>
      </c>
      <c r="G49" s="258">
        <v>33218000000</v>
      </c>
      <c r="H49" s="265">
        <v>0.1</v>
      </c>
      <c r="I49" s="258">
        <v>3321800000</v>
      </c>
      <c r="J49" s="258">
        <v>36539800000</v>
      </c>
      <c r="K49" s="256" t="s">
        <v>1346</v>
      </c>
    </row>
    <row r="50" spans="1:11" x14ac:dyDescent="0.3">
      <c r="A50" s="256">
        <v>43</v>
      </c>
      <c r="B50" s="257" t="s">
        <v>1355</v>
      </c>
      <c r="C50" s="276">
        <v>44270</v>
      </c>
      <c r="D50" s="257" t="s">
        <v>1259</v>
      </c>
      <c r="E50" s="257" t="s">
        <v>394</v>
      </c>
      <c r="F50" s="257" t="s">
        <v>1440</v>
      </c>
      <c r="G50" s="258">
        <v>47823000000</v>
      </c>
      <c r="H50" s="265">
        <v>0.1</v>
      </c>
      <c r="I50" s="258">
        <v>4782300000</v>
      </c>
      <c r="J50" s="258">
        <v>52605300000</v>
      </c>
      <c r="K50" s="256" t="s">
        <v>1348</v>
      </c>
    </row>
    <row r="51" spans="1:11" x14ac:dyDescent="0.3">
      <c r="A51" s="256">
        <v>44</v>
      </c>
      <c r="B51" s="257" t="s">
        <v>1202</v>
      </c>
      <c r="C51" s="276">
        <v>44301</v>
      </c>
      <c r="D51" s="257" t="s">
        <v>1263</v>
      </c>
      <c r="E51" s="257" t="s">
        <v>444</v>
      </c>
      <c r="F51" s="257" t="s">
        <v>1439</v>
      </c>
      <c r="G51" s="258">
        <v>88912000000</v>
      </c>
      <c r="H51" s="265">
        <v>0.1</v>
      </c>
      <c r="I51" s="258">
        <v>8891200000</v>
      </c>
      <c r="J51" s="258">
        <v>97803200000</v>
      </c>
      <c r="K51" s="256" t="s">
        <v>1346</v>
      </c>
    </row>
    <row r="52" spans="1:11" x14ac:dyDescent="0.3">
      <c r="A52" s="256">
        <v>45</v>
      </c>
      <c r="B52" s="257" t="s">
        <v>1202</v>
      </c>
      <c r="C52" s="276">
        <v>44301</v>
      </c>
      <c r="D52" s="257" t="s">
        <v>1281</v>
      </c>
      <c r="E52" s="257" t="s">
        <v>635</v>
      </c>
      <c r="F52" s="257" t="s">
        <v>1444</v>
      </c>
      <c r="G52" s="258">
        <v>64523000000</v>
      </c>
      <c r="H52" s="265">
        <v>0.1</v>
      </c>
      <c r="I52" s="258">
        <v>6452300000</v>
      </c>
      <c r="J52" s="258">
        <v>70975300000</v>
      </c>
      <c r="K52" s="256" t="s">
        <v>1346</v>
      </c>
    </row>
    <row r="53" spans="1:11" x14ac:dyDescent="0.3">
      <c r="A53" s="256">
        <v>46</v>
      </c>
      <c r="B53" s="257" t="s">
        <v>1355</v>
      </c>
      <c r="C53" s="276">
        <v>44331</v>
      </c>
      <c r="D53" s="257" t="s">
        <v>1395</v>
      </c>
      <c r="E53" s="257" t="s">
        <v>561</v>
      </c>
      <c r="F53" s="257" t="s">
        <v>1450</v>
      </c>
      <c r="G53" s="258">
        <v>52178000000</v>
      </c>
      <c r="H53" s="265">
        <v>0.1</v>
      </c>
      <c r="I53" s="258">
        <v>5217800000</v>
      </c>
      <c r="J53" s="258">
        <v>57395800000</v>
      </c>
      <c r="K53" s="256" t="s">
        <v>1346</v>
      </c>
    </row>
    <row r="54" spans="1:11" x14ac:dyDescent="0.3">
      <c r="A54" s="256">
        <v>47</v>
      </c>
      <c r="B54" s="257" t="s">
        <v>1202</v>
      </c>
      <c r="C54" s="276">
        <v>44331</v>
      </c>
      <c r="D54" s="257" t="s">
        <v>1285</v>
      </c>
      <c r="E54" s="257" t="s">
        <v>1407</v>
      </c>
      <c r="F54" s="257" t="s">
        <v>1441</v>
      </c>
      <c r="G54" s="258">
        <v>107345000000</v>
      </c>
      <c r="H54" s="265">
        <v>0.1</v>
      </c>
      <c r="I54" s="258">
        <v>10734500000</v>
      </c>
      <c r="J54" s="258">
        <v>118079500000</v>
      </c>
      <c r="K54" s="256" t="s">
        <v>1346</v>
      </c>
    </row>
    <row r="55" spans="1:11" x14ac:dyDescent="0.3">
      <c r="A55" s="256">
        <v>48</v>
      </c>
      <c r="B55" s="257" t="s">
        <v>1202</v>
      </c>
      <c r="C55" s="276">
        <v>44362</v>
      </c>
      <c r="D55" s="257" t="s">
        <v>1260</v>
      </c>
      <c r="E55" s="257" t="s">
        <v>408</v>
      </c>
      <c r="F55" s="257" t="s">
        <v>1443</v>
      </c>
      <c r="G55" s="258">
        <v>39812000000</v>
      </c>
      <c r="H55" s="265">
        <v>0.1</v>
      </c>
      <c r="I55" s="258">
        <v>3981200000</v>
      </c>
      <c r="J55" s="258">
        <v>43793200000</v>
      </c>
      <c r="K55" s="256" t="s">
        <v>1346</v>
      </c>
    </row>
    <row r="56" spans="1:11" x14ac:dyDescent="0.3">
      <c r="A56" s="256">
        <v>49</v>
      </c>
      <c r="B56" s="257" t="s">
        <v>1201</v>
      </c>
      <c r="C56" s="276">
        <v>44392</v>
      </c>
      <c r="D56" s="257" t="s">
        <v>1276</v>
      </c>
      <c r="E56" s="257" t="s">
        <v>578</v>
      </c>
      <c r="F56" s="257" t="s">
        <v>1455</v>
      </c>
      <c r="G56" s="258">
        <v>21456000000</v>
      </c>
      <c r="H56" s="265">
        <v>0.1</v>
      </c>
      <c r="I56" s="258">
        <v>2145600000</v>
      </c>
      <c r="J56" s="258">
        <v>23601600000</v>
      </c>
      <c r="K56" s="256" t="s">
        <v>1346</v>
      </c>
    </row>
    <row r="57" spans="1:11" x14ac:dyDescent="0.3">
      <c r="A57" s="256">
        <v>50</v>
      </c>
      <c r="B57" s="257" t="s">
        <v>1202</v>
      </c>
      <c r="C57" s="276">
        <v>44423</v>
      </c>
      <c r="D57" s="257" t="s">
        <v>1264</v>
      </c>
      <c r="E57" s="257" t="s">
        <v>453</v>
      </c>
      <c r="F57" s="257" t="s">
        <v>1445</v>
      </c>
      <c r="G57" s="258">
        <v>76234000000</v>
      </c>
      <c r="H57" s="265">
        <v>0.1</v>
      </c>
      <c r="I57" s="258">
        <v>7623400000</v>
      </c>
      <c r="J57" s="258">
        <v>83857400000</v>
      </c>
      <c r="K57" s="256" t="s">
        <v>1346</v>
      </c>
    </row>
    <row r="58" spans="1:11" x14ac:dyDescent="0.3">
      <c r="A58" s="256">
        <v>51</v>
      </c>
      <c r="B58" s="257" t="s">
        <v>1202</v>
      </c>
      <c r="C58" s="276">
        <v>44454</v>
      </c>
      <c r="D58" s="257" t="s">
        <v>1266</v>
      </c>
      <c r="E58" s="257" t="s">
        <v>469</v>
      </c>
      <c r="F58" s="257" t="s">
        <v>1448</v>
      </c>
      <c r="G58" s="258">
        <v>31567000000</v>
      </c>
      <c r="H58" s="265">
        <v>0.1</v>
      </c>
      <c r="I58" s="258">
        <v>3156700000</v>
      </c>
      <c r="J58" s="258">
        <v>34723700000</v>
      </c>
      <c r="K58" s="256" t="s">
        <v>1346</v>
      </c>
    </row>
    <row r="59" spans="1:11" x14ac:dyDescent="0.3">
      <c r="A59" s="256">
        <v>52</v>
      </c>
      <c r="B59" s="257" t="s">
        <v>1201</v>
      </c>
      <c r="C59" s="276">
        <v>44484</v>
      </c>
      <c r="D59" s="257" t="s">
        <v>1275</v>
      </c>
      <c r="E59" s="257" t="s">
        <v>569</v>
      </c>
      <c r="F59" s="257" t="s">
        <v>1442</v>
      </c>
      <c r="G59" s="258">
        <v>59234000000</v>
      </c>
      <c r="H59" s="265">
        <v>0.1</v>
      </c>
      <c r="I59" s="258">
        <v>5923400000</v>
      </c>
      <c r="J59" s="258">
        <v>65157400000</v>
      </c>
      <c r="K59" s="256" t="s">
        <v>1346</v>
      </c>
    </row>
    <row r="60" spans="1:11" x14ac:dyDescent="0.3">
      <c r="A60" s="256">
        <v>53</v>
      </c>
      <c r="B60" s="257" t="s">
        <v>1201</v>
      </c>
      <c r="C60" s="276">
        <v>44515</v>
      </c>
      <c r="D60" s="257" t="s">
        <v>1261</v>
      </c>
      <c r="E60" s="257" t="s">
        <v>417</v>
      </c>
      <c r="F60" s="257" t="s">
        <v>1452</v>
      </c>
      <c r="G60" s="258">
        <v>24789000000</v>
      </c>
      <c r="H60" s="265">
        <v>0.1</v>
      </c>
      <c r="I60" s="258">
        <v>2478900000</v>
      </c>
      <c r="J60" s="258">
        <v>27267900000</v>
      </c>
      <c r="K60" s="256" t="s">
        <v>1348</v>
      </c>
    </row>
    <row r="61" spans="1:11" x14ac:dyDescent="0.3">
      <c r="A61" s="256">
        <v>54</v>
      </c>
      <c r="B61" s="257" t="s">
        <v>1202</v>
      </c>
      <c r="C61" s="276">
        <v>44545</v>
      </c>
      <c r="D61" s="257" t="s">
        <v>1272</v>
      </c>
      <c r="E61" s="257" t="s">
        <v>540</v>
      </c>
      <c r="F61" s="257" t="s">
        <v>1350</v>
      </c>
      <c r="G61" s="258">
        <v>97123000000</v>
      </c>
      <c r="H61" s="265">
        <v>0</v>
      </c>
      <c r="I61" s="258">
        <v>0</v>
      </c>
      <c r="J61" s="258">
        <v>97123000000</v>
      </c>
      <c r="K61" s="256" t="s">
        <v>1346</v>
      </c>
    </row>
    <row r="62" spans="1:11" x14ac:dyDescent="0.3">
      <c r="A62" s="256">
        <v>55</v>
      </c>
      <c r="B62" s="257" t="s">
        <v>1355</v>
      </c>
      <c r="C62" s="276">
        <v>44216</v>
      </c>
      <c r="D62" s="257" t="s">
        <v>1282</v>
      </c>
      <c r="E62" s="257" t="s">
        <v>1361</v>
      </c>
      <c r="F62" s="257" t="s">
        <v>1441</v>
      </c>
      <c r="G62" s="258">
        <v>85432000000</v>
      </c>
      <c r="H62" s="265">
        <v>0.1</v>
      </c>
      <c r="I62" s="258">
        <v>8543200000</v>
      </c>
      <c r="J62" s="258">
        <v>93975200000</v>
      </c>
      <c r="K62" s="256" t="s">
        <v>1346</v>
      </c>
    </row>
    <row r="63" spans="1:11" x14ac:dyDescent="0.3">
      <c r="A63" s="256">
        <v>56</v>
      </c>
      <c r="B63" s="257" t="s">
        <v>1201</v>
      </c>
      <c r="C63" s="276">
        <v>44247</v>
      </c>
      <c r="D63" s="257" t="s">
        <v>1428</v>
      </c>
      <c r="E63" s="257" t="s">
        <v>402</v>
      </c>
      <c r="F63" s="257" t="s">
        <v>1446</v>
      </c>
      <c r="G63" s="258">
        <v>47234000000</v>
      </c>
      <c r="H63" s="265">
        <v>0.1</v>
      </c>
      <c r="I63" s="258">
        <v>4723400000</v>
      </c>
      <c r="J63" s="258">
        <v>51957400000</v>
      </c>
      <c r="K63" s="256" t="s">
        <v>1346</v>
      </c>
    </row>
    <row r="64" spans="1:11" x14ac:dyDescent="0.3">
      <c r="A64" s="256">
        <v>57</v>
      </c>
      <c r="B64" s="257" t="s">
        <v>1201</v>
      </c>
      <c r="C64" s="276">
        <v>44275</v>
      </c>
      <c r="D64" s="257" t="s">
        <v>1265</v>
      </c>
      <c r="E64" s="257" t="s">
        <v>461</v>
      </c>
      <c r="F64" s="257" t="s">
        <v>1437</v>
      </c>
      <c r="G64" s="258">
        <v>35678000000</v>
      </c>
      <c r="H64" s="265">
        <v>0.1</v>
      </c>
      <c r="I64" s="258">
        <v>3567800000</v>
      </c>
      <c r="J64" s="258">
        <v>39245800000</v>
      </c>
      <c r="K64" s="256" t="s">
        <v>1346</v>
      </c>
    </row>
    <row r="65" spans="1:11" x14ac:dyDescent="0.3">
      <c r="A65" s="256">
        <v>58</v>
      </c>
      <c r="B65" s="257" t="s">
        <v>1202</v>
      </c>
      <c r="C65" s="276">
        <v>44306</v>
      </c>
      <c r="D65" s="257" t="s">
        <v>1280</v>
      </c>
      <c r="E65" s="257" t="s">
        <v>618</v>
      </c>
      <c r="F65" s="257" t="s">
        <v>1445</v>
      </c>
      <c r="G65" s="258">
        <v>91567000000</v>
      </c>
      <c r="H65" s="265">
        <v>0.1</v>
      </c>
      <c r="I65" s="258">
        <v>9156700000</v>
      </c>
      <c r="J65" s="258">
        <v>100723700000</v>
      </c>
      <c r="K65" s="256" t="s">
        <v>1346</v>
      </c>
    </row>
    <row r="66" spans="1:11" x14ac:dyDescent="0.3">
      <c r="A66" s="256">
        <v>59</v>
      </c>
      <c r="B66" s="257" t="s">
        <v>1201</v>
      </c>
      <c r="C66" s="276">
        <v>44336</v>
      </c>
      <c r="D66" s="257" t="s">
        <v>1269</v>
      </c>
      <c r="E66" s="257" t="s">
        <v>511</v>
      </c>
      <c r="F66" s="257" t="s">
        <v>1439</v>
      </c>
      <c r="G66" s="258">
        <v>68923000000</v>
      </c>
      <c r="H66" s="265">
        <v>0.1</v>
      </c>
      <c r="I66" s="258">
        <v>6892300000</v>
      </c>
      <c r="J66" s="258">
        <v>75815300000</v>
      </c>
      <c r="K66" s="256" t="s">
        <v>1346</v>
      </c>
    </row>
    <row r="67" spans="1:11" x14ac:dyDescent="0.3">
      <c r="A67" s="256">
        <v>60</v>
      </c>
      <c r="B67" s="257" t="s">
        <v>1356</v>
      </c>
      <c r="C67" s="276">
        <v>44367</v>
      </c>
      <c r="D67" s="257" t="s">
        <v>1386</v>
      </c>
      <c r="E67" s="257" t="s">
        <v>1236</v>
      </c>
      <c r="F67" s="257" t="s">
        <v>1451</v>
      </c>
      <c r="G67" s="258">
        <v>18345000000</v>
      </c>
      <c r="H67" s="265">
        <v>0.1</v>
      </c>
      <c r="I67" s="258">
        <v>1834500000</v>
      </c>
      <c r="J67" s="258">
        <v>20179500000</v>
      </c>
      <c r="K67" s="256" t="s">
        <v>1346</v>
      </c>
    </row>
    <row r="68" spans="1:11" x14ac:dyDescent="0.3">
      <c r="A68" s="256">
        <v>61</v>
      </c>
      <c r="B68" s="257" t="s">
        <v>1202</v>
      </c>
      <c r="C68" s="276">
        <v>44397</v>
      </c>
      <c r="D68" s="257" t="s">
        <v>1268</v>
      </c>
      <c r="E68" s="257" t="s">
        <v>498</v>
      </c>
      <c r="F68" s="257" t="s">
        <v>1454</v>
      </c>
      <c r="G68" s="258">
        <v>53456000000</v>
      </c>
      <c r="H68" s="265">
        <v>0.1</v>
      </c>
      <c r="I68" s="258">
        <v>5345600000</v>
      </c>
      <c r="J68" s="258">
        <v>58801600000</v>
      </c>
      <c r="K68" s="256" t="s">
        <v>1346</v>
      </c>
    </row>
    <row r="69" spans="1:11" x14ac:dyDescent="0.3">
      <c r="A69" s="256">
        <v>62</v>
      </c>
      <c r="B69" s="257" t="s">
        <v>1202</v>
      </c>
      <c r="C69" s="276">
        <v>44428</v>
      </c>
      <c r="D69" s="257" t="s">
        <v>1277</v>
      </c>
      <c r="E69" s="257" t="s">
        <v>586</v>
      </c>
      <c r="F69" s="257" t="s">
        <v>1441</v>
      </c>
      <c r="G69" s="258">
        <v>121234000000</v>
      </c>
      <c r="H69" s="265">
        <v>0.1</v>
      </c>
      <c r="I69" s="258">
        <v>12123400000</v>
      </c>
      <c r="J69" s="258">
        <v>133357400000</v>
      </c>
      <c r="K69" s="256" t="s">
        <v>1346</v>
      </c>
    </row>
    <row r="70" spans="1:11" x14ac:dyDescent="0.3">
      <c r="A70" s="256">
        <v>63</v>
      </c>
      <c r="B70" s="257" t="s">
        <v>1355</v>
      </c>
      <c r="C70" s="276">
        <v>44459</v>
      </c>
      <c r="D70" s="257" t="s">
        <v>1384</v>
      </c>
      <c r="E70" s="257" t="s">
        <v>480</v>
      </c>
      <c r="F70" s="257" t="s">
        <v>1443</v>
      </c>
      <c r="G70" s="258">
        <v>43567000000</v>
      </c>
      <c r="H70" s="265">
        <v>0.1</v>
      </c>
      <c r="I70" s="258">
        <v>4356700000</v>
      </c>
      <c r="J70" s="258">
        <v>47923700000</v>
      </c>
      <c r="K70" s="256" t="s">
        <v>1348</v>
      </c>
    </row>
    <row r="71" spans="1:11" x14ac:dyDescent="0.3">
      <c r="A71" s="256">
        <v>64</v>
      </c>
      <c r="B71" s="257" t="s">
        <v>1202</v>
      </c>
      <c r="C71" s="276">
        <v>44489</v>
      </c>
      <c r="D71" s="257" t="s">
        <v>1416</v>
      </c>
      <c r="E71" s="257" t="s">
        <v>374</v>
      </c>
      <c r="F71" s="257" t="s">
        <v>1447</v>
      </c>
      <c r="G71" s="258">
        <v>32145000000</v>
      </c>
      <c r="H71" s="265">
        <v>0.1</v>
      </c>
      <c r="I71" s="258">
        <v>3214500000</v>
      </c>
      <c r="J71" s="258">
        <v>35359500000</v>
      </c>
      <c r="K71" s="256" t="s">
        <v>1346</v>
      </c>
    </row>
    <row r="72" spans="1:11" x14ac:dyDescent="0.3">
      <c r="A72" s="256">
        <v>65</v>
      </c>
      <c r="B72" s="257" t="s">
        <v>1355</v>
      </c>
      <c r="C72" s="276">
        <v>44520</v>
      </c>
      <c r="D72" s="257" t="s">
        <v>1283</v>
      </c>
      <c r="E72" s="257" t="s">
        <v>652</v>
      </c>
      <c r="F72" s="257" t="s">
        <v>1445</v>
      </c>
      <c r="G72" s="258">
        <v>87123000000</v>
      </c>
      <c r="H72" s="265">
        <v>0.1</v>
      </c>
      <c r="I72" s="258">
        <v>8712300000</v>
      </c>
      <c r="J72" s="258">
        <v>95835300000</v>
      </c>
      <c r="K72" s="256" t="s">
        <v>1346</v>
      </c>
    </row>
    <row r="73" spans="1:11" x14ac:dyDescent="0.3">
      <c r="A73" s="256">
        <v>66</v>
      </c>
      <c r="B73" s="257" t="s">
        <v>1355</v>
      </c>
      <c r="C73" s="276">
        <v>44550</v>
      </c>
      <c r="D73" s="257" t="s">
        <v>1274</v>
      </c>
      <c r="E73" s="257" t="s">
        <v>1412</v>
      </c>
      <c r="F73" s="257" t="s">
        <v>1453</v>
      </c>
      <c r="G73" s="258">
        <v>16789000000</v>
      </c>
      <c r="H73" s="265">
        <v>0.05</v>
      </c>
      <c r="I73" s="258">
        <v>839450000</v>
      </c>
      <c r="J73" s="258">
        <v>17628450000</v>
      </c>
      <c r="K73" s="256" t="s">
        <v>1346</v>
      </c>
    </row>
    <row r="74" spans="1:11" x14ac:dyDescent="0.3">
      <c r="A74" s="256">
        <v>67</v>
      </c>
      <c r="B74" s="257" t="s">
        <v>1355</v>
      </c>
      <c r="C74" s="276">
        <v>44221</v>
      </c>
      <c r="D74" s="257" t="s">
        <v>1257</v>
      </c>
      <c r="E74" s="257" t="s">
        <v>338</v>
      </c>
      <c r="F74" s="257" t="s">
        <v>1439</v>
      </c>
      <c r="G74" s="258">
        <v>77345000000</v>
      </c>
      <c r="H74" s="265">
        <v>0.1</v>
      </c>
      <c r="I74" s="258">
        <v>7734500000</v>
      </c>
      <c r="J74" s="258">
        <v>85079500000</v>
      </c>
      <c r="K74" s="256" t="s">
        <v>1346</v>
      </c>
    </row>
    <row r="75" spans="1:11" x14ac:dyDescent="0.3">
      <c r="A75" s="256">
        <v>68</v>
      </c>
      <c r="B75" s="257" t="s">
        <v>1355</v>
      </c>
      <c r="C75" s="276">
        <v>44252</v>
      </c>
      <c r="D75" s="257" t="s">
        <v>1279</v>
      </c>
      <c r="E75" s="257" t="s">
        <v>611</v>
      </c>
      <c r="F75" s="257" t="s">
        <v>1444</v>
      </c>
      <c r="G75" s="258">
        <v>56234000000</v>
      </c>
      <c r="H75" s="265">
        <v>0.1</v>
      </c>
      <c r="I75" s="258">
        <v>5623400000</v>
      </c>
      <c r="J75" s="258">
        <v>61857400000</v>
      </c>
      <c r="K75" s="256" t="s">
        <v>1346</v>
      </c>
    </row>
    <row r="76" spans="1:11" x14ac:dyDescent="0.3">
      <c r="A76" s="256">
        <v>69</v>
      </c>
      <c r="B76" s="257" t="s">
        <v>1356</v>
      </c>
      <c r="C76" s="276">
        <v>44280</v>
      </c>
      <c r="D76" s="257" t="s">
        <v>1262</v>
      </c>
      <c r="E76" s="257" t="s">
        <v>425</v>
      </c>
      <c r="F76" s="257" t="s">
        <v>1441</v>
      </c>
      <c r="G76" s="258">
        <v>114678000000</v>
      </c>
      <c r="H76" s="265">
        <v>0.1</v>
      </c>
      <c r="I76" s="258">
        <v>11467800000</v>
      </c>
      <c r="J76" s="258">
        <v>126145800000</v>
      </c>
      <c r="K76" s="256" t="s">
        <v>1346</v>
      </c>
    </row>
    <row r="77" spans="1:11" x14ac:dyDescent="0.3">
      <c r="A77" s="256">
        <v>70</v>
      </c>
      <c r="B77" s="257" t="s">
        <v>1355</v>
      </c>
      <c r="C77" s="276">
        <v>44311</v>
      </c>
      <c r="D77" s="257" t="s">
        <v>1278</v>
      </c>
      <c r="E77" s="257" t="s">
        <v>1349</v>
      </c>
      <c r="F77" s="257" t="s">
        <v>1446</v>
      </c>
      <c r="G77" s="258">
        <v>51234000000</v>
      </c>
      <c r="H77" s="265">
        <v>0.1</v>
      </c>
      <c r="I77" s="258">
        <v>5123400000</v>
      </c>
      <c r="J77" s="258">
        <v>56357400000</v>
      </c>
      <c r="K77" s="256" t="s">
        <v>1346</v>
      </c>
    </row>
    <row r="78" spans="1:11" x14ac:dyDescent="0.3">
      <c r="A78" s="256">
        <v>71</v>
      </c>
      <c r="B78" s="257" t="s">
        <v>1356</v>
      </c>
      <c r="C78" s="276">
        <v>44341</v>
      </c>
      <c r="D78" s="257" t="s">
        <v>1389</v>
      </c>
      <c r="E78" s="257" t="s">
        <v>384</v>
      </c>
      <c r="F78" s="257" t="s">
        <v>1450</v>
      </c>
      <c r="G78" s="258">
        <v>64512000000</v>
      </c>
      <c r="H78" s="265">
        <v>0.1</v>
      </c>
      <c r="I78" s="258">
        <v>6451200000</v>
      </c>
      <c r="J78" s="258">
        <v>70963200000</v>
      </c>
      <c r="K78" s="256" t="s">
        <v>1346</v>
      </c>
    </row>
    <row r="79" spans="1:11" x14ac:dyDescent="0.3">
      <c r="A79" s="256">
        <v>72</v>
      </c>
      <c r="B79" s="257" t="s">
        <v>1201</v>
      </c>
      <c r="C79" s="276">
        <v>44372</v>
      </c>
      <c r="D79" s="257" t="s">
        <v>1271</v>
      </c>
      <c r="E79" s="257" t="s">
        <v>532</v>
      </c>
      <c r="F79" s="257" t="s">
        <v>1440</v>
      </c>
      <c r="G79" s="258">
        <v>39234000000</v>
      </c>
      <c r="H79" s="265">
        <v>0.1</v>
      </c>
      <c r="I79" s="258">
        <v>3923400000</v>
      </c>
      <c r="J79" s="258">
        <v>43157400000</v>
      </c>
      <c r="K79" s="256" t="s">
        <v>1346</v>
      </c>
    </row>
    <row r="80" spans="1:11" x14ac:dyDescent="0.3">
      <c r="A80" s="256">
        <v>73</v>
      </c>
      <c r="B80" s="257" t="s">
        <v>1356</v>
      </c>
      <c r="C80" s="276">
        <v>44402</v>
      </c>
      <c r="D80" s="257" t="s">
        <v>1369</v>
      </c>
      <c r="E80" s="257" t="s">
        <v>346</v>
      </c>
      <c r="F80" s="257" t="s">
        <v>1442</v>
      </c>
      <c r="G80" s="258">
        <v>72345000000</v>
      </c>
      <c r="H80" s="265">
        <v>0.1</v>
      </c>
      <c r="I80" s="258">
        <v>7234500000</v>
      </c>
      <c r="J80" s="258">
        <v>79579500000</v>
      </c>
      <c r="K80" s="256" t="s">
        <v>1346</v>
      </c>
    </row>
    <row r="81" spans="1:11" x14ac:dyDescent="0.3">
      <c r="A81" s="256">
        <v>74</v>
      </c>
      <c r="B81" s="257" t="s">
        <v>1201</v>
      </c>
      <c r="C81" s="276">
        <v>44433</v>
      </c>
      <c r="D81" s="257" t="s">
        <v>1253</v>
      </c>
      <c r="E81" s="257" t="s">
        <v>1247</v>
      </c>
      <c r="F81" s="257" t="s">
        <v>1448</v>
      </c>
      <c r="G81" s="258">
        <v>28912000000</v>
      </c>
      <c r="H81" s="265">
        <v>0.1</v>
      </c>
      <c r="I81" s="258">
        <v>2891200000</v>
      </c>
      <c r="J81" s="258">
        <v>31803200000</v>
      </c>
      <c r="K81" s="256" t="s">
        <v>1348</v>
      </c>
    </row>
    <row r="82" spans="1:11" x14ac:dyDescent="0.3">
      <c r="A82" s="256">
        <v>75</v>
      </c>
      <c r="B82" s="257" t="s">
        <v>1355</v>
      </c>
      <c r="C82" s="276">
        <v>44464</v>
      </c>
      <c r="D82" s="257" t="s">
        <v>1270</v>
      </c>
      <c r="E82" s="257" t="s">
        <v>1393</v>
      </c>
      <c r="F82" s="257" t="s">
        <v>1449</v>
      </c>
      <c r="G82" s="258">
        <v>41678000000</v>
      </c>
      <c r="H82" s="265">
        <v>0.1</v>
      </c>
      <c r="I82" s="258">
        <v>4167800000</v>
      </c>
      <c r="J82" s="258">
        <v>45845800000</v>
      </c>
      <c r="K82" s="256" t="s">
        <v>1346</v>
      </c>
    </row>
    <row r="83" spans="1:11" x14ac:dyDescent="0.3">
      <c r="A83" s="256">
        <v>76</v>
      </c>
      <c r="B83" s="257" t="s">
        <v>1356</v>
      </c>
      <c r="C83" s="276">
        <v>44494</v>
      </c>
      <c r="D83" s="257" t="s">
        <v>1352</v>
      </c>
      <c r="E83" s="257" t="s">
        <v>627</v>
      </c>
      <c r="F83" s="257" t="s">
        <v>1350</v>
      </c>
      <c r="G83" s="258">
        <v>88234000000</v>
      </c>
      <c r="H83" s="265">
        <v>0</v>
      </c>
      <c r="I83" s="258">
        <v>0</v>
      </c>
      <c r="J83" s="258">
        <v>88234000000</v>
      </c>
      <c r="K83" s="256" t="s">
        <v>1346</v>
      </c>
    </row>
    <row r="84" spans="1:11" x14ac:dyDescent="0.3">
      <c r="A84" s="256">
        <v>77</v>
      </c>
      <c r="B84" s="257" t="s">
        <v>1201</v>
      </c>
      <c r="C84" s="276">
        <v>44525</v>
      </c>
      <c r="D84" s="257" t="s">
        <v>1435</v>
      </c>
      <c r="E84" s="257" t="s">
        <v>435</v>
      </c>
      <c r="F84" s="257" t="s">
        <v>1441</v>
      </c>
      <c r="G84" s="258">
        <v>95678000000</v>
      </c>
      <c r="H84" s="265">
        <v>0.1</v>
      </c>
      <c r="I84" s="258">
        <v>9567800000</v>
      </c>
      <c r="J84" s="258">
        <v>105245800000</v>
      </c>
      <c r="K84" s="256" t="s">
        <v>1346</v>
      </c>
    </row>
    <row r="85" spans="1:11" x14ac:dyDescent="0.3">
      <c r="A85" s="256">
        <v>78</v>
      </c>
      <c r="B85" s="257" t="s">
        <v>1202</v>
      </c>
      <c r="C85" s="276">
        <v>44224</v>
      </c>
      <c r="D85" s="257" t="s">
        <v>1261</v>
      </c>
      <c r="E85" s="257" t="s">
        <v>417</v>
      </c>
      <c r="F85" s="257" t="s">
        <v>1443</v>
      </c>
      <c r="G85" s="258">
        <v>61234000000</v>
      </c>
      <c r="H85" s="265">
        <v>0.1</v>
      </c>
      <c r="I85" s="258">
        <v>6123400000</v>
      </c>
      <c r="J85" s="258">
        <v>67357400000</v>
      </c>
      <c r="K85" s="256" t="s">
        <v>1346</v>
      </c>
    </row>
    <row r="86" spans="1:11" x14ac:dyDescent="0.3">
      <c r="A86" s="256">
        <v>79</v>
      </c>
      <c r="B86" s="257" t="s">
        <v>1355</v>
      </c>
      <c r="C86" s="276">
        <v>44255</v>
      </c>
      <c r="D86" s="257" t="s">
        <v>1285</v>
      </c>
      <c r="E86" s="257" t="s">
        <v>1407</v>
      </c>
      <c r="F86" s="257" t="s">
        <v>1452</v>
      </c>
      <c r="G86" s="258">
        <v>22567000000</v>
      </c>
      <c r="H86" s="265">
        <v>0.1</v>
      </c>
      <c r="I86" s="258">
        <v>2256700000</v>
      </c>
      <c r="J86" s="258">
        <v>24823700000</v>
      </c>
      <c r="K86" s="256" t="s">
        <v>1346</v>
      </c>
    </row>
    <row r="87" spans="1:11" x14ac:dyDescent="0.3">
      <c r="A87" s="256">
        <v>80</v>
      </c>
      <c r="B87" s="257" t="s">
        <v>1355</v>
      </c>
      <c r="C87" s="276">
        <v>44283</v>
      </c>
      <c r="D87" s="257" t="s">
        <v>1264</v>
      </c>
      <c r="E87" s="257" t="s">
        <v>453</v>
      </c>
      <c r="F87" s="257" t="s">
        <v>1445</v>
      </c>
      <c r="G87" s="258">
        <v>79345000000</v>
      </c>
      <c r="H87" s="265">
        <v>0.1</v>
      </c>
      <c r="I87" s="258">
        <v>7934500000</v>
      </c>
      <c r="J87" s="258">
        <v>87279500000</v>
      </c>
      <c r="K87" s="256" t="s">
        <v>1346</v>
      </c>
    </row>
    <row r="88" spans="1:11" x14ac:dyDescent="0.3">
      <c r="A88" s="256">
        <v>81</v>
      </c>
      <c r="B88" s="257" t="s">
        <v>1202</v>
      </c>
      <c r="C88" s="276">
        <v>44314</v>
      </c>
      <c r="D88" s="257" t="s">
        <v>1275</v>
      </c>
      <c r="E88" s="257" t="s">
        <v>569</v>
      </c>
      <c r="F88" s="257" t="s">
        <v>1439</v>
      </c>
      <c r="G88" s="258">
        <v>66789000000</v>
      </c>
      <c r="H88" s="265">
        <v>0.1</v>
      </c>
      <c r="I88" s="258">
        <v>6678900000</v>
      </c>
      <c r="J88" s="258">
        <v>73467900000</v>
      </c>
      <c r="K88" s="256" t="s">
        <v>1346</v>
      </c>
    </row>
    <row r="89" spans="1:11" x14ac:dyDescent="0.3">
      <c r="A89" s="256">
        <v>82</v>
      </c>
      <c r="B89" s="257" t="s">
        <v>1355</v>
      </c>
      <c r="C89" s="276">
        <v>44405</v>
      </c>
      <c r="D89" s="257" t="s">
        <v>1284</v>
      </c>
      <c r="E89" s="257" t="s">
        <v>661</v>
      </c>
      <c r="F89" s="257" t="s">
        <v>1455</v>
      </c>
      <c r="G89" s="258">
        <v>19678000000</v>
      </c>
      <c r="H89" s="265">
        <v>0.1</v>
      </c>
      <c r="I89" s="258">
        <v>1967800000</v>
      </c>
      <c r="J89" s="258">
        <v>21645800000</v>
      </c>
      <c r="K89" s="256" t="s">
        <v>1346</v>
      </c>
    </row>
    <row r="90" spans="1:11" x14ac:dyDescent="0.3">
      <c r="A90" s="256">
        <v>83</v>
      </c>
      <c r="B90" s="257" t="s">
        <v>1355</v>
      </c>
      <c r="C90" s="276">
        <v>44436</v>
      </c>
      <c r="D90" s="257" t="s">
        <v>1266</v>
      </c>
      <c r="E90" s="257" t="s">
        <v>469</v>
      </c>
      <c r="F90" s="257" t="s">
        <v>1441</v>
      </c>
      <c r="G90" s="258">
        <v>108934000000</v>
      </c>
      <c r="H90" s="265">
        <v>0.1</v>
      </c>
      <c r="I90" s="258">
        <v>10893400000</v>
      </c>
      <c r="J90" s="258">
        <v>119827400000</v>
      </c>
      <c r="K90" s="256" t="s">
        <v>1346</v>
      </c>
    </row>
    <row r="91" spans="1:11" x14ac:dyDescent="0.3">
      <c r="A91" s="256">
        <v>84</v>
      </c>
      <c r="B91" s="257" t="s">
        <v>1202</v>
      </c>
      <c r="C91" s="276">
        <v>44497</v>
      </c>
      <c r="D91" s="257" t="s">
        <v>1428</v>
      </c>
      <c r="E91" s="257" t="s">
        <v>402</v>
      </c>
      <c r="F91" s="257" t="s">
        <v>1446</v>
      </c>
      <c r="G91" s="258">
        <v>44567000000</v>
      </c>
      <c r="H91" s="265">
        <v>0.1</v>
      </c>
      <c r="I91" s="258">
        <v>4456700000</v>
      </c>
      <c r="J91" s="258">
        <v>49023700000</v>
      </c>
      <c r="K91" s="256" t="s">
        <v>1348</v>
      </c>
    </row>
    <row r="92" spans="1:11" x14ac:dyDescent="0.3">
      <c r="A92" s="256">
        <v>85</v>
      </c>
      <c r="B92" s="257" t="s">
        <v>1355</v>
      </c>
      <c r="C92" s="276">
        <v>44227</v>
      </c>
      <c r="D92" s="257" t="s">
        <v>1281</v>
      </c>
      <c r="E92" s="257" t="s">
        <v>635</v>
      </c>
      <c r="F92" s="257" t="s">
        <v>1444</v>
      </c>
      <c r="G92" s="258">
        <v>58912000000</v>
      </c>
      <c r="H92" s="265">
        <v>0.1</v>
      </c>
      <c r="I92" s="258">
        <v>5891200000</v>
      </c>
      <c r="J92" s="258">
        <v>64803200000</v>
      </c>
      <c r="K92" s="256" t="s">
        <v>1346</v>
      </c>
    </row>
    <row r="93" spans="1:11" x14ac:dyDescent="0.3">
      <c r="A93" s="256">
        <v>86</v>
      </c>
      <c r="B93" s="257" t="s">
        <v>1202</v>
      </c>
      <c r="C93" s="276">
        <v>44286</v>
      </c>
      <c r="D93" s="257" t="s">
        <v>1269</v>
      </c>
      <c r="E93" s="257" t="s">
        <v>511</v>
      </c>
      <c r="F93" s="257" t="s">
        <v>1454</v>
      </c>
      <c r="G93" s="258">
        <v>47234000000</v>
      </c>
      <c r="H93" s="265">
        <v>0.1</v>
      </c>
      <c r="I93" s="258">
        <v>4723400000</v>
      </c>
      <c r="J93" s="258">
        <v>51957400000</v>
      </c>
      <c r="K93" s="256" t="s">
        <v>1346</v>
      </c>
    </row>
    <row r="94" spans="1:11" x14ac:dyDescent="0.3">
      <c r="A94" s="256">
        <v>87</v>
      </c>
      <c r="B94" s="257" t="s">
        <v>1355</v>
      </c>
      <c r="C94" s="276">
        <v>44347</v>
      </c>
      <c r="D94" s="257" t="s">
        <v>1260</v>
      </c>
      <c r="E94" s="257" t="s">
        <v>408</v>
      </c>
      <c r="F94" s="257" t="s">
        <v>1439</v>
      </c>
      <c r="G94" s="258">
        <v>72345000000</v>
      </c>
      <c r="H94" s="265">
        <v>0.1</v>
      </c>
      <c r="I94" s="258">
        <v>7234500000</v>
      </c>
      <c r="J94" s="258">
        <v>79579500000</v>
      </c>
      <c r="K94" s="256" t="s">
        <v>1346</v>
      </c>
    </row>
    <row r="95" spans="1:11" x14ac:dyDescent="0.3">
      <c r="A95" s="256">
        <v>88</v>
      </c>
      <c r="B95" s="257" t="s">
        <v>1356</v>
      </c>
      <c r="C95" s="276">
        <v>44408</v>
      </c>
      <c r="D95" s="257" t="s">
        <v>1267</v>
      </c>
      <c r="E95" s="257" t="s">
        <v>490</v>
      </c>
      <c r="F95" s="257" t="s">
        <v>1441</v>
      </c>
      <c r="G95" s="258">
        <v>97234000000</v>
      </c>
      <c r="H95" s="265">
        <v>0.1</v>
      </c>
      <c r="I95" s="258">
        <v>9723400000</v>
      </c>
      <c r="J95" s="258">
        <v>106957400000</v>
      </c>
      <c r="K95" s="256" t="s">
        <v>1346</v>
      </c>
    </row>
    <row r="96" spans="1:11" x14ac:dyDescent="0.3">
      <c r="A96" s="256">
        <v>89</v>
      </c>
      <c r="B96" s="257" t="s">
        <v>1202</v>
      </c>
      <c r="C96" s="276">
        <v>44439</v>
      </c>
      <c r="D96" s="257" t="s">
        <v>1276</v>
      </c>
      <c r="E96" s="257" t="s">
        <v>578</v>
      </c>
      <c r="F96" s="257" t="s">
        <v>1447</v>
      </c>
      <c r="G96" s="258">
        <v>31567000000</v>
      </c>
      <c r="H96" s="265">
        <v>0.1</v>
      </c>
      <c r="I96" s="258">
        <v>3156700000</v>
      </c>
      <c r="J96" s="258">
        <v>34723700000</v>
      </c>
      <c r="K96" s="256" t="s">
        <v>1346</v>
      </c>
    </row>
    <row r="97" spans="1:11" x14ac:dyDescent="0.3">
      <c r="A97" s="256">
        <v>90</v>
      </c>
      <c r="B97" s="257" t="s">
        <v>1356</v>
      </c>
      <c r="C97" s="276">
        <v>44500</v>
      </c>
      <c r="D97" s="257" t="s">
        <v>1395</v>
      </c>
      <c r="E97" s="257" t="s">
        <v>561</v>
      </c>
      <c r="F97" s="257" t="s">
        <v>1445</v>
      </c>
      <c r="G97" s="258">
        <v>84567000000</v>
      </c>
      <c r="H97" s="265">
        <v>0.1</v>
      </c>
      <c r="I97" s="258">
        <v>8456700000</v>
      </c>
      <c r="J97" s="258">
        <v>93023700000</v>
      </c>
      <c r="K97" s="256" t="s">
        <v>1346</v>
      </c>
    </row>
    <row r="98" spans="1:11" x14ac:dyDescent="0.3">
      <c r="A98" s="256">
        <v>91</v>
      </c>
      <c r="B98" s="257" t="s">
        <v>1202</v>
      </c>
      <c r="C98" s="276">
        <v>44500</v>
      </c>
      <c r="D98" s="257" t="s">
        <v>1258</v>
      </c>
      <c r="E98" s="257" t="s">
        <v>351</v>
      </c>
      <c r="F98" s="257" t="s">
        <v>1450</v>
      </c>
      <c r="G98" s="258">
        <v>57345000000</v>
      </c>
      <c r="H98" s="265">
        <v>0.1</v>
      </c>
      <c r="I98" s="258">
        <v>5734500000</v>
      </c>
      <c r="J98" s="258">
        <v>63079500000</v>
      </c>
      <c r="K98" s="256" t="s">
        <v>1346</v>
      </c>
    </row>
    <row r="99" spans="1:11" x14ac:dyDescent="0.3">
      <c r="A99" s="256">
        <v>92</v>
      </c>
      <c r="B99" s="257" t="s">
        <v>1355</v>
      </c>
      <c r="C99" s="276">
        <v>44500</v>
      </c>
      <c r="D99" s="257" t="s">
        <v>1280</v>
      </c>
      <c r="E99" s="257" t="s">
        <v>618</v>
      </c>
      <c r="F99" s="257" t="s">
        <v>1443</v>
      </c>
      <c r="G99" s="258">
        <v>68234000000</v>
      </c>
      <c r="H99" s="265">
        <v>0.1</v>
      </c>
      <c r="I99" s="258">
        <v>6823400000</v>
      </c>
      <c r="J99" s="258">
        <v>75057400000</v>
      </c>
      <c r="K99" s="256" t="s">
        <v>1346</v>
      </c>
    </row>
    <row r="100" spans="1:11" x14ac:dyDescent="0.3">
      <c r="A100" s="256">
        <v>93</v>
      </c>
      <c r="B100" s="257" t="s">
        <v>1355</v>
      </c>
      <c r="C100" s="276">
        <v>44500</v>
      </c>
      <c r="D100" s="257" t="s">
        <v>1416</v>
      </c>
      <c r="E100" s="257" t="s">
        <v>374</v>
      </c>
      <c r="F100" s="257" t="s">
        <v>1350</v>
      </c>
      <c r="G100" s="258">
        <v>94567000000</v>
      </c>
      <c r="H100" s="265">
        <v>0</v>
      </c>
      <c r="I100" s="258">
        <v>0</v>
      </c>
      <c r="J100" s="258">
        <v>94567000000</v>
      </c>
      <c r="K100" s="256" t="s">
        <v>1346</v>
      </c>
    </row>
    <row r="101" spans="1:11" x14ac:dyDescent="0.3">
      <c r="A101" s="256">
        <v>94</v>
      </c>
      <c r="B101" s="257" t="s">
        <v>1355</v>
      </c>
      <c r="C101" s="276">
        <v>44500</v>
      </c>
      <c r="D101" s="257" t="s">
        <v>1272</v>
      </c>
      <c r="E101" s="257" t="s">
        <v>540</v>
      </c>
      <c r="F101" s="257" t="s">
        <v>1452</v>
      </c>
      <c r="G101" s="258">
        <v>26789000000</v>
      </c>
      <c r="H101" s="265">
        <v>0.1</v>
      </c>
      <c r="I101" s="258">
        <v>2678900000</v>
      </c>
      <c r="J101" s="258">
        <v>29467900000</v>
      </c>
      <c r="K101" s="256" t="s">
        <v>1348</v>
      </c>
    </row>
    <row r="102" spans="1:11" x14ac:dyDescent="0.3">
      <c r="A102" s="256">
        <v>95</v>
      </c>
      <c r="B102" s="257" t="s">
        <v>1356</v>
      </c>
      <c r="C102" s="276">
        <v>44500</v>
      </c>
      <c r="D102" s="257" t="s">
        <v>1283</v>
      </c>
      <c r="E102" s="257" t="s">
        <v>652</v>
      </c>
      <c r="F102" s="257" t="s">
        <v>1440</v>
      </c>
      <c r="G102" s="258">
        <v>43456000000</v>
      </c>
      <c r="H102" s="265">
        <v>0.1</v>
      </c>
      <c r="I102" s="258">
        <v>4345600000</v>
      </c>
      <c r="J102" s="258">
        <v>47801600000</v>
      </c>
      <c r="K102" s="256" t="s">
        <v>1346</v>
      </c>
    </row>
    <row r="103" spans="1:11" x14ac:dyDescent="0.3">
      <c r="A103" s="256">
        <v>96</v>
      </c>
      <c r="B103" s="257" t="s">
        <v>1202</v>
      </c>
      <c r="C103" s="276">
        <v>44500</v>
      </c>
      <c r="D103" s="257" t="s">
        <v>1265</v>
      </c>
      <c r="E103" s="257" t="s">
        <v>461</v>
      </c>
      <c r="F103" s="257" t="s">
        <v>1441</v>
      </c>
      <c r="G103" s="258">
        <v>101234000000</v>
      </c>
      <c r="H103" s="265">
        <v>0.1</v>
      </c>
      <c r="I103" s="258">
        <v>10123400000</v>
      </c>
      <c r="J103" s="258">
        <v>111357400000</v>
      </c>
      <c r="K103" s="256" t="s">
        <v>1346</v>
      </c>
    </row>
    <row r="104" spans="1:11" x14ac:dyDescent="0.3">
      <c r="A104" s="256">
        <v>97</v>
      </c>
      <c r="B104" s="257" t="s">
        <v>1356</v>
      </c>
      <c r="C104" s="276">
        <v>44500</v>
      </c>
      <c r="D104" s="257" t="s">
        <v>1259</v>
      </c>
      <c r="E104" s="257" t="s">
        <v>394</v>
      </c>
      <c r="F104" s="257" t="s">
        <v>1442</v>
      </c>
      <c r="G104" s="258">
        <v>58923000000</v>
      </c>
      <c r="H104" s="265">
        <v>0.1</v>
      </c>
      <c r="I104" s="258">
        <v>5892300000</v>
      </c>
      <c r="J104" s="258">
        <v>64815300000</v>
      </c>
      <c r="K104" s="256" t="s">
        <v>1346</v>
      </c>
    </row>
    <row r="105" spans="1:11" x14ac:dyDescent="0.3">
      <c r="A105" s="256">
        <v>98</v>
      </c>
      <c r="B105" s="257" t="s">
        <v>1355</v>
      </c>
      <c r="C105" s="276">
        <v>44531</v>
      </c>
      <c r="D105" s="257" t="s">
        <v>1277</v>
      </c>
      <c r="E105" s="257" t="s">
        <v>586</v>
      </c>
      <c r="F105" s="257" t="s">
        <v>1446</v>
      </c>
      <c r="G105" s="258">
        <v>49234000000</v>
      </c>
      <c r="H105" s="265">
        <v>0.1</v>
      </c>
      <c r="I105" s="258">
        <v>4923400000</v>
      </c>
      <c r="J105" s="258">
        <v>54157400000</v>
      </c>
      <c r="K105" s="256" t="s">
        <v>1346</v>
      </c>
    </row>
    <row r="106" spans="1:11" x14ac:dyDescent="0.3">
      <c r="A106" s="256">
        <v>99</v>
      </c>
      <c r="B106" s="257" t="s">
        <v>1355</v>
      </c>
      <c r="C106" s="276">
        <v>44531</v>
      </c>
      <c r="D106" s="257" t="s">
        <v>1268</v>
      </c>
      <c r="E106" s="257" t="s">
        <v>498</v>
      </c>
      <c r="F106" s="257" t="s">
        <v>1437</v>
      </c>
      <c r="G106" s="258">
        <v>36789000000</v>
      </c>
      <c r="H106" s="265">
        <v>0.1</v>
      </c>
      <c r="I106" s="258">
        <v>3678900000</v>
      </c>
      <c r="J106" s="258">
        <v>40467900000</v>
      </c>
      <c r="K106" s="256" t="s">
        <v>1346</v>
      </c>
    </row>
    <row r="107" spans="1:11" x14ac:dyDescent="0.3">
      <c r="A107" s="256">
        <v>100</v>
      </c>
      <c r="B107" s="257" t="s">
        <v>1356</v>
      </c>
      <c r="C107" s="276">
        <v>44531</v>
      </c>
      <c r="D107" s="257" t="s">
        <v>1279</v>
      </c>
      <c r="E107" s="257" t="s">
        <v>611</v>
      </c>
      <c r="F107" s="257" t="s">
        <v>1448</v>
      </c>
      <c r="G107" s="258">
        <v>33456000000</v>
      </c>
      <c r="H107" s="265">
        <v>0.1</v>
      </c>
      <c r="I107" s="258">
        <v>3345600000</v>
      </c>
      <c r="J107" s="258">
        <v>36801600000</v>
      </c>
      <c r="K107" s="256" t="s">
        <v>1346</v>
      </c>
    </row>
    <row r="108" spans="1:11" x14ac:dyDescent="0.3">
      <c r="A108" s="256">
        <v>101</v>
      </c>
      <c r="B108" s="257" t="s">
        <v>1356</v>
      </c>
      <c r="C108" s="276">
        <v>44531</v>
      </c>
      <c r="D108" s="257" t="s">
        <v>1384</v>
      </c>
      <c r="E108" s="257" t="s">
        <v>480</v>
      </c>
      <c r="F108" s="257" t="s">
        <v>1439</v>
      </c>
      <c r="G108" s="258">
        <v>79234000000</v>
      </c>
      <c r="H108" s="265">
        <v>0.1</v>
      </c>
      <c r="I108" s="258">
        <v>7923400000</v>
      </c>
      <c r="J108" s="258">
        <v>87157400000</v>
      </c>
      <c r="K108" s="256" t="s">
        <v>1346</v>
      </c>
    </row>
    <row r="109" spans="1:11" x14ac:dyDescent="0.3">
      <c r="A109" s="256">
        <v>102</v>
      </c>
      <c r="B109" s="257" t="s">
        <v>1356</v>
      </c>
      <c r="C109" s="276">
        <v>44531</v>
      </c>
      <c r="D109" s="257" t="s">
        <v>1278</v>
      </c>
      <c r="E109" s="257" t="s">
        <v>1349</v>
      </c>
      <c r="F109" s="257" t="s">
        <v>1441</v>
      </c>
      <c r="G109" s="258">
        <v>113456000000</v>
      </c>
      <c r="H109" s="265">
        <v>0.1</v>
      </c>
      <c r="I109" s="258">
        <v>11345600000</v>
      </c>
      <c r="J109" s="258">
        <v>124801600000</v>
      </c>
      <c r="K109" s="256" t="s">
        <v>1346</v>
      </c>
    </row>
    <row r="110" spans="1:11" x14ac:dyDescent="0.3">
      <c r="A110" s="256">
        <v>103</v>
      </c>
      <c r="B110" s="257" t="s">
        <v>1356</v>
      </c>
      <c r="C110" s="276">
        <v>44531</v>
      </c>
      <c r="D110" s="257" t="s">
        <v>1257</v>
      </c>
      <c r="E110" s="257" t="s">
        <v>338</v>
      </c>
      <c r="F110" s="257" t="s">
        <v>1451</v>
      </c>
      <c r="G110" s="258">
        <v>21234000000</v>
      </c>
      <c r="H110" s="265">
        <v>0.1</v>
      </c>
      <c r="I110" s="258">
        <v>2123400000</v>
      </c>
      <c r="J110" s="258">
        <v>23357400000</v>
      </c>
      <c r="K110" s="256" t="s">
        <v>1346</v>
      </c>
    </row>
    <row r="111" spans="1:11" x14ac:dyDescent="0.3">
      <c r="A111" s="256">
        <v>104</v>
      </c>
      <c r="B111" s="257" t="s">
        <v>1358</v>
      </c>
      <c r="C111" s="276">
        <v>44531</v>
      </c>
      <c r="D111" s="257" t="s">
        <v>1262</v>
      </c>
      <c r="E111" s="257" t="s">
        <v>425</v>
      </c>
      <c r="F111" s="257" t="s">
        <v>1445</v>
      </c>
      <c r="G111" s="258">
        <v>88456000000</v>
      </c>
      <c r="H111" s="265">
        <v>0.1</v>
      </c>
      <c r="I111" s="258">
        <v>8845600000</v>
      </c>
      <c r="J111" s="258">
        <v>97301600000</v>
      </c>
      <c r="K111" s="256" t="s">
        <v>1346</v>
      </c>
    </row>
    <row r="112" spans="1:11" x14ac:dyDescent="0.3">
      <c r="A112" s="256">
        <v>105</v>
      </c>
      <c r="B112" s="257" t="s">
        <v>1358</v>
      </c>
      <c r="C112" s="276">
        <v>44531</v>
      </c>
      <c r="D112" s="257" t="s">
        <v>1389</v>
      </c>
      <c r="E112" s="257" t="s">
        <v>384</v>
      </c>
      <c r="F112" s="257" t="s">
        <v>1449</v>
      </c>
      <c r="G112" s="258">
        <v>38234000000</v>
      </c>
      <c r="H112" s="265">
        <v>0.1</v>
      </c>
      <c r="I112" s="258">
        <v>3823400000</v>
      </c>
      <c r="J112" s="258">
        <v>42057400000</v>
      </c>
      <c r="K112" s="256" t="s">
        <v>1348</v>
      </c>
    </row>
    <row r="113" spans="1:11" x14ac:dyDescent="0.3">
      <c r="A113" s="256">
        <v>106</v>
      </c>
      <c r="B113" s="257" t="s">
        <v>1356</v>
      </c>
      <c r="C113" s="276">
        <v>44561</v>
      </c>
      <c r="D113" s="257" t="s">
        <v>1282</v>
      </c>
      <c r="E113" s="257" t="s">
        <v>1361</v>
      </c>
      <c r="F113" s="257" t="s">
        <v>1443</v>
      </c>
      <c r="G113" s="258">
        <v>52345000000</v>
      </c>
      <c r="H113" s="265">
        <v>0.1</v>
      </c>
      <c r="I113" s="258">
        <v>5234500000</v>
      </c>
      <c r="J113" s="258">
        <v>57579500000</v>
      </c>
      <c r="K113" s="256" t="s">
        <v>1346</v>
      </c>
    </row>
    <row r="114" spans="1:11" x14ac:dyDescent="0.3">
      <c r="A114" s="256">
        <v>107</v>
      </c>
      <c r="B114" s="257" t="s">
        <v>1355</v>
      </c>
      <c r="C114" s="276">
        <v>44561</v>
      </c>
      <c r="D114" s="257" t="s">
        <v>1263</v>
      </c>
      <c r="E114" s="257" t="s">
        <v>444</v>
      </c>
      <c r="F114" s="257" t="s">
        <v>1455</v>
      </c>
      <c r="G114" s="258">
        <v>23567000000</v>
      </c>
      <c r="H114" s="265">
        <v>0.1</v>
      </c>
      <c r="I114" s="258">
        <v>2356700000</v>
      </c>
      <c r="J114" s="258">
        <v>25923700000</v>
      </c>
      <c r="K114" s="256" t="s">
        <v>1346</v>
      </c>
    </row>
    <row r="115" spans="1:11" x14ac:dyDescent="0.3">
      <c r="A115" s="256">
        <v>108</v>
      </c>
      <c r="B115" s="257" t="s">
        <v>1358</v>
      </c>
      <c r="C115" s="276">
        <v>44561</v>
      </c>
      <c r="D115" s="257" t="s">
        <v>1369</v>
      </c>
      <c r="E115" s="257" t="s">
        <v>346</v>
      </c>
      <c r="F115" s="257" t="s">
        <v>1450</v>
      </c>
      <c r="G115" s="258">
        <v>59234000000</v>
      </c>
      <c r="H115" s="265">
        <v>0.1</v>
      </c>
      <c r="I115" s="258">
        <v>5923400000</v>
      </c>
      <c r="J115" s="258">
        <v>65157400000</v>
      </c>
      <c r="K115" s="256" t="s">
        <v>1346</v>
      </c>
    </row>
    <row r="116" spans="1:11" x14ac:dyDescent="0.3">
      <c r="A116" s="256">
        <v>109</v>
      </c>
      <c r="B116" s="257" t="s">
        <v>1358</v>
      </c>
      <c r="C116" s="276">
        <v>44561</v>
      </c>
      <c r="D116" s="257" t="s">
        <v>1352</v>
      </c>
      <c r="E116" s="257" t="s">
        <v>627</v>
      </c>
      <c r="F116" s="257" t="s">
        <v>1440</v>
      </c>
      <c r="G116" s="258">
        <v>44789000000</v>
      </c>
      <c r="H116" s="265">
        <v>0.1</v>
      </c>
      <c r="I116" s="258">
        <v>4478900000</v>
      </c>
      <c r="J116" s="258">
        <v>49267900000</v>
      </c>
      <c r="K116" s="256" t="s">
        <v>1346</v>
      </c>
    </row>
    <row r="117" spans="1:11" x14ac:dyDescent="0.3">
      <c r="A117" s="256">
        <v>110</v>
      </c>
      <c r="B117" s="257" t="s">
        <v>1356</v>
      </c>
      <c r="C117" s="276">
        <v>44561</v>
      </c>
      <c r="D117" s="257" t="s">
        <v>1264</v>
      </c>
      <c r="E117" s="257" t="s">
        <v>453</v>
      </c>
      <c r="F117" s="257" t="s">
        <v>1441</v>
      </c>
      <c r="G117" s="258">
        <v>89345000000</v>
      </c>
      <c r="H117" s="265">
        <v>0.1</v>
      </c>
      <c r="I117" s="258">
        <v>8934500000</v>
      </c>
      <c r="J117" s="258">
        <v>98279500000</v>
      </c>
      <c r="K117" s="256" t="s">
        <v>1346</v>
      </c>
    </row>
    <row r="118" spans="1:11" x14ac:dyDescent="0.3">
      <c r="A118" s="256">
        <v>111</v>
      </c>
      <c r="B118" s="257" t="s">
        <v>1355</v>
      </c>
      <c r="C118" s="276">
        <v>44561</v>
      </c>
      <c r="D118" s="257" t="s">
        <v>1428</v>
      </c>
      <c r="E118" s="257" t="s">
        <v>402</v>
      </c>
      <c r="F118" s="257" t="s">
        <v>1454</v>
      </c>
      <c r="G118" s="258">
        <v>51234000000</v>
      </c>
      <c r="H118" s="265">
        <v>0.1</v>
      </c>
      <c r="I118" s="258">
        <v>5123400000</v>
      </c>
      <c r="J118" s="258">
        <v>56357400000</v>
      </c>
      <c r="K118" s="256" t="s">
        <v>1346</v>
      </c>
    </row>
    <row r="119" spans="1:11" x14ac:dyDescent="0.3">
      <c r="A119" s="256">
        <v>112</v>
      </c>
      <c r="B119" s="257" t="s">
        <v>1202</v>
      </c>
      <c r="C119" s="276">
        <v>44561</v>
      </c>
      <c r="D119" s="257" t="s">
        <v>1271</v>
      </c>
      <c r="E119" s="257" t="s">
        <v>532</v>
      </c>
      <c r="F119" s="257" t="s">
        <v>1447</v>
      </c>
      <c r="G119" s="258">
        <v>28456000000</v>
      </c>
      <c r="H119" s="265">
        <v>0.1</v>
      </c>
      <c r="I119" s="258">
        <v>2845600000</v>
      </c>
      <c r="J119" s="258">
        <v>31301600000</v>
      </c>
      <c r="K119" s="256" t="s">
        <v>1346</v>
      </c>
    </row>
    <row r="120" spans="1:11" x14ac:dyDescent="0.3">
      <c r="A120" s="256">
        <v>113</v>
      </c>
      <c r="B120" s="257" t="s">
        <v>1356</v>
      </c>
      <c r="C120" s="276">
        <v>44561</v>
      </c>
      <c r="D120" s="257" t="s">
        <v>1270</v>
      </c>
      <c r="E120" s="257" t="s">
        <v>1393</v>
      </c>
      <c r="F120" s="257" t="s">
        <v>1442</v>
      </c>
      <c r="G120" s="258">
        <v>63234000000</v>
      </c>
      <c r="H120" s="265">
        <v>0.1</v>
      </c>
      <c r="I120" s="258">
        <v>6323400000</v>
      </c>
      <c r="J120" s="258">
        <v>69557400000</v>
      </c>
      <c r="K120" s="256" t="s">
        <v>1346</v>
      </c>
    </row>
    <row r="121" spans="1:11" x14ac:dyDescent="0.3">
      <c r="A121" s="256">
        <v>114</v>
      </c>
      <c r="B121" s="257" t="s">
        <v>1356</v>
      </c>
      <c r="C121" s="276">
        <v>44561</v>
      </c>
      <c r="D121" s="257" t="s">
        <v>1260</v>
      </c>
      <c r="E121" s="257" t="s">
        <v>408</v>
      </c>
      <c r="F121" s="257" t="s">
        <v>1446</v>
      </c>
      <c r="G121" s="258">
        <v>55678000000</v>
      </c>
      <c r="H121" s="265">
        <v>0.1</v>
      </c>
      <c r="I121" s="258">
        <v>5567800000</v>
      </c>
      <c r="J121" s="258">
        <v>61245800000</v>
      </c>
      <c r="K121" s="256" t="s">
        <v>1346</v>
      </c>
    </row>
    <row r="122" spans="1:11" x14ac:dyDescent="0.3">
      <c r="A122" s="256">
        <v>115</v>
      </c>
      <c r="B122" s="257" t="s">
        <v>1356</v>
      </c>
      <c r="C122" s="276">
        <v>44561</v>
      </c>
      <c r="D122" s="257" t="s">
        <v>1281</v>
      </c>
      <c r="E122" s="257" t="s">
        <v>635</v>
      </c>
      <c r="F122" s="257" t="s">
        <v>1444</v>
      </c>
      <c r="G122" s="258">
        <v>47234000000</v>
      </c>
      <c r="H122" s="265">
        <v>0.1</v>
      </c>
      <c r="I122" s="258">
        <v>4723400000</v>
      </c>
      <c r="J122" s="258">
        <v>51957400000</v>
      </c>
      <c r="K122" s="256" t="s">
        <v>1346</v>
      </c>
    </row>
    <row r="123" spans="1:11" x14ac:dyDescent="0.3">
      <c r="A123" s="256">
        <v>116</v>
      </c>
      <c r="B123" s="257" t="s">
        <v>1356</v>
      </c>
      <c r="C123" s="276">
        <v>44561</v>
      </c>
      <c r="D123" s="257" t="s">
        <v>1285</v>
      </c>
      <c r="E123" s="257" t="s">
        <v>1407</v>
      </c>
      <c r="F123" s="257" t="s">
        <v>1445</v>
      </c>
      <c r="G123" s="258">
        <v>76234000000</v>
      </c>
      <c r="H123" s="265">
        <v>0.1</v>
      </c>
      <c r="I123" s="258">
        <v>7623400000</v>
      </c>
      <c r="J123" s="258">
        <v>83857400000</v>
      </c>
      <c r="K123" s="256" t="s">
        <v>1346</v>
      </c>
    </row>
    <row r="124" spans="1:11" x14ac:dyDescent="0.3">
      <c r="A124" s="256">
        <v>117</v>
      </c>
      <c r="B124" s="257" t="s">
        <v>1356</v>
      </c>
      <c r="C124" s="276">
        <v>44561</v>
      </c>
      <c r="D124" s="257" t="s">
        <v>1274</v>
      </c>
      <c r="E124" s="257" t="s">
        <v>1412</v>
      </c>
      <c r="F124" s="257" t="s">
        <v>1441</v>
      </c>
      <c r="G124" s="258">
        <v>99234000000</v>
      </c>
      <c r="H124" s="265">
        <v>0.1</v>
      </c>
      <c r="I124" s="258">
        <v>9923400000</v>
      </c>
      <c r="J124" s="258">
        <v>109157400000</v>
      </c>
      <c r="K124" s="256" t="s">
        <v>1346</v>
      </c>
    </row>
    <row r="125" spans="1:11" x14ac:dyDescent="0.3">
      <c r="A125" s="256">
        <v>118</v>
      </c>
      <c r="B125" s="257" t="s">
        <v>1358</v>
      </c>
      <c r="C125" s="276">
        <v>44561</v>
      </c>
      <c r="D125" s="257" t="s">
        <v>1267</v>
      </c>
      <c r="E125" s="257" t="s">
        <v>490</v>
      </c>
      <c r="F125" s="257" t="s">
        <v>1439</v>
      </c>
      <c r="G125" s="258">
        <v>71456000000</v>
      </c>
      <c r="H125" s="265">
        <v>0.1</v>
      </c>
      <c r="I125" s="258">
        <v>7145600000</v>
      </c>
      <c r="J125" s="258">
        <v>78601600000</v>
      </c>
      <c r="K125" s="256" t="s">
        <v>1346</v>
      </c>
    </row>
    <row r="126" spans="1:11" x14ac:dyDescent="0.3">
      <c r="A126" s="256">
        <v>119</v>
      </c>
      <c r="B126" s="257" t="s">
        <v>1355</v>
      </c>
      <c r="C126" s="276">
        <v>44561</v>
      </c>
      <c r="D126" s="257" t="s">
        <v>1261</v>
      </c>
      <c r="E126" s="257" t="s">
        <v>417</v>
      </c>
      <c r="F126" s="257" t="s">
        <v>1452</v>
      </c>
      <c r="G126" s="258">
        <v>24567000000</v>
      </c>
      <c r="H126" s="265">
        <v>0.1</v>
      </c>
      <c r="I126" s="258">
        <v>2456700000</v>
      </c>
      <c r="J126" s="258">
        <v>27023700000</v>
      </c>
      <c r="K126" s="256" t="s">
        <v>1346</v>
      </c>
    </row>
    <row r="127" spans="1:11" x14ac:dyDescent="0.3">
      <c r="A127" s="256">
        <v>120</v>
      </c>
      <c r="B127" s="257" t="s">
        <v>1356</v>
      </c>
      <c r="C127" s="276">
        <v>44561</v>
      </c>
      <c r="D127" s="257" t="s">
        <v>1284</v>
      </c>
      <c r="E127" s="257" t="s">
        <v>661</v>
      </c>
      <c r="F127" s="257" t="s">
        <v>1446</v>
      </c>
      <c r="G127" s="258">
        <v>50465577635</v>
      </c>
      <c r="H127" s="265">
        <v>0.1</v>
      </c>
      <c r="I127" s="258">
        <v>5046557764</v>
      </c>
      <c r="J127" s="258">
        <v>55512135399</v>
      </c>
      <c r="K127" s="256" t="s">
        <v>1346</v>
      </c>
    </row>
    <row r="128" spans="1:11" x14ac:dyDescent="0.3">
      <c r="A128" s="266" t="s">
        <v>1351</v>
      </c>
      <c r="B128" s="266"/>
      <c r="C128" s="266"/>
      <c r="D128" s="266"/>
      <c r="E128" s="266"/>
      <c r="F128" s="266"/>
      <c r="G128" s="267">
        <f>SUM(G8:G127)</f>
        <v>7337321577635</v>
      </c>
      <c r="H128" s="266"/>
      <c r="I128" s="267">
        <f>SUM(I8:I127)</f>
        <v>684900757764</v>
      </c>
      <c r="J128" s="267">
        <f>SUM(J8:J127)</f>
        <v>8022222335399</v>
      </c>
      <c r="K128" s="266"/>
    </row>
    <row r="129" spans="1:11" x14ac:dyDescent="0.3">
      <c r="A129" s="256"/>
      <c r="B129" s="256"/>
      <c r="C129" s="256"/>
      <c r="D129" s="256"/>
      <c r="E129" s="256"/>
      <c r="F129" s="256"/>
      <c r="G129" s="256"/>
      <c r="H129" s="256"/>
      <c r="I129" s="256"/>
      <c r="J129" s="256"/>
      <c r="K129" s="256"/>
    </row>
    <row r="130" spans="1:11" x14ac:dyDescent="0.3">
      <c r="A130" s="256" t="s">
        <v>1420</v>
      </c>
      <c r="B130" s="256"/>
      <c r="C130" s="256"/>
      <c r="D130" s="256"/>
      <c r="E130" s="256"/>
      <c r="F130" s="256"/>
      <c r="G130" s="256"/>
      <c r="H130" s="256"/>
      <c r="I130" s="256"/>
      <c r="J130" s="256"/>
      <c r="K130" s="256"/>
    </row>
    <row r="131" spans="1:11" x14ac:dyDescent="0.3">
      <c r="A131" s="272" t="s">
        <v>0</v>
      </c>
      <c r="B131" s="272" t="s">
        <v>2</v>
      </c>
      <c r="C131" s="272" t="s">
        <v>1344</v>
      </c>
      <c r="D131" s="272" t="s">
        <v>1421</v>
      </c>
      <c r="E131" s="272" t="s">
        <v>1422</v>
      </c>
      <c r="F131" s="272" t="s">
        <v>1</v>
      </c>
      <c r="G131" s="272" t="s">
        <v>34</v>
      </c>
      <c r="H131" s="272" t="s">
        <v>3</v>
      </c>
      <c r="I131" s="272" t="s">
        <v>35</v>
      </c>
      <c r="J131" s="272" t="s">
        <v>36</v>
      </c>
      <c r="K131" s="272" t="s">
        <v>37</v>
      </c>
    </row>
    <row r="132" spans="1:11" x14ac:dyDescent="0.3">
      <c r="A132" s="256">
        <v>1</v>
      </c>
      <c r="B132" s="257" t="s">
        <v>1200</v>
      </c>
      <c r="C132" s="276">
        <v>44201</v>
      </c>
      <c r="D132" s="257" t="s">
        <v>1253</v>
      </c>
      <c r="E132" s="257" t="s">
        <v>1247</v>
      </c>
      <c r="F132" s="257" t="s">
        <v>1522</v>
      </c>
      <c r="G132" s="258">
        <v>78234000000</v>
      </c>
      <c r="H132" s="265">
        <v>0.1</v>
      </c>
      <c r="I132" s="258">
        <v>7823400000</v>
      </c>
      <c r="J132" s="258">
        <v>86057400000</v>
      </c>
      <c r="K132" s="256" t="s">
        <v>1346</v>
      </c>
    </row>
    <row r="133" spans="1:11" x14ac:dyDescent="0.3">
      <c r="A133" s="256">
        <v>2</v>
      </c>
      <c r="B133" s="257" t="s">
        <v>1201</v>
      </c>
      <c r="C133" s="276">
        <v>44232</v>
      </c>
      <c r="D133" s="257" t="s">
        <v>1265</v>
      </c>
      <c r="E133" s="257" t="s">
        <v>461</v>
      </c>
      <c r="F133" s="257" t="s">
        <v>1523</v>
      </c>
      <c r="G133" s="258">
        <v>95678000000</v>
      </c>
      <c r="H133" s="265">
        <v>0.1</v>
      </c>
      <c r="I133" s="258">
        <v>9567800000</v>
      </c>
      <c r="J133" s="258">
        <v>105245800000</v>
      </c>
      <c r="K133" s="256" t="s">
        <v>1346</v>
      </c>
    </row>
    <row r="134" spans="1:11" x14ac:dyDescent="0.3">
      <c r="A134" s="256">
        <v>3</v>
      </c>
      <c r="B134" s="257" t="s">
        <v>1202</v>
      </c>
      <c r="C134" s="276">
        <v>44260</v>
      </c>
      <c r="D134" s="257" t="s">
        <v>1283</v>
      </c>
      <c r="E134" s="257" t="s">
        <v>652</v>
      </c>
      <c r="F134" s="257" t="s">
        <v>1524</v>
      </c>
      <c r="G134" s="258">
        <v>112345000000</v>
      </c>
      <c r="H134" s="265">
        <v>0.1</v>
      </c>
      <c r="I134" s="258">
        <v>11234500000</v>
      </c>
      <c r="J134" s="258">
        <v>123579500000</v>
      </c>
      <c r="K134" s="256" t="s">
        <v>1346</v>
      </c>
    </row>
    <row r="135" spans="1:11" x14ac:dyDescent="0.3">
      <c r="A135" s="256">
        <v>4</v>
      </c>
      <c r="B135" s="257" t="s">
        <v>1355</v>
      </c>
      <c r="C135" s="276">
        <v>44291</v>
      </c>
      <c r="D135" s="257" t="s">
        <v>1352</v>
      </c>
      <c r="E135" s="257" t="s">
        <v>627</v>
      </c>
      <c r="F135" s="257" t="s">
        <v>1522</v>
      </c>
      <c r="G135" s="258">
        <v>88912000000</v>
      </c>
      <c r="H135" s="265">
        <v>0.1</v>
      </c>
      <c r="I135" s="258">
        <v>8891200000</v>
      </c>
      <c r="J135" s="258">
        <v>97803200000</v>
      </c>
      <c r="K135" s="256" t="s">
        <v>1346</v>
      </c>
    </row>
    <row r="136" spans="1:11" x14ac:dyDescent="0.3">
      <c r="A136" s="256">
        <v>5</v>
      </c>
      <c r="B136" s="257" t="s">
        <v>1356</v>
      </c>
      <c r="C136" s="276">
        <v>44321</v>
      </c>
      <c r="D136" s="257" t="s">
        <v>1384</v>
      </c>
      <c r="E136" s="257" t="s">
        <v>480</v>
      </c>
      <c r="F136" s="257" t="s">
        <v>1525</v>
      </c>
      <c r="G136" s="258">
        <v>134567000000</v>
      </c>
      <c r="H136" s="265">
        <v>0.1</v>
      </c>
      <c r="I136" s="258">
        <v>13456700000</v>
      </c>
      <c r="J136" s="258">
        <v>148023700000</v>
      </c>
      <c r="K136" s="256" t="s">
        <v>1346</v>
      </c>
    </row>
    <row r="137" spans="1:11" x14ac:dyDescent="0.3">
      <c r="A137" s="256">
        <v>6</v>
      </c>
      <c r="B137" s="257" t="s">
        <v>1358</v>
      </c>
      <c r="C137" s="276">
        <v>44352</v>
      </c>
      <c r="D137" s="257" t="s">
        <v>1389</v>
      </c>
      <c r="E137" s="257" t="s">
        <v>384</v>
      </c>
      <c r="F137" s="257" t="s">
        <v>1523</v>
      </c>
      <c r="G137" s="258">
        <v>76234000000</v>
      </c>
      <c r="H137" s="265">
        <v>0.1</v>
      </c>
      <c r="I137" s="258">
        <v>7623400000</v>
      </c>
      <c r="J137" s="258">
        <v>83857400000</v>
      </c>
      <c r="K137" s="256" t="s">
        <v>1346</v>
      </c>
    </row>
    <row r="138" spans="1:11" x14ac:dyDescent="0.3">
      <c r="A138" s="256">
        <v>7</v>
      </c>
      <c r="B138" s="257" t="s">
        <v>1360</v>
      </c>
      <c r="C138" s="276">
        <v>44382</v>
      </c>
      <c r="D138" s="257" t="s">
        <v>1260</v>
      </c>
      <c r="E138" s="257" t="s">
        <v>408</v>
      </c>
      <c r="F138" s="257" t="s">
        <v>1526</v>
      </c>
      <c r="G138" s="258">
        <v>98345000000</v>
      </c>
      <c r="H138" s="265">
        <v>0.1</v>
      </c>
      <c r="I138" s="258">
        <v>9834500000</v>
      </c>
      <c r="J138" s="258">
        <v>108179500000</v>
      </c>
      <c r="K138" s="256" t="s">
        <v>1346</v>
      </c>
    </row>
    <row r="139" spans="1:11" x14ac:dyDescent="0.3">
      <c r="A139" s="256">
        <v>8</v>
      </c>
      <c r="B139" s="257" t="s">
        <v>1362</v>
      </c>
      <c r="C139" s="276">
        <v>44413</v>
      </c>
      <c r="D139" s="257" t="s">
        <v>1264</v>
      </c>
      <c r="E139" s="257" t="s">
        <v>453</v>
      </c>
      <c r="F139" s="257" t="s">
        <v>1522</v>
      </c>
      <c r="G139" s="258">
        <v>115678000000</v>
      </c>
      <c r="H139" s="265">
        <v>0.1</v>
      </c>
      <c r="I139" s="258">
        <v>11567800000</v>
      </c>
      <c r="J139" s="258">
        <v>127245800000</v>
      </c>
      <c r="K139" s="256" t="s">
        <v>1346</v>
      </c>
    </row>
    <row r="140" spans="1:11" x14ac:dyDescent="0.3">
      <c r="A140" s="256">
        <v>9</v>
      </c>
      <c r="B140" s="257" t="s">
        <v>1364</v>
      </c>
      <c r="C140" s="276">
        <v>44444</v>
      </c>
      <c r="D140" s="257" t="s">
        <v>1275</v>
      </c>
      <c r="E140" s="257" t="s">
        <v>569</v>
      </c>
      <c r="F140" s="257" t="s">
        <v>1527</v>
      </c>
      <c r="G140" s="258">
        <v>187234000000</v>
      </c>
      <c r="H140" s="265">
        <v>0</v>
      </c>
      <c r="I140" s="258">
        <v>0</v>
      </c>
      <c r="J140" s="258">
        <v>187234000000</v>
      </c>
      <c r="K140" s="256" t="s">
        <v>1346</v>
      </c>
    </row>
    <row r="141" spans="1:11" x14ac:dyDescent="0.3">
      <c r="A141" s="256">
        <v>10</v>
      </c>
      <c r="B141" s="257" t="s">
        <v>1366</v>
      </c>
      <c r="C141" s="276">
        <v>44474</v>
      </c>
      <c r="D141" s="257" t="s">
        <v>1428</v>
      </c>
      <c r="E141" s="257" t="s">
        <v>402</v>
      </c>
      <c r="F141" s="257" t="s">
        <v>1528</v>
      </c>
      <c r="G141" s="258">
        <v>67345000000</v>
      </c>
      <c r="H141" s="265">
        <v>0.1</v>
      </c>
      <c r="I141" s="258">
        <v>6734500000</v>
      </c>
      <c r="J141" s="258">
        <v>74079500000</v>
      </c>
      <c r="K141" s="256" t="s">
        <v>1346</v>
      </c>
    </row>
    <row r="142" spans="1:11" x14ac:dyDescent="0.3">
      <c r="A142" s="256">
        <v>11</v>
      </c>
      <c r="B142" s="257" t="s">
        <v>1368</v>
      </c>
      <c r="C142" s="276">
        <v>44505</v>
      </c>
      <c r="D142" s="257" t="s">
        <v>1282</v>
      </c>
      <c r="E142" s="257" t="s">
        <v>1361</v>
      </c>
      <c r="F142" s="257" t="s">
        <v>1523</v>
      </c>
      <c r="G142" s="258">
        <v>89234000000</v>
      </c>
      <c r="H142" s="265">
        <v>0.1</v>
      </c>
      <c r="I142" s="258">
        <v>8923400000</v>
      </c>
      <c r="J142" s="258">
        <v>98157400000</v>
      </c>
      <c r="K142" s="256" t="s">
        <v>1346</v>
      </c>
    </row>
    <row r="143" spans="1:11" x14ac:dyDescent="0.3">
      <c r="A143" s="256">
        <v>12</v>
      </c>
      <c r="B143" s="257" t="s">
        <v>1371</v>
      </c>
      <c r="C143" s="276">
        <v>44535</v>
      </c>
      <c r="D143" s="257" t="s">
        <v>1269</v>
      </c>
      <c r="E143" s="257" t="s">
        <v>511</v>
      </c>
      <c r="F143" s="257" t="s">
        <v>1529</v>
      </c>
      <c r="G143" s="258">
        <v>72345000000</v>
      </c>
      <c r="H143" s="265">
        <v>0.1</v>
      </c>
      <c r="I143" s="258">
        <v>7234500000</v>
      </c>
      <c r="J143" s="258">
        <v>79579500000</v>
      </c>
      <c r="K143" s="256" t="s">
        <v>1346</v>
      </c>
    </row>
    <row r="144" spans="1:11" x14ac:dyDescent="0.3">
      <c r="A144" s="256">
        <v>13</v>
      </c>
      <c r="B144" s="257" t="s">
        <v>1373</v>
      </c>
      <c r="C144" s="276">
        <v>44206</v>
      </c>
      <c r="D144" s="257" t="s">
        <v>1279</v>
      </c>
      <c r="E144" s="257" t="s">
        <v>611</v>
      </c>
      <c r="F144" s="257" t="s">
        <v>1522</v>
      </c>
      <c r="G144" s="258">
        <v>104567000000</v>
      </c>
      <c r="H144" s="265">
        <v>0.1</v>
      </c>
      <c r="I144" s="258">
        <v>10456700000</v>
      </c>
      <c r="J144" s="258">
        <v>115023700000</v>
      </c>
      <c r="K144" s="256" t="s">
        <v>1346</v>
      </c>
    </row>
    <row r="145" spans="1:11" x14ac:dyDescent="0.3">
      <c r="A145" s="256">
        <v>14</v>
      </c>
      <c r="B145" s="257" t="s">
        <v>1374</v>
      </c>
      <c r="C145" s="276">
        <v>44237</v>
      </c>
      <c r="D145" s="257" t="s">
        <v>1272</v>
      </c>
      <c r="E145" s="257" t="s">
        <v>540</v>
      </c>
      <c r="F145" s="257" t="s">
        <v>1525</v>
      </c>
      <c r="G145" s="258">
        <v>123456000000</v>
      </c>
      <c r="H145" s="265">
        <v>0.1</v>
      </c>
      <c r="I145" s="258">
        <v>12345600000</v>
      </c>
      <c r="J145" s="258">
        <v>135801600000</v>
      </c>
      <c r="K145" s="256" t="s">
        <v>1346</v>
      </c>
    </row>
    <row r="146" spans="1:11" x14ac:dyDescent="0.3">
      <c r="A146" s="256">
        <v>15</v>
      </c>
      <c r="B146" s="257" t="s">
        <v>1376</v>
      </c>
      <c r="C146" s="276">
        <v>44265</v>
      </c>
      <c r="D146" s="257" t="s">
        <v>1259</v>
      </c>
      <c r="E146" s="257" t="s">
        <v>394</v>
      </c>
      <c r="F146" s="257" t="s">
        <v>1530</v>
      </c>
      <c r="G146" s="258">
        <v>91234000000</v>
      </c>
      <c r="H146" s="265">
        <v>0.1</v>
      </c>
      <c r="I146" s="258">
        <v>9123400000</v>
      </c>
      <c r="J146" s="258">
        <v>100357400000</v>
      </c>
      <c r="K146" s="256" t="s">
        <v>1346</v>
      </c>
    </row>
    <row r="147" spans="1:11" x14ac:dyDescent="0.3">
      <c r="A147" s="256">
        <v>16</v>
      </c>
      <c r="B147" s="257" t="s">
        <v>1378</v>
      </c>
      <c r="C147" s="276">
        <v>44296</v>
      </c>
      <c r="D147" s="257" t="s">
        <v>1280</v>
      </c>
      <c r="E147" s="257" t="s">
        <v>618</v>
      </c>
      <c r="F147" s="257" t="s">
        <v>1523</v>
      </c>
      <c r="G147" s="258">
        <v>113678000000</v>
      </c>
      <c r="H147" s="265">
        <v>0.1</v>
      </c>
      <c r="I147" s="258">
        <v>11367800000</v>
      </c>
      <c r="J147" s="258">
        <v>125045800000</v>
      </c>
      <c r="K147" s="256" t="s">
        <v>1346</v>
      </c>
    </row>
    <row r="148" spans="1:11" x14ac:dyDescent="0.3">
      <c r="A148" s="256">
        <v>17</v>
      </c>
      <c r="B148" s="257" t="s">
        <v>1379</v>
      </c>
      <c r="C148" s="276">
        <v>44326</v>
      </c>
      <c r="D148" s="257" t="s">
        <v>1263</v>
      </c>
      <c r="E148" s="257" t="s">
        <v>444</v>
      </c>
      <c r="F148" s="257" t="s">
        <v>1524</v>
      </c>
      <c r="G148" s="258">
        <v>78234000000</v>
      </c>
      <c r="H148" s="265">
        <v>0.1</v>
      </c>
      <c r="I148" s="258">
        <v>7823400000</v>
      </c>
      <c r="J148" s="258">
        <v>86057400000</v>
      </c>
      <c r="K148" s="256" t="s">
        <v>1346</v>
      </c>
    </row>
    <row r="149" spans="1:11" x14ac:dyDescent="0.3">
      <c r="A149" s="256">
        <v>18</v>
      </c>
      <c r="B149" s="257" t="s">
        <v>1381</v>
      </c>
      <c r="C149" s="276">
        <v>44357</v>
      </c>
      <c r="D149" s="257" t="s">
        <v>1531</v>
      </c>
      <c r="E149" s="257" t="s">
        <v>338</v>
      </c>
      <c r="F149" s="257" t="s">
        <v>1522</v>
      </c>
      <c r="G149" s="258">
        <v>97345000000</v>
      </c>
      <c r="H149" s="265">
        <v>0.1</v>
      </c>
      <c r="I149" s="258">
        <v>9734500000</v>
      </c>
      <c r="J149" s="258">
        <v>107079500000</v>
      </c>
      <c r="K149" s="256" t="s">
        <v>1346</v>
      </c>
    </row>
    <row r="150" spans="1:11" x14ac:dyDescent="0.3">
      <c r="A150" s="256">
        <v>19</v>
      </c>
      <c r="B150" s="257" t="s">
        <v>1382</v>
      </c>
      <c r="C150" s="276">
        <v>44387</v>
      </c>
      <c r="D150" s="257" t="s">
        <v>1395</v>
      </c>
      <c r="E150" s="257" t="s">
        <v>561</v>
      </c>
      <c r="F150" s="257" t="s">
        <v>1532</v>
      </c>
      <c r="G150" s="258">
        <v>56789000000</v>
      </c>
      <c r="H150" s="265">
        <v>0.1</v>
      </c>
      <c r="I150" s="258">
        <v>5678900000</v>
      </c>
      <c r="J150" s="258">
        <v>62467900000</v>
      </c>
      <c r="K150" s="256" t="s">
        <v>1346</v>
      </c>
    </row>
    <row r="151" spans="1:11" x14ac:dyDescent="0.3">
      <c r="A151" s="256">
        <v>20</v>
      </c>
      <c r="B151" s="257" t="s">
        <v>1383</v>
      </c>
      <c r="C151" s="276">
        <v>44418</v>
      </c>
      <c r="D151" s="257" t="s">
        <v>1281</v>
      </c>
      <c r="E151" s="257" t="s">
        <v>635</v>
      </c>
      <c r="F151" s="257" t="s">
        <v>1528</v>
      </c>
      <c r="G151" s="258">
        <v>74567000000</v>
      </c>
      <c r="H151" s="265">
        <v>0.1</v>
      </c>
      <c r="I151" s="258">
        <v>7456700000</v>
      </c>
      <c r="J151" s="258">
        <v>82023700000</v>
      </c>
      <c r="K151" s="256" t="s">
        <v>1346</v>
      </c>
    </row>
    <row r="152" spans="1:11" x14ac:dyDescent="0.3">
      <c r="A152" s="256">
        <v>21</v>
      </c>
      <c r="B152" s="257" t="s">
        <v>1203</v>
      </c>
      <c r="C152" s="276">
        <v>44449</v>
      </c>
      <c r="D152" s="257" t="s">
        <v>1278</v>
      </c>
      <c r="E152" s="257" t="s">
        <v>1349</v>
      </c>
      <c r="F152" s="257" t="s">
        <v>1522</v>
      </c>
      <c r="G152" s="258">
        <v>132456000000</v>
      </c>
      <c r="H152" s="265">
        <v>0.1</v>
      </c>
      <c r="I152" s="258">
        <v>13245600000</v>
      </c>
      <c r="J152" s="258">
        <v>145701600000</v>
      </c>
      <c r="K152" s="256" t="s">
        <v>1346</v>
      </c>
    </row>
    <row r="153" spans="1:11" x14ac:dyDescent="0.3">
      <c r="A153" s="256">
        <v>22</v>
      </c>
      <c r="B153" s="257" t="s">
        <v>1204</v>
      </c>
      <c r="C153" s="276">
        <v>44479</v>
      </c>
      <c r="D153" s="257" t="s">
        <v>1284</v>
      </c>
      <c r="E153" s="257" t="s">
        <v>661</v>
      </c>
      <c r="F153" s="257" t="s">
        <v>1533</v>
      </c>
      <c r="G153" s="258">
        <v>45678000000</v>
      </c>
      <c r="H153" s="265">
        <v>0.1</v>
      </c>
      <c r="I153" s="258">
        <v>4567800000</v>
      </c>
      <c r="J153" s="258">
        <v>50245800000</v>
      </c>
      <c r="K153" s="256" t="s">
        <v>1346</v>
      </c>
    </row>
    <row r="154" spans="1:11" x14ac:dyDescent="0.3">
      <c r="A154" s="256">
        <v>23</v>
      </c>
      <c r="B154" s="257" t="s">
        <v>1205</v>
      </c>
      <c r="C154" s="276">
        <v>44510</v>
      </c>
      <c r="D154" s="257" t="s">
        <v>1262</v>
      </c>
      <c r="E154" s="257" t="s">
        <v>425</v>
      </c>
      <c r="F154" s="257" t="s">
        <v>1523</v>
      </c>
      <c r="G154" s="258">
        <v>108234000000</v>
      </c>
      <c r="H154" s="265">
        <v>0.1</v>
      </c>
      <c r="I154" s="258">
        <v>10823400000</v>
      </c>
      <c r="J154" s="258">
        <v>119057400000</v>
      </c>
      <c r="K154" s="256" t="s">
        <v>1346</v>
      </c>
    </row>
    <row r="155" spans="1:11" x14ac:dyDescent="0.3">
      <c r="A155" s="256">
        <v>24</v>
      </c>
      <c r="B155" s="257" t="s">
        <v>1385</v>
      </c>
      <c r="C155" s="276">
        <v>44540</v>
      </c>
      <c r="D155" s="257" t="s">
        <v>1268</v>
      </c>
      <c r="E155" s="257" t="s">
        <v>498</v>
      </c>
      <c r="F155" s="257" t="s">
        <v>1526</v>
      </c>
      <c r="G155" s="258">
        <v>87345000000</v>
      </c>
      <c r="H155" s="265">
        <v>0.1</v>
      </c>
      <c r="I155" s="258">
        <v>8734500000</v>
      </c>
      <c r="J155" s="258">
        <v>96079500000</v>
      </c>
      <c r="K155" s="256" t="s">
        <v>1346</v>
      </c>
    </row>
    <row r="156" spans="1:11" x14ac:dyDescent="0.3">
      <c r="A156" s="256">
        <v>25</v>
      </c>
      <c r="B156" s="257" t="s">
        <v>1387</v>
      </c>
      <c r="C156" s="276">
        <v>44211</v>
      </c>
      <c r="D156" s="257" t="s">
        <v>1274</v>
      </c>
      <c r="E156" s="257" t="s">
        <v>1412</v>
      </c>
      <c r="F156" s="257" t="s">
        <v>1525</v>
      </c>
      <c r="G156" s="258">
        <v>145678000000</v>
      </c>
      <c r="H156" s="265">
        <v>0.1</v>
      </c>
      <c r="I156" s="258">
        <v>14567800000</v>
      </c>
      <c r="J156" s="258">
        <v>160245800000</v>
      </c>
      <c r="K156" s="256" t="s">
        <v>1346</v>
      </c>
    </row>
    <row r="157" spans="1:11" x14ac:dyDescent="0.3">
      <c r="A157" s="256">
        <v>26</v>
      </c>
      <c r="B157" s="257" t="s">
        <v>1388</v>
      </c>
      <c r="C157" s="276">
        <v>44242</v>
      </c>
      <c r="D157" s="257" t="s">
        <v>1285</v>
      </c>
      <c r="E157" s="257" t="s">
        <v>1407</v>
      </c>
      <c r="F157" s="257" t="s">
        <v>1522</v>
      </c>
      <c r="G157" s="258">
        <v>93456000000</v>
      </c>
      <c r="H157" s="265">
        <v>0.1</v>
      </c>
      <c r="I157" s="258">
        <v>9345600000</v>
      </c>
      <c r="J157" s="258">
        <v>102801600000</v>
      </c>
      <c r="K157" s="256" t="s">
        <v>1346</v>
      </c>
    </row>
    <row r="158" spans="1:11" x14ac:dyDescent="0.3">
      <c r="A158" s="256">
        <v>27</v>
      </c>
      <c r="B158" s="257" t="s">
        <v>1391</v>
      </c>
      <c r="C158" s="276">
        <v>44270</v>
      </c>
      <c r="D158" s="257" t="s">
        <v>1258</v>
      </c>
      <c r="E158" s="257" t="s">
        <v>351</v>
      </c>
      <c r="F158" s="257" t="s">
        <v>1530</v>
      </c>
      <c r="G158" s="258">
        <v>76234000000</v>
      </c>
      <c r="H158" s="265">
        <v>0.1</v>
      </c>
      <c r="I158" s="258">
        <v>7623400000</v>
      </c>
      <c r="J158" s="258">
        <v>83857400000</v>
      </c>
      <c r="K158" s="256" t="s">
        <v>1348</v>
      </c>
    </row>
    <row r="159" spans="1:11" x14ac:dyDescent="0.3">
      <c r="A159" s="256">
        <v>28</v>
      </c>
      <c r="B159" s="257" t="s">
        <v>1392</v>
      </c>
      <c r="C159" s="276">
        <v>44301</v>
      </c>
      <c r="D159" s="257" t="s">
        <v>1266</v>
      </c>
      <c r="E159" s="257" t="s">
        <v>469</v>
      </c>
      <c r="F159" s="257" t="s">
        <v>1529</v>
      </c>
      <c r="G159" s="258">
        <v>68345000000</v>
      </c>
      <c r="H159" s="265">
        <v>0.1</v>
      </c>
      <c r="I159" s="258">
        <v>6834500000</v>
      </c>
      <c r="J159" s="258">
        <v>75179500000</v>
      </c>
      <c r="K159" s="256" t="s">
        <v>1346</v>
      </c>
    </row>
    <row r="160" spans="1:11" x14ac:dyDescent="0.3">
      <c r="A160" s="256">
        <v>29</v>
      </c>
      <c r="B160" s="257" t="s">
        <v>1394</v>
      </c>
      <c r="C160" s="276">
        <v>44331</v>
      </c>
      <c r="D160" s="257" t="s">
        <v>1416</v>
      </c>
      <c r="E160" s="257" t="s">
        <v>374</v>
      </c>
      <c r="F160" s="257" t="s">
        <v>1523</v>
      </c>
      <c r="G160" s="258">
        <v>119234000000</v>
      </c>
      <c r="H160" s="265">
        <v>0.1</v>
      </c>
      <c r="I160" s="258">
        <v>11923400000</v>
      </c>
      <c r="J160" s="258">
        <v>131157400000</v>
      </c>
      <c r="K160" s="256" t="s">
        <v>1346</v>
      </c>
    </row>
    <row r="161" spans="1:11" x14ac:dyDescent="0.3">
      <c r="A161" s="256">
        <v>30</v>
      </c>
      <c r="B161" s="257" t="s">
        <v>1396</v>
      </c>
      <c r="C161" s="276">
        <v>44362</v>
      </c>
      <c r="D161" s="257" t="s">
        <v>1277</v>
      </c>
      <c r="E161" s="257" t="s">
        <v>586</v>
      </c>
      <c r="F161" s="257" t="s">
        <v>1528</v>
      </c>
      <c r="G161" s="258">
        <v>58234000000</v>
      </c>
      <c r="H161" s="265">
        <v>0.1</v>
      </c>
      <c r="I161" s="258">
        <v>5823400000</v>
      </c>
      <c r="J161" s="258">
        <v>64057400000</v>
      </c>
      <c r="K161" s="256" t="s">
        <v>1346</v>
      </c>
    </row>
    <row r="162" spans="1:11" x14ac:dyDescent="0.3">
      <c r="A162" s="256">
        <v>31</v>
      </c>
      <c r="B162" s="257" t="s">
        <v>1397</v>
      </c>
      <c r="C162" s="276">
        <v>44392</v>
      </c>
      <c r="D162" s="257" t="s">
        <v>1435</v>
      </c>
      <c r="E162" s="257" t="s">
        <v>435</v>
      </c>
      <c r="F162" s="257" t="s">
        <v>1525</v>
      </c>
      <c r="G162" s="258">
        <v>134567000000</v>
      </c>
      <c r="H162" s="265">
        <v>0.1</v>
      </c>
      <c r="I162" s="258">
        <v>13456700000</v>
      </c>
      <c r="J162" s="258">
        <v>148023700000</v>
      </c>
      <c r="K162" s="256" t="s">
        <v>1346</v>
      </c>
    </row>
    <row r="163" spans="1:11" x14ac:dyDescent="0.3">
      <c r="A163" s="256">
        <v>32</v>
      </c>
      <c r="B163" s="257" t="s">
        <v>1398</v>
      </c>
      <c r="C163" s="276">
        <v>44423</v>
      </c>
      <c r="D163" s="257" t="s">
        <v>1261</v>
      </c>
      <c r="E163" s="257" t="s">
        <v>417</v>
      </c>
      <c r="F163" s="257" t="s">
        <v>1522</v>
      </c>
      <c r="G163" s="258">
        <v>88912000000</v>
      </c>
      <c r="H163" s="265">
        <v>0.1</v>
      </c>
      <c r="I163" s="258">
        <v>8891200000</v>
      </c>
      <c r="J163" s="258">
        <v>97803200000</v>
      </c>
      <c r="K163" s="256" t="s">
        <v>1346</v>
      </c>
    </row>
    <row r="164" spans="1:11" x14ac:dyDescent="0.3">
      <c r="A164" s="256">
        <v>33</v>
      </c>
      <c r="B164" s="257" t="s">
        <v>1399</v>
      </c>
      <c r="C164" s="276">
        <v>44454</v>
      </c>
      <c r="D164" s="257" t="s">
        <v>1386</v>
      </c>
      <c r="E164" s="257" t="s">
        <v>1236</v>
      </c>
      <c r="F164" s="257" t="s">
        <v>1524</v>
      </c>
      <c r="G164" s="258">
        <v>103456000000</v>
      </c>
      <c r="H164" s="265">
        <v>0.1</v>
      </c>
      <c r="I164" s="258">
        <v>10345600000</v>
      </c>
      <c r="J164" s="258">
        <v>113801600000</v>
      </c>
      <c r="K164" s="256" t="s">
        <v>1346</v>
      </c>
    </row>
    <row r="165" spans="1:11" x14ac:dyDescent="0.3">
      <c r="A165" s="256">
        <v>34</v>
      </c>
      <c r="B165" s="257" t="s">
        <v>1401</v>
      </c>
      <c r="C165" s="276">
        <v>44484</v>
      </c>
      <c r="D165" s="257" t="s">
        <v>1267</v>
      </c>
      <c r="E165" s="257" t="s">
        <v>490</v>
      </c>
      <c r="F165" s="257" t="s">
        <v>1527</v>
      </c>
      <c r="G165" s="258">
        <v>224567000000</v>
      </c>
      <c r="H165" s="265">
        <v>0</v>
      </c>
      <c r="I165" s="258">
        <v>0</v>
      </c>
      <c r="J165" s="258">
        <v>224567000000</v>
      </c>
      <c r="K165" s="256" t="s">
        <v>1346</v>
      </c>
    </row>
    <row r="166" spans="1:11" x14ac:dyDescent="0.3">
      <c r="A166" s="256">
        <v>35</v>
      </c>
      <c r="B166" s="257" t="s">
        <v>1402</v>
      </c>
      <c r="C166" s="276">
        <v>44515</v>
      </c>
      <c r="D166" s="257" t="s">
        <v>1276</v>
      </c>
      <c r="E166" s="257" t="s">
        <v>578</v>
      </c>
      <c r="F166" s="257" t="s">
        <v>1523</v>
      </c>
      <c r="G166" s="258">
        <v>97345000000</v>
      </c>
      <c r="H166" s="265">
        <v>0.1</v>
      </c>
      <c r="I166" s="258">
        <v>9734500000</v>
      </c>
      <c r="J166" s="258">
        <v>107079500000</v>
      </c>
      <c r="K166" s="256" t="s">
        <v>1346</v>
      </c>
    </row>
    <row r="167" spans="1:11" x14ac:dyDescent="0.3">
      <c r="A167" s="256">
        <v>36</v>
      </c>
      <c r="B167" s="257" t="s">
        <v>1403</v>
      </c>
      <c r="C167" s="276">
        <v>44545</v>
      </c>
      <c r="D167" s="257" t="s">
        <v>1369</v>
      </c>
      <c r="E167" s="257" t="s">
        <v>346</v>
      </c>
      <c r="F167" s="257" t="s">
        <v>1534</v>
      </c>
      <c r="G167" s="258">
        <v>64789000000</v>
      </c>
      <c r="H167" s="265">
        <v>0.1</v>
      </c>
      <c r="I167" s="258">
        <v>6478900000</v>
      </c>
      <c r="J167" s="258">
        <v>71267900000</v>
      </c>
      <c r="K167" s="256" t="s">
        <v>1346</v>
      </c>
    </row>
    <row r="168" spans="1:11" x14ac:dyDescent="0.3">
      <c r="A168" s="256">
        <v>37</v>
      </c>
      <c r="B168" s="257" t="s">
        <v>1404</v>
      </c>
      <c r="C168" s="276">
        <v>44216</v>
      </c>
      <c r="D168" s="257" t="s">
        <v>1271</v>
      </c>
      <c r="E168" s="257" t="s">
        <v>532</v>
      </c>
      <c r="F168" s="257" t="s">
        <v>1522</v>
      </c>
      <c r="G168" s="258">
        <v>121234000000</v>
      </c>
      <c r="H168" s="265">
        <v>0.1</v>
      </c>
      <c r="I168" s="258">
        <v>12123400000</v>
      </c>
      <c r="J168" s="258">
        <v>133357400000</v>
      </c>
      <c r="K168" s="256" t="s">
        <v>1346</v>
      </c>
    </row>
    <row r="169" spans="1:11" x14ac:dyDescent="0.3">
      <c r="A169" s="256">
        <v>38</v>
      </c>
      <c r="B169" s="257" t="s">
        <v>1405</v>
      </c>
      <c r="C169" s="276">
        <v>44247</v>
      </c>
      <c r="D169" s="257" t="s">
        <v>1255</v>
      </c>
      <c r="E169" s="257" t="s">
        <v>323</v>
      </c>
      <c r="F169" s="257" t="s">
        <v>1528</v>
      </c>
      <c r="G169" s="258">
        <v>72345000000</v>
      </c>
      <c r="H169" s="265">
        <v>0.1</v>
      </c>
      <c r="I169" s="258">
        <v>7234500000</v>
      </c>
      <c r="J169" s="258">
        <v>79579500000</v>
      </c>
      <c r="K169" s="256" t="s">
        <v>1346</v>
      </c>
    </row>
    <row r="170" spans="1:11" x14ac:dyDescent="0.3">
      <c r="A170" s="256">
        <v>39</v>
      </c>
      <c r="B170" s="257" t="s">
        <v>1406</v>
      </c>
      <c r="C170" s="276">
        <v>44275</v>
      </c>
      <c r="D170" s="257" t="s">
        <v>1352</v>
      </c>
      <c r="E170" s="257" t="s">
        <v>627</v>
      </c>
      <c r="F170" s="257" t="s">
        <v>1530</v>
      </c>
      <c r="G170" s="258">
        <v>84567000000</v>
      </c>
      <c r="H170" s="265">
        <v>0.1</v>
      </c>
      <c r="I170" s="258">
        <v>8456700000</v>
      </c>
      <c r="J170" s="258">
        <v>93023700000</v>
      </c>
      <c r="K170" s="256" t="s">
        <v>1346</v>
      </c>
    </row>
    <row r="171" spans="1:11" x14ac:dyDescent="0.3">
      <c r="A171" s="256">
        <v>40</v>
      </c>
      <c r="B171" s="257" t="s">
        <v>1408</v>
      </c>
      <c r="C171" s="276">
        <v>44306</v>
      </c>
      <c r="D171" s="257" t="s">
        <v>1283</v>
      </c>
      <c r="E171" s="257" t="s">
        <v>652</v>
      </c>
      <c r="F171" s="257" t="s">
        <v>1526</v>
      </c>
      <c r="G171" s="258">
        <v>93456000000</v>
      </c>
      <c r="H171" s="265">
        <v>0.1</v>
      </c>
      <c r="I171" s="258">
        <v>9345600000</v>
      </c>
      <c r="J171" s="258">
        <v>102801600000</v>
      </c>
      <c r="K171" s="256" t="s">
        <v>1346</v>
      </c>
    </row>
    <row r="172" spans="1:11" x14ac:dyDescent="0.3">
      <c r="A172" s="256">
        <v>41</v>
      </c>
      <c r="B172" s="257" t="s">
        <v>1409</v>
      </c>
      <c r="C172" s="276">
        <v>44336</v>
      </c>
      <c r="D172" s="257" t="s">
        <v>1270</v>
      </c>
      <c r="E172" s="257" t="s">
        <v>1393</v>
      </c>
      <c r="F172" s="257" t="s">
        <v>1522</v>
      </c>
      <c r="G172" s="258">
        <v>109234000000</v>
      </c>
      <c r="H172" s="265">
        <v>0.1</v>
      </c>
      <c r="I172" s="258">
        <v>10923400000</v>
      </c>
      <c r="J172" s="258">
        <v>120157400000</v>
      </c>
      <c r="K172" s="256" t="s">
        <v>1346</v>
      </c>
    </row>
    <row r="173" spans="1:11" x14ac:dyDescent="0.3">
      <c r="A173" s="256">
        <v>42</v>
      </c>
      <c r="B173" s="257" t="s">
        <v>1411</v>
      </c>
      <c r="C173" s="276">
        <v>44367</v>
      </c>
      <c r="D173" s="257" t="s">
        <v>1262</v>
      </c>
      <c r="E173" s="257" t="s">
        <v>425</v>
      </c>
      <c r="F173" s="257" t="s">
        <v>1525</v>
      </c>
      <c r="G173" s="258">
        <v>128345000000</v>
      </c>
      <c r="H173" s="265">
        <v>0.1</v>
      </c>
      <c r="I173" s="258">
        <v>12834500000</v>
      </c>
      <c r="J173" s="258">
        <v>141179500000</v>
      </c>
      <c r="K173" s="256" t="s">
        <v>1346</v>
      </c>
    </row>
    <row r="174" spans="1:11" x14ac:dyDescent="0.3">
      <c r="A174" s="256">
        <v>43</v>
      </c>
      <c r="B174" s="257" t="s">
        <v>1414</v>
      </c>
      <c r="C174" s="276">
        <v>44397</v>
      </c>
      <c r="D174" s="257" t="s">
        <v>1256</v>
      </c>
      <c r="E174" s="257" t="s">
        <v>331</v>
      </c>
      <c r="F174" s="257" t="s">
        <v>1523</v>
      </c>
      <c r="G174" s="258">
        <v>87234000000</v>
      </c>
      <c r="H174" s="265">
        <v>0.1</v>
      </c>
      <c r="I174" s="258">
        <v>8723400000</v>
      </c>
      <c r="J174" s="258">
        <v>95957400000</v>
      </c>
      <c r="K174" s="256" t="s">
        <v>1346</v>
      </c>
    </row>
    <row r="175" spans="1:11" x14ac:dyDescent="0.3">
      <c r="A175" s="256">
        <v>44</v>
      </c>
      <c r="B175" s="257" t="s">
        <v>1415</v>
      </c>
      <c r="C175" s="276">
        <v>44428</v>
      </c>
      <c r="D175" s="257" t="s">
        <v>1281</v>
      </c>
      <c r="E175" s="257" t="s">
        <v>635</v>
      </c>
      <c r="F175" s="257" t="s">
        <v>1524</v>
      </c>
      <c r="G175" s="258">
        <v>96789000000</v>
      </c>
      <c r="H175" s="265">
        <v>0.1</v>
      </c>
      <c r="I175" s="258">
        <v>9678900000</v>
      </c>
      <c r="J175" s="258">
        <v>106467900000</v>
      </c>
      <c r="K175" s="256" t="s">
        <v>1346</v>
      </c>
    </row>
    <row r="176" spans="1:11" x14ac:dyDescent="0.3">
      <c r="A176" s="256">
        <v>45</v>
      </c>
      <c r="B176" s="257" t="s">
        <v>1206</v>
      </c>
      <c r="C176" s="276">
        <v>44459</v>
      </c>
      <c r="D176" s="257" t="s">
        <v>1263</v>
      </c>
      <c r="E176" s="257" t="s">
        <v>444</v>
      </c>
      <c r="F176" s="257" t="s">
        <v>1533</v>
      </c>
      <c r="G176" s="258">
        <v>53456000000</v>
      </c>
      <c r="H176" s="265">
        <v>0.1</v>
      </c>
      <c r="I176" s="258">
        <v>5345600000</v>
      </c>
      <c r="J176" s="258">
        <v>58801600000</v>
      </c>
      <c r="K176" s="256" t="s">
        <v>1346</v>
      </c>
    </row>
    <row r="177" spans="1:11" x14ac:dyDescent="0.3">
      <c r="A177" s="256">
        <v>46</v>
      </c>
      <c r="B177" s="257" t="s">
        <v>1207</v>
      </c>
      <c r="C177" s="276">
        <v>44489</v>
      </c>
      <c r="D177" s="257" t="s">
        <v>1260</v>
      </c>
      <c r="E177" s="257" t="s">
        <v>408</v>
      </c>
      <c r="F177" s="257" t="s">
        <v>1522</v>
      </c>
      <c r="G177" s="258">
        <v>115234000000</v>
      </c>
      <c r="H177" s="265">
        <v>0.1</v>
      </c>
      <c r="I177" s="258">
        <v>11523400000</v>
      </c>
      <c r="J177" s="258">
        <v>126757400000</v>
      </c>
      <c r="K177" s="256" t="s">
        <v>1346</v>
      </c>
    </row>
    <row r="178" spans="1:11" x14ac:dyDescent="0.3">
      <c r="A178" s="256">
        <v>47</v>
      </c>
      <c r="B178" s="257" t="s">
        <v>1208</v>
      </c>
      <c r="C178" s="276">
        <v>44520</v>
      </c>
      <c r="D178" s="257" t="s">
        <v>1279</v>
      </c>
      <c r="E178" s="257" t="s">
        <v>611</v>
      </c>
      <c r="F178" s="257" t="s">
        <v>1530</v>
      </c>
      <c r="G178" s="258">
        <v>78234000000</v>
      </c>
      <c r="H178" s="265">
        <v>0.1</v>
      </c>
      <c r="I178" s="258">
        <v>7823400000</v>
      </c>
      <c r="J178" s="258">
        <v>86057400000</v>
      </c>
      <c r="K178" s="256" t="s">
        <v>1346</v>
      </c>
    </row>
    <row r="179" spans="1:11" x14ac:dyDescent="0.3">
      <c r="A179" s="256">
        <v>48</v>
      </c>
      <c r="B179" s="257" t="s">
        <v>1209</v>
      </c>
      <c r="C179" s="276">
        <v>44550</v>
      </c>
      <c r="D179" s="257" t="s">
        <v>1395</v>
      </c>
      <c r="E179" s="257" t="s">
        <v>561</v>
      </c>
      <c r="F179" s="257" t="s">
        <v>1526</v>
      </c>
      <c r="G179" s="258">
        <v>102345000000</v>
      </c>
      <c r="H179" s="265">
        <v>0.1</v>
      </c>
      <c r="I179" s="258">
        <v>10234500000</v>
      </c>
      <c r="J179" s="258">
        <v>112579500000</v>
      </c>
      <c r="K179" s="256" t="s">
        <v>1346</v>
      </c>
    </row>
    <row r="180" spans="1:11" x14ac:dyDescent="0.3">
      <c r="A180" s="256">
        <v>49</v>
      </c>
      <c r="B180" s="257" t="s">
        <v>1418</v>
      </c>
      <c r="C180" s="276">
        <v>44221</v>
      </c>
      <c r="D180" s="257" t="s">
        <v>1282</v>
      </c>
      <c r="E180" s="257" t="s">
        <v>1361</v>
      </c>
      <c r="F180" s="257" t="s">
        <v>1523</v>
      </c>
      <c r="G180" s="258">
        <v>93456000000</v>
      </c>
      <c r="H180" s="265">
        <v>0.1</v>
      </c>
      <c r="I180" s="258">
        <v>9345600000</v>
      </c>
      <c r="J180" s="258">
        <v>102801600000</v>
      </c>
      <c r="K180" s="256" t="s">
        <v>1346</v>
      </c>
    </row>
    <row r="181" spans="1:11" x14ac:dyDescent="0.3">
      <c r="A181" s="256">
        <v>50</v>
      </c>
      <c r="B181" s="257" t="s">
        <v>1419</v>
      </c>
      <c r="C181" s="276">
        <v>44252</v>
      </c>
      <c r="D181" s="257" t="s">
        <v>1259</v>
      </c>
      <c r="E181" s="257" t="s">
        <v>394</v>
      </c>
      <c r="F181" s="257" t="s">
        <v>1525</v>
      </c>
      <c r="G181" s="258">
        <v>141234000000</v>
      </c>
      <c r="H181" s="265">
        <v>0.1</v>
      </c>
      <c r="I181" s="258">
        <v>14123400000</v>
      </c>
      <c r="J181" s="258">
        <v>155357400000</v>
      </c>
      <c r="K181" s="256" t="s">
        <v>1346</v>
      </c>
    </row>
    <row r="182" spans="1:11" x14ac:dyDescent="0.3">
      <c r="A182" s="256">
        <v>51</v>
      </c>
      <c r="B182" s="257" t="s">
        <v>1456</v>
      </c>
      <c r="C182" s="276">
        <v>44280</v>
      </c>
      <c r="D182" s="257" t="s">
        <v>1266</v>
      </c>
      <c r="E182" s="257" t="s">
        <v>469</v>
      </c>
      <c r="F182" s="257" t="s">
        <v>1522</v>
      </c>
      <c r="G182" s="258">
        <v>87345000000</v>
      </c>
      <c r="H182" s="265">
        <v>0.1</v>
      </c>
      <c r="I182" s="258">
        <v>8734500000</v>
      </c>
      <c r="J182" s="258">
        <v>96079500000</v>
      </c>
      <c r="K182" s="256" t="s">
        <v>1346</v>
      </c>
    </row>
    <row r="183" spans="1:11" x14ac:dyDescent="0.3">
      <c r="A183" s="256">
        <v>52</v>
      </c>
      <c r="B183" s="257" t="s">
        <v>1457</v>
      </c>
      <c r="C183" s="276">
        <v>44311</v>
      </c>
      <c r="D183" s="257" t="s">
        <v>1386</v>
      </c>
      <c r="E183" s="257" t="s">
        <v>1236</v>
      </c>
      <c r="F183" s="257" t="s">
        <v>1528</v>
      </c>
      <c r="G183" s="258">
        <v>64234000000</v>
      </c>
      <c r="H183" s="265">
        <v>0.1</v>
      </c>
      <c r="I183" s="258">
        <v>6423400000</v>
      </c>
      <c r="J183" s="258">
        <v>70657400000</v>
      </c>
      <c r="K183" s="256" t="s">
        <v>1346</v>
      </c>
    </row>
    <row r="184" spans="1:11" x14ac:dyDescent="0.3">
      <c r="A184" s="256">
        <v>53</v>
      </c>
      <c r="B184" s="257" t="s">
        <v>1458</v>
      </c>
      <c r="C184" s="276">
        <v>44341</v>
      </c>
      <c r="D184" s="257" t="s">
        <v>1285</v>
      </c>
      <c r="E184" s="257" t="s">
        <v>1407</v>
      </c>
      <c r="F184" s="257" t="s">
        <v>1527</v>
      </c>
      <c r="G184" s="258">
        <v>198234000000</v>
      </c>
      <c r="H184" s="265">
        <v>0</v>
      </c>
      <c r="I184" s="258">
        <v>0</v>
      </c>
      <c r="J184" s="258">
        <v>198234000000</v>
      </c>
      <c r="K184" s="256" t="s">
        <v>1346</v>
      </c>
    </row>
    <row r="185" spans="1:11" x14ac:dyDescent="0.3">
      <c r="A185" s="256">
        <v>54</v>
      </c>
      <c r="B185" s="257" t="s">
        <v>1459</v>
      </c>
      <c r="C185" s="276">
        <v>44372</v>
      </c>
      <c r="D185" s="257" t="s">
        <v>1280</v>
      </c>
      <c r="E185" s="257" t="s">
        <v>618</v>
      </c>
      <c r="F185" s="257" t="s">
        <v>1529</v>
      </c>
      <c r="G185" s="258">
        <v>74567000000</v>
      </c>
      <c r="H185" s="265">
        <v>0.1</v>
      </c>
      <c r="I185" s="258">
        <v>7456700000</v>
      </c>
      <c r="J185" s="258">
        <v>82023700000</v>
      </c>
      <c r="K185" s="256" t="s">
        <v>1348</v>
      </c>
    </row>
    <row r="186" spans="1:11" x14ac:dyDescent="0.3">
      <c r="A186" s="256">
        <v>55</v>
      </c>
      <c r="B186" s="257" t="s">
        <v>1460</v>
      </c>
      <c r="C186" s="276">
        <v>44402</v>
      </c>
      <c r="D186" s="257" t="s">
        <v>1268</v>
      </c>
      <c r="E186" s="257" t="s">
        <v>498</v>
      </c>
      <c r="F186" s="257" t="s">
        <v>1523</v>
      </c>
      <c r="G186" s="258">
        <v>108234000000</v>
      </c>
      <c r="H186" s="265">
        <v>0.1</v>
      </c>
      <c r="I186" s="258">
        <v>10823400000</v>
      </c>
      <c r="J186" s="258">
        <v>119057400000</v>
      </c>
      <c r="K186" s="256" t="s">
        <v>1346</v>
      </c>
    </row>
    <row r="187" spans="1:11" x14ac:dyDescent="0.3">
      <c r="A187" s="256">
        <v>56</v>
      </c>
      <c r="B187" s="257" t="s">
        <v>1461</v>
      </c>
      <c r="C187" s="276">
        <v>44433</v>
      </c>
      <c r="D187" s="257" t="s">
        <v>1384</v>
      </c>
      <c r="E187" s="257" t="s">
        <v>480</v>
      </c>
      <c r="F187" s="257" t="s">
        <v>1534</v>
      </c>
      <c r="G187" s="258">
        <v>58789000000</v>
      </c>
      <c r="H187" s="265">
        <v>0.1</v>
      </c>
      <c r="I187" s="258">
        <v>5878900000</v>
      </c>
      <c r="J187" s="258">
        <v>64667900000</v>
      </c>
      <c r="K187" s="256" t="s">
        <v>1346</v>
      </c>
    </row>
    <row r="188" spans="1:11" x14ac:dyDescent="0.3">
      <c r="A188" s="256">
        <v>57</v>
      </c>
      <c r="B188" s="257" t="s">
        <v>1462</v>
      </c>
      <c r="C188" s="276">
        <v>44464</v>
      </c>
      <c r="D188" s="257" t="s">
        <v>1277</v>
      </c>
      <c r="E188" s="257" t="s">
        <v>586</v>
      </c>
      <c r="F188" s="257" t="s">
        <v>1522</v>
      </c>
      <c r="G188" s="258">
        <v>124567000000</v>
      </c>
      <c r="H188" s="265">
        <v>0.1</v>
      </c>
      <c r="I188" s="258">
        <v>12456700000</v>
      </c>
      <c r="J188" s="258">
        <v>137023700000</v>
      </c>
      <c r="K188" s="256" t="s">
        <v>1346</v>
      </c>
    </row>
    <row r="189" spans="1:11" x14ac:dyDescent="0.3">
      <c r="A189" s="256">
        <v>58</v>
      </c>
      <c r="B189" s="257" t="s">
        <v>1463</v>
      </c>
      <c r="C189" s="276">
        <v>44494</v>
      </c>
      <c r="D189" s="257" t="s">
        <v>1273</v>
      </c>
      <c r="E189" s="257" t="s">
        <v>548</v>
      </c>
      <c r="F189" s="257" t="s">
        <v>1524</v>
      </c>
      <c r="G189" s="258">
        <v>89234000000</v>
      </c>
      <c r="H189" s="265">
        <v>0.1</v>
      </c>
      <c r="I189" s="258">
        <v>8923400000</v>
      </c>
      <c r="J189" s="258">
        <v>98157400000</v>
      </c>
      <c r="K189" s="256" t="s">
        <v>1346</v>
      </c>
    </row>
    <row r="190" spans="1:11" x14ac:dyDescent="0.3">
      <c r="A190" s="256">
        <v>59</v>
      </c>
      <c r="B190" s="257" t="s">
        <v>1464</v>
      </c>
      <c r="C190" s="276">
        <v>44525</v>
      </c>
      <c r="D190" s="257" t="s">
        <v>1435</v>
      </c>
      <c r="E190" s="257" t="s">
        <v>435</v>
      </c>
      <c r="F190" s="257" t="s">
        <v>1523</v>
      </c>
      <c r="G190" s="258">
        <v>97345000000</v>
      </c>
      <c r="H190" s="265">
        <v>0.1</v>
      </c>
      <c r="I190" s="258">
        <v>9734500000</v>
      </c>
      <c r="J190" s="258">
        <v>107079500000</v>
      </c>
      <c r="K190" s="256" t="s">
        <v>1346</v>
      </c>
    </row>
    <row r="191" spans="1:11" x14ac:dyDescent="0.3">
      <c r="A191" s="256">
        <v>60</v>
      </c>
      <c r="B191" s="257" t="s">
        <v>1465</v>
      </c>
      <c r="C191" s="276">
        <v>44224</v>
      </c>
      <c r="D191" s="257" t="s">
        <v>1261</v>
      </c>
      <c r="E191" s="257" t="s">
        <v>417</v>
      </c>
      <c r="F191" s="257" t="s">
        <v>1530</v>
      </c>
      <c r="G191" s="258">
        <v>83456000000</v>
      </c>
      <c r="H191" s="265">
        <v>0.1</v>
      </c>
      <c r="I191" s="258">
        <v>8345600000</v>
      </c>
      <c r="J191" s="258">
        <v>91801600000</v>
      </c>
      <c r="K191" s="256" t="s">
        <v>1346</v>
      </c>
    </row>
    <row r="192" spans="1:11" x14ac:dyDescent="0.3">
      <c r="A192" s="256">
        <v>61</v>
      </c>
      <c r="B192" s="257" t="s">
        <v>1466</v>
      </c>
      <c r="C192" s="276">
        <v>44255</v>
      </c>
      <c r="D192" s="257" t="s">
        <v>1269</v>
      </c>
      <c r="E192" s="257" t="s">
        <v>511</v>
      </c>
      <c r="F192" s="257" t="s">
        <v>1525</v>
      </c>
      <c r="G192" s="258">
        <v>139234000000</v>
      </c>
      <c r="H192" s="265">
        <v>0.1</v>
      </c>
      <c r="I192" s="258">
        <v>13923400000</v>
      </c>
      <c r="J192" s="258">
        <v>153157400000</v>
      </c>
      <c r="K192" s="256" t="s">
        <v>1346</v>
      </c>
    </row>
    <row r="193" spans="1:11" x14ac:dyDescent="0.3">
      <c r="A193" s="256">
        <v>62</v>
      </c>
      <c r="B193" s="257" t="s">
        <v>1467</v>
      </c>
      <c r="C193" s="276">
        <v>44283</v>
      </c>
      <c r="D193" s="257" t="s">
        <v>1278</v>
      </c>
      <c r="E193" s="257" t="s">
        <v>1349</v>
      </c>
      <c r="F193" s="257" t="s">
        <v>1522</v>
      </c>
      <c r="G193" s="258">
        <v>106789000000</v>
      </c>
      <c r="H193" s="265">
        <v>0.1</v>
      </c>
      <c r="I193" s="258">
        <v>10678900000</v>
      </c>
      <c r="J193" s="258">
        <v>117467900000</v>
      </c>
      <c r="K193" s="256" t="s">
        <v>1346</v>
      </c>
    </row>
    <row r="194" spans="1:11" x14ac:dyDescent="0.3">
      <c r="A194" s="256">
        <v>63</v>
      </c>
      <c r="B194" s="257" t="s">
        <v>1468</v>
      </c>
      <c r="C194" s="276">
        <v>44314</v>
      </c>
      <c r="D194" s="257" t="s">
        <v>1264</v>
      </c>
      <c r="E194" s="257" t="s">
        <v>453</v>
      </c>
      <c r="F194" s="257" t="s">
        <v>1526</v>
      </c>
      <c r="G194" s="258">
        <v>78234000000</v>
      </c>
      <c r="H194" s="265">
        <v>0.1</v>
      </c>
      <c r="I194" s="258">
        <v>7823400000</v>
      </c>
      <c r="J194" s="258">
        <v>86057400000</v>
      </c>
      <c r="K194" s="256" t="s">
        <v>1346</v>
      </c>
    </row>
    <row r="195" spans="1:11" x14ac:dyDescent="0.3">
      <c r="A195" s="256">
        <v>64</v>
      </c>
      <c r="B195" s="257" t="s">
        <v>1469</v>
      </c>
      <c r="C195" s="276">
        <v>44405</v>
      </c>
      <c r="D195" s="257" t="s">
        <v>1271</v>
      </c>
      <c r="E195" s="257" t="s">
        <v>532</v>
      </c>
      <c r="F195" s="257" t="s">
        <v>1528</v>
      </c>
      <c r="G195" s="258">
        <v>59234000000</v>
      </c>
      <c r="H195" s="265">
        <v>0.1</v>
      </c>
      <c r="I195" s="258">
        <v>5923400000</v>
      </c>
      <c r="J195" s="258">
        <v>65157400000</v>
      </c>
      <c r="K195" s="256" t="s">
        <v>1346</v>
      </c>
    </row>
    <row r="196" spans="1:11" x14ac:dyDescent="0.3">
      <c r="A196" s="256">
        <v>65</v>
      </c>
      <c r="B196" s="257" t="s">
        <v>1470</v>
      </c>
      <c r="C196" s="276">
        <v>44436</v>
      </c>
      <c r="D196" s="257" t="s">
        <v>1257</v>
      </c>
      <c r="E196" s="257" t="s">
        <v>338</v>
      </c>
      <c r="F196" s="257" t="s">
        <v>1523</v>
      </c>
      <c r="G196" s="258">
        <v>113456000000</v>
      </c>
      <c r="H196" s="265">
        <v>0.1</v>
      </c>
      <c r="I196" s="258">
        <v>11345600000</v>
      </c>
      <c r="J196" s="258">
        <v>124801600000</v>
      </c>
      <c r="K196" s="256" t="s">
        <v>1346</v>
      </c>
    </row>
    <row r="197" spans="1:11" x14ac:dyDescent="0.3">
      <c r="A197" s="256">
        <v>66</v>
      </c>
      <c r="B197" s="257" t="s">
        <v>1471</v>
      </c>
      <c r="C197" s="276">
        <v>44227</v>
      </c>
      <c r="D197" s="257" t="s">
        <v>1274</v>
      </c>
      <c r="E197" s="257" t="s">
        <v>1412</v>
      </c>
      <c r="F197" s="257" t="s">
        <v>1533</v>
      </c>
      <c r="G197" s="258">
        <v>48234000000</v>
      </c>
      <c r="H197" s="265">
        <v>0.1</v>
      </c>
      <c r="I197" s="258">
        <v>4823400000</v>
      </c>
      <c r="J197" s="258">
        <v>53057400000</v>
      </c>
      <c r="K197" s="256" t="s">
        <v>1346</v>
      </c>
    </row>
    <row r="198" spans="1:11" x14ac:dyDescent="0.3">
      <c r="A198" s="256">
        <v>67</v>
      </c>
      <c r="B198" s="257" t="s">
        <v>1472</v>
      </c>
      <c r="C198" s="276">
        <v>44286</v>
      </c>
      <c r="D198" s="257" t="s">
        <v>1284</v>
      </c>
      <c r="E198" s="257" t="s">
        <v>661</v>
      </c>
      <c r="F198" s="257" t="s">
        <v>1522</v>
      </c>
      <c r="G198" s="258">
        <v>118234000000</v>
      </c>
      <c r="H198" s="265">
        <v>0.1</v>
      </c>
      <c r="I198" s="258">
        <v>11823400000</v>
      </c>
      <c r="J198" s="258">
        <v>130057400000</v>
      </c>
      <c r="K198" s="256" t="s">
        <v>1346</v>
      </c>
    </row>
    <row r="199" spans="1:11" x14ac:dyDescent="0.3">
      <c r="A199" s="256">
        <v>68</v>
      </c>
      <c r="B199" s="257" t="s">
        <v>1473</v>
      </c>
      <c r="C199" s="276">
        <v>44347</v>
      </c>
      <c r="D199" s="257" t="s">
        <v>1369</v>
      </c>
      <c r="E199" s="257" t="s">
        <v>346</v>
      </c>
      <c r="F199" s="257" t="s">
        <v>1529</v>
      </c>
      <c r="G199" s="258">
        <v>87234000000</v>
      </c>
      <c r="H199" s="265">
        <v>0.1</v>
      </c>
      <c r="I199" s="258">
        <v>8723400000</v>
      </c>
      <c r="J199" s="258">
        <v>95957400000</v>
      </c>
      <c r="K199" s="256" t="s">
        <v>1346</v>
      </c>
    </row>
    <row r="200" spans="1:11" x14ac:dyDescent="0.3">
      <c r="A200" s="256">
        <v>69</v>
      </c>
      <c r="B200" s="257" t="s">
        <v>1474</v>
      </c>
      <c r="C200" s="276">
        <v>44408</v>
      </c>
      <c r="D200" s="257" t="s">
        <v>1276</v>
      </c>
      <c r="E200" s="257" t="s">
        <v>578</v>
      </c>
      <c r="F200" s="257" t="s">
        <v>1523</v>
      </c>
      <c r="G200" s="258">
        <v>94567000000</v>
      </c>
      <c r="H200" s="265">
        <v>0.1</v>
      </c>
      <c r="I200" s="258">
        <v>9456700000</v>
      </c>
      <c r="J200" s="258">
        <v>104023700000</v>
      </c>
      <c r="K200" s="256" t="s">
        <v>1346</v>
      </c>
    </row>
    <row r="201" spans="1:11" x14ac:dyDescent="0.3">
      <c r="A201" s="256">
        <v>70</v>
      </c>
      <c r="B201" s="257" t="s">
        <v>1475</v>
      </c>
      <c r="C201" s="276">
        <v>44439</v>
      </c>
      <c r="D201" s="257" t="s">
        <v>1272</v>
      </c>
      <c r="E201" s="257" t="s">
        <v>540</v>
      </c>
      <c r="F201" s="257" t="s">
        <v>1525</v>
      </c>
      <c r="G201" s="258">
        <v>127345000000</v>
      </c>
      <c r="H201" s="265">
        <v>0.1</v>
      </c>
      <c r="I201" s="258">
        <v>12734500000</v>
      </c>
      <c r="J201" s="258">
        <v>140079500000</v>
      </c>
      <c r="K201" s="256" t="s">
        <v>1346</v>
      </c>
    </row>
    <row r="202" spans="1:11" x14ac:dyDescent="0.3">
      <c r="A202" s="256">
        <v>71</v>
      </c>
      <c r="B202" s="257" t="s">
        <v>1476</v>
      </c>
      <c r="C202" s="276">
        <v>44439</v>
      </c>
      <c r="D202" s="257" t="s">
        <v>1428</v>
      </c>
      <c r="E202" s="257" t="s">
        <v>402</v>
      </c>
      <c r="F202" s="257" t="s">
        <v>1522</v>
      </c>
      <c r="G202" s="258">
        <v>99234000000</v>
      </c>
      <c r="H202" s="265">
        <v>0.1</v>
      </c>
      <c r="I202" s="258">
        <v>9923400000</v>
      </c>
      <c r="J202" s="258">
        <v>109157400000</v>
      </c>
      <c r="K202" s="256" t="s">
        <v>1346</v>
      </c>
    </row>
    <row r="203" spans="1:11" x14ac:dyDescent="0.3">
      <c r="A203" s="256">
        <v>72</v>
      </c>
      <c r="B203" s="257" t="s">
        <v>1477</v>
      </c>
      <c r="C203" s="276">
        <v>44470</v>
      </c>
      <c r="D203" s="257" t="s">
        <v>1281</v>
      </c>
      <c r="E203" s="257" t="s">
        <v>635</v>
      </c>
      <c r="F203" s="257" t="s">
        <v>1527</v>
      </c>
      <c r="G203" s="258">
        <v>213456000000</v>
      </c>
      <c r="H203" s="265">
        <v>0</v>
      </c>
      <c r="I203" s="258">
        <v>0</v>
      </c>
      <c r="J203" s="258">
        <v>213456000000</v>
      </c>
      <c r="K203" s="256" t="s">
        <v>1346</v>
      </c>
    </row>
    <row r="204" spans="1:11" x14ac:dyDescent="0.3">
      <c r="A204" s="256">
        <v>73</v>
      </c>
      <c r="B204" s="257" t="s">
        <v>1478</v>
      </c>
      <c r="C204" s="276">
        <v>44500</v>
      </c>
      <c r="D204" s="257" t="s">
        <v>1259</v>
      </c>
      <c r="E204" s="257" t="s">
        <v>394</v>
      </c>
      <c r="F204" s="257" t="s">
        <v>1524</v>
      </c>
      <c r="G204" s="258">
        <v>78234000000</v>
      </c>
      <c r="H204" s="265">
        <v>0.1</v>
      </c>
      <c r="I204" s="258">
        <v>7823400000</v>
      </c>
      <c r="J204" s="258">
        <v>86057400000</v>
      </c>
      <c r="K204" s="256" t="s">
        <v>1348</v>
      </c>
    </row>
    <row r="205" spans="1:11" x14ac:dyDescent="0.3">
      <c r="A205" s="256">
        <v>74</v>
      </c>
      <c r="B205" s="257" t="s">
        <v>1479</v>
      </c>
      <c r="C205" s="276">
        <v>44500</v>
      </c>
      <c r="D205" s="257" t="s">
        <v>1262</v>
      </c>
      <c r="E205" s="257" t="s">
        <v>425</v>
      </c>
      <c r="F205" s="257" t="s">
        <v>1523</v>
      </c>
      <c r="G205" s="258">
        <v>105678000000</v>
      </c>
      <c r="H205" s="265">
        <v>0.1</v>
      </c>
      <c r="I205" s="258">
        <v>10567800000</v>
      </c>
      <c r="J205" s="258">
        <v>116245800000</v>
      </c>
      <c r="K205" s="256" t="s">
        <v>1346</v>
      </c>
    </row>
    <row r="206" spans="1:11" x14ac:dyDescent="0.3">
      <c r="A206" s="256">
        <v>75</v>
      </c>
      <c r="B206" s="257" t="s">
        <v>1480</v>
      </c>
      <c r="C206" s="276">
        <v>44500</v>
      </c>
      <c r="D206" s="257" t="s">
        <v>1283</v>
      </c>
      <c r="E206" s="257" t="s">
        <v>652</v>
      </c>
      <c r="F206" s="257" t="s">
        <v>1528</v>
      </c>
      <c r="G206" s="258">
        <v>67345000000</v>
      </c>
      <c r="H206" s="265">
        <v>0.1</v>
      </c>
      <c r="I206" s="258">
        <v>6734500000</v>
      </c>
      <c r="J206" s="258">
        <v>74079500000</v>
      </c>
      <c r="K206" s="256" t="s">
        <v>1346</v>
      </c>
    </row>
    <row r="207" spans="1:11" x14ac:dyDescent="0.3">
      <c r="A207" s="256">
        <v>76</v>
      </c>
      <c r="B207" s="257" t="s">
        <v>1481</v>
      </c>
      <c r="C207" s="276">
        <v>44500</v>
      </c>
      <c r="D207" s="257" t="s">
        <v>1280</v>
      </c>
      <c r="E207" s="257" t="s">
        <v>618</v>
      </c>
      <c r="F207" s="257" t="s">
        <v>1522</v>
      </c>
      <c r="G207" s="258">
        <v>112456000000</v>
      </c>
      <c r="H207" s="265">
        <v>0.1</v>
      </c>
      <c r="I207" s="258">
        <v>11245600000</v>
      </c>
      <c r="J207" s="258">
        <v>123701600000</v>
      </c>
      <c r="K207" s="256" t="s">
        <v>1346</v>
      </c>
    </row>
    <row r="208" spans="1:11" x14ac:dyDescent="0.3">
      <c r="A208" s="256">
        <v>77</v>
      </c>
      <c r="B208" s="257" t="s">
        <v>1482</v>
      </c>
      <c r="C208" s="276">
        <v>44531</v>
      </c>
      <c r="D208" s="257" t="s">
        <v>1267</v>
      </c>
      <c r="E208" s="257" t="s">
        <v>490</v>
      </c>
      <c r="F208" s="257" t="s">
        <v>1525</v>
      </c>
      <c r="G208" s="258">
        <v>136234000000</v>
      </c>
      <c r="H208" s="265">
        <v>0.1</v>
      </c>
      <c r="I208" s="258">
        <v>13623400000</v>
      </c>
      <c r="J208" s="258">
        <v>149857400000</v>
      </c>
      <c r="K208" s="256" t="s">
        <v>1346</v>
      </c>
    </row>
    <row r="209" spans="1:11" x14ac:dyDescent="0.3">
      <c r="A209" s="256">
        <v>78</v>
      </c>
      <c r="B209" s="257" t="s">
        <v>1483</v>
      </c>
      <c r="C209" s="276">
        <v>44531</v>
      </c>
      <c r="D209" s="257" t="s">
        <v>1416</v>
      </c>
      <c r="E209" s="257" t="s">
        <v>374</v>
      </c>
      <c r="F209" s="257" t="s">
        <v>1526</v>
      </c>
      <c r="G209" s="258">
        <v>91234000000</v>
      </c>
      <c r="H209" s="265">
        <v>0.1</v>
      </c>
      <c r="I209" s="258">
        <v>9123400000</v>
      </c>
      <c r="J209" s="258">
        <v>100357400000</v>
      </c>
      <c r="K209" s="256" t="s">
        <v>1346</v>
      </c>
    </row>
    <row r="210" spans="1:11" x14ac:dyDescent="0.3">
      <c r="A210" s="256">
        <v>79</v>
      </c>
      <c r="B210" s="257" t="s">
        <v>1484</v>
      </c>
      <c r="C210" s="276">
        <v>44561</v>
      </c>
      <c r="D210" s="257" t="s">
        <v>1275</v>
      </c>
      <c r="E210" s="257" t="s">
        <v>569</v>
      </c>
      <c r="F210" s="257" t="s">
        <v>1523</v>
      </c>
      <c r="G210" s="258">
        <v>88345000000</v>
      </c>
      <c r="H210" s="265">
        <v>0.1</v>
      </c>
      <c r="I210" s="258">
        <v>8834500000</v>
      </c>
      <c r="J210" s="258">
        <v>97179500000</v>
      </c>
      <c r="K210" s="256" t="s">
        <v>1346</v>
      </c>
    </row>
    <row r="211" spans="1:11" x14ac:dyDescent="0.3">
      <c r="A211" s="256">
        <v>80</v>
      </c>
      <c r="B211" s="257" t="s">
        <v>1485</v>
      </c>
      <c r="C211" s="276">
        <v>44561</v>
      </c>
      <c r="D211" s="257" t="s">
        <v>1285</v>
      </c>
      <c r="E211" s="257" t="s">
        <v>1407</v>
      </c>
      <c r="F211" s="257" t="s">
        <v>1522</v>
      </c>
      <c r="G211" s="258">
        <v>76736961</v>
      </c>
      <c r="H211" s="265">
        <v>0.1</v>
      </c>
      <c r="I211" s="258">
        <v>7673696</v>
      </c>
      <c r="J211" s="258">
        <v>84410657</v>
      </c>
      <c r="K211" s="256" t="s">
        <v>1346</v>
      </c>
    </row>
    <row r="212" spans="1:11" x14ac:dyDescent="0.3">
      <c r="A212" s="266" t="s">
        <v>1351</v>
      </c>
      <c r="B212" s="266"/>
      <c r="C212" s="266"/>
      <c r="D212" s="266"/>
      <c r="E212" s="266"/>
      <c r="F212" s="266"/>
      <c r="G212" s="267">
        <f>SUM(G132:G211)</f>
        <v>7932572736961</v>
      </c>
      <c r="H212" s="266"/>
      <c r="I212" s="267">
        <f>SUM(I132:I211)</f>
        <v>710908173696</v>
      </c>
      <c r="J212" s="267">
        <f>SUM(J132:J211)</f>
        <v>8643480910657</v>
      </c>
      <c r="K212" s="2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2"/>
  <sheetViews>
    <sheetView workbookViewId="0"/>
  </sheetViews>
  <sheetFormatPr defaultRowHeight="14.4" x14ac:dyDescent="0.3"/>
  <sheetData>
    <row r="1" spans="1:11" x14ac:dyDescent="0.3">
      <c r="A1" s="256" t="s">
        <v>1340</v>
      </c>
      <c r="B1" s="256" t="s">
        <v>323</v>
      </c>
      <c r="C1" s="256"/>
      <c r="D1" s="256"/>
      <c r="E1" s="256"/>
      <c r="F1" s="256"/>
      <c r="G1" s="256"/>
      <c r="H1" s="256"/>
      <c r="I1" s="256"/>
      <c r="J1" s="256"/>
      <c r="K1" s="256"/>
    </row>
    <row r="2" spans="1:11" x14ac:dyDescent="0.3">
      <c r="A2" s="256" t="s">
        <v>1339</v>
      </c>
      <c r="B2" s="257">
        <v>100101308</v>
      </c>
      <c r="C2" s="256"/>
      <c r="D2" s="256"/>
      <c r="E2" s="256"/>
      <c r="F2" s="256"/>
      <c r="G2" s="256"/>
      <c r="H2" s="256"/>
      <c r="I2" s="256"/>
      <c r="J2" s="256"/>
      <c r="K2" s="256"/>
    </row>
    <row r="3" spans="1:11" x14ac:dyDescent="0.3">
      <c r="A3" s="256" t="s">
        <v>1343</v>
      </c>
      <c r="B3" s="258">
        <v>3462145069140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1200</v>
      </c>
      <c r="C8" s="276">
        <v>44317</v>
      </c>
      <c r="D8" s="257" t="s">
        <v>1352</v>
      </c>
      <c r="E8" s="256" t="s">
        <v>627</v>
      </c>
      <c r="F8" s="256" t="s">
        <v>1542</v>
      </c>
      <c r="G8" s="258">
        <v>53442000000</v>
      </c>
      <c r="H8" s="265">
        <v>0.1</v>
      </c>
      <c r="I8" s="258">
        <v>5344200000</v>
      </c>
      <c r="J8" s="258">
        <v>58786200000</v>
      </c>
      <c r="K8" s="256" t="s">
        <v>1346</v>
      </c>
    </row>
    <row r="9" spans="1:11" x14ac:dyDescent="0.3">
      <c r="A9" s="256">
        <v>2</v>
      </c>
      <c r="B9" s="257" t="s">
        <v>1200</v>
      </c>
      <c r="C9" s="276">
        <v>44318</v>
      </c>
      <c r="D9" s="257" t="s">
        <v>1279</v>
      </c>
      <c r="E9" s="256" t="s">
        <v>611</v>
      </c>
      <c r="F9" s="256" t="s">
        <v>1543</v>
      </c>
      <c r="G9" s="258">
        <v>28934000000</v>
      </c>
      <c r="H9" s="265">
        <v>0.1</v>
      </c>
      <c r="I9" s="258">
        <v>2893400000</v>
      </c>
      <c r="J9" s="258">
        <v>31827400000</v>
      </c>
      <c r="K9" s="256" t="s">
        <v>1346</v>
      </c>
    </row>
    <row r="10" spans="1:11" x14ac:dyDescent="0.3">
      <c r="A10" s="256">
        <v>3</v>
      </c>
      <c r="B10" s="257" t="s">
        <v>1200</v>
      </c>
      <c r="C10" s="276">
        <v>44319</v>
      </c>
      <c r="D10" s="257" t="s">
        <v>1272</v>
      </c>
      <c r="E10" s="256" t="s">
        <v>540</v>
      </c>
      <c r="F10" s="256" t="s">
        <v>1544</v>
      </c>
      <c r="G10" s="258">
        <v>45678000000</v>
      </c>
      <c r="H10" s="265">
        <v>0.1</v>
      </c>
      <c r="I10" s="258">
        <v>4567800000</v>
      </c>
      <c r="J10" s="258">
        <v>50245800000</v>
      </c>
      <c r="K10" s="256" t="s">
        <v>1346</v>
      </c>
    </row>
    <row r="11" spans="1:11" x14ac:dyDescent="0.3">
      <c r="A11" s="256">
        <v>4</v>
      </c>
      <c r="B11" s="257" t="s">
        <v>1200</v>
      </c>
      <c r="C11" s="276">
        <v>44320</v>
      </c>
      <c r="D11" s="257" t="s">
        <v>1261</v>
      </c>
      <c r="E11" s="256" t="s">
        <v>417</v>
      </c>
      <c r="F11" s="256" t="s">
        <v>1542</v>
      </c>
      <c r="G11" s="258">
        <v>61234000000</v>
      </c>
      <c r="H11" s="265">
        <v>0.1</v>
      </c>
      <c r="I11" s="258">
        <v>6123400000</v>
      </c>
      <c r="J11" s="258">
        <v>67357400000</v>
      </c>
      <c r="K11" s="256" t="s">
        <v>1346</v>
      </c>
    </row>
    <row r="12" spans="1:11" x14ac:dyDescent="0.3">
      <c r="A12" s="256">
        <v>5</v>
      </c>
      <c r="B12" s="257" t="s">
        <v>1200</v>
      </c>
      <c r="C12" s="276">
        <v>44321</v>
      </c>
      <c r="D12" s="257" t="s">
        <v>1257</v>
      </c>
      <c r="E12" s="256" t="s">
        <v>1549</v>
      </c>
      <c r="F12" s="256" t="s">
        <v>1545</v>
      </c>
      <c r="G12" s="258">
        <v>22456000000</v>
      </c>
      <c r="H12" s="265">
        <v>0.1</v>
      </c>
      <c r="I12" s="258">
        <v>2245600000</v>
      </c>
      <c r="J12" s="258">
        <v>24701600000</v>
      </c>
      <c r="K12" s="256" t="s">
        <v>1346</v>
      </c>
    </row>
    <row r="13" spans="1:11" x14ac:dyDescent="0.3">
      <c r="A13" s="256">
        <v>6</v>
      </c>
      <c r="B13" s="257" t="s">
        <v>1200</v>
      </c>
      <c r="C13" s="276">
        <v>44322</v>
      </c>
      <c r="D13" s="257" t="s">
        <v>1274</v>
      </c>
      <c r="E13" s="256" t="s">
        <v>1550</v>
      </c>
      <c r="F13" s="256" t="s">
        <v>1543</v>
      </c>
      <c r="G13" s="258">
        <v>19345000000</v>
      </c>
      <c r="H13" s="265">
        <v>0.1</v>
      </c>
      <c r="I13" s="258">
        <v>1934500000</v>
      </c>
      <c r="J13" s="258">
        <v>21279500000</v>
      </c>
      <c r="K13" s="256" t="s">
        <v>1346</v>
      </c>
    </row>
    <row r="14" spans="1:11" x14ac:dyDescent="0.3">
      <c r="A14" s="256">
        <v>7</v>
      </c>
      <c r="B14" s="257" t="s">
        <v>1200</v>
      </c>
      <c r="C14" s="276">
        <v>44323</v>
      </c>
      <c r="D14" s="257" t="s">
        <v>1395</v>
      </c>
      <c r="E14" s="256" t="s">
        <v>561</v>
      </c>
      <c r="F14" s="256" t="s">
        <v>1542</v>
      </c>
      <c r="G14" s="258">
        <v>72345000000</v>
      </c>
      <c r="H14" s="265">
        <v>0.1</v>
      </c>
      <c r="I14" s="258">
        <v>7234500000</v>
      </c>
      <c r="J14" s="258">
        <v>79579500000</v>
      </c>
      <c r="K14" s="256" t="s">
        <v>1346</v>
      </c>
    </row>
    <row r="15" spans="1:11" x14ac:dyDescent="0.3">
      <c r="A15" s="256">
        <v>8</v>
      </c>
      <c r="B15" s="257" t="s">
        <v>1200</v>
      </c>
      <c r="C15" s="276">
        <v>44324</v>
      </c>
      <c r="D15" s="257" t="s">
        <v>1277</v>
      </c>
      <c r="E15" s="256" t="s">
        <v>1551</v>
      </c>
      <c r="F15" s="256" t="s">
        <v>1544</v>
      </c>
      <c r="G15" s="258">
        <v>38923000000</v>
      </c>
      <c r="H15" s="265">
        <v>0.1</v>
      </c>
      <c r="I15" s="258">
        <v>3892300000</v>
      </c>
      <c r="J15" s="258">
        <v>42815300000</v>
      </c>
      <c r="K15" s="256" t="s">
        <v>1348</v>
      </c>
    </row>
    <row r="16" spans="1:11" x14ac:dyDescent="0.3">
      <c r="A16" s="256">
        <v>9</v>
      </c>
      <c r="B16" s="257" t="s">
        <v>1200</v>
      </c>
      <c r="C16" s="276">
        <v>44325</v>
      </c>
      <c r="D16" s="257" t="s">
        <v>1284</v>
      </c>
      <c r="E16" s="256" t="s">
        <v>1552</v>
      </c>
      <c r="F16" s="256" t="s">
        <v>1546</v>
      </c>
      <c r="G16" s="258">
        <v>31456000000</v>
      </c>
      <c r="H16" s="265">
        <v>0</v>
      </c>
      <c r="I16" s="258">
        <v>0</v>
      </c>
      <c r="J16" s="258">
        <v>31456000000</v>
      </c>
      <c r="K16" s="256" t="s">
        <v>1346</v>
      </c>
    </row>
    <row r="17" spans="1:11" x14ac:dyDescent="0.3">
      <c r="A17" s="256">
        <v>10</v>
      </c>
      <c r="B17" s="257" t="s">
        <v>1200</v>
      </c>
      <c r="C17" s="276">
        <v>44326</v>
      </c>
      <c r="D17" s="257" t="s">
        <v>1268</v>
      </c>
      <c r="E17" s="256" t="s">
        <v>1553</v>
      </c>
      <c r="F17" s="256" t="s">
        <v>1542</v>
      </c>
      <c r="G17" s="258">
        <v>58234000000</v>
      </c>
      <c r="H17" s="265">
        <v>0.1</v>
      </c>
      <c r="I17" s="258">
        <v>5823400000</v>
      </c>
      <c r="J17" s="258">
        <v>64057400000</v>
      </c>
      <c r="K17" s="256" t="s">
        <v>1346</v>
      </c>
    </row>
    <row r="18" spans="1:11" x14ac:dyDescent="0.3">
      <c r="A18" s="256">
        <v>11</v>
      </c>
      <c r="B18" s="257" t="s">
        <v>1200</v>
      </c>
      <c r="C18" s="276">
        <v>44327</v>
      </c>
      <c r="D18" s="257" t="s">
        <v>1275</v>
      </c>
      <c r="E18" s="256" t="s">
        <v>1554</v>
      </c>
      <c r="F18" s="256" t="s">
        <v>1547</v>
      </c>
      <c r="G18" s="258">
        <v>21345000000</v>
      </c>
      <c r="H18" s="265">
        <v>0.1</v>
      </c>
      <c r="I18" s="258">
        <v>2134500000</v>
      </c>
      <c r="J18" s="258">
        <v>23479500000</v>
      </c>
      <c r="K18" s="256" t="s">
        <v>1346</v>
      </c>
    </row>
    <row r="19" spans="1:11" x14ac:dyDescent="0.3">
      <c r="A19" s="256">
        <v>12</v>
      </c>
      <c r="B19" s="257" t="s">
        <v>1200</v>
      </c>
      <c r="C19" s="276">
        <v>44328</v>
      </c>
      <c r="D19" s="257" t="s">
        <v>1389</v>
      </c>
      <c r="E19" s="256" t="s">
        <v>1555</v>
      </c>
      <c r="F19" s="256" t="s">
        <v>1543</v>
      </c>
      <c r="G19" s="258">
        <v>17892000000</v>
      </c>
      <c r="H19" s="265">
        <v>0.1</v>
      </c>
      <c r="I19" s="258">
        <v>1789200000</v>
      </c>
      <c r="J19" s="258">
        <v>19681200000</v>
      </c>
      <c r="K19" s="256" t="s">
        <v>1346</v>
      </c>
    </row>
    <row r="20" spans="1:11" x14ac:dyDescent="0.3">
      <c r="A20" s="256">
        <v>13</v>
      </c>
      <c r="B20" s="257" t="s">
        <v>1200</v>
      </c>
      <c r="C20" s="276">
        <v>44470</v>
      </c>
      <c r="D20" s="257" t="s">
        <v>1262</v>
      </c>
      <c r="E20" s="256" t="s">
        <v>1556</v>
      </c>
      <c r="F20" s="256" t="s">
        <v>1542</v>
      </c>
      <c r="G20" s="258">
        <v>64567000000</v>
      </c>
      <c r="H20" s="265">
        <v>0.1</v>
      </c>
      <c r="I20" s="258">
        <v>6456700000</v>
      </c>
      <c r="J20" s="258">
        <v>71023700000</v>
      </c>
      <c r="K20" s="256" t="s">
        <v>1346</v>
      </c>
    </row>
    <row r="21" spans="1:11" x14ac:dyDescent="0.3">
      <c r="A21" s="256">
        <v>14</v>
      </c>
      <c r="B21" s="257" t="s">
        <v>1200</v>
      </c>
      <c r="C21" s="276">
        <v>44471</v>
      </c>
      <c r="D21" s="257" t="s">
        <v>1428</v>
      </c>
      <c r="E21" s="256" t="s">
        <v>1557</v>
      </c>
      <c r="F21" s="256" t="s">
        <v>1548</v>
      </c>
      <c r="G21" s="258">
        <v>18234000000</v>
      </c>
      <c r="H21" s="265">
        <v>0.1</v>
      </c>
      <c r="I21" s="258">
        <v>1823400000</v>
      </c>
      <c r="J21" s="258">
        <v>20057400000</v>
      </c>
      <c r="K21" s="256" t="s">
        <v>1346</v>
      </c>
    </row>
    <row r="22" spans="1:11" x14ac:dyDescent="0.3">
      <c r="A22" s="256">
        <v>15</v>
      </c>
      <c r="B22" s="257" t="s">
        <v>1200</v>
      </c>
      <c r="C22" s="276">
        <v>44472</v>
      </c>
      <c r="D22" s="257" t="s">
        <v>1285</v>
      </c>
      <c r="E22" s="256" t="s">
        <v>1558</v>
      </c>
      <c r="F22" s="256" t="s">
        <v>1545</v>
      </c>
      <c r="G22" s="258">
        <v>27456000000</v>
      </c>
      <c r="H22" s="265">
        <v>0.1</v>
      </c>
      <c r="I22" s="258">
        <v>2745600000</v>
      </c>
      <c r="J22" s="258">
        <v>30201600000</v>
      </c>
      <c r="K22" s="256" t="s">
        <v>1346</v>
      </c>
    </row>
    <row r="23" spans="1:11" x14ac:dyDescent="0.3">
      <c r="A23" s="256">
        <v>16</v>
      </c>
      <c r="B23" s="257" t="s">
        <v>1200</v>
      </c>
      <c r="C23" s="276">
        <v>44473</v>
      </c>
      <c r="D23" s="257" t="s">
        <v>1265</v>
      </c>
      <c r="E23" s="256" t="s">
        <v>461</v>
      </c>
      <c r="F23" s="256" t="s">
        <v>1542</v>
      </c>
      <c r="G23" s="258">
        <v>55678000000</v>
      </c>
      <c r="H23" s="265">
        <v>0.1</v>
      </c>
      <c r="I23" s="258">
        <v>5567800000</v>
      </c>
      <c r="J23" s="258">
        <v>61245800000</v>
      </c>
      <c r="K23" s="256" t="s">
        <v>1346</v>
      </c>
    </row>
    <row r="24" spans="1:11" x14ac:dyDescent="0.3">
      <c r="A24" s="256">
        <v>17</v>
      </c>
      <c r="B24" s="257" t="s">
        <v>1200</v>
      </c>
      <c r="C24" s="276">
        <v>44474</v>
      </c>
      <c r="D24" s="257" t="s">
        <v>1281</v>
      </c>
      <c r="E24" s="256" t="s">
        <v>1559</v>
      </c>
      <c r="F24" s="256" t="s">
        <v>1543</v>
      </c>
      <c r="G24" s="258">
        <v>23456000000</v>
      </c>
      <c r="H24" s="265">
        <v>0.1</v>
      </c>
      <c r="I24" s="258">
        <v>2345600000</v>
      </c>
      <c r="J24" s="258">
        <v>25801600000</v>
      </c>
      <c r="K24" s="256" t="s">
        <v>1346</v>
      </c>
    </row>
    <row r="25" spans="1:11" x14ac:dyDescent="0.3">
      <c r="A25" s="256">
        <v>18</v>
      </c>
      <c r="B25" s="257" t="s">
        <v>1200</v>
      </c>
      <c r="C25" s="276">
        <v>44475</v>
      </c>
      <c r="D25" s="257" t="s">
        <v>1267</v>
      </c>
      <c r="E25" s="256" t="s">
        <v>1560</v>
      </c>
      <c r="F25" s="256" t="s">
        <v>1561</v>
      </c>
      <c r="G25" s="258">
        <v>14567000000</v>
      </c>
      <c r="H25" s="265">
        <v>0.1</v>
      </c>
      <c r="I25" s="258">
        <v>1456700000</v>
      </c>
      <c r="J25" s="258">
        <v>16023700000</v>
      </c>
      <c r="K25" s="256" t="s">
        <v>1346</v>
      </c>
    </row>
    <row r="26" spans="1:11" x14ac:dyDescent="0.3">
      <c r="A26" s="256">
        <v>19</v>
      </c>
      <c r="B26" s="257" t="s">
        <v>1200</v>
      </c>
      <c r="C26" s="276">
        <v>44476</v>
      </c>
      <c r="D26" s="257" t="s">
        <v>1416</v>
      </c>
      <c r="E26" s="256" t="s">
        <v>1562</v>
      </c>
      <c r="F26" s="256" t="s">
        <v>1542</v>
      </c>
      <c r="G26" s="258">
        <v>68234000000</v>
      </c>
      <c r="H26" s="265">
        <v>0.1</v>
      </c>
      <c r="I26" s="258">
        <v>6823400000</v>
      </c>
      <c r="J26" s="258">
        <v>75057400000</v>
      </c>
      <c r="K26" s="256" t="s">
        <v>1346</v>
      </c>
    </row>
    <row r="27" spans="1:11" x14ac:dyDescent="0.3">
      <c r="A27" s="256">
        <v>20</v>
      </c>
      <c r="B27" s="257" t="s">
        <v>1200</v>
      </c>
      <c r="C27" s="276">
        <v>44477</v>
      </c>
      <c r="D27" s="257" t="s">
        <v>1280</v>
      </c>
      <c r="E27" s="256" t="s">
        <v>618</v>
      </c>
      <c r="F27" s="256" t="s">
        <v>1544</v>
      </c>
      <c r="G27" s="258">
        <v>42345000000</v>
      </c>
      <c r="H27" s="265">
        <v>0.1</v>
      </c>
      <c r="I27" s="258">
        <v>4234500000</v>
      </c>
      <c r="J27" s="258">
        <v>46579500000</v>
      </c>
      <c r="K27" s="256" t="s">
        <v>1346</v>
      </c>
    </row>
    <row r="28" spans="1:11" x14ac:dyDescent="0.3">
      <c r="A28" s="256">
        <v>21</v>
      </c>
      <c r="B28" s="257" t="s">
        <v>1200</v>
      </c>
      <c r="C28" s="276">
        <v>44478</v>
      </c>
      <c r="D28" s="257" t="s">
        <v>1264</v>
      </c>
      <c r="E28" s="256" t="s">
        <v>453</v>
      </c>
      <c r="F28" s="256" t="s">
        <v>1545</v>
      </c>
      <c r="G28" s="258">
        <v>31234000000</v>
      </c>
      <c r="H28" s="265">
        <v>0.1</v>
      </c>
      <c r="I28" s="258">
        <v>3123400000</v>
      </c>
      <c r="J28" s="258">
        <v>34357400000</v>
      </c>
      <c r="K28" s="256" t="s">
        <v>1348</v>
      </c>
    </row>
    <row r="29" spans="1:11" x14ac:dyDescent="0.3">
      <c r="A29" s="256">
        <v>22</v>
      </c>
      <c r="B29" s="257" t="s">
        <v>1200</v>
      </c>
      <c r="C29" s="276">
        <v>44479</v>
      </c>
      <c r="D29" s="257" t="s">
        <v>1260</v>
      </c>
      <c r="E29" s="256" t="s">
        <v>1563</v>
      </c>
      <c r="F29" s="256" t="s">
        <v>1542</v>
      </c>
      <c r="G29" s="258">
        <v>59234000000</v>
      </c>
      <c r="H29" s="265">
        <v>0.1</v>
      </c>
      <c r="I29" s="258">
        <v>5923400000</v>
      </c>
      <c r="J29" s="258">
        <v>65157400000</v>
      </c>
      <c r="K29" s="256" t="s">
        <v>1346</v>
      </c>
    </row>
    <row r="30" spans="1:11" x14ac:dyDescent="0.3">
      <c r="A30" s="256">
        <v>23</v>
      </c>
      <c r="B30" s="257" t="s">
        <v>1200</v>
      </c>
      <c r="C30" s="276">
        <v>44480</v>
      </c>
      <c r="D30" s="257" t="s">
        <v>1435</v>
      </c>
      <c r="E30" s="256" t="s">
        <v>1564</v>
      </c>
      <c r="F30" s="256" t="s">
        <v>1543</v>
      </c>
      <c r="G30" s="258">
        <v>19678000000</v>
      </c>
      <c r="H30" s="265">
        <v>0.1</v>
      </c>
      <c r="I30" s="258">
        <v>1967800000</v>
      </c>
      <c r="J30" s="258">
        <v>21645800000</v>
      </c>
      <c r="K30" s="256" t="s">
        <v>1346</v>
      </c>
    </row>
    <row r="31" spans="1:11" x14ac:dyDescent="0.3">
      <c r="A31" s="256">
        <v>24</v>
      </c>
      <c r="B31" s="257" t="s">
        <v>1200</v>
      </c>
      <c r="C31" s="276">
        <v>44481</v>
      </c>
      <c r="D31" s="257" t="s">
        <v>1384</v>
      </c>
      <c r="E31" s="256" t="s">
        <v>1565</v>
      </c>
      <c r="F31" s="256" t="s">
        <v>1547</v>
      </c>
      <c r="G31" s="258">
        <v>24567000000</v>
      </c>
      <c r="H31" s="265">
        <v>0.1</v>
      </c>
      <c r="I31" s="258">
        <v>2456700000</v>
      </c>
      <c r="J31" s="258">
        <v>27023700000</v>
      </c>
      <c r="K31" s="256" t="s">
        <v>1346</v>
      </c>
    </row>
    <row r="32" spans="1:11" x14ac:dyDescent="0.3">
      <c r="A32" s="256">
        <v>25</v>
      </c>
      <c r="B32" s="257" t="s">
        <v>1200</v>
      </c>
      <c r="C32" s="276">
        <v>44211</v>
      </c>
      <c r="D32" s="257" t="s">
        <v>1278</v>
      </c>
      <c r="E32" s="256" t="s">
        <v>1566</v>
      </c>
      <c r="F32" s="256" t="s">
        <v>1542</v>
      </c>
      <c r="G32" s="258">
        <v>47234000000</v>
      </c>
      <c r="H32" s="265">
        <v>0.1</v>
      </c>
      <c r="I32" s="258">
        <v>4723400000</v>
      </c>
      <c r="J32" s="258">
        <v>51957400000</v>
      </c>
      <c r="K32" s="256" t="s">
        <v>1346</v>
      </c>
    </row>
    <row r="33" spans="1:11" x14ac:dyDescent="0.3">
      <c r="A33" s="256">
        <v>26</v>
      </c>
      <c r="B33" s="257" t="s">
        <v>1200</v>
      </c>
      <c r="C33" s="276">
        <v>44242</v>
      </c>
      <c r="D33" s="257" t="s">
        <v>1263</v>
      </c>
      <c r="E33" s="256" t="s">
        <v>444</v>
      </c>
      <c r="F33" s="256" t="s">
        <v>1548</v>
      </c>
      <c r="G33" s="258">
        <v>16789000000</v>
      </c>
      <c r="H33" s="265">
        <v>0.1</v>
      </c>
      <c r="I33" s="258">
        <v>1678900000</v>
      </c>
      <c r="J33" s="258">
        <v>18467900000</v>
      </c>
      <c r="K33" s="256" t="s">
        <v>1346</v>
      </c>
    </row>
    <row r="34" spans="1:11" x14ac:dyDescent="0.3">
      <c r="A34" s="256">
        <v>27</v>
      </c>
      <c r="B34" s="257" t="s">
        <v>1200</v>
      </c>
      <c r="C34" s="276">
        <v>44270</v>
      </c>
      <c r="D34" s="257" t="s">
        <v>1273</v>
      </c>
      <c r="E34" s="256" t="s">
        <v>1567</v>
      </c>
      <c r="F34" s="256" t="s">
        <v>1542</v>
      </c>
      <c r="G34" s="258">
        <v>52345000000</v>
      </c>
      <c r="H34" s="265">
        <v>0.1</v>
      </c>
      <c r="I34" s="258">
        <v>5234500000</v>
      </c>
      <c r="J34" s="258">
        <v>57579500000</v>
      </c>
      <c r="K34" s="256" t="s">
        <v>1346</v>
      </c>
    </row>
    <row r="35" spans="1:11" x14ac:dyDescent="0.3">
      <c r="A35" s="256">
        <v>28</v>
      </c>
      <c r="B35" s="257" t="s">
        <v>1200</v>
      </c>
      <c r="C35" s="276">
        <v>44301</v>
      </c>
      <c r="D35" s="257" t="s">
        <v>1282</v>
      </c>
      <c r="E35" s="256" t="s">
        <v>1568</v>
      </c>
      <c r="F35" s="256" t="s">
        <v>1545</v>
      </c>
      <c r="G35" s="258">
        <v>28123000000</v>
      </c>
      <c r="H35" s="265">
        <v>0.1</v>
      </c>
      <c r="I35" s="258">
        <v>2812300000</v>
      </c>
      <c r="J35" s="258">
        <v>30935300000</v>
      </c>
      <c r="K35" s="256" t="s">
        <v>1346</v>
      </c>
    </row>
    <row r="36" spans="1:11" x14ac:dyDescent="0.3">
      <c r="A36" s="256">
        <v>29</v>
      </c>
      <c r="B36" s="257" t="s">
        <v>1200</v>
      </c>
      <c r="C36" s="276">
        <v>44331</v>
      </c>
      <c r="D36" s="257" t="s">
        <v>1259</v>
      </c>
      <c r="E36" s="256" t="s">
        <v>1569</v>
      </c>
      <c r="F36" s="256" t="s">
        <v>1543</v>
      </c>
      <c r="G36" s="258">
        <v>21456000000</v>
      </c>
      <c r="H36" s="265">
        <v>0.1</v>
      </c>
      <c r="I36" s="258">
        <v>2145600000</v>
      </c>
      <c r="J36" s="258">
        <v>23601600000</v>
      </c>
      <c r="K36" s="256" t="s">
        <v>1346</v>
      </c>
    </row>
    <row r="37" spans="1:11" x14ac:dyDescent="0.3">
      <c r="A37" s="256">
        <v>30</v>
      </c>
      <c r="B37" s="257" t="s">
        <v>1200</v>
      </c>
      <c r="C37" s="276">
        <v>44362</v>
      </c>
      <c r="D37" s="257" t="s">
        <v>1266</v>
      </c>
      <c r="E37" s="256" t="s">
        <v>1570</v>
      </c>
      <c r="F37" s="256" t="s">
        <v>1542</v>
      </c>
      <c r="G37" s="258">
        <v>63456000000</v>
      </c>
      <c r="H37" s="265">
        <v>0.1</v>
      </c>
      <c r="I37" s="258">
        <v>6345600000</v>
      </c>
      <c r="J37" s="258">
        <v>69801600000</v>
      </c>
      <c r="K37" s="256" t="s">
        <v>1346</v>
      </c>
    </row>
    <row r="38" spans="1:11" x14ac:dyDescent="0.3">
      <c r="A38" s="256">
        <v>31</v>
      </c>
      <c r="B38" s="257" t="s">
        <v>1201</v>
      </c>
      <c r="C38" s="276">
        <v>44392</v>
      </c>
      <c r="D38" s="257" t="s">
        <v>1352</v>
      </c>
      <c r="E38" s="256" t="s">
        <v>1571</v>
      </c>
      <c r="F38" s="256" t="s">
        <v>1544</v>
      </c>
      <c r="G38" s="258">
        <v>39234000000</v>
      </c>
      <c r="H38" s="265">
        <v>0.1</v>
      </c>
      <c r="I38" s="258">
        <v>3923400000</v>
      </c>
      <c r="J38" s="258">
        <v>43157400000</v>
      </c>
      <c r="K38" s="256" t="s">
        <v>1346</v>
      </c>
    </row>
    <row r="39" spans="1:11" x14ac:dyDescent="0.3">
      <c r="A39" s="256">
        <v>32</v>
      </c>
      <c r="B39" s="257" t="s">
        <v>1201</v>
      </c>
      <c r="C39" s="276">
        <v>44423</v>
      </c>
      <c r="D39" s="257" t="s">
        <v>1272</v>
      </c>
      <c r="E39" s="256" t="s">
        <v>540</v>
      </c>
      <c r="F39" s="256" t="s">
        <v>1542</v>
      </c>
      <c r="G39" s="258">
        <v>56789000000</v>
      </c>
      <c r="H39" s="265">
        <v>0.1</v>
      </c>
      <c r="I39" s="258">
        <v>5678900000</v>
      </c>
      <c r="J39" s="258">
        <v>62467900000</v>
      </c>
      <c r="K39" s="256" t="s">
        <v>1346</v>
      </c>
    </row>
    <row r="40" spans="1:11" x14ac:dyDescent="0.3">
      <c r="A40" s="256">
        <v>33</v>
      </c>
      <c r="B40" s="257" t="s">
        <v>1201</v>
      </c>
      <c r="C40" s="276">
        <v>44454</v>
      </c>
      <c r="D40" s="257" t="s">
        <v>1261</v>
      </c>
      <c r="E40" s="256" t="s">
        <v>1572</v>
      </c>
      <c r="F40" s="256" t="s">
        <v>1547</v>
      </c>
      <c r="G40" s="258">
        <v>22345000000</v>
      </c>
      <c r="H40" s="265">
        <v>0.1</v>
      </c>
      <c r="I40" s="258">
        <v>2234500000</v>
      </c>
      <c r="J40" s="258">
        <v>24579500000</v>
      </c>
      <c r="K40" s="256" t="s">
        <v>1346</v>
      </c>
    </row>
    <row r="41" spans="1:11" x14ac:dyDescent="0.3">
      <c r="A41" s="256">
        <v>34</v>
      </c>
      <c r="B41" s="257" t="s">
        <v>1201</v>
      </c>
      <c r="C41" s="276">
        <v>44484</v>
      </c>
      <c r="D41" s="257" t="s">
        <v>1395</v>
      </c>
      <c r="E41" s="256" t="s">
        <v>561</v>
      </c>
      <c r="F41" s="256" t="s">
        <v>1543</v>
      </c>
      <c r="G41" s="258">
        <v>18567000000</v>
      </c>
      <c r="H41" s="265">
        <v>0.1</v>
      </c>
      <c r="I41" s="258">
        <v>1856700000</v>
      </c>
      <c r="J41" s="258">
        <v>20423700000</v>
      </c>
      <c r="K41" s="256" t="s">
        <v>1346</v>
      </c>
    </row>
    <row r="42" spans="1:11" x14ac:dyDescent="0.3">
      <c r="A42" s="256">
        <v>35</v>
      </c>
      <c r="B42" s="257" t="s">
        <v>1201</v>
      </c>
      <c r="C42" s="276">
        <v>44515</v>
      </c>
      <c r="D42" s="257" t="s">
        <v>1285</v>
      </c>
      <c r="E42" s="256" t="s">
        <v>1558</v>
      </c>
      <c r="F42" s="256" t="s">
        <v>1542</v>
      </c>
      <c r="G42" s="258">
        <v>67890000000</v>
      </c>
      <c r="H42" s="265">
        <v>0.1</v>
      </c>
      <c r="I42" s="258">
        <v>6789000000</v>
      </c>
      <c r="J42" s="258">
        <v>74679000000</v>
      </c>
      <c r="K42" s="256" t="s">
        <v>1346</v>
      </c>
    </row>
    <row r="43" spans="1:11" x14ac:dyDescent="0.3">
      <c r="A43" s="256">
        <v>36</v>
      </c>
      <c r="B43" s="257" t="s">
        <v>1201</v>
      </c>
      <c r="C43" s="276">
        <v>44545</v>
      </c>
      <c r="D43" s="257" t="s">
        <v>1284</v>
      </c>
      <c r="E43" s="256" t="s">
        <v>1552</v>
      </c>
      <c r="F43" s="256" t="s">
        <v>1548</v>
      </c>
      <c r="G43" s="258">
        <v>17234000000</v>
      </c>
      <c r="H43" s="265">
        <v>0.1</v>
      </c>
      <c r="I43" s="258">
        <v>1723400000</v>
      </c>
      <c r="J43" s="258">
        <v>18957400000</v>
      </c>
      <c r="K43" s="256" t="s">
        <v>1346</v>
      </c>
    </row>
    <row r="44" spans="1:11" x14ac:dyDescent="0.3">
      <c r="A44" s="256">
        <v>37</v>
      </c>
      <c r="B44" s="257" t="s">
        <v>1201</v>
      </c>
      <c r="C44" s="276">
        <v>44216</v>
      </c>
      <c r="D44" s="257" t="s">
        <v>1277</v>
      </c>
      <c r="E44" s="256" t="s">
        <v>1551</v>
      </c>
      <c r="F44" s="256" t="s">
        <v>1545</v>
      </c>
      <c r="G44" s="258">
        <v>29456000000</v>
      </c>
      <c r="H44" s="265">
        <v>0.1</v>
      </c>
      <c r="I44" s="258">
        <v>2945600000</v>
      </c>
      <c r="J44" s="258">
        <v>32401600000</v>
      </c>
      <c r="K44" s="256" t="s">
        <v>1346</v>
      </c>
    </row>
    <row r="45" spans="1:11" x14ac:dyDescent="0.3">
      <c r="A45" s="256">
        <v>38</v>
      </c>
      <c r="B45" s="257" t="s">
        <v>1201</v>
      </c>
      <c r="C45" s="276">
        <v>44247</v>
      </c>
      <c r="D45" s="257" t="s">
        <v>1265</v>
      </c>
      <c r="E45" s="256" t="s">
        <v>461</v>
      </c>
      <c r="F45" s="256" t="s">
        <v>1542</v>
      </c>
      <c r="G45" s="258">
        <v>48923000000</v>
      </c>
      <c r="H45" s="265">
        <v>0.1</v>
      </c>
      <c r="I45" s="258">
        <v>4892300000</v>
      </c>
      <c r="J45" s="258">
        <v>53815300000</v>
      </c>
      <c r="K45" s="256" t="s">
        <v>1346</v>
      </c>
    </row>
    <row r="46" spans="1:11" x14ac:dyDescent="0.3">
      <c r="A46" s="256">
        <v>39</v>
      </c>
      <c r="B46" s="257" t="s">
        <v>1201</v>
      </c>
      <c r="C46" s="276">
        <v>44275</v>
      </c>
      <c r="D46" s="257" t="s">
        <v>1279</v>
      </c>
      <c r="E46" s="256" t="s">
        <v>1573</v>
      </c>
      <c r="F46" s="256" t="s">
        <v>1544</v>
      </c>
      <c r="G46" s="258">
        <v>35678000000</v>
      </c>
      <c r="H46" s="265">
        <v>0.1</v>
      </c>
      <c r="I46" s="258">
        <v>3567800000</v>
      </c>
      <c r="J46" s="258">
        <v>39245800000</v>
      </c>
      <c r="K46" s="256" t="s">
        <v>1346</v>
      </c>
    </row>
    <row r="47" spans="1:11" x14ac:dyDescent="0.3">
      <c r="A47" s="256">
        <v>40</v>
      </c>
      <c r="B47" s="257" t="s">
        <v>1201</v>
      </c>
      <c r="C47" s="276">
        <v>44306</v>
      </c>
      <c r="D47" s="257" t="s">
        <v>1257</v>
      </c>
      <c r="E47" s="256" t="s">
        <v>1574</v>
      </c>
      <c r="F47" s="256" t="s">
        <v>1542</v>
      </c>
      <c r="G47" s="258">
        <v>71234000000</v>
      </c>
      <c r="H47" s="265">
        <v>0.1</v>
      </c>
      <c r="I47" s="258">
        <v>7123400000</v>
      </c>
      <c r="J47" s="258">
        <v>78357400000</v>
      </c>
      <c r="K47" s="256" t="s">
        <v>1346</v>
      </c>
    </row>
    <row r="48" spans="1:11" x14ac:dyDescent="0.3">
      <c r="A48" s="256">
        <v>41</v>
      </c>
      <c r="B48" s="257" t="s">
        <v>1201</v>
      </c>
      <c r="C48" s="276">
        <v>44336</v>
      </c>
      <c r="D48" s="257" t="s">
        <v>1275</v>
      </c>
      <c r="E48" s="256" t="s">
        <v>1575</v>
      </c>
      <c r="F48" s="256" t="s">
        <v>1543</v>
      </c>
      <c r="G48" s="258">
        <v>21123000000</v>
      </c>
      <c r="H48" s="265">
        <v>0.1</v>
      </c>
      <c r="I48" s="258">
        <v>2112300000</v>
      </c>
      <c r="J48" s="258">
        <v>23235300000</v>
      </c>
      <c r="K48" s="256" t="s">
        <v>1346</v>
      </c>
    </row>
    <row r="49" spans="1:11" x14ac:dyDescent="0.3">
      <c r="A49" s="256">
        <v>42</v>
      </c>
      <c r="B49" s="257" t="s">
        <v>1201</v>
      </c>
      <c r="C49" s="276">
        <v>44367</v>
      </c>
      <c r="D49" s="257" t="s">
        <v>1262</v>
      </c>
      <c r="E49" s="256" t="s">
        <v>1556</v>
      </c>
      <c r="F49" s="256" t="s">
        <v>1547</v>
      </c>
      <c r="G49" s="258">
        <v>23456000000</v>
      </c>
      <c r="H49" s="265">
        <v>0.1</v>
      </c>
      <c r="I49" s="258">
        <v>2345600000</v>
      </c>
      <c r="J49" s="258">
        <v>25801600000</v>
      </c>
      <c r="K49" s="256" t="s">
        <v>1346</v>
      </c>
    </row>
    <row r="50" spans="1:11" x14ac:dyDescent="0.3">
      <c r="A50" s="256">
        <v>43</v>
      </c>
      <c r="B50" s="257" t="s">
        <v>1201</v>
      </c>
      <c r="C50" s="276">
        <v>44397</v>
      </c>
      <c r="D50" s="257" t="s">
        <v>1389</v>
      </c>
      <c r="E50" s="256" t="s">
        <v>1555</v>
      </c>
      <c r="F50" s="256" t="s">
        <v>1546</v>
      </c>
      <c r="G50" s="258">
        <v>28345000000</v>
      </c>
      <c r="H50" s="265">
        <v>0</v>
      </c>
      <c r="I50" s="258">
        <v>0</v>
      </c>
      <c r="J50" s="258">
        <v>28345000000</v>
      </c>
      <c r="K50" s="256" t="s">
        <v>1346</v>
      </c>
    </row>
    <row r="51" spans="1:11" x14ac:dyDescent="0.3">
      <c r="A51" s="256">
        <v>44</v>
      </c>
      <c r="B51" s="257" t="s">
        <v>1201</v>
      </c>
      <c r="C51" s="276">
        <v>44428</v>
      </c>
      <c r="D51" s="257" t="s">
        <v>1281</v>
      </c>
      <c r="E51" s="256" t="s">
        <v>1559</v>
      </c>
      <c r="F51" s="256" t="s">
        <v>1542</v>
      </c>
      <c r="G51" s="258">
        <v>54321000000</v>
      </c>
      <c r="H51" s="265">
        <v>0.1</v>
      </c>
      <c r="I51" s="258">
        <v>5432100000</v>
      </c>
      <c r="J51" s="258">
        <v>59753100000</v>
      </c>
      <c r="K51" s="256" t="s">
        <v>1346</v>
      </c>
    </row>
    <row r="52" spans="1:11" x14ac:dyDescent="0.3">
      <c r="A52" s="256">
        <v>45</v>
      </c>
      <c r="B52" s="257" t="s">
        <v>1201</v>
      </c>
      <c r="C52" s="276">
        <v>44459</v>
      </c>
      <c r="D52" s="257" t="s">
        <v>1267</v>
      </c>
      <c r="E52" s="256" t="s">
        <v>1560</v>
      </c>
      <c r="F52" s="256" t="s">
        <v>1544</v>
      </c>
      <c r="G52" s="258">
        <v>41234000000</v>
      </c>
      <c r="H52" s="265">
        <v>0.1</v>
      </c>
      <c r="I52" s="258">
        <v>4123400000</v>
      </c>
      <c r="J52" s="258">
        <v>45357400000</v>
      </c>
      <c r="K52" s="256" t="s">
        <v>1346</v>
      </c>
    </row>
    <row r="53" spans="1:11" x14ac:dyDescent="0.3">
      <c r="A53" s="256">
        <v>46</v>
      </c>
      <c r="B53" s="257" t="s">
        <v>1201</v>
      </c>
      <c r="C53" s="276">
        <v>44489</v>
      </c>
      <c r="D53" s="257" t="s">
        <v>1273</v>
      </c>
      <c r="E53" s="256" t="s">
        <v>1567</v>
      </c>
      <c r="F53" s="256" t="s">
        <v>1542</v>
      </c>
      <c r="G53" s="258">
        <v>57890000000</v>
      </c>
      <c r="H53" s="265">
        <v>0.1</v>
      </c>
      <c r="I53" s="258">
        <v>5789000000</v>
      </c>
      <c r="J53" s="258">
        <v>63679000000</v>
      </c>
      <c r="K53" s="256" t="s">
        <v>1346</v>
      </c>
    </row>
    <row r="54" spans="1:11" x14ac:dyDescent="0.3">
      <c r="A54" s="256">
        <v>47</v>
      </c>
      <c r="B54" s="257" t="s">
        <v>1201</v>
      </c>
      <c r="C54" s="276">
        <v>44520</v>
      </c>
      <c r="D54" s="257" t="s">
        <v>1428</v>
      </c>
      <c r="E54" s="256" t="s">
        <v>1557</v>
      </c>
      <c r="F54" s="256" t="s">
        <v>1543</v>
      </c>
      <c r="G54" s="258">
        <v>20123000000</v>
      </c>
      <c r="H54" s="265">
        <v>0.1</v>
      </c>
      <c r="I54" s="258">
        <v>2012300000</v>
      </c>
      <c r="J54" s="258">
        <v>22135300000</v>
      </c>
      <c r="K54" s="256" t="s">
        <v>1348</v>
      </c>
    </row>
    <row r="55" spans="1:11" x14ac:dyDescent="0.3">
      <c r="A55" s="256">
        <v>48</v>
      </c>
      <c r="B55" s="257" t="s">
        <v>1201</v>
      </c>
      <c r="C55" s="276">
        <v>44550</v>
      </c>
      <c r="D55" s="257" t="s">
        <v>1274</v>
      </c>
      <c r="E55" s="256" t="s">
        <v>1576</v>
      </c>
      <c r="F55" s="256" t="s">
        <v>1545</v>
      </c>
      <c r="G55" s="258">
        <v>26789000000</v>
      </c>
      <c r="H55" s="265">
        <v>0.1</v>
      </c>
      <c r="I55" s="258">
        <v>2678900000</v>
      </c>
      <c r="J55" s="258">
        <v>29467900000</v>
      </c>
      <c r="K55" s="256" t="s">
        <v>1346</v>
      </c>
    </row>
    <row r="56" spans="1:11" x14ac:dyDescent="0.3">
      <c r="A56" s="256">
        <v>49</v>
      </c>
      <c r="B56" s="257" t="s">
        <v>1201</v>
      </c>
      <c r="C56" s="276">
        <v>44221</v>
      </c>
      <c r="D56" s="257" t="s">
        <v>1280</v>
      </c>
      <c r="E56" s="256" t="s">
        <v>618</v>
      </c>
      <c r="F56" s="256" t="s">
        <v>1542</v>
      </c>
      <c r="G56" s="258">
        <v>62345000000</v>
      </c>
      <c r="H56" s="265">
        <v>0.1</v>
      </c>
      <c r="I56" s="258">
        <v>6234500000</v>
      </c>
      <c r="J56" s="258">
        <v>68579500000</v>
      </c>
      <c r="K56" s="256" t="s">
        <v>1346</v>
      </c>
    </row>
    <row r="57" spans="1:11" x14ac:dyDescent="0.3">
      <c r="A57" s="256">
        <v>50</v>
      </c>
      <c r="B57" s="257" t="s">
        <v>1201</v>
      </c>
      <c r="C57" s="276">
        <v>44252</v>
      </c>
      <c r="D57" s="257" t="s">
        <v>1264</v>
      </c>
      <c r="E57" s="256" t="s">
        <v>453</v>
      </c>
      <c r="F57" s="256" t="s">
        <v>1548</v>
      </c>
      <c r="G57" s="258">
        <v>17890000000</v>
      </c>
      <c r="H57" s="265">
        <v>0.1</v>
      </c>
      <c r="I57" s="258">
        <v>1789000000</v>
      </c>
      <c r="J57" s="258">
        <v>19679000000</v>
      </c>
      <c r="K57" s="256" t="s">
        <v>1346</v>
      </c>
    </row>
    <row r="58" spans="1:11" x14ac:dyDescent="0.3">
      <c r="A58" s="256">
        <v>51</v>
      </c>
      <c r="B58" s="257" t="s">
        <v>1201</v>
      </c>
      <c r="C58" s="276">
        <v>44280</v>
      </c>
      <c r="D58" s="257" t="s">
        <v>1260</v>
      </c>
      <c r="E58" s="256" t="s">
        <v>1563</v>
      </c>
      <c r="F58" s="256" t="s">
        <v>1542</v>
      </c>
      <c r="G58" s="258">
        <v>49234000000</v>
      </c>
      <c r="H58" s="265">
        <v>0.1</v>
      </c>
      <c r="I58" s="258">
        <v>4923400000</v>
      </c>
      <c r="J58" s="258">
        <v>54157400000</v>
      </c>
      <c r="K58" s="256" t="s">
        <v>1346</v>
      </c>
    </row>
    <row r="59" spans="1:11" x14ac:dyDescent="0.3">
      <c r="A59" s="256">
        <v>52</v>
      </c>
      <c r="B59" s="257" t="s">
        <v>1201</v>
      </c>
      <c r="C59" s="276">
        <v>44311</v>
      </c>
      <c r="D59" s="257" t="s">
        <v>1435</v>
      </c>
      <c r="E59" s="256" t="s">
        <v>1577</v>
      </c>
      <c r="F59" s="256" t="s">
        <v>1547</v>
      </c>
      <c r="G59" s="258">
        <v>22789000000</v>
      </c>
      <c r="H59" s="265">
        <v>0.1</v>
      </c>
      <c r="I59" s="258">
        <v>2278900000</v>
      </c>
      <c r="J59" s="258">
        <v>25067900000</v>
      </c>
      <c r="K59" s="256" t="s">
        <v>1346</v>
      </c>
    </row>
    <row r="60" spans="1:11" x14ac:dyDescent="0.3">
      <c r="A60" s="256">
        <v>53</v>
      </c>
      <c r="B60" s="257" t="s">
        <v>1201</v>
      </c>
      <c r="C60" s="276">
        <v>44341</v>
      </c>
      <c r="D60" s="257" t="s">
        <v>1384</v>
      </c>
      <c r="E60" s="256" t="s">
        <v>1565</v>
      </c>
      <c r="F60" s="256" t="s">
        <v>1543</v>
      </c>
      <c r="G60" s="258">
        <v>18901000000</v>
      </c>
      <c r="H60" s="265">
        <v>0.1</v>
      </c>
      <c r="I60" s="258">
        <v>1890100000</v>
      </c>
      <c r="J60" s="258">
        <v>20791100000</v>
      </c>
      <c r="K60" s="256" t="s">
        <v>1346</v>
      </c>
    </row>
    <row r="61" spans="1:11" x14ac:dyDescent="0.3">
      <c r="A61" s="256">
        <v>54</v>
      </c>
      <c r="B61" s="257" t="s">
        <v>1201</v>
      </c>
      <c r="C61" s="276">
        <v>44372</v>
      </c>
      <c r="D61" s="257" t="s">
        <v>1278</v>
      </c>
      <c r="E61" s="256" t="s">
        <v>1578</v>
      </c>
      <c r="F61" s="256" t="s">
        <v>1546</v>
      </c>
      <c r="G61" s="258">
        <v>33456000000</v>
      </c>
      <c r="H61" s="265">
        <v>0</v>
      </c>
      <c r="I61" s="258">
        <v>0</v>
      </c>
      <c r="J61" s="258">
        <v>33456000000</v>
      </c>
      <c r="K61" s="256" t="s">
        <v>1346</v>
      </c>
    </row>
    <row r="62" spans="1:11" x14ac:dyDescent="0.3">
      <c r="A62" s="256">
        <v>55</v>
      </c>
      <c r="B62" s="257" t="s">
        <v>1201</v>
      </c>
      <c r="C62" s="276">
        <v>44402</v>
      </c>
      <c r="D62" s="257" t="s">
        <v>1263</v>
      </c>
      <c r="E62" s="256" t="s">
        <v>1579</v>
      </c>
      <c r="F62" s="256" t="s">
        <v>1542</v>
      </c>
      <c r="G62" s="258">
        <v>58234000000</v>
      </c>
      <c r="H62" s="265">
        <v>0.1</v>
      </c>
      <c r="I62" s="258">
        <v>5823400000</v>
      </c>
      <c r="J62" s="258">
        <v>64057400000</v>
      </c>
      <c r="K62" s="256" t="s">
        <v>1346</v>
      </c>
    </row>
    <row r="63" spans="1:11" x14ac:dyDescent="0.3">
      <c r="A63" s="256">
        <v>56</v>
      </c>
      <c r="B63" s="257" t="s">
        <v>1201</v>
      </c>
      <c r="C63" s="276">
        <v>44433</v>
      </c>
      <c r="D63" s="257" t="s">
        <v>1282</v>
      </c>
      <c r="E63" s="256" t="s">
        <v>1580</v>
      </c>
      <c r="F63" s="256" t="s">
        <v>1544</v>
      </c>
      <c r="G63" s="258">
        <v>38901000000</v>
      </c>
      <c r="H63" s="265">
        <v>0.1</v>
      </c>
      <c r="I63" s="258">
        <v>3890100000</v>
      </c>
      <c r="J63" s="258">
        <v>42791100000</v>
      </c>
      <c r="K63" s="256" t="s">
        <v>1346</v>
      </c>
    </row>
    <row r="64" spans="1:11" x14ac:dyDescent="0.3">
      <c r="A64" s="256">
        <v>57</v>
      </c>
      <c r="B64" s="257" t="s">
        <v>1201</v>
      </c>
      <c r="C64" s="276">
        <v>44464</v>
      </c>
      <c r="D64" s="257" t="s">
        <v>1259</v>
      </c>
      <c r="E64" s="256" t="s">
        <v>1569</v>
      </c>
      <c r="F64" s="256" t="s">
        <v>1542</v>
      </c>
      <c r="G64" s="258">
        <v>53789000000</v>
      </c>
      <c r="H64" s="265">
        <v>0.1</v>
      </c>
      <c r="I64" s="258">
        <v>5378900000</v>
      </c>
      <c r="J64" s="258">
        <v>59167900000</v>
      </c>
      <c r="K64" s="256" t="s">
        <v>1346</v>
      </c>
    </row>
    <row r="65" spans="1:11" x14ac:dyDescent="0.3">
      <c r="A65" s="256">
        <v>58</v>
      </c>
      <c r="B65" s="257" t="s">
        <v>1201</v>
      </c>
      <c r="C65" s="276">
        <v>44494</v>
      </c>
      <c r="D65" s="257" t="s">
        <v>1266</v>
      </c>
      <c r="E65" s="256" t="s">
        <v>1570</v>
      </c>
      <c r="F65" s="256" t="s">
        <v>1545</v>
      </c>
      <c r="G65" s="258">
        <v>27234000000</v>
      </c>
      <c r="H65" s="265">
        <v>0.1</v>
      </c>
      <c r="I65" s="258">
        <v>2723400000</v>
      </c>
      <c r="J65" s="258">
        <v>29957400000</v>
      </c>
      <c r="K65" s="256" t="s">
        <v>1346</v>
      </c>
    </row>
    <row r="66" spans="1:11" x14ac:dyDescent="0.3">
      <c r="A66" s="256">
        <v>59</v>
      </c>
      <c r="B66" s="257" t="s">
        <v>1201</v>
      </c>
      <c r="C66" s="276">
        <v>44525</v>
      </c>
      <c r="D66" s="257" t="s">
        <v>1416</v>
      </c>
      <c r="E66" s="256" t="s">
        <v>1562</v>
      </c>
      <c r="F66" s="256" t="s">
        <v>1543</v>
      </c>
      <c r="G66" s="258">
        <v>19678000000</v>
      </c>
      <c r="H66" s="265">
        <v>0.1</v>
      </c>
      <c r="I66" s="258">
        <v>1967800000</v>
      </c>
      <c r="J66" s="258">
        <v>21645800000</v>
      </c>
      <c r="K66" s="256" t="s">
        <v>1346</v>
      </c>
    </row>
    <row r="67" spans="1:11" x14ac:dyDescent="0.3">
      <c r="A67" s="256">
        <v>60</v>
      </c>
      <c r="B67" s="257" t="s">
        <v>1202</v>
      </c>
      <c r="C67" s="276">
        <v>44555</v>
      </c>
      <c r="D67" s="257" t="s">
        <v>1352</v>
      </c>
      <c r="E67" s="256" t="s">
        <v>1571</v>
      </c>
      <c r="F67" s="256" t="s">
        <v>1547</v>
      </c>
      <c r="G67" s="258">
        <v>25678000000</v>
      </c>
      <c r="H67" s="265">
        <v>0.1</v>
      </c>
      <c r="I67" s="258">
        <v>2567800000</v>
      </c>
      <c r="J67" s="258">
        <v>28245800000</v>
      </c>
      <c r="K67" s="256" t="s">
        <v>1346</v>
      </c>
    </row>
    <row r="68" spans="1:11" x14ac:dyDescent="0.3">
      <c r="A68" s="256">
        <v>61</v>
      </c>
      <c r="B68" s="257" t="s">
        <v>1202</v>
      </c>
      <c r="C68" s="276">
        <v>44224</v>
      </c>
      <c r="D68" s="257" t="s">
        <v>1272</v>
      </c>
      <c r="E68" s="256" t="s">
        <v>540</v>
      </c>
      <c r="F68" s="256" t="s">
        <v>1542</v>
      </c>
      <c r="G68" s="258">
        <v>66234000000</v>
      </c>
      <c r="H68" s="265">
        <v>0.1</v>
      </c>
      <c r="I68" s="258">
        <v>6623400000</v>
      </c>
      <c r="J68" s="258">
        <v>72857400000</v>
      </c>
      <c r="K68" s="256" t="s">
        <v>1346</v>
      </c>
    </row>
    <row r="69" spans="1:11" x14ac:dyDescent="0.3">
      <c r="A69" s="256">
        <v>62</v>
      </c>
      <c r="B69" s="257" t="s">
        <v>1202</v>
      </c>
      <c r="C69" s="276">
        <v>44255</v>
      </c>
      <c r="D69" s="257" t="s">
        <v>1261</v>
      </c>
      <c r="E69" s="256" t="s">
        <v>1572</v>
      </c>
      <c r="F69" s="256" t="s">
        <v>1548</v>
      </c>
      <c r="G69" s="258">
        <v>16567000000</v>
      </c>
      <c r="H69" s="265">
        <v>0.1</v>
      </c>
      <c r="I69" s="258">
        <v>1656700000</v>
      </c>
      <c r="J69" s="258">
        <v>18223700000</v>
      </c>
      <c r="K69" s="256" t="s">
        <v>1346</v>
      </c>
    </row>
    <row r="70" spans="1:11" x14ac:dyDescent="0.3">
      <c r="A70" s="256">
        <v>63</v>
      </c>
      <c r="B70" s="257" t="s">
        <v>1202</v>
      </c>
      <c r="C70" s="276">
        <v>44283</v>
      </c>
      <c r="D70" s="257" t="s">
        <v>1279</v>
      </c>
      <c r="E70" s="256" t="s">
        <v>1573</v>
      </c>
      <c r="F70" s="256" t="s">
        <v>1542</v>
      </c>
      <c r="G70" s="258">
        <v>51234000000</v>
      </c>
      <c r="H70" s="265">
        <v>0.1</v>
      </c>
      <c r="I70" s="258">
        <v>5123400000</v>
      </c>
      <c r="J70" s="258">
        <v>56357400000</v>
      </c>
      <c r="K70" s="256" t="s">
        <v>1346</v>
      </c>
    </row>
    <row r="71" spans="1:11" x14ac:dyDescent="0.3">
      <c r="A71" s="256">
        <v>64</v>
      </c>
      <c r="B71" s="257" t="s">
        <v>1202</v>
      </c>
      <c r="C71" s="276">
        <v>44314</v>
      </c>
      <c r="D71" s="257" t="s">
        <v>1395</v>
      </c>
      <c r="E71" s="256" t="s">
        <v>1581</v>
      </c>
      <c r="F71" s="256" t="s">
        <v>1545</v>
      </c>
      <c r="G71" s="258">
        <v>29890000000</v>
      </c>
      <c r="H71" s="265">
        <v>0.1</v>
      </c>
      <c r="I71" s="258">
        <v>2989000000</v>
      </c>
      <c r="J71" s="258">
        <v>32879000000</v>
      </c>
      <c r="K71" s="256" t="s">
        <v>1346</v>
      </c>
    </row>
    <row r="72" spans="1:11" x14ac:dyDescent="0.3">
      <c r="A72" s="256">
        <v>65</v>
      </c>
      <c r="B72" s="257" t="s">
        <v>1202</v>
      </c>
      <c r="C72" s="276">
        <v>44405</v>
      </c>
      <c r="D72" s="257" t="s">
        <v>1284</v>
      </c>
      <c r="E72" s="256" t="s">
        <v>1552</v>
      </c>
      <c r="F72" s="256" t="s">
        <v>1542</v>
      </c>
      <c r="G72" s="258">
        <v>55678000000</v>
      </c>
      <c r="H72" s="265">
        <v>0.1</v>
      </c>
      <c r="I72" s="258">
        <v>5567800000</v>
      </c>
      <c r="J72" s="258">
        <v>61245800000</v>
      </c>
      <c r="K72" s="256" t="s">
        <v>1346</v>
      </c>
    </row>
    <row r="73" spans="1:11" x14ac:dyDescent="0.3">
      <c r="A73" s="256">
        <v>66</v>
      </c>
      <c r="B73" s="257" t="s">
        <v>1202</v>
      </c>
      <c r="C73" s="276">
        <v>44436</v>
      </c>
      <c r="D73" s="257" t="s">
        <v>1277</v>
      </c>
      <c r="E73" s="256" t="s">
        <v>1582</v>
      </c>
      <c r="F73" s="256" t="s">
        <v>1543</v>
      </c>
      <c r="G73" s="258">
        <v>21890000000</v>
      </c>
      <c r="H73" s="265">
        <v>0.1</v>
      </c>
      <c r="I73" s="258">
        <v>2189000000</v>
      </c>
      <c r="J73" s="258">
        <v>24079000000</v>
      </c>
      <c r="K73" s="256" t="s">
        <v>1346</v>
      </c>
    </row>
    <row r="74" spans="1:11" x14ac:dyDescent="0.3">
      <c r="A74" s="256">
        <v>67</v>
      </c>
      <c r="B74" s="257" t="s">
        <v>1202</v>
      </c>
      <c r="C74" s="276">
        <v>44497</v>
      </c>
      <c r="D74" s="257" t="s">
        <v>1265</v>
      </c>
      <c r="E74" s="256" t="s">
        <v>1583</v>
      </c>
      <c r="F74" s="256" t="s">
        <v>1544</v>
      </c>
      <c r="G74" s="258">
        <v>36789000000</v>
      </c>
      <c r="H74" s="265">
        <v>0.1</v>
      </c>
      <c r="I74" s="258">
        <v>3678900000</v>
      </c>
      <c r="J74" s="258">
        <v>40467900000</v>
      </c>
      <c r="K74" s="256" t="s">
        <v>1346</v>
      </c>
    </row>
    <row r="75" spans="1:11" x14ac:dyDescent="0.3">
      <c r="A75" s="256">
        <v>68</v>
      </c>
      <c r="B75" s="257" t="s">
        <v>1202</v>
      </c>
      <c r="C75" s="276">
        <v>44227</v>
      </c>
      <c r="D75" s="257" t="s">
        <v>1257</v>
      </c>
      <c r="E75" s="256" t="s">
        <v>1574</v>
      </c>
      <c r="F75" s="256" t="s">
        <v>1546</v>
      </c>
      <c r="G75" s="258">
        <v>29345000000</v>
      </c>
      <c r="H75" s="265">
        <v>0</v>
      </c>
      <c r="I75" s="258">
        <v>0</v>
      </c>
      <c r="J75" s="258">
        <v>29345000000</v>
      </c>
      <c r="K75" s="256" t="s">
        <v>1346</v>
      </c>
    </row>
    <row r="76" spans="1:11" x14ac:dyDescent="0.3">
      <c r="A76" s="256">
        <v>69</v>
      </c>
      <c r="B76" s="257" t="s">
        <v>1202</v>
      </c>
      <c r="C76" s="276">
        <v>44286</v>
      </c>
      <c r="D76" s="257" t="s">
        <v>1275</v>
      </c>
      <c r="E76" s="256" t="s">
        <v>1575</v>
      </c>
      <c r="F76" s="256" t="s">
        <v>1542</v>
      </c>
      <c r="G76" s="258">
        <v>48901000000</v>
      </c>
      <c r="H76" s="265">
        <v>0.1</v>
      </c>
      <c r="I76" s="258">
        <v>4890100000</v>
      </c>
      <c r="J76" s="258">
        <v>53791100000</v>
      </c>
      <c r="K76" s="256" t="s">
        <v>1346</v>
      </c>
    </row>
    <row r="77" spans="1:11" x14ac:dyDescent="0.3">
      <c r="A77" s="256">
        <v>70</v>
      </c>
      <c r="B77" s="257" t="s">
        <v>1202</v>
      </c>
      <c r="C77" s="276">
        <v>44347</v>
      </c>
      <c r="D77" s="257" t="s">
        <v>1262</v>
      </c>
      <c r="E77" s="256" t="s">
        <v>1556</v>
      </c>
      <c r="F77" s="256" t="s">
        <v>1547</v>
      </c>
      <c r="G77" s="258">
        <v>22234000000</v>
      </c>
      <c r="H77" s="265">
        <v>0.1</v>
      </c>
      <c r="I77" s="258">
        <v>2223400000</v>
      </c>
      <c r="J77" s="258">
        <v>24457400000</v>
      </c>
      <c r="K77" s="256" t="s">
        <v>1346</v>
      </c>
    </row>
    <row r="78" spans="1:11" x14ac:dyDescent="0.3">
      <c r="A78" s="256">
        <v>71</v>
      </c>
      <c r="B78" s="257" t="s">
        <v>1202</v>
      </c>
      <c r="C78" s="276">
        <v>44408</v>
      </c>
      <c r="D78" s="257" t="s">
        <v>1281</v>
      </c>
      <c r="E78" s="256" t="s">
        <v>1559</v>
      </c>
      <c r="F78" s="256" t="s">
        <v>1542</v>
      </c>
      <c r="G78" s="258">
        <v>58901000000</v>
      </c>
      <c r="H78" s="265">
        <v>0.1</v>
      </c>
      <c r="I78" s="258">
        <v>5890100000</v>
      </c>
      <c r="J78" s="258">
        <v>64791100000</v>
      </c>
      <c r="K78" s="256" t="s">
        <v>1346</v>
      </c>
    </row>
    <row r="79" spans="1:11" x14ac:dyDescent="0.3">
      <c r="A79" s="256">
        <v>72</v>
      </c>
      <c r="B79" s="257" t="s">
        <v>1202</v>
      </c>
      <c r="C79" s="276">
        <v>44439</v>
      </c>
      <c r="D79" s="257" t="s">
        <v>1267</v>
      </c>
      <c r="E79" s="256" t="s">
        <v>1560</v>
      </c>
      <c r="F79" s="256" t="s">
        <v>1548</v>
      </c>
      <c r="G79" s="258">
        <v>18901000000</v>
      </c>
      <c r="H79" s="265">
        <v>0.1</v>
      </c>
      <c r="I79" s="258">
        <v>1890100000</v>
      </c>
      <c r="J79" s="258">
        <v>20791100000</v>
      </c>
      <c r="K79" s="256" t="s">
        <v>1346</v>
      </c>
    </row>
    <row r="80" spans="1:11" x14ac:dyDescent="0.3">
      <c r="A80" s="256">
        <v>73</v>
      </c>
      <c r="B80" s="257" t="s">
        <v>1202</v>
      </c>
      <c r="C80" s="276">
        <v>44500</v>
      </c>
      <c r="D80" s="257" t="s">
        <v>1273</v>
      </c>
      <c r="E80" s="256" t="s">
        <v>1567</v>
      </c>
      <c r="F80" s="256" t="s">
        <v>1542</v>
      </c>
      <c r="G80" s="258">
        <v>52234000000</v>
      </c>
      <c r="H80" s="265">
        <v>0.1</v>
      </c>
      <c r="I80" s="258">
        <v>5223400000</v>
      </c>
      <c r="J80" s="258">
        <v>57457400000</v>
      </c>
      <c r="K80" s="256" t="s">
        <v>1346</v>
      </c>
    </row>
    <row r="81" spans="1:11" x14ac:dyDescent="0.3">
      <c r="A81" s="256">
        <v>74</v>
      </c>
      <c r="B81" s="257" t="s">
        <v>1202</v>
      </c>
      <c r="C81" s="276">
        <v>44500</v>
      </c>
      <c r="D81" s="257" t="s">
        <v>1428</v>
      </c>
      <c r="E81" s="256" t="s">
        <v>1557</v>
      </c>
      <c r="F81" s="256" t="s">
        <v>1543</v>
      </c>
      <c r="G81" s="258">
        <v>20890000000</v>
      </c>
      <c r="H81" s="265">
        <v>0.1</v>
      </c>
      <c r="I81" s="258">
        <v>2089000000</v>
      </c>
      <c r="J81" s="258">
        <v>22979000000</v>
      </c>
      <c r="K81" s="256" t="s">
        <v>1346</v>
      </c>
    </row>
    <row r="82" spans="1:11" x14ac:dyDescent="0.3">
      <c r="A82" s="256">
        <v>75</v>
      </c>
      <c r="B82" s="257" t="s">
        <v>1202</v>
      </c>
      <c r="C82" s="276">
        <v>44500</v>
      </c>
      <c r="D82" s="257" t="s">
        <v>1259</v>
      </c>
      <c r="E82" s="256" t="s">
        <v>1569</v>
      </c>
      <c r="F82" s="256" t="s">
        <v>1545</v>
      </c>
      <c r="G82" s="258">
        <v>27890000000</v>
      </c>
      <c r="H82" s="265">
        <v>0.1</v>
      </c>
      <c r="I82" s="258">
        <v>2789000000</v>
      </c>
      <c r="J82" s="258">
        <v>30679000000</v>
      </c>
      <c r="K82" s="256" t="s">
        <v>1346</v>
      </c>
    </row>
    <row r="83" spans="1:11" x14ac:dyDescent="0.3">
      <c r="A83" s="256">
        <v>76</v>
      </c>
      <c r="B83" s="257" t="s">
        <v>1202</v>
      </c>
      <c r="C83" s="276">
        <v>44500</v>
      </c>
      <c r="D83" s="257" t="s">
        <v>1280</v>
      </c>
      <c r="E83" s="256" t="s">
        <v>618</v>
      </c>
      <c r="F83" s="256" t="s">
        <v>1542</v>
      </c>
      <c r="G83" s="258">
        <v>61234000000</v>
      </c>
      <c r="H83" s="265">
        <v>0.1</v>
      </c>
      <c r="I83" s="258">
        <v>6123400000</v>
      </c>
      <c r="J83" s="258">
        <v>67357400000</v>
      </c>
      <c r="K83" s="256" t="s">
        <v>1346</v>
      </c>
    </row>
    <row r="84" spans="1:11" x14ac:dyDescent="0.3">
      <c r="A84" s="256">
        <v>77</v>
      </c>
      <c r="B84" s="257" t="s">
        <v>1202</v>
      </c>
      <c r="C84" s="276">
        <v>44500</v>
      </c>
      <c r="D84" s="257" t="s">
        <v>1274</v>
      </c>
      <c r="E84" s="256" t="s">
        <v>1576</v>
      </c>
      <c r="F84" s="256" t="s">
        <v>1544</v>
      </c>
      <c r="G84" s="258">
        <v>37890000000</v>
      </c>
      <c r="H84" s="265">
        <v>0.1</v>
      </c>
      <c r="I84" s="258">
        <v>3789000000</v>
      </c>
      <c r="J84" s="258">
        <v>41679000000</v>
      </c>
      <c r="K84" s="256" t="s">
        <v>1346</v>
      </c>
    </row>
    <row r="85" spans="1:11" x14ac:dyDescent="0.3">
      <c r="A85" s="256">
        <v>78</v>
      </c>
      <c r="B85" s="257" t="s">
        <v>1202</v>
      </c>
      <c r="C85" s="276">
        <v>44500</v>
      </c>
      <c r="D85" s="257" t="s">
        <v>1266</v>
      </c>
      <c r="E85" s="256" t="s">
        <v>1570</v>
      </c>
      <c r="F85" s="256" t="s">
        <v>1561</v>
      </c>
      <c r="G85" s="258">
        <v>14890000000</v>
      </c>
      <c r="H85" s="265">
        <v>0.1</v>
      </c>
      <c r="I85" s="258">
        <v>1489000000</v>
      </c>
      <c r="J85" s="258">
        <v>16379000000</v>
      </c>
      <c r="K85" s="256" t="s">
        <v>1346</v>
      </c>
    </row>
    <row r="86" spans="1:11" x14ac:dyDescent="0.3">
      <c r="A86" s="256">
        <v>79</v>
      </c>
      <c r="B86" s="257" t="s">
        <v>1202</v>
      </c>
      <c r="C86" s="276">
        <v>44531</v>
      </c>
      <c r="D86" s="257" t="s">
        <v>1278</v>
      </c>
      <c r="E86" s="256" t="s">
        <v>1578</v>
      </c>
      <c r="F86" s="256" t="s">
        <v>1542</v>
      </c>
      <c r="G86" s="258">
        <v>55234000000</v>
      </c>
      <c r="H86" s="265">
        <v>0.1</v>
      </c>
      <c r="I86" s="258">
        <v>5523400000</v>
      </c>
      <c r="J86" s="258">
        <v>60757400000</v>
      </c>
      <c r="K86" s="256" t="s">
        <v>1346</v>
      </c>
    </row>
    <row r="87" spans="1:11" x14ac:dyDescent="0.3">
      <c r="A87" s="256">
        <v>80</v>
      </c>
      <c r="B87" s="257" t="s">
        <v>1202</v>
      </c>
      <c r="C87" s="276">
        <v>44531</v>
      </c>
      <c r="D87" s="257" t="s">
        <v>1263</v>
      </c>
      <c r="E87" s="256" t="s">
        <v>1579</v>
      </c>
      <c r="F87" s="256" t="s">
        <v>1547</v>
      </c>
      <c r="G87" s="258">
        <v>23901000000</v>
      </c>
      <c r="H87" s="265">
        <v>0.1</v>
      </c>
      <c r="I87" s="258">
        <v>2390100000</v>
      </c>
      <c r="J87" s="258">
        <v>26291100000</v>
      </c>
      <c r="K87" s="256" t="s">
        <v>1346</v>
      </c>
    </row>
    <row r="88" spans="1:11" x14ac:dyDescent="0.3">
      <c r="A88" s="256">
        <v>81</v>
      </c>
      <c r="B88" s="257" t="s">
        <v>1202</v>
      </c>
      <c r="C88" s="276">
        <v>44531</v>
      </c>
      <c r="D88" s="257" t="s">
        <v>1264</v>
      </c>
      <c r="E88" s="256" t="s">
        <v>1584</v>
      </c>
      <c r="F88" s="256" t="s">
        <v>1542</v>
      </c>
      <c r="G88" s="258">
        <v>57234000000</v>
      </c>
      <c r="H88" s="265">
        <v>0.1</v>
      </c>
      <c r="I88" s="258">
        <v>5723400000</v>
      </c>
      <c r="J88" s="258">
        <v>62957400000</v>
      </c>
      <c r="K88" s="256" t="s">
        <v>1346</v>
      </c>
    </row>
    <row r="89" spans="1:11" x14ac:dyDescent="0.3">
      <c r="A89" s="256">
        <v>82</v>
      </c>
      <c r="B89" s="257" t="s">
        <v>1202</v>
      </c>
      <c r="C89" s="276">
        <v>44531</v>
      </c>
      <c r="D89" s="257" t="s">
        <v>1260</v>
      </c>
      <c r="E89" s="256" t="s">
        <v>1585</v>
      </c>
      <c r="F89" s="256" t="s">
        <v>1544</v>
      </c>
      <c r="G89" s="258">
        <v>40234000000</v>
      </c>
      <c r="H89" s="265">
        <v>0.1</v>
      </c>
      <c r="I89" s="258">
        <v>4023400000</v>
      </c>
      <c r="J89" s="258">
        <v>44257400000</v>
      </c>
      <c r="K89" s="256" t="s">
        <v>1346</v>
      </c>
    </row>
    <row r="90" spans="1:11" x14ac:dyDescent="0.3">
      <c r="A90" s="256">
        <v>83</v>
      </c>
      <c r="B90" s="257" t="s">
        <v>1202</v>
      </c>
      <c r="C90" s="276">
        <v>44561</v>
      </c>
      <c r="D90" s="257" t="s">
        <v>1435</v>
      </c>
      <c r="E90" s="256" t="s">
        <v>1577</v>
      </c>
      <c r="F90" s="256" t="s">
        <v>1542</v>
      </c>
      <c r="G90" s="258">
        <v>48234000000</v>
      </c>
      <c r="H90" s="265">
        <v>0.1</v>
      </c>
      <c r="I90" s="258">
        <v>4823400000</v>
      </c>
      <c r="J90" s="258">
        <v>53057400000</v>
      </c>
      <c r="K90" s="256" t="s">
        <v>1346</v>
      </c>
    </row>
    <row r="91" spans="1:11" x14ac:dyDescent="0.3">
      <c r="A91" s="256">
        <v>84</v>
      </c>
      <c r="B91" s="257" t="s">
        <v>1202</v>
      </c>
      <c r="C91" s="276">
        <v>44561</v>
      </c>
      <c r="D91" s="257" t="s">
        <v>1384</v>
      </c>
      <c r="E91" s="256" t="s">
        <v>1565</v>
      </c>
      <c r="F91" s="256" t="s">
        <v>1545</v>
      </c>
      <c r="G91" s="258">
        <v>28901000000</v>
      </c>
      <c r="H91" s="265">
        <v>0.1</v>
      </c>
      <c r="I91" s="258">
        <v>2890100000</v>
      </c>
      <c r="J91" s="258">
        <v>31791100000</v>
      </c>
      <c r="K91" s="256" t="s">
        <v>1346</v>
      </c>
    </row>
    <row r="92" spans="1:11" x14ac:dyDescent="0.3">
      <c r="A92" s="256">
        <v>85</v>
      </c>
      <c r="B92" s="257" t="s">
        <v>1202</v>
      </c>
      <c r="C92" s="276">
        <v>44561</v>
      </c>
      <c r="D92" s="257" t="s">
        <v>1285</v>
      </c>
      <c r="E92" s="256" t="s">
        <v>1558</v>
      </c>
      <c r="F92" s="256" t="s">
        <v>1543</v>
      </c>
      <c r="G92" s="258">
        <v>20234000000</v>
      </c>
      <c r="H92" s="265">
        <v>0.1</v>
      </c>
      <c r="I92" s="258">
        <v>2023400000</v>
      </c>
      <c r="J92" s="258">
        <v>22257400000</v>
      </c>
      <c r="K92" s="256" t="s">
        <v>1346</v>
      </c>
    </row>
    <row r="93" spans="1:11" x14ac:dyDescent="0.3">
      <c r="A93" s="256">
        <v>86</v>
      </c>
      <c r="B93" s="257" t="s">
        <v>1355</v>
      </c>
      <c r="C93" s="276">
        <v>44561</v>
      </c>
      <c r="D93" s="257" t="s">
        <v>1277</v>
      </c>
      <c r="E93" s="256" t="s">
        <v>1582</v>
      </c>
      <c r="F93" s="256" t="s">
        <v>1547</v>
      </c>
      <c r="G93" s="258">
        <v>25890000000</v>
      </c>
      <c r="H93" s="265">
        <v>0.1</v>
      </c>
      <c r="I93" s="258">
        <v>2589000000</v>
      </c>
      <c r="J93" s="258">
        <v>28479000000</v>
      </c>
      <c r="K93" s="256" t="s">
        <v>1346</v>
      </c>
    </row>
    <row r="94" spans="1:11" x14ac:dyDescent="0.3">
      <c r="A94" s="256">
        <v>87</v>
      </c>
      <c r="B94" s="257" t="s">
        <v>1355</v>
      </c>
      <c r="C94" s="276">
        <v>44561</v>
      </c>
      <c r="D94" s="257" t="s">
        <v>1284</v>
      </c>
      <c r="E94" s="256" t="s">
        <v>1552</v>
      </c>
      <c r="F94" s="256" t="s">
        <v>1546</v>
      </c>
      <c r="G94" s="258">
        <v>35234000000</v>
      </c>
      <c r="H94" s="265">
        <v>0</v>
      </c>
      <c r="I94" s="258">
        <v>0</v>
      </c>
      <c r="J94" s="258">
        <v>35234000000</v>
      </c>
      <c r="K94" s="256" t="s">
        <v>1346</v>
      </c>
    </row>
    <row r="95" spans="1:11" x14ac:dyDescent="0.3">
      <c r="A95" s="256">
        <v>88</v>
      </c>
      <c r="B95" s="257" t="s">
        <v>1355</v>
      </c>
      <c r="C95" s="276">
        <v>44561</v>
      </c>
      <c r="D95" s="257" t="s">
        <v>1352</v>
      </c>
      <c r="E95" s="256" t="s">
        <v>1571</v>
      </c>
      <c r="F95" s="256" t="s">
        <v>1542</v>
      </c>
      <c r="G95" s="258">
        <v>63901000000</v>
      </c>
      <c r="H95" s="265">
        <v>0.1</v>
      </c>
      <c r="I95" s="258">
        <v>6390100000</v>
      </c>
      <c r="J95" s="258">
        <v>70291100000</v>
      </c>
      <c r="K95" s="256" t="s">
        <v>1346</v>
      </c>
    </row>
    <row r="96" spans="1:11" x14ac:dyDescent="0.3">
      <c r="A96" s="256">
        <v>89</v>
      </c>
      <c r="B96" s="257" t="s">
        <v>1355</v>
      </c>
      <c r="C96" s="276">
        <v>44561</v>
      </c>
      <c r="D96" s="257" t="s">
        <v>1272</v>
      </c>
      <c r="E96" s="256" t="s">
        <v>540</v>
      </c>
      <c r="F96" s="256" t="s">
        <v>1544</v>
      </c>
      <c r="G96" s="258">
        <v>41890000000</v>
      </c>
      <c r="H96" s="265">
        <v>0.1</v>
      </c>
      <c r="I96" s="258">
        <v>4189000000</v>
      </c>
      <c r="J96" s="258">
        <v>46079000000</v>
      </c>
      <c r="K96" s="256" t="s">
        <v>1346</v>
      </c>
    </row>
    <row r="97" spans="1:11" x14ac:dyDescent="0.3">
      <c r="A97" s="256">
        <v>90</v>
      </c>
      <c r="B97" s="257" t="s">
        <v>1355</v>
      </c>
      <c r="C97" s="276">
        <v>44561</v>
      </c>
      <c r="D97" s="257" t="s">
        <v>1261</v>
      </c>
      <c r="E97" s="256" t="s">
        <v>1572</v>
      </c>
      <c r="F97" s="256" t="s">
        <v>1542</v>
      </c>
      <c r="G97" s="258">
        <v>50234000000</v>
      </c>
      <c r="H97" s="265">
        <v>0.1</v>
      </c>
      <c r="I97" s="258">
        <v>5023400000</v>
      </c>
      <c r="J97" s="258">
        <v>55257400000</v>
      </c>
      <c r="K97" s="256" t="s">
        <v>1346</v>
      </c>
    </row>
    <row r="98" spans="1:11" x14ac:dyDescent="0.3">
      <c r="A98" s="256">
        <v>91</v>
      </c>
      <c r="B98" s="257" t="s">
        <v>1355</v>
      </c>
      <c r="C98" s="276">
        <v>44561</v>
      </c>
      <c r="D98" s="257" t="s">
        <v>1279</v>
      </c>
      <c r="E98" s="256" t="s">
        <v>1573</v>
      </c>
      <c r="F98" s="256" t="s">
        <v>1543</v>
      </c>
      <c r="G98" s="258">
        <v>22901000000</v>
      </c>
      <c r="H98" s="265">
        <v>0.1</v>
      </c>
      <c r="I98" s="258">
        <v>2290100000</v>
      </c>
      <c r="J98" s="258">
        <v>25191100000</v>
      </c>
      <c r="K98" s="256" t="s">
        <v>1346</v>
      </c>
    </row>
    <row r="99" spans="1:11" x14ac:dyDescent="0.3">
      <c r="A99" s="256">
        <v>92</v>
      </c>
      <c r="B99" s="257" t="s">
        <v>1355</v>
      </c>
      <c r="C99" s="276">
        <v>44561</v>
      </c>
      <c r="D99" s="257" t="s">
        <v>1395</v>
      </c>
      <c r="E99" s="256" t="s">
        <v>1581</v>
      </c>
      <c r="F99" s="256" t="s">
        <v>1545</v>
      </c>
      <c r="G99" s="258">
        <v>30890000000</v>
      </c>
      <c r="H99" s="265">
        <v>0.1</v>
      </c>
      <c r="I99" s="258">
        <v>3089000000</v>
      </c>
      <c r="J99" s="258">
        <v>33979000000</v>
      </c>
      <c r="K99" s="256" t="s">
        <v>1346</v>
      </c>
    </row>
    <row r="100" spans="1:11" x14ac:dyDescent="0.3">
      <c r="A100" s="256">
        <v>93</v>
      </c>
      <c r="B100" s="257" t="s">
        <v>1355</v>
      </c>
      <c r="C100" s="276">
        <v>44561</v>
      </c>
      <c r="D100" s="257" t="s">
        <v>1257</v>
      </c>
      <c r="E100" s="256" t="s">
        <v>1574</v>
      </c>
      <c r="F100" s="256" t="s">
        <v>1561</v>
      </c>
      <c r="G100" s="258">
        <v>15234000000</v>
      </c>
      <c r="H100" s="265">
        <v>0.1</v>
      </c>
      <c r="I100" s="258">
        <v>1523400000</v>
      </c>
      <c r="J100" s="258">
        <v>16757400000</v>
      </c>
      <c r="K100" s="256" t="s">
        <v>1346</v>
      </c>
    </row>
    <row r="101" spans="1:11" x14ac:dyDescent="0.3">
      <c r="A101" s="256">
        <v>94</v>
      </c>
      <c r="B101" s="257" t="s">
        <v>1355</v>
      </c>
      <c r="C101" s="276">
        <v>44561</v>
      </c>
      <c r="D101" s="257" t="s">
        <v>1275</v>
      </c>
      <c r="E101" s="256" t="s">
        <v>1575</v>
      </c>
      <c r="F101" s="256" t="s">
        <v>1542</v>
      </c>
      <c r="G101" s="258">
        <v>57890000000</v>
      </c>
      <c r="H101" s="265">
        <v>0.1</v>
      </c>
      <c r="I101" s="258">
        <v>5789000000</v>
      </c>
      <c r="J101" s="258">
        <v>63679000000</v>
      </c>
      <c r="K101" s="256" t="s">
        <v>1346</v>
      </c>
    </row>
    <row r="102" spans="1:11" x14ac:dyDescent="0.3">
      <c r="A102" s="256">
        <v>95</v>
      </c>
      <c r="B102" s="257" t="s">
        <v>1355</v>
      </c>
      <c r="C102" s="276">
        <v>44561</v>
      </c>
      <c r="D102" s="257" t="s">
        <v>1262</v>
      </c>
      <c r="E102" s="256" t="s">
        <v>1556</v>
      </c>
      <c r="F102" s="256" t="s">
        <v>1548</v>
      </c>
      <c r="G102" s="258">
        <v>19234000000</v>
      </c>
      <c r="H102" s="265">
        <v>0.1</v>
      </c>
      <c r="I102" s="258">
        <v>1923400000</v>
      </c>
      <c r="J102" s="258">
        <v>21157400000</v>
      </c>
      <c r="K102" s="256" t="s">
        <v>1346</v>
      </c>
    </row>
    <row r="103" spans="1:11" x14ac:dyDescent="0.3">
      <c r="A103" s="256">
        <v>96</v>
      </c>
      <c r="B103" s="257" t="s">
        <v>1355</v>
      </c>
      <c r="C103" s="276">
        <v>44561</v>
      </c>
      <c r="D103" s="257" t="s">
        <v>1281</v>
      </c>
      <c r="E103" s="256" t="s">
        <v>1559</v>
      </c>
      <c r="F103" s="256" t="s">
        <v>1547</v>
      </c>
      <c r="G103" s="258">
        <v>24890000000</v>
      </c>
      <c r="H103" s="265">
        <v>0.1</v>
      </c>
      <c r="I103" s="258">
        <v>2489000000</v>
      </c>
      <c r="J103" s="258">
        <v>27379000000</v>
      </c>
      <c r="K103" s="256" t="s">
        <v>1346</v>
      </c>
    </row>
    <row r="104" spans="1:11" x14ac:dyDescent="0.3">
      <c r="A104" s="256">
        <v>97</v>
      </c>
      <c r="B104" s="257" t="s">
        <v>1355</v>
      </c>
      <c r="C104" s="276">
        <v>44561</v>
      </c>
      <c r="D104" s="257" t="s">
        <v>1267</v>
      </c>
      <c r="E104" s="256" t="s">
        <v>1560</v>
      </c>
      <c r="F104" s="256" t="s">
        <v>1542</v>
      </c>
      <c r="G104" s="258">
        <v>54890000000</v>
      </c>
      <c r="H104" s="265">
        <v>0.1</v>
      </c>
      <c r="I104" s="258">
        <v>5489000000</v>
      </c>
      <c r="J104" s="258">
        <v>60379000000</v>
      </c>
      <c r="K104" s="256" t="s">
        <v>1346</v>
      </c>
    </row>
    <row r="105" spans="1:11" x14ac:dyDescent="0.3">
      <c r="A105" s="256">
        <v>98</v>
      </c>
      <c r="B105" s="257" t="s">
        <v>1355</v>
      </c>
      <c r="C105" s="276">
        <v>44561</v>
      </c>
      <c r="D105" s="257" t="s">
        <v>1273</v>
      </c>
      <c r="E105" s="256" t="s">
        <v>1567</v>
      </c>
      <c r="F105" s="256" t="s">
        <v>1544</v>
      </c>
      <c r="G105" s="258">
        <v>38234000000</v>
      </c>
      <c r="H105" s="265">
        <v>0.1</v>
      </c>
      <c r="I105" s="258">
        <v>3823400000</v>
      </c>
      <c r="J105" s="258">
        <v>42057400000</v>
      </c>
      <c r="K105" s="256" t="s">
        <v>1346</v>
      </c>
    </row>
    <row r="106" spans="1:11" x14ac:dyDescent="0.3">
      <c r="A106" s="256">
        <v>99</v>
      </c>
      <c r="B106" s="257" t="s">
        <v>1355</v>
      </c>
      <c r="C106" s="276">
        <v>44561</v>
      </c>
      <c r="D106" s="257" t="s">
        <v>1428</v>
      </c>
      <c r="E106" s="256" t="s">
        <v>1557</v>
      </c>
      <c r="F106" s="256" t="s">
        <v>1543</v>
      </c>
      <c r="G106" s="258">
        <v>21890000000</v>
      </c>
      <c r="H106" s="265">
        <v>0.1</v>
      </c>
      <c r="I106" s="258">
        <v>2189000000</v>
      </c>
      <c r="J106" s="258">
        <v>24079000000</v>
      </c>
      <c r="K106" s="256" t="s">
        <v>1346</v>
      </c>
    </row>
    <row r="107" spans="1:11" x14ac:dyDescent="0.3">
      <c r="A107" s="256">
        <v>100</v>
      </c>
      <c r="B107" s="257" t="s">
        <v>1355</v>
      </c>
      <c r="C107" s="276">
        <v>44561</v>
      </c>
      <c r="D107" s="257" t="s">
        <v>1274</v>
      </c>
      <c r="E107" s="256" t="s">
        <v>1576</v>
      </c>
      <c r="F107" s="256" t="s">
        <v>1542</v>
      </c>
      <c r="G107" s="258">
        <v>61890000000</v>
      </c>
      <c r="H107" s="265">
        <v>0.1</v>
      </c>
      <c r="I107" s="258">
        <v>6189000000</v>
      </c>
      <c r="J107" s="258">
        <v>68079000000</v>
      </c>
      <c r="K107" s="256" t="s">
        <v>1346</v>
      </c>
    </row>
    <row r="108" spans="1:11" x14ac:dyDescent="0.3">
      <c r="A108" s="266" t="s">
        <v>1351</v>
      </c>
      <c r="B108" s="266"/>
      <c r="C108" s="266"/>
      <c r="D108" s="266"/>
      <c r="E108" s="266"/>
      <c r="F108" s="266"/>
      <c r="G108" s="267">
        <f>SUM(G8:G107)</f>
        <v>3769353000000</v>
      </c>
      <c r="H108" s="266"/>
      <c r="I108" s="267">
        <f>SUM(I8:I107)</f>
        <v>361151700000</v>
      </c>
      <c r="J108" s="267">
        <f>SUM(J8:J107)</f>
        <v>4130504700000</v>
      </c>
      <c r="K108" s="266"/>
    </row>
    <row r="109" spans="1:11" x14ac:dyDescent="0.3">
      <c r="A109" s="256"/>
      <c r="B109" s="256"/>
      <c r="C109" s="256"/>
      <c r="D109" s="256"/>
      <c r="E109" s="256"/>
      <c r="F109" s="256"/>
      <c r="G109" s="256"/>
      <c r="H109" s="256"/>
      <c r="I109" s="256"/>
      <c r="J109" s="256"/>
      <c r="K109" s="256"/>
    </row>
    <row r="110" spans="1:11" x14ac:dyDescent="0.3">
      <c r="A110" s="256" t="s">
        <v>1420</v>
      </c>
      <c r="B110" s="256"/>
      <c r="C110" s="256"/>
      <c r="D110" s="256"/>
      <c r="E110" s="256"/>
      <c r="F110" s="256"/>
      <c r="G110" s="256"/>
      <c r="H110" s="256"/>
      <c r="I110" s="256"/>
      <c r="J110" s="256"/>
      <c r="K110" s="256"/>
    </row>
    <row r="111" spans="1:11" x14ac:dyDescent="0.3">
      <c r="A111" s="266" t="s">
        <v>0</v>
      </c>
      <c r="B111" s="266" t="s">
        <v>212</v>
      </c>
      <c r="C111" s="266" t="s">
        <v>1535</v>
      </c>
      <c r="D111" s="266" t="s">
        <v>1586</v>
      </c>
      <c r="E111" s="266" t="s">
        <v>1422</v>
      </c>
      <c r="F111" s="266" t="s">
        <v>1537</v>
      </c>
      <c r="G111" s="266" t="s">
        <v>270</v>
      </c>
      <c r="H111" s="266" t="s">
        <v>1538</v>
      </c>
      <c r="I111" s="266" t="s">
        <v>1539</v>
      </c>
      <c r="J111" s="266" t="s">
        <v>1540</v>
      </c>
      <c r="K111" s="266" t="s">
        <v>1541</v>
      </c>
    </row>
    <row r="112" spans="1:11" x14ac:dyDescent="0.3">
      <c r="A112" s="256">
        <v>1</v>
      </c>
      <c r="B112" s="257" t="s">
        <v>1200</v>
      </c>
      <c r="C112" s="276">
        <v>44317</v>
      </c>
      <c r="D112" s="257" t="s">
        <v>1352</v>
      </c>
      <c r="E112" s="256" t="s">
        <v>1571</v>
      </c>
      <c r="F112" s="256" t="s">
        <v>1587</v>
      </c>
      <c r="G112" s="258">
        <v>62345000000</v>
      </c>
      <c r="H112" s="265">
        <v>0.1</v>
      </c>
      <c r="I112" s="258">
        <v>6234500000</v>
      </c>
      <c r="J112" s="258">
        <v>68579500000</v>
      </c>
      <c r="K112" s="256" t="s">
        <v>1346</v>
      </c>
    </row>
    <row r="113" spans="1:11" x14ac:dyDescent="0.3">
      <c r="A113" s="256">
        <v>2</v>
      </c>
      <c r="B113" s="257" t="s">
        <v>1201</v>
      </c>
      <c r="C113" s="276">
        <v>44318</v>
      </c>
      <c r="D113" s="257" t="s">
        <v>1283</v>
      </c>
      <c r="E113" s="256" t="s">
        <v>1588</v>
      </c>
      <c r="F113" s="256" t="s">
        <v>1589</v>
      </c>
      <c r="G113" s="258">
        <v>89234000000</v>
      </c>
      <c r="H113" s="265">
        <v>0</v>
      </c>
      <c r="I113" s="258">
        <v>0</v>
      </c>
      <c r="J113" s="258">
        <v>89234000000</v>
      </c>
      <c r="K113" s="256" t="s">
        <v>1346</v>
      </c>
    </row>
    <row r="114" spans="1:11" x14ac:dyDescent="0.3">
      <c r="A114" s="256">
        <v>3</v>
      </c>
      <c r="B114" s="257" t="s">
        <v>1202</v>
      </c>
      <c r="C114" s="276">
        <v>44319</v>
      </c>
      <c r="D114" s="257" t="s">
        <v>1384</v>
      </c>
      <c r="E114" s="256" t="s">
        <v>1565</v>
      </c>
      <c r="F114" s="256" t="s">
        <v>1587</v>
      </c>
      <c r="G114" s="258">
        <v>57890000000</v>
      </c>
      <c r="H114" s="265">
        <v>0.1</v>
      </c>
      <c r="I114" s="258">
        <v>5789000000</v>
      </c>
      <c r="J114" s="258">
        <v>63679000000</v>
      </c>
      <c r="K114" s="256" t="s">
        <v>1346</v>
      </c>
    </row>
    <row r="115" spans="1:11" x14ac:dyDescent="0.3">
      <c r="A115" s="256">
        <v>4</v>
      </c>
      <c r="B115" s="257" t="s">
        <v>1355</v>
      </c>
      <c r="C115" s="276">
        <v>44320</v>
      </c>
      <c r="D115" s="257" t="s">
        <v>1258</v>
      </c>
      <c r="E115" s="256" t="s">
        <v>351</v>
      </c>
      <c r="F115" s="256" t="s">
        <v>1589</v>
      </c>
      <c r="G115" s="258">
        <v>95678000000</v>
      </c>
      <c r="H115" s="265">
        <v>0</v>
      </c>
      <c r="I115" s="258">
        <v>0</v>
      </c>
      <c r="J115" s="258">
        <v>95678000000</v>
      </c>
      <c r="K115" s="256" t="s">
        <v>1346</v>
      </c>
    </row>
    <row r="116" spans="1:11" x14ac:dyDescent="0.3">
      <c r="A116" s="256">
        <v>5</v>
      </c>
      <c r="B116" s="257" t="s">
        <v>1356</v>
      </c>
      <c r="C116" s="276">
        <v>44321</v>
      </c>
      <c r="D116" s="257" t="s">
        <v>1275</v>
      </c>
      <c r="E116" s="256" t="s">
        <v>1575</v>
      </c>
      <c r="F116" s="256" t="s">
        <v>1590</v>
      </c>
      <c r="G116" s="258">
        <v>43456000000</v>
      </c>
      <c r="H116" s="265">
        <v>0.1</v>
      </c>
      <c r="I116" s="258">
        <v>4345600000</v>
      </c>
      <c r="J116" s="258">
        <v>47801600000</v>
      </c>
      <c r="K116" s="256" t="s">
        <v>1346</v>
      </c>
    </row>
    <row r="117" spans="1:11" x14ac:dyDescent="0.3">
      <c r="A117" s="256">
        <v>6</v>
      </c>
      <c r="B117" s="257" t="s">
        <v>1358</v>
      </c>
      <c r="C117" s="276">
        <v>44322</v>
      </c>
      <c r="D117" s="257" t="s">
        <v>1428</v>
      </c>
      <c r="E117" s="256" t="s">
        <v>1557</v>
      </c>
      <c r="F117" s="256" t="s">
        <v>1587</v>
      </c>
      <c r="G117" s="258">
        <v>68234000000</v>
      </c>
      <c r="H117" s="265">
        <v>0.1</v>
      </c>
      <c r="I117" s="258">
        <v>6823400000</v>
      </c>
      <c r="J117" s="258">
        <v>75057400000</v>
      </c>
      <c r="K117" s="256" t="s">
        <v>1346</v>
      </c>
    </row>
    <row r="118" spans="1:11" x14ac:dyDescent="0.3">
      <c r="A118" s="256">
        <v>7</v>
      </c>
      <c r="B118" s="257" t="s">
        <v>1360</v>
      </c>
      <c r="C118" s="276">
        <v>44323</v>
      </c>
      <c r="D118" s="257" t="s">
        <v>1277</v>
      </c>
      <c r="E118" s="256" t="s">
        <v>1582</v>
      </c>
      <c r="F118" s="256" t="s">
        <v>1589</v>
      </c>
      <c r="G118" s="258">
        <v>112345000000</v>
      </c>
      <c r="H118" s="265">
        <v>0</v>
      </c>
      <c r="I118" s="258">
        <v>0</v>
      </c>
      <c r="J118" s="258">
        <v>112345000000</v>
      </c>
      <c r="K118" s="256" t="s">
        <v>1346</v>
      </c>
    </row>
    <row r="119" spans="1:11" x14ac:dyDescent="0.3">
      <c r="A119" s="256">
        <v>8</v>
      </c>
      <c r="B119" s="257" t="s">
        <v>1362</v>
      </c>
      <c r="C119" s="276">
        <v>44324</v>
      </c>
      <c r="D119" s="257" t="s">
        <v>1262</v>
      </c>
      <c r="E119" s="256" t="s">
        <v>1556</v>
      </c>
      <c r="F119" s="256" t="s">
        <v>1591</v>
      </c>
      <c r="G119" s="258">
        <v>38901000000</v>
      </c>
      <c r="H119" s="265">
        <v>0.1</v>
      </c>
      <c r="I119" s="258">
        <v>3890100000</v>
      </c>
      <c r="J119" s="258">
        <v>42791100000</v>
      </c>
      <c r="K119" s="256" t="s">
        <v>1346</v>
      </c>
    </row>
    <row r="120" spans="1:11" x14ac:dyDescent="0.3">
      <c r="A120" s="256">
        <v>9</v>
      </c>
      <c r="B120" s="257" t="s">
        <v>1364</v>
      </c>
      <c r="C120" s="276">
        <v>44325</v>
      </c>
      <c r="D120" s="257" t="s">
        <v>1285</v>
      </c>
      <c r="E120" s="256" t="s">
        <v>1558</v>
      </c>
      <c r="F120" s="256" t="s">
        <v>1587</v>
      </c>
      <c r="G120" s="258">
        <v>72345000000</v>
      </c>
      <c r="H120" s="265">
        <v>0.1</v>
      </c>
      <c r="I120" s="258">
        <v>7234500000</v>
      </c>
      <c r="J120" s="258">
        <v>79579500000</v>
      </c>
      <c r="K120" s="256" t="s">
        <v>1346</v>
      </c>
    </row>
    <row r="121" spans="1:11" x14ac:dyDescent="0.3">
      <c r="A121" s="256">
        <v>10</v>
      </c>
      <c r="B121" s="257" t="s">
        <v>1366</v>
      </c>
      <c r="C121" s="276">
        <v>44326</v>
      </c>
      <c r="D121" s="257" t="s">
        <v>1435</v>
      </c>
      <c r="E121" s="256" t="s">
        <v>1577</v>
      </c>
      <c r="F121" s="256" t="s">
        <v>1589</v>
      </c>
      <c r="G121" s="258">
        <v>98234000000</v>
      </c>
      <c r="H121" s="265">
        <v>0</v>
      </c>
      <c r="I121" s="258">
        <v>0</v>
      </c>
      <c r="J121" s="258">
        <v>98234000000</v>
      </c>
      <c r="K121" s="256" t="s">
        <v>1346</v>
      </c>
    </row>
    <row r="122" spans="1:11" x14ac:dyDescent="0.3">
      <c r="A122" s="256">
        <v>11</v>
      </c>
      <c r="B122" s="257" t="s">
        <v>1368</v>
      </c>
      <c r="C122" s="276">
        <v>44327</v>
      </c>
      <c r="D122" s="257" t="s">
        <v>1279</v>
      </c>
      <c r="E122" s="256" t="s">
        <v>1573</v>
      </c>
      <c r="F122" s="256" t="s">
        <v>1590</v>
      </c>
      <c r="G122" s="258">
        <v>47890000000</v>
      </c>
      <c r="H122" s="265">
        <v>0.1</v>
      </c>
      <c r="I122" s="258">
        <v>4789000000</v>
      </c>
      <c r="J122" s="258">
        <v>52679000000</v>
      </c>
      <c r="K122" s="256" t="s">
        <v>1346</v>
      </c>
    </row>
    <row r="123" spans="1:11" x14ac:dyDescent="0.3">
      <c r="A123" s="256">
        <v>12</v>
      </c>
      <c r="B123" s="257" t="s">
        <v>1371</v>
      </c>
      <c r="C123" s="276">
        <v>44328</v>
      </c>
      <c r="D123" s="257" t="s">
        <v>1260</v>
      </c>
      <c r="E123" s="256" t="s">
        <v>1585</v>
      </c>
      <c r="F123" s="256" t="s">
        <v>1587</v>
      </c>
      <c r="G123" s="258">
        <v>63456000000</v>
      </c>
      <c r="H123" s="265">
        <v>0.1</v>
      </c>
      <c r="I123" s="258">
        <v>6345600000</v>
      </c>
      <c r="J123" s="258">
        <v>69801600000</v>
      </c>
      <c r="K123" s="256" t="s">
        <v>1346</v>
      </c>
    </row>
    <row r="124" spans="1:11" x14ac:dyDescent="0.3">
      <c r="A124" s="256">
        <v>13</v>
      </c>
      <c r="B124" s="257" t="s">
        <v>1373</v>
      </c>
      <c r="C124" s="276">
        <v>44470</v>
      </c>
      <c r="D124" s="257" t="s">
        <v>1395</v>
      </c>
      <c r="E124" s="256" t="s">
        <v>1581</v>
      </c>
      <c r="F124" s="256" t="s">
        <v>1589</v>
      </c>
      <c r="G124" s="258">
        <v>105678000000</v>
      </c>
      <c r="H124" s="265">
        <v>0</v>
      </c>
      <c r="I124" s="258">
        <v>0</v>
      </c>
      <c r="J124" s="258">
        <v>105678000000</v>
      </c>
      <c r="K124" s="256" t="s">
        <v>1346</v>
      </c>
    </row>
    <row r="125" spans="1:11" x14ac:dyDescent="0.3">
      <c r="A125" s="256">
        <v>14</v>
      </c>
      <c r="B125" s="257" t="s">
        <v>1374</v>
      </c>
      <c r="C125" s="276">
        <v>44471</v>
      </c>
      <c r="D125" s="257" t="s">
        <v>1281</v>
      </c>
      <c r="E125" s="256" t="s">
        <v>1559</v>
      </c>
      <c r="F125" s="256" t="s">
        <v>1591</v>
      </c>
      <c r="G125" s="258">
        <v>42345000000</v>
      </c>
      <c r="H125" s="265">
        <v>0.1</v>
      </c>
      <c r="I125" s="258">
        <v>4234500000</v>
      </c>
      <c r="J125" s="258">
        <v>46579500000</v>
      </c>
      <c r="K125" s="256" t="s">
        <v>1346</v>
      </c>
    </row>
    <row r="126" spans="1:11" x14ac:dyDescent="0.3">
      <c r="A126" s="256">
        <v>15</v>
      </c>
      <c r="B126" s="257" t="s">
        <v>1376</v>
      </c>
      <c r="C126" s="276">
        <v>44472</v>
      </c>
      <c r="D126" s="257" t="s">
        <v>1282</v>
      </c>
      <c r="E126" s="256" t="s">
        <v>1580</v>
      </c>
      <c r="F126" s="256" t="s">
        <v>1587</v>
      </c>
      <c r="G126" s="258">
        <v>78901000000</v>
      </c>
      <c r="H126" s="265">
        <v>0.1</v>
      </c>
      <c r="I126" s="258">
        <v>7890100000</v>
      </c>
      <c r="J126" s="258">
        <v>86791100000</v>
      </c>
      <c r="K126" s="256" t="s">
        <v>1346</v>
      </c>
    </row>
    <row r="127" spans="1:11" x14ac:dyDescent="0.3">
      <c r="A127" s="256">
        <v>16</v>
      </c>
      <c r="B127" s="257" t="s">
        <v>1378</v>
      </c>
      <c r="C127" s="276">
        <v>44473</v>
      </c>
      <c r="D127" s="257" t="s">
        <v>1274</v>
      </c>
      <c r="E127" s="256" t="s">
        <v>1592</v>
      </c>
      <c r="F127" s="256" t="s">
        <v>1589</v>
      </c>
      <c r="G127" s="258">
        <v>87234000000</v>
      </c>
      <c r="H127" s="265">
        <v>0</v>
      </c>
      <c r="I127" s="258">
        <v>0</v>
      </c>
      <c r="J127" s="258">
        <v>87234000000</v>
      </c>
      <c r="K127" s="256" t="s">
        <v>1346</v>
      </c>
    </row>
    <row r="128" spans="1:11" x14ac:dyDescent="0.3">
      <c r="A128" s="256">
        <v>17</v>
      </c>
      <c r="B128" s="257" t="s">
        <v>1379</v>
      </c>
      <c r="C128" s="276">
        <v>44474</v>
      </c>
      <c r="D128" s="257" t="s">
        <v>1280</v>
      </c>
      <c r="E128" s="256" t="s">
        <v>618</v>
      </c>
      <c r="F128" s="256" t="s">
        <v>1590</v>
      </c>
      <c r="G128" s="258">
        <v>51234000000</v>
      </c>
      <c r="H128" s="265">
        <v>0.1</v>
      </c>
      <c r="I128" s="258">
        <v>5123400000</v>
      </c>
      <c r="J128" s="258">
        <v>56357400000</v>
      </c>
      <c r="K128" s="256" t="s">
        <v>1346</v>
      </c>
    </row>
    <row r="129" spans="1:11" x14ac:dyDescent="0.3">
      <c r="A129" s="256">
        <v>18</v>
      </c>
      <c r="B129" s="257" t="s">
        <v>1381</v>
      </c>
      <c r="C129" s="276">
        <v>44475</v>
      </c>
      <c r="D129" s="257" t="s">
        <v>1267</v>
      </c>
      <c r="E129" s="256" t="s">
        <v>1560</v>
      </c>
      <c r="F129" s="256" t="s">
        <v>1587</v>
      </c>
      <c r="G129" s="258">
        <v>67890000000</v>
      </c>
      <c r="H129" s="265">
        <v>0.1</v>
      </c>
      <c r="I129" s="258">
        <v>6789000000</v>
      </c>
      <c r="J129" s="258">
        <v>74679000000</v>
      </c>
      <c r="K129" s="256" t="s">
        <v>1346</v>
      </c>
    </row>
    <row r="130" spans="1:11" x14ac:dyDescent="0.3">
      <c r="A130" s="256">
        <v>19</v>
      </c>
      <c r="B130" s="257" t="s">
        <v>1382</v>
      </c>
      <c r="C130" s="276">
        <v>44476</v>
      </c>
      <c r="D130" s="257" t="s">
        <v>1416</v>
      </c>
      <c r="E130" s="256" t="s">
        <v>1562</v>
      </c>
      <c r="F130" s="256" t="s">
        <v>1589</v>
      </c>
      <c r="G130" s="258">
        <v>93456000000</v>
      </c>
      <c r="H130" s="265">
        <v>0</v>
      </c>
      <c r="I130" s="258">
        <v>0</v>
      </c>
      <c r="J130" s="258">
        <v>93456000000</v>
      </c>
      <c r="K130" s="256" t="s">
        <v>1346</v>
      </c>
    </row>
    <row r="131" spans="1:11" x14ac:dyDescent="0.3">
      <c r="A131" s="256">
        <v>20</v>
      </c>
      <c r="B131" s="257" t="s">
        <v>1383</v>
      </c>
      <c r="C131" s="276">
        <v>44477</v>
      </c>
      <c r="D131" s="257" t="s">
        <v>1284</v>
      </c>
      <c r="E131" s="256" t="s">
        <v>1552</v>
      </c>
      <c r="F131" s="256" t="s">
        <v>1591</v>
      </c>
      <c r="G131" s="258">
        <v>38234000000</v>
      </c>
      <c r="H131" s="265">
        <v>0.1</v>
      </c>
      <c r="I131" s="258">
        <v>3823400000</v>
      </c>
      <c r="J131" s="258">
        <v>42057400000</v>
      </c>
      <c r="K131" s="256" t="s">
        <v>1346</v>
      </c>
    </row>
    <row r="132" spans="1:11" x14ac:dyDescent="0.3">
      <c r="A132" s="256">
        <v>21</v>
      </c>
      <c r="B132" s="257" t="s">
        <v>1203</v>
      </c>
      <c r="C132" s="276">
        <v>44478</v>
      </c>
      <c r="D132" s="257" t="s">
        <v>1264</v>
      </c>
      <c r="E132" s="256" t="s">
        <v>1584</v>
      </c>
      <c r="F132" s="256" t="s">
        <v>1587</v>
      </c>
      <c r="G132" s="258">
        <v>72890000000</v>
      </c>
      <c r="H132" s="265">
        <v>0.1</v>
      </c>
      <c r="I132" s="258">
        <v>7289000000</v>
      </c>
      <c r="J132" s="258">
        <v>80179000000</v>
      </c>
      <c r="K132" s="256" t="s">
        <v>1346</v>
      </c>
    </row>
    <row r="133" spans="1:11" x14ac:dyDescent="0.3">
      <c r="A133" s="256">
        <v>22</v>
      </c>
      <c r="B133" s="257" t="s">
        <v>1204</v>
      </c>
      <c r="C133" s="276">
        <v>44479</v>
      </c>
      <c r="D133" s="257" t="s">
        <v>1261</v>
      </c>
      <c r="E133" s="256" t="s">
        <v>1572</v>
      </c>
      <c r="F133" s="256" t="s">
        <v>1589</v>
      </c>
      <c r="G133" s="258">
        <v>88234000000</v>
      </c>
      <c r="H133" s="265">
        <v>0</v>
      </c>
      <c r="I133" s="258">
        <v>0</v>
      </c>
      <c r="J133" s="258">
        <v>88234000000</v>
      </c>
      <c r="K133" s="256" t="s">
        <v>1346</v>
      </c>
    </row>
    <row r="134" spans="1:11" x14ac:dyDescent="0.3">
      <c r="A134" s="256">
        <v>23</v>
      </c>
      <c r="B134" s="257" t="s">
        <v>1205</v>
      </c>
      <c r="C134" s="276">
        <v>44480</v>
      </c>
      <c r="D134" s="257" t="s">
        <v>1352</v>
      </c>
      <c r="E134" s="256" t="s">
        <v>1571</v>
      </c>
      <c r="F134" s="256" t="s">
        <v>1590</v>
      </c>
      <c r="G134" s="258">
        <v>43890000000</v>
      </c>
      <c r="H134" s="265">
        <v>0.1</v>
      </c>
      <c r="I134" s="258">
        <v>4389000000</v>
      </c>
      <c r="J134" s="258">
        <v>48279000000</v>
      </c>
      <c r="K134" s="256" t="s">
        <v>1346</v>
      </c>
    </row>
    <row r="135" spans="1:11" x14ac:dyDescent="0.3">
      <c r="A135" s="256">
        <v>24</v>
      </c>
      <c r="B135" s="257" t="s">
        <v>1385</v>
      </c>
      <c r="C135" s="276">
        <v>44481</v>
      </c>
      <c r="D135" s="257" t="s">
        <v>1272</v>
      </c>
      <c r="E135" s="256" t="s">
        <v>540</v>
      </c>
      <c r="F135" s="256" t="s">
        <v>1587</v>
      </c>
      <c r="G135" s="258">
        <v>59234000000</v>
      </c>
      <c r="H135" s="265">
        <v>0.1</v>
      </c>
      <c r="I135" s="258">
        <v>5923400000</v>
      </c>
      <c r="J135" s="258">
        <v>65157400000</v>
      </c>
      <c r="K135" s="256" t="s">
        <v>1346</v>
      </c>
    </row>
    <row r="136" spans="1:11" x14ac:dyDescent="0.3">
      <c r="A136" s="256">
        <v>25</v>
      </c>
      <c r="B136" s="257" t="s">
        <v>1387</v>
      </c>
      <c r="C136" s="276">
        <v>44211</v>
      </c>
      <c r="D136" s="257" t="s">
        <v>1257</v>
      </c>
      <c r="E136" s="256" t="s">
        <v>1574</v>
      </c>
      <c r="F136" s="256" t="s">
        <v>1589</v>
      </c>
      <c r="G136" s="258">
        <v>102345000000</v>
      </c>
      <c r="H136" s="265">
        <v>0</v>
      </c>
      <c r="I136" s="258">
        <v>0</v>
      </c>
      <c r="J136" s="258">
        <v>102345000000</v>
      </c>
      <c r="K136" s="256" t="s">
        <v>1346</v>
      </c>
    </row>
    <row r="137" spans="1:11" x14ac:dyDescent="0.3">
      <c r="A137" s="256">
        <v>26</v>
      </c>
      <c r="B137" s="257" t="s">
        <v>1388</v>
      </c>
      <c r="C137" s="276">
        <v>44242</v>
      </c>
      <c r="D137" s="257" t="s">
        <v>1265</v>
      </c>
      <c r="E137" s="256" t="s">
        <v>1583</v>
      </c>
      <c r="F137" s="256" t="s">
        <v>1591</v>
      </c>
      <c r="G137" s="258">
        <v>45678000000</v>
      </c>
      <c r="H137" s="265">
        <v>0.1</v>
      </c>
      <c r="I137" s="258">
        <v>4567800000</v>
      </c>
      <c r="J137" s="258">
        <v>50245800000</v>
      </c>
      <c r="K137" s="256" t="s">
        <v>1346</v>
      </c>
    </row>
    <row r="138" spans="1:11" x14ac:dyDescent="0.3">
      <c r="A138" s="256">
        <v>27</v>
      </c>
      <c r="B138" s="257" t="s">
        <v>1391</v>
      </c>
      <c r="C138" s="276">
        <v>44270</v>
      </c>
      <c r="D138" s="257" t="s">
        <v>1278</v>
      </c>
      <c r="E138" s="256" t="s">
        <v>1593</v>
      </c>
      <c r="F138" s="256" t="s">
        <v>1587</v>
      </c>
      <c r="G138" s="258">
        <v>68901000000</v>
      </c>
      <c r="H138" s="265">
        <v>0.1</v>
      </c>
      <c r="I138" s="258">
        <v>6890100000</v>
      </c>
      <c r="J138" s="258">
        <v>75791100000</v>
      </c>
      <c r="K138" s="256" t="s">
        <v>1346</v>
      </c>
    </row>
    <row r="139" spans="1:11" x14ac:dyDescent="0.3">
      <c r="A139" s="256">
        <v>28</v>
      </c>
      <c r="B139" s="257" t="s">
        <v>1392</v>
      </c>
      <c r="C139" s="276">
        <v>44301</v>
      </c>
      <c r="D139" s="257" t="s">
        <v>1263</v>
      </c>
      <c r="E139" s="256" t="s">
        <v>1579</v>
      </c>
      <c r="F139" s="256" t="s">
        <v>1589</v>
      </c>
      <c r="G139" s="258">
        <v>91234000000</v>
      </c>
      <c r="H139" s="265">
        <v>0</v>
      </c>
      <c r="I139" s="258">
        <v>0</v>
      </c>
      <c r="J139" s="258">
        <v>91234000000</v>
      </c>
      <c r="K139" s="256" t="s">
        <v>1346</v>
      </c>
    </row>
    <row r="140" spans="1:11" x14ac:dyDescent="0.3">
      <c r="A140" s="256">
        <v>29</v>
      </c>
      <c r="B140" s="257" t="s">
        <v>1394</v>
      </c>
      <c r="C140" s="276">
        <v>44331</v>
      </c>
      <c r="D140" s="257" t="s">
        <v>1275</v>
      </c>
      <c r="E140" s="256" t="s">
        <v>1575</v>
      </c>
      <c r="F140" s="256" t="s">
        <v>1590</v>
      </c>
      <c r="G140" s="258">
        <v>47890000000</v>
      </c>
      <c r="H140" s="265">
        <v>0.1</v>
      </c>
      <c r="I140" s="258">
        <v>4789000000</v>
      </c>
      <c r="J140" s="258">
        <v>52679000000</v>
      </c>
      <c r="K140" s="256" t="s">
        <v>1346</v>
      </c>
    </row>
    <row r="141" spans="1:11" x14ac:dyDescent="0.3">
      <c r="A141" s="256">
        <v>30</v>
      </c>
      <c r="B141" s="257" t="s">
        <v>1396</v>
      </c>
      <c r="C141" s="276">
        <v>44362</v>
      </c>
      <c r="D141" s="257" t="s">
        <v>1389</v>
      </c>
      <c r="E141" s="256" t="s">
        <v>1555</v>
      </c>
      <c r="F141" s="256" t="s">
        <v>1587</v>
      </c>
      <c r="G141" s="258">
        <v>65234000000</v>
      </c>
      <c r="H141" s="265">
        <v>0.1</v>
      </c>
      <c r="I141" s="258">
        <v>6523400000</v>
      </c>
      <c r="J141" s="258">
        <v>71757400000</v>
      </c>
      <c r="K141" s="256" t="s">
        <v>1346</v>
      </c>
    </row>
    <row r="142" spans="1:11" x14ac:dyDescent="0.3">
      <c r="A142" s="256">
        <v>31</v>
      </c>
      <c r="B142" s="257" t="s">
        <v>1397</v>
      </c>
      <c r="C142" s="276">
        <v>44392</v>
      </c>
      <c r="D142" s="257" t="s">
        <v>1428</v>
      </c>
      <c r="E142" s="256" t="s">
        <v>1557</v>
      </c>
      <c r="F142" s="256" t="s">
        <v>1589</v>
      </c>
      <c r="G142" s="258">
        <v>96789000000</v>
      </c>
      <c r="H142" s="265">
        <v>0</v>
      </c>
      <c r="I142" s="258">
        <v>0</v>
      </c>
      <c r="J142" s="258">
        <v>96789000000</v>
      </c>
      <c r="K142" s="256" t="s">
        <v>1346</v>
      </c>
    </row>
    <row r="143" spans="1:11" x14ac:dyDescent="0.3">
      <c r="A143" s="256">
        <v>32</v>
      </c>
      <c r="B143" s="257" t="s">
        <v>1398</v>
      </c>
      <c r="C143" s="276">
        <v>44423</v>
      </c>
      <c r="D143" s="257" t="s">
        <v>1285</v>
      </c>
      <c r="E143" s="256" t="s">
        <v>1558</v>
      </c>
      <c r="F143" s="256" t="s">
        <v>1591</v>
      </c>
      <c r="G143" s="258">
        <v>39234000000</v>
      </c>
      <c r="H143" s="265">
        <v>0.1</v>
      </c>
      <c r="I143" s="258">
        <v>3923400000</v>
      </c>
      <c r="J143" s="258">
        <v>43157400000</v>
      </c>
      <c r="K143" s="256" t="s">
        <v>1346</v>
      </c>
    </row>
    <row r="144" spans="1:11" x14ac:dyDescent="0.3">
      <c r="A144" s="256">
        <v>33</v>
      </c>
      <c r="B144" s="257" t="s">
        <v>1399</v>
      </c>
      <c r="C144" s="276">
        <v>44454</v>
      </c>
      <c r="D144" s="257" t="s">
        <v>1260</v>
      </c>
      <c r="E144" s="256" t="s">
        <v>1585</v>
      </c>
      <c r="F144" s="256" t="s">
        <v>1587</v>
      </c>
      <c r="G144" s="258">
        <v>71234000000</v>
      </c>
      <c r="H144" s="265">
        <v>0.1</v>
      </c>
      <c r="I144" s="258">
        <v>7123400000</v>
      </c>
      <c r="J144" s="258">
        <v>78357400000</v>
      </c>
      <c r="K144" s="256" t="s">
        <v>1346</v>
      </c>
    </row>
    <row r="145" spans="1:11" x14ac:dyDescent="0.3">
      <c r="A145" s="256">
        <v>34</v>
      </c>
      <c r="B145" s="257" t="s">
        <v>1401</v>
      </c>
      <c r="C145" s="276">
        <v>44484</v>
      </c>
      <c r="D145" s="257" t="s">
        <v>1395</v>
      </c>
      <c r="E145" s="256" t="s">
        <v>1581</v>
      </c>
      <c r="F145" s="256" t="s">
        <v>1589</v>
      </c>
      <c r="G145" s="258">
        <v>87890000000</v>
      </c>
      <c r="H145" s="265">
        <v>0</v>
      </c>
      <c r="I145" s="258">
        <v>0</v>
      </c>
      <c r="J145" s="258">
        <v>87890000000</v>
      </c>
      <c r="K145" s="256" t="s">
        <v>1346</v>
      </c>
    </row>
    <row r="146" spans="1:11" x14ac:dyDescent="0.3">
      <c r="A146" s="256">
        <v>35</v>
      </c>
      <c r="B146" s="257" t="s">
        <v>1402</v>
      </c>
      <c r="C146" s="276">
        <v>44515</v>
      </c>
      <c r="D146" s="257" t="s">
        <v>1277</v>
      </c>
      <c r="E146" s="256" t="s">
        <v>1582</v>
      </c>
      <c r="F146" s="256" t="s">
        <v>1590</v>
      </c>
      <c r="G146" s="258">
        <v>52345000000</v>
      </c>
      <c r="H146" s="265">
        <v>0.1</v>
      </c>
      <c r="I146" s="258">
        <v>5234500000</v>
      </c>
      <c r="J146" s="258">
        <v>57579500000</v>
      </c>
      <c r="K146" s="256" t="s">
        <v>1346</v>
      </c>
    </row>
    <row r="147" spans="1:11" x14ac:dyDescent="0.3">
      <c r="A147" s="256">
        <v>36</v>
      </c>
      <c r="B147" s="257" t="s">
        <v>1403</v>
      </c>
      <c r="C147" s="276">
        <v>44545</v>
      </c>
      <c r="D147" s="257" t="s">
        <v>1266</v>
      </c>
      <c r="E147" s="256" t="s">
        <v>1570</v>
      </c>
      <c r="F147" s="256" t="s">
        <v>1587</v>
      </c>
      <c r="G147" s="258">
        <v>66789000000</v>
      </c>
      <c r="H147" s="265">
        <v>0.1</v>
      </c>
      <c r="I147" s="258">
        <v>6678900000</v>
      </c>
      <c r="J147" s="258">
        <v>73467900000</v>
      </c>
      <c r="K147" s="256" t="s">
        <v>1346</v>
      </c>
    </row>
    <row r="148" spans="1:11" x14ac:dyDescent="0.3">
      <c r="A148" s="256">
        <v>37</v>
      </c>
      <c r="B148" s="257" t="s">
        <v>1404</v>
      </c>
      <c r="C148" s="276">
        <v>44216</v>
      </c>
      <c r="D148" s="257" t="s">
        <v>1283</v>
      </c>
      <c r="E148" s="256" t="s">
        <v>1588</v>
      </c>
      <c r="F148" s="256" t="s">
        <v>1589</v>
      </c>
      <c r="G148" s="258">
        <v>110234000000</v>
      </c>
      <c r="H148" s="265">
        <v>0</v>
      </c>
      <c r="I148" s="258">
        <v>0</v>
      </c>
      <c r="J148" s="258">
        <v>110234000000</v>
      </c>
      <c r="K148" s="256" t="s">
        <v>1346</v>
      </c>
    </row>
    <row r="149" spans="1:11" x14ac:dyDescent="0.3">
      <c r="A149" s="256">
        <v>38</v>
      </c>
      <c r="B149" s="257" t="s">
        <v>1405</v>
      </c>
      <c r="C149" s="276">
        <v>44247</v>
      </c>
      <c r="D149" s="257" t="s">
        <v>1259</v>
      </c>
      <c r="E149" s="256" t="s">
        <v>1569</v>
      </c>
      <c r="F149" s="256" t="s">
        <v>1591</v>
      </c>
      <c r="G149" s="258">
        <v>41890000000</v>
      </c>
      <c r="H149" s="265">
        <v>0.1</v>
      </c>
      <c r="I149" s="258">
        <v>4189000000</v>
      </c>
      <c r="J149" s="258">
        <v>46079000000</v>
      </c>
      <c r="K149" s="256" t="s">
        <v>1346</v>
      </c>
    </row>
    <row r="150" spans="1:11" x14ac:dyDescent="0.3">
      <c r="A150" s="256">
        <v>39</v>
      </c>
      <c r="B150" s="257" t="s">
        <v>1406</v>
      </c>
      <c r="C150" s="276">
        <v>44275</v>
      </c>
      <c r="D150" s="257" t="s">
        <v>1281</v>
      </c>
      <c r="E150" s="256" t="s">
        <v>1559</v>
      </c>
      <c r="F150" s="256" t="s">
        <v>1587</v>
      </c>
      <c r="G150" s="258">
        <v>73456000000</v>
      </c>
      <c r="H150" s="265">
        <v>0.1</v>
      </c>
      <c r="I150" s="258">
        <v>7345600000</v>
      </c>
      <c r="J150" s="258">
        <v>80801600000</v>
      </c>
      <c r="K150" s="256" t="s">
        <v>1346</v>
      </c>
    </row>
    <row r="151" spans="1:11" x14ac:dyDescent="0.3">
      <c r="A151" s="256">
        <v>40</v>
      </c>
      <c r="B151" s="257" t="s">
        <v>1408</v>
      </c>
      <c r="C151" s="276">
        <v>44306</v>
      </c>
      <c r="D151" s="257" t="s">
        <v>1273</v>
      </c>
      <c r="E151" s="256" t="s">
        <v>1567</v>
      </c>
      <c r="F151" s="256" t="s">
        <v>1589</v>
      </c>
      <c r="G151" s="258">
        <v>94234000000</v>
      </c>
      <c r="H151" s="265">
        <v>0</v>
      </c>
      <c r="I151" s="258">
        <v>0</v>
      </c>
      <c r="J151" s="258">
        <v>94234000000</v>
      </c>
      <c r="K151" s="256" t="s">
        <v>1346</v>
      </c>
    </row>
    <row r="152" spans="1:11" x14ac:dyDescent="0.3">
      <c r="A152" s="256">
        <v>41</v>
      </c>
      <c r="B152" s="257" t="s">
        <v>1409</v>
      </c>
      <c r="C152" s="276">
        <v>44336</v>
      </c>
      <c r="D152" s="257" t="s">
        <v>1282</v>
      </c>
      <c r="E152" s="256" t="s">
        <v>1580</v>
      </c>
      <c r="F152" s="256" t="s">
        <v>1590</v>
      </c>
      <c r="G152" s="258">
        <v>48901000000</v>
      </c>
      <c r="H152" s="265">
        <v>0.1</v>
      </c>
      <c r="I152" s="258">
        <v>4890100000</v>
      </c>
      <c r="J152" s="258">
        <v>53791100000</v>
      </c>
      <c r="K152" s="256" t="s">
        <v>1346</v>
      </c>
    </row>
    <row r="153" spans="1:11" x14ac:dyDescent="0.3">
      <c r="A153" s="256">
        <v>42</v>
      </c>
      <c r="B153" s="257" t="s">
        <v>1411</v>
      </c>
      <c r="C153" s="276">
        <v>44367</v>
      </c>
      <c r="D153" s="257" t="s">
        <v>1267</v>
      </c>
      <c r="E153" s="256" t="s">
        <v>1560</v>
      </c>
      <c r="F153" s="256" t="s">
        <v>1587</v>
      </c>
      <c r="G153" s="258">
        <v>68234000000</v>
      </c>
      <c r="H153" s="265">
        <v>0.1</v>
      </c>
      <c r="I153" s="258">
        <v>6823400000</v>
      </c>
      <c r="J153" s="258">
        <v>75057400000</v>
      </c>
      <c r="K153" s="256" t="s">
        <v>1346</v>
      </c>
    </row>
    <row r="154" spans="1:11" x14ac:dyDescent="0.3">
      <c r="A154" s="256">
        <v>43</v>
      </c>
      <c r="B154" s="257" t="s">
        <v>1414</v>
      </c>
      <c r="C154" s="276">
        <v>44397</v>
      </c>
      <c r="D154" s="257" t="s">
        <v>1416</v>
      </c>
      <c r="E154" s="256" t="s">
        <v>1562</v>
      </c>
      <c r="F154" s="256" t="s">
        <v>1589</v>
      </c>
      <c r="G154" s="258">
        <v>99234000000</v>
      </c>
      <c r="H154" s="265">
        <v>0</v>
      </c>
      <c r="I154" s="258">
        <v>0</v>
      </c>
      <c r="J154" s="258">
        <v>99234000000</v>
      </c>
      <c r="K154" s="256" t="s">
        <v>1346</v>
      </c>
    </row>
    <row r="155" spans="1:11" x14ac:dyDescent="0.3">
      <c r="A155" s="256">
        <v>44</v>
      </c>
      <c r="B155" s="257" t="s">
        <v>1415</v>
      </c>
      <c r="C155" s="276">
        <v>44428</v>
      </c>
      <c r="D155" s="257" t="s">
        <v>1279</v>
      </c>
      <c r="E155" s="256" t="s">
        <v>1573</v>
      </c>
      <c r="F155" s="256" t="s">
        <v>1591</v>
      </c>
      <c r="G155" s="258">
        <v>43456000000</v>
      </c>
      <c r="H155" s="265">
        <v>0.1</v>
      </c>
      <c r="I155" s="258">
        <v>4345600000</v>
      </c>
      <c r="J155" s="258">
        <v>47801600000</v>
      </c>
      <c r="K155" s="256" t="s">
        <v>1346</v>
      </c>
    </row>
    <row r="156" spans="1:11" x14ac:dyDescent="0.3">
      <c r="A156" s="256">
        <v>45</v>
      </c>
      <c r="B156" s="257" t="s">
        <v>1206</v>
      </c>
      <c r="C156" s="276">
        <v>44459</v>
      </c>
      <c r="D156" s="257" t="s">
        <v>1261</v>
      </c>
      <c r="E156" s="256" t="s">
        <v>1572</v>
      </c>
      <c r="F156" s="256" t="s">
        <v>1587</v>
      </c>
      <c r="G156" s="258">
        <v>69234000000</v>
      </c>
      <c r="H156" s="265">
        <v>0.1</v>
      </c>
      <c r="I156" s="258">
        <v>6923400000</v>
      </c>
      <c r="J156" s="258">
        <v>76157400000</v>
      </c>
      <c r="K156" s="256" t="s">
        <v>1346</v>
      </c>
    </row>
    <row r="157" spans="1:11" x14ac:dyDescent="0.3">
      <c r="A157" s="256">
        <v>46</v>
      </c>
      <c r="B157" s="257" t="s">
        <v>1207</v>
      </c>
      <c r="C157" s="276">
        <v>44489</v>
      </c>
      <c r="D157" s="257" t="s">
        <v>1352</v>
      </c>
      <c r="E157" s="256" t="s">
        <v>1571</v>
      </c>
      <c r="F157" s="256" t="s">
        <v>1589</v>
      </c>
      <c r="G157" s="258">
        <v>89890000000</v>
      </c>
      <c r="H157" s="265">
        <v>0</v>
      </c>
      <c r="I157" s="258">
        <v>0</v>
      </c>
      <c r="J157" s="258">
        <v>89890000000</v>
      </c>
      <c r="K157" s="256" t="s">
        <v>1346</v>
      </c>
    </row>
    <row r="158" spans="1:11" x14ac:dyDescent="0.3">
      <c r="A158" s="256">
        <v>47</v>
      </c>
      <c r="B158" s="257" t="s">
        <v>1208</v>
      </c>
      <c r="C158" s="276">
        <v>44520</v>
      </c>
      <c r="D158" s="257" t="s">
        <v>1272</v>
      </c>
      <c r="E158" s="256" t="s">
        <v>540</v>
      </c>
      <c r="F158" s="256" t="s">
        <v>1590</v>
      </c>
      <c r="G158" s="258">
        <v>54234000000</v>
      </c>
      <c r="H158" s="265">
        <v>0.1</v>
      </c>
      <c r="I158" s="258">
        <v>5423400000</v>
      </c>
      <c r="J158" s="258">
        <v>59657400000</v>
      </c>
      <c r="K158" s="256" t="s">
        <v>1346</v>
      </c>
    </row>
    <row r="159" spans="1:11" x14ac:dyDescent="0.3">
      <c r="A159" s="256">
        <v>48</v>
      </c>
      <c r="B159" s="257" t="s">
        <v>1209</v>
      </c>
      <c r="C159" s="276">
        <v>44550</v>
      </c>
      <c r="D159" s="257" t="s">
        <v>1284</v>
      </c>
      <c r="E159" s="256" t="s">
        <v>1552</v>
      </c>
      <c r="F159" s="256" t="s">
        <v>1587</v>
      </c>
      <c r="G159" s="258">
        <v>74890000000</v>
      </c>
      <c r="H159" s="265">
        <v>0.1</v>
      </c>
      <c r="I159" s="258">
        <v>7489000000</v>
      </c>
      <c r="J159" s="258">
        <v>82379000000</v>
      </c>
      <c r="K159" s="256" t="s">
        <v>1346</v>
      </c>
    </row>
    <row r="160" spans="1:11" x14ac:dyDescent="0.3">
      <c r="A160" s="256">
        <v>49</v>
      </c>
      <c r="B160" s="257" t="s">
        <v>1418</v>
      </c>
      <c r="C160" s="276">
        <v>44221</v>
      </c>
      <c r="D160" s="257" t="s">
        <v>1280</v>
      </c>
      <c r="E160" s="256" t="s">
        <v>618</v>
      </c>
      <c r="F160" s="256" t="s">
        <v>1589</v>
      </c>
      <c r="G160" s="258">
        <v>95678000000</v>
      </c>
      <c r="H160" s="265">
        <v>0</v>
      </c>
      <c r="I160" s="258">
        <v>0</v>
      </c>
      <c r="J160" s="258">
        <v>95678000000</v>
      </c>
      <c r="K160" s="256" t="s">
        <v>1346</v>
      </c>
    </row>
    <row r="161" spans="1:11" x14ac:dyDescent="0.3">
      <c r="A161" s="256">
        <v>50</v>
      </c>
      <c r="B161" s="257" t="s">
        <v>1419</v>
      </c>
      <c r="C161" s="276">
        <v>44252</v>
      </c>
      <c r="D161" s="257" t="s">
        <v>1264</v>
      </c>
      <c r="E161" s="256" t="s">
        <v>1584</v>
      </c>
      <c r="F161" s="256" t="s">
        <v>1591</v>
      </c>
      <c r="G161" s="258">
        <v>40234000000</v>
      </c>
      <c r="H161" s="265">
        <v>0.1</v>
      </c>
      <c r="I161" s="258">
        <v>4023400000</v>
      </c>
      <c r="J161" s="258">
        <v>44257400000</v>
      </c>
      <c r="K161" s="256" t="s">
        <v>1346</v>
      </c>
    </row>
    <row r="162" spans="1:11" x14ac:dyDescent="0.3">
      <c r="A162" s="256">
        <v>51</v>
      </c>
      <c r="B162" s="257" t="s">
        <v>1456</v>
      </c>
      <c r="C162" s="276">
        <v>44280</v>
      </c>
      <c r="D162" s="257" t="s">
        <v>1263</v>
      </c>
      <c r="E162" s="256" t="s">
        <v>1579</v>
      </c>
      <c r="F162" s="256" t="s">
        <v>1587</v>
      </c>
      <c r="G162" s="258">
        <v>70890000000</v>
      </c>
      <c r="H162" s="265">
        <v>0.1</v>
      </c>
      <c r="I162" s="258">
        <v>7089000000</v>
      </c>
      <c r="J162" s="258">
        <v>77979000000</v>
      </c>
      <c r="K162" s="256" t="s">
        <v>1346</v>
      </c>
    </row>
    <row r="163" spans="1:11" x14ac:dyDescent="0.3">
      <c r="A163" s="256">
        <v>52</v>
      </c>
      <c r="B163" s="257" t="s">
        <v>1457</v>
      </c>
      <c r="C163" s="276">
        <v>44311</v>
      </c>
      <c r="D163" s="257" t="s">
        <v>1389</v>
      </c>
      <c r="E163" s="256" t="s">
        <v>1555</v>
      </c>
      <c r="F163" s="256" t="s">
        <v>1589</v>
      </c>
      <c r="G163" s="258">
        <v>91890000000</v>
      </c>
      <c r="H163" s="265">
        <v>0</v>
      </c>
      <c r="I163" s="258">
        <v>0</v>
      </c>
      <c r="J163" s="258">
        <v>91890000000</v>
      </c>
      <c r="K163" s="256" t="s">
        <v>1346</v>
      </c>
    </row>
    <row r="164" spans="1:11" x14ac:dyDescent="0.3">
      <c r="A164" s="256">
        <v>53</v>
      </c>
      <c r="B164" s="257" t="s">
        <v>1458</v>
      </c>
      <c r="C164" s="276">
        <v>44341</v>
      </c>
      <c r="D164" s="257" t="s">
        <v>1260</v>
      </c>
      <c r="E164" s="256" t="s">
        <v>1585</v>
      </c>
      <c r="F164" s="256" t="s">
        <v>1590</v>
      </c>
      <c r="G164" s="258">
        <v>55234000000</v>
      </c>
      <c r="H164" s="265">
        <v>0.1</v>
      </c>
      <c r="I164" s="258">
        <v>5523400000</v>
      </c>
      <c r="J164" s="258">
        <v>60757400000</v>
      </c>
      <c r="K164" s="256" t="s">
        <v>1346</v>
      </c>
    </row>
    <row r="165" spans="1:11" x14ac:dyDescent="0.3">
      <c r="A165" s="256">
        <v>54</v>
      </c>
      <c r="B165" s="257" t="s">
        <v>1459</v>
      </c>
      <c r="C165" s="276">
        <v>44372</v>
      </c>
      <c r="D165" s="257" t="s">
        <v>1285</v>
      </c>
      <c r="E165" s="256" t="s">
        <v>1558</v>
      </c>
      <c r="F165" s="256" t="s">
        <v>1587</v>
      </c>
      <c r="G165" s="258">
        <v>69890000000</v>
      </c>
      <c r="H165" s="265">
        <v>0.1</v>
      </c>
      <c r="I165" s="258">
        <v>6989000000</v>
      </c>
      <c r="J165" s="258">
        <v>76879000000</v>
      </c>
      <c r="K165" s="256" t="s">
        <v>1346</v>
      </c>
    </row>
    <row r="166" spans="1:11" x14ac:dyDescent="0.3">
      <c r="A166" s="256">
        <v>55</v>
      </c>
      <c r="B166" s="257" t="s">
        <v>1460</v>
      </c>
      <c r="C166" s="276">
        <v>44402</v>
      </c>
      <c r="D166" s="257" t="s">
        <v>1277</v>
      </c>
      <c r="E166" s="256" t="s">
        <v>1582</v>
      </c>
      <c r="F166" s="256" t="s">
        <v>1589</v>
      </c>
      <c r="G166" s="258">
        <v>97234000000</v>
      </c>
      <c r="H166" s="265">
        <v>0</v>
      </c>
      <c r="I166" s="258">
        <v>0</v>
      </c>
      <c r="J166" s="258">
        <v>97234000000</v>
      </c>
      <c r="K166" s="256" t="s">
        <v>1346</v>
      </c>
    </row>
    <row r="167" spans="1:11" x14ac:dyDescent="0.3">
      <c r="A167" s="256">
        <v>56</v>
      </c>
      <c r="B167" s="257" t="s">
        <v>1461</v>
      </c>
      <c r="C167" s="276">
        <v>44433</v>
      </c>
      <c r="D167" s="257" t="s">
        <v>1428</v>
      </c>
      <c r="E167" s="256" t="s">
        <v>1557</v>
      </c>
      <c r="F167" s="256" t="s">
        <v>1591</v>
      </c>
      <c r="G167" s="258">
        <v>44890000000</v>
      </c>
      <c r="H167" s="265">
        <v>0.1</v>
      </c>
      <c r="I167" s="258">
        <v>4489000000</v>
      </c>
      <c r="J167" s="258">
        <v>49379000000</v>
      </c>
      <c r="K167" s="256" t="s">
        <v>1346</v>
      </c>
    </row>
    <row r="168" spans="1:11" x14ac:dyDescent="0.3">
      <c r="A168" s="256">
        <v>57</v>
      </c>
      <c r="B168" s="257" t="s">
        <v>1462</v>
      </c>
      <c r="C168" s="276">
        <v>44464</v>
      </c>
      <c r="D168" s="257" t="s">
        <v>1266</v>
      </c>
      <c r="E168" s="256" t="s">
        <v>1570</v>
      </c>
      <c r="F168" s="256" t="s">
        <v>1587</v>
      </c>
      <c r="G168" s="258">
        <v>71890000000</v>
      </c>
      <c r="H168" s="265">
        <v>0.1</v>
      </c>
      <c r="I168" s="258">
        <v>7189000000</v>
      </c>
      <c r="J168" s="258">
        <v>79079000000</v>
      </c>
      <c r="K168" s="256" t="s">
        <v>1346</v>
      </c>
    </row>
    <row r="169" spans="1:11" x14ac:dyDescent="0.3">
      <c r="A169" s="256">
        <v>58</v>
      </c>
      <c r="B169" s="257" t="s">
        <v>1463</v>
      </c>
      <c r="C169" s="276">
        <v>44494</v>
      </c>
      <c r="D169" s="257" t="s">
        <v>1352</v>
      </c>
      <c r="E169" s="256" t="s">
        <v>1571</v>
      </c>
      <c r="F169" s="256" t="s">
        <v>1589</v>
      </c>
      <c r="G169" s="258">
        <v>88456000000</v>
      </c>
      <c r="H169" s="265">
        <v>0</v>
      </c>
      <c r="I169" s="258">
        <v>0</v>
      </c>
      <c r="J169" s="258">
        <v>88456000000</v>
      </c>
      <c r="K169" s="256" t="s">
        <v>1346</v>
      </c>
    </row>
    <row r="170" spans="1:11" x14ac:dyDescent="0.3">
      <c r="A170" s="256">
        <v>59</v>
      </c>
      <c r="B170" s="257" t="s">
        <v>1464</v>
      </c>
      <c r="C170" s="276">
        <v>44525</v>
      </c>
      <c r="D170" s="257" t="s">
        <v>1283</v>
      </c>
      <c r="E170" s="256" t="s">
        <v>1588</v>
      </c>
      <c r="F170" s="256" t="s">
        <v>1590</v>
      </c>
      <c r="G170" s="258">
        <v>51890000000</v>
      </c>
      <c r="H170" s="265">
        <v>0.1</v>
      </c>
      <c r="I170" s="258">
        <v>5189000000</v>
      </c>
      <c r="J170" s="258">
        <v>57079000000</v>
      </c>
      <c r="K170" s="256" t="s">
        <v>1346</v>
      </c>
    </row>
    <row r="171" spans="1:11" x14ac:dyDescent="0.3">
      <c r="A171" s="256">
        <v>60</v>
      </c>
      <c r="B171" s="257" t="s">
        <v>1465</v>
      </c>
      <c r="C171" s="276">
        <v>44555</v>
      </c>
      <c r="D171" s="257" t="s">
        <v>1265</v>
      </c>
      <c r="E171" s="256" t="s">
        <v>1583</v>
      </c>
      <c r="F171" s="256" t="s">
        <v>1587</v>
      </c>
      <c r="G171" s="258">
        <v>66456000000</v>
      </c>
      <c r="H171" s="265">
        <v>0.1</v>
      </c>
      <c r="I171" s="258">
        <v>6645600000</v>
      </c>
      <c r="J171" s="258">
        <v>73101600000</v>
      </c>
      <c r="K171" s="256" t="s">
        <v>1346</v>
      </c>
    </row>
    <row r="172" spans="1:11" x14ac:dyDescent="0.3">
      <c r="A172" s="256">
        <v>61</v>
      </c>
      <c r="B172" s="257" t="s">
        <v>1466</v>
      </c>
      <c r="C172" s="276">
        <v>44227</v>
      </c>
      <c r="D172" s="257" t="s">
        <v>1259</v>
      </c>
      <c r="E172" s="256" t="s">
        <v>1569</v>
      </c>
      <c r="F172" s="256" t="s">
        <v>1589</v>
      </c>
      <c r="G172" s="258">
        <v>93456000000</v>
      </c>
      <c r="H172" s="265">
        <v>0</v>
      </c>
      <c r="I172" s="258">
        <v>0</v>
      </c>
      <c r="J172" s="258">
        <v>93456000000</v>
      </c>
      <c r="K172" s="256" t="s">
        <v>1346</v>
      </c>
    </row>
    <row r="173" spans="1:11" x14ac:dyDescent="0.3">
      <c r="A173" s="256">
        <v>62</v>
      </c>
      <c r="B173" s="257" t="s">
        <v>1467</v>
      </c>
      <c r="C173" s="276">
        <v>44286</v>
      </c>
      <c r="D173" s="257" t="s">
        <v>1278</v>
      </c>
      <c r="E173" s="256" t="s">
        <v>1593</v>
      </c>
      <c r="F173" s="256" t="s">
        <v>1591</v>
      </c>
      <c r="G173" s="258">
        <v>41456000000</v>
      </c>
      <c r="H173" s="265">
        <v>0.1</v>
      </c>
      <c r="I173" s="258">
        <v>4145600000</v>
      </c>
      <c r="J173" s="258">
        <v>45601600000</v>
      </c>
      <c r="K173" s="256" t="s">
        <v>1346</v>
      </c>
    </row>
    <row r="174" spans="1:11" x14ac:dyDescent="0.3">
      <c r="A174" s="256">
        <v>63</v>
      </c>
      <c r="B174" s="257" t="s">
        <v>1468</v>
      </c>
      <c r="C174" s="276">
        <v>44347</v>
      </c>
      <c r="D174" s="257" t="s">
        <v>1281</v>
      </c>
      <c r="E174" s="256" t="s">
        <v>1559</v>
      </c>
      <c r="F174" s="256" t="s">
        <v>1587</v>
      </c>
      <c r="G174" s="258">
        <v>72456000000</v>
      </c>
      <c r="H174" s="265">
        <v>0.1</v>
      </c>
      <c r="I174" s="258">
        <v>7245600000</v>
      </c>
      <c r="J174" s="258">
        <v>79701600000</v>
      </c>
      <c r="K174" s="256" t="s">
        <v>1346</v>
      </c>
    </row>
    <row r="175" spans="1:11" x14ac:dyDescent="0.3">
      <c r="A175" s="256">
        <v>64</v>
      </c>
      <c r="B175" s="257" t="s">
        <v>1469</v>
      </c>
      <c r="C175" s="276">
        <v>44408</v>
      </c>
      <c r="D175" s="257" t="s">
        <v>1273</v>
      </c>
      <c r="E175" s="256" t="s">
        <v>1567</v>
      </c>
      <c r="F175" s="256" t="s">
        <v>1589</v>
      </c>
      <c r="G175" s="258">
        <v>90456000000</v>
      </c>
      <c r="H175" s="265">
        <v>0</v>
      </c>
      <c r="I175" s="258">
        <v>0</v>
      </c>
      <c r="J175" s="258">
        <v>90456000000</v>
      </c>
      <c r="K175" s="256" t="s">
        <v>1346</v>
      </c>
    </row>
    <row r="176" spans="1:11" x14ac:dyDescent="0.3">
      <c r="A176" s="256">
        <v>65</v>
      </c>
      <c r="B176" s="257" t="s">
        <v>1470</v>
      </c>
      <c r="C176" s="276">
        <v>44439</v>
      </c>
      <c r="D176" s="257" t="s">
        <v>1267</v>
      </c>
      <c r="E176" s="256" t="s">
        <v>1560</v>
      </c>
      <c r="F176" s="256" t="s">
        <v>1590</v>
      </c>
      <c r="G176" s="258">
        <v>54890000000</v>
      </c>
      <c r="H176" s="265">
        <v>0.1</v>
      </c>
      <c r="I176" s="258">
        <v>5489000000</v>
      </c>
      <c r="J176" s="258">
        <v>60379000000</v>
      </c>
      <c r="K176" s="256" t="s">
        <v>1346</v>
      </c>
    </row>
    <row r="177" spans="1:11" x14ac:dyDescent="0.3">
      <c r="A177" s="256">
        <v>66</v>
      </c>
      <c r="B177" s="257" t="s">
        <v>1471</v>
      </c>
      <c r="C177" s="276">
        <v>44500</v>
      </c>
      <c r="D177" s="257" t="s">
        <v>1261</v>
      </c>
      <c r="E177" s="256" t="s">
        <v>1572</v>
      </c>
      <c r="F177" s="256" t="s">
        <v>1587</v>
      </c>
      <c r="G177" s="258">
        <v>70456000000</v>
      </c>
      <c r="H177" s="265">
        <v>0.1</v>
      </c>
      <c r="I177" s="258">
        <v>7045600000</v>
      </c>
      <c r="J177" s="258">
        <v>77501600000</v>
      </c>
      <c r="K177" s="256" t="s">
        <v>1346</v>
      </c>
    </row>
    <row r="178" spans="1:11" x14ac:dyDescent="0.3">
      <c r="A178" s="256">
        <v>67</v>
      </c>
      <c r="B178" s="257" t="s">
        <v>1472</v>
      </c>
      <c r="C178" s="276">
        <v>44500</v>
      </c>
      <c r="D178" s="257" t="s">
        <v>1395</v>
      </c>
      <c r="E178" s="256" t="s">
        <v>1581</v>
      </c>
      <c r="F178" s="256" t="s">
        <v>1589</v>
      </c>
      <c r="G178" s="258">
        <v>91456000000</v>
      </c>
      <c r="H178" s="265">
        <v>0</v>
      </c>
      <c r="I178" s="258">
        <v>0</v>
      </c>
      <c r="J178" s="258">
        <v>91456000000</v>
      </c>
      <c r="K178" s="256" t="s">
        <v>1346</v>
      </c>
    </row>
    <row r="179" spans="1:11" x14ac:dyDescent="0.3">
      <c r="A179" s="256">
        <v>68</v>
      </c>
      <c r="B179" s="257" t="s">
        <v>1473</v>
      </c>
      <c r="C179" s="276">
        <v>44500</v>
      </c>
      <c r="D179" s="257" t="s">
        <v>1279</v>
      </c>
      <c r="E179" s="256" t="s">
        <v>1573</v>
      </c>
      <c r="F179" s="256" t="s">
        <v>1591</v>
      </c>
      <c r="G179" s="258">
        <v>42890000000</v>
      </c>
      <c r="H179" s="265">
        <v>0.1</v>
      </c>
      <c r="I179" s="258">
        <v>4289000000</v>
      </c>
      <c r="J179" s="258">
        <v>47179000000</v>
      </c>
      <c r="K179" s="256" t="s">
        <v>1346</v>
      </c>
    </row>
    <row r="180" spans="1:11" x14ac:dyDescent="0.3">
      <c r="A180" s="256">
        <v>69</v>
      </c>
      <c r="B180" s="257" t="s">
        <v>1474</v>
      </c>
      <c r="C180" s="276">
        <v>44531</v>
      </c>
      <c r="D180" s="257" t="s">
        <v>1272</v>
      </c>
      <c r="E180" s="256" t="s">
        <v>540</v>
      </c>
      <c r="F180" s="256" t="s">
        <v>1587</v>
      </c>
      <c r="G180" s="258">
        <v>73890000000</v>
      </c>
      <c r="H180" s="265">
        <v>0.1</v>
      </c>
      <c r="I180" s="258">
        <v>7389000000</v>
      </c>
      <c r="J180" s="258">
        <v>81279000000</v>
      </c>
      <c r="K180" s="256" t="s">
        <v>1346</v>
      </c>
    </row>
    <row r="181" spans="1:11" x14ac:dyDescent="0.3">
      <c r="A181" s="256">
        <v>70</v>
      </c>
      <c r="B181" s="257" t="s">
        <v>1475</v>
      </c>
      <c r="C181" s="276">
        <v>44561</v>
      </c>
      <c r="D181" s="257" t="s">
        <v>1257</v>
      </c>
      <c r="E181" s="256" t="s">
        <v>1574</v>
      </c>
      <c r="F181" s="256" t="s">
        <v>1589</v>
      </c>
      <c r="G181" s="258">
        <v>89456000000</v>
      </c>
      <c r="H181" s="265">
        <v>0</v>
      </c>
      <c r="I181" s="258">
        <v>0</v>
      </c>
      <c r="J181" s="258">
        <v>89456000000</v>
      </c>
      <c r="K181" s="256" t="s">
        <v>1346</v>
      </c>
    </row>
    <row r="182" spans="1:11" x14ac:dyDescent="0.3">
      <c r="A182" s="266" t="s">
        <v>1351</v>
      </c>
      <c r="B182" s="266"/>
      <c r="C182" s="266"/>
      <c r="D182" s="266"/>
      <c r="E182" s="266"/>
      <c r="F182" s="266"/>
      <c r="G182" s="267">
        <f>SUM(G112:G181)</f>
        <v>4948172000000</v>
      </c>
      <c r="H182" s="266"/>
      <c r="I182" s="267">
        <f>SUM(I112:I181)</f>
        <v>266814700000</v>
      </c>
      <c r="J182" s="267">
        <f>SUM(J112:J181)</f>
        <v>5214986700000</v>
      </c>
      <c r="K182" s="26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sheetViews>
  <sheetFormatPr defaultRowHeight="14.4" x14ac:dyDescent="0.3"/>
  <sheetData>
    <row r="1" spans="1:11" x14ac:dyDescent="0.3">
      <c r="A1" s="256" t="s">
        <v>1340</v>
      </c>
      <c r="B1" s="256" t="s">
        <v>331</v>
      </c>
      <c r="C1" s="256"/>
      <c r="D1" s="256"/>
      <c r="E1" s="256"/>
      <c r="F1" s="256"/>
      <c r="G1" s="256"/>
      <c r="H1" s="256"/>
      <c r="I1" s="256"/>
      <c r="J1" s="256"/>
      <c r="K1" s="256"/>
    </row>
    <row r="2" spans="1:11" x14ac:dyDescent="0.3">
      <c r="A2" s="256" t="s">
        <v>1339</v>
      </c>
      <c r="B2" s="257">
        <v>100101403</v>
      </c>
      <c r="C2" s="256"/>
      <c r="D2" s="256"/>
      <c r="E2" s="256"/>
      <c r="F2" s="256"/>
      <c r="G2" s="256"/>
      <c r="H2" s="256"/>
      <c r="I2" s="256"/>
      <c r="J2" s="256"/>
      <c r="K2" s="256"/>
    </row>
    <row r="3" spans="1:11" x14ac:dyDescent="0.3">
      <c r="A3" s="256" t="s">
        <v>1343</v>
      </c>
      <c r="B3" s="258">
        <v>1916240323661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1356</v>
      </c>
      <c r="C8" s="276">
        <v>44317</v>
      </c>
      <c r="D8" s="257" t="s">
        <v>1352</v>
      </c>
      <c r="E8" s="256" t="s">
        <v>1571</v>
      </c>
      <c r="F8" s="256" t="s">
        <v>1542</v>
      </c>
      <c r="G8" s="258">
        <v>38234000000</v>
      </c>
      <c r="H8" s="265">
        <v>0.1</v>
      </c>
      <c r="I8" s="258">
        <v>3823400000</v>
      </c>
      <c r="J8" s="258">
        <v>42057400000</v>
      </c>
      <c r="K8" s="256" t="s">
        <v>1346</v>
      </c>
    </row>
    <row r="9" spans="1:11" x14ac:dyDescent="0.3">
      <c r="A9" s="256">
        <v>2</v>
      </c>
      <c r="B9" s="257" t="s">
        <v>1356</v>
      </c>
      <c r="C9" s="276">
        <v>44318</v>
      </c>
      <c r="D9" s="257" t="s">
        <v>1272</v>
      </c>
      <c r="E9" s="256" t="s">
        <v>540</v>
      </c>
      <c r="F9" s="256" t="s">
        <v>1543</v>
      </c>
      <c r="G9" s="258">
        <v>21456000000</v>
      </c>
      <c r="H9" s="265">
        <v>0.1</v>
      </c>
      <c r="I9" s="258">
        <v>2145600000</v>
      </c>
      <c r="J9" s="258">
        <v>23601600000</v>
      </c>
      <c r="K9" s="256" t="s">
        <v>1346</v>
      </c>
    </row>
    <row r="10" spans="1:11" x14ac:dyDescent="0.3">
      <c r="A10" s="256">
        <v>3</v>
      </c>
      <c r="B10" s="257" t="s">
        <v>1356</v>
      </c>
      <c r="C10" s="276">
        <v>44319</v>
      </c>
      <c r="D10" s="257" t="s">
        <v>1261</v>
      </c>
      <c r="E10" s="256" t="s">
        <v>1572</v>
      </c>
      <c r="F10" s="256" t="s">
        <v>1544</v>
      </c>
      <c r="G10" s="258">
        <v>34567000000</v>
      </c>
      <c r="H10" s="265">
        <v>0.1</v>
      </c>
      <c r="I10" s="258">
        <v>3456700000</v>
      </c>
      <c r="J10" s="258">
        <v>38023700000</v>
      </c>
      <c r="K10" s="256" t="s">
        <v>1346</v>
      </c>
    </row>
    <row r="11" spans="1:11" x14ac:dyDescent="0.3">
      <c r="A11" s="256">
        <v>4</v>
      </c>
      <c r="B11" s="257" t="s">
        <v>1200</v>
      </c>
      <c r="C11" s="276">
        <v>44320</v>
      </c>
      <c r="D11" s="257" t="s">
        <v>1283</v>
      </c>
      <c r="E11" s="256" t="s">
        <v>1588</v>
      </c>
      <c r="F11" s="256" t="s">
        <v>1542</v>
      </c>
      <c r="G11" s="258">
        <v>45678000000</v>
      </c>
      <c r="H11" s="265">
        <v>0.1</v>
      </c>
      <c r="I11" s="258">
        <v>4567800000</v>
      </c>
      <c r="J11" s="258">
        <v>50245800000</v>
      </c>
      <c r="K11" s="256" t="s">
        <v>1346</v>
      </c>
    </row>
    <row r="12" spans="1:11" x14ac:dyDescent="0.3">
      <c r="A12" s="256">
        <v>5</v>
      </c>
      <c r="B12" s="257" t="s">
        <v>1356</v>
      </c>
      <c r="C12" s="276">
        <v>44321</v>
      </c>
      <c r="D12" s="257" t="s">
        <v>1267</v>
      </c>
      <c r="E12" s="256" t="s">
        <v>1560</v>
      </c>
      <c r="F12" s="256" t="s">
        <v>1545</v>
      </c>
      <c r="G12" s="258">
        <v>18234000000</v>
      </c>
      <c r="H12" s="265">
        <v>0.1</v>
      </c>
      <c r="I12" s="258">
        <v>1823400000</v>
      </c>
      <c r="J12" s="258">
        <v>20057400000</v>
      </c>
      <c r="K12" s="256" t="s">
        <v>1346</v>
      </c>
    </row>
    <row r="13" spans="1:11" x14ac:dyDescent="0.3">
      <c r="A13" s="256">
        <v>6</v>
      </c>
      <c r="B13" s="257" t="s">
        <v>1356</v>
      </c>
      <c r="C13" s="276">
        <v>44322</v>
      </c>
      <c r="D13" s="257" t="s">
        <v>1279</v>
      </c>
      <c r="E13" s="256" t="s">
        <v>1573</v>
      </c>
      <c r="F13" s="256" t="s">
        <v>1542</v>
      </c>
      <c r="G13" s="258">
        <v>52345000000</v>
      </c>
      <c r="H13" s="265">
        <v>0.1</v>
      </c>
      <c r="I13" s="258">
        <v>5234500000</v>
      </c>
      <c r="J13" s="258">
        <v>57579500000</v>
      </c>
      <c r="K13" s="256" t="s">
        <v>1346</v>
      </c>
    </row>
    <row r="14" spans="1:11" x14ac:dyDescent="0.3">
      <c r="A14" s="256">
        <v>7</v>
      </c>
      <c r="B14" s="257" t="s">
        <v>1202</v>
      </c>
      <c r="C14" s="276">
        <v>44323</v>
      </c>
      <c r="D14" s="257" t="s">
        <v>1389</v>
      </c>
      <c r="E14" s="256" t="s">
        <v>1555</v>
      </c>
      <c r="F14" s="256" t="s">
        <v>1543</v>
      </c>
      <c r="G14" s="258">
        <v>16789000000</v>
      </c>
      <c r="H14" s="265">
        <v>0.1</v>
      </c>
      <c r="I14" s="258">
        <v>1678900000</v>
      </c>
      <c r="J14" s="258">
        <v>18467900000</v>
      </c>
      <c r="K14" s="256" t="s">
        <v>1346</v>
      </c>
    </row>
    <row r="15" spans="1:11" x14ac:dyDescent="0.3">
      <c r="A15" s="256">
        <v>8</v>
      </c>
      <c r="B15" s="257" t="s">
        <v>1356</v>
      </c>
      <c r="C15" s="276">
        <v>44324</v>
      </c>
      <c r="D15" s="257" t="s">
        <v>1274</v>
      </c>
      <c r="E15" s="256" t="s">
        <v>1592</v>
      </c>
      <c r="F15" s="256" t="s">
        <v>1544</v>
      </c>
      <c r="G15" s="258">
        <v>29345000000</v>
      </c>
      <c r="H15" s="265">
        <v>0.1</v>
      </c>
      <c r="I15" s="258">
        <v>2934500000</v>
      </c>
      <c r="J15" s="258">
        <v>32279500000</v>
      </c>
      <c r="K15" s="256" t="s">
        <v>1348</v>
      </c>
    </row>
    <row r="16" spans="1:11" x14ac:dyDescent="0.3">
      <c r="A16" s="256">
        <v>9</v>
      </c>
      <c r="B16" s="257" t="s">
        <v>1355</v>
      </c>
      <c r="C16" s="276">
        <v>44325</v>
      </c>
      <c r="D16" s="257" t="s">
        <v>1280</v>
      </c>
      <c r="E16" s="256" t="s">
        <v>618</v>
      </c>
      <c r="F16" s="256" t="s">
        <v>1546</v>
      </c>
      <c r="G16" s="258">
        <v>24567000000</v>
      </c>
      <c r="H16" s="265">
        <v>0</v>
      </c>
      <c r="I16" s="258">
        <v>0</v>
      </c>
      <c r="J16" s="258">
        <v>24567000000</v>
      </c>
      <c r="K16" s="256" t="s">
        <v>1346</v>
      </c>
    </row>
    <row r="17" spans="1:11" x14ac:dyDescent="0.3">
      <c r="A17" s="256">
        <v>10</v>
      </c>
      <c r="B17" s="257" t="s">
        <v>1202</v>
      </c>
      <c r="C17" s="276">
        <v>44326</v>
      </c>
      <c r="D17" s="257" t="s">
        <v>1416</v>
      </c>
      <c r="E17" s="256" t="s">
        <v>1562</v>
      </c>
      <c r="F17" s="256" t="s">
        <v>1542</v>
      </c>
      <c r="G17" s="258">
        <v>48901000000</v>
      </c>
      <c r="H17" s="265">
        <v>0.1</v>
      </c>
      <c r="I17" s="258">
        <v>4890100000</v>
      </c>
      <c r="J17" s="258">
        <v>53791100000</v>
      </c>
      <c r="K17" s="256" t="s">
        <v>1346</v>
      </c>
    </row>
    <row r="18" spans="1:11" x14ac:dyDescent="0.3">
      <c r="A18" s="256">
        <v>11</v>
      </c>
      <c r="B18" s="257" t="s">
        <v>1356</v>
      </c>
      <c r="C18" s="276">
        <v>44327</v>
      </c>
      <c r="D18" s="257" t="s">
        <v>1284</v>
      </c>
      <c r="E18" s="256" t="s">
        <v>1552</v>
      </c>
      <c r="F18" s="256" t="s">
        <v>1547</v>
      </c>
      <c r="G18" s="258">
        <v>15678000000</v>
      </c>
      <c r="H18" s="265">
        <v>0.1</v>
      </c>
      <c r="I18" s="258">
        <v>1567800000</v>
      </c>
      <c r="J18" s="258">
        <v>17245800000</v>
      </c>
      <c r="K18" s="256" t="s">
        <v>1346</v>
      </c>
    </row>
    <row r="19" spans="1:11" x14ac:dyDescent="0.3">
      <c r="A19" s="256">
        <v>12</v>
      </c>
      <c r="B19" s="257" t="s">
        <v>1201</v>
      </c>
      <c r="C19" s="276">
        <v>44328</v>
      </c>
      <c r="D19" s="257" t="s">
        <v>1268</v>
      </c>
      <c r="E19" s="256" t="s">
        <v>1594</v>
      </c>
      <c r="F19" s="256" t="s">
        <v>1542</v>
      </c>
      <c r="G19" s="258">
        <v>42345000000</v>
      </c>
      <c r="H19" s="265">
        <v>0.1</v>
      </c>
      <c r="I19" s="258">
        <v>4234500000</v>
      </c>
      <c r="J19" s="258">
        <v>46579500000</v>
      </c>
      <c r="K19" s="256" t="s">
        <v>1346</v>
      </c>
    </row>
    <row r="20" spans="1:11" x14ac:dyDescent="0.3">
      <c r="A20" s="256">
        <v>13</v>
      </c>
      <c r="B20" s="257" t="s">
        <v>1356</v>
      </c>
      <c r="C20" s="276">
        <v>44470</v>
      </c>
      <c r="D20" s="257" t="s">
        <v>1275</v>
      </c>
      <c r="E20" s="256" t="s">
        <v>1575</v>
      </c>
      <c r="F20" s="256" t="s">
        <v>1548</v>
      </c>
      <c r="G20" s="258">
        <v>13456000000</v>
      </c>
      <c r="H20" s="265">
        <v>0.1</v>
      </c>
      <c r="I20" s="258">
        <v>1345600000</v>
      </c>
      <c r="J20" s="258">
        <v>14801600000</v>
      </c>
      <c r="K20" s="256" t="s">
        <v>1346</v>
      </c>
    </row>
    <row r="21" spans="1:11" x14ac:dyDescent="0.3">
      <c r="A21" s="256">
        <v>14</v>
      </c>
      <c r="B21" s="257" t="s">
        <v>1355</v>
      </c>
      <c r="C21" s="276">
        <v>44471</v>
      </c>
      <c r="D21" s="257" t="s">
        <v>1266</v>
      </c>
      <c r="E21" s="256" t="s">
        <v>1570</v>
      </c>
      <c r="F21" s="256" t="s">
        <v>1542</v>
      </c>
      <c r="G21" s="258">
        <v>55678000000</v>
      </c>
      <c r="H21" s="265">
        <v>0.1</v>
      </c>
      <c r="I21" s="258">
        <v>5567800000</v>
      </c>
      <c r="J21" s="258">
        <v>61245800000</v>
      </c>
      <c r="K21" s="256" t="s">
        <v>1346</v>
      </c>
    </row>
    <row r="22" spans="1:11" x14ac:dyDescent="0.3">
      <c r="A22" s="256">
        <v>15</v>
      </c>
      <c r="B22" s="257" t="s">
        <v>1355</v>
      </c>
      <c r="C22" s="276">
        <v>44472</v>
      </c>
      <c r="D22" s="257" t="s">
        <v>1285</v>
      </c>
      <c r="E22" s="256" t="s">
        <v>1558</v>
      </c>
      <c r="F22" s="256" t="s">
        <v>1543</v>
      </c>
      <c r="G22" s="258">
        <v>19234000000</v>
      </c>
      <c r="H22" s="265">
        <v>0.1</v>
      </c>
      <c r="I22" s="258">
        <v>1923400000</v>
      </c>
      <c r="J22" s="258">
        <v>21157400000</v>
      </c>
      <c r="K22" s="256" t="s">
        <v>1346</v>
      </c>
    </row>
    <row r="23" spans="1:11" x14ac:dyDescent="0.3">
      <c r="A23" s="256">
        <v>16</v>
      </c>
      <c r="B23" s="257" t="s">
        <v>1356</v>
      </c>
      <c r="C23" s="276">
        <v>44473</v>
      </c>
      <c r="D23" s="257" t="s">
        <v>1281</v>
      </c>
      <c r="E23" s="256" t="s">
        <v>1559</v>
      </c>
      <c r="F23" s="256" t="s">
        <v>1545</v>
      </c>
      <c r="G23" s="258">
        <v>22345000000</v>
      </c>
      <c r="H23" s="265">
        <v>0.1</v>
      </c>
      <c r="I23" s="258">
        <v>2234500000</v>
      </c>
      <c r="J23" s="258">
        <v>24579500000</v>
      </c>
      <c r="K23" s="256" t="s">
        <v>1346</v>
      </c>
    </row>
    <row r="24" spans="1:11" x14ac:dyDescent="0.3">
      <c r="A24" s="256">
        <v>17</v>
      </c>
      <c r="B24" s="257" t="s">
        <v>1356</v>
      </c>
      <c r="C24" s="276">
        <v>44474</v>
      </c>
      <c r="D24" s="257" t="s">
        <v>1395</v>
      </c>
      <c r="E24" s="256" t="s">
        <v>1581</v>
      </c>
      <c r="F24" s="256" t="s">
        <v>1542</v>
      </c>
      <c r="G24" s="258">
        <v>44567000000</v>
      </c>
      <c r="H24" s="265">
        <v>0.1</v>
      </c>
      <c r="I24" s="258">
        <v>4456700000</v>
      </c>
      <c r="J24" s="258">
        <v>49023700000</v>
      </c>
      <c r="K24" s="256" t="s">
        <v>1346</v>
      </c>
    </row>
    <row r="25" spans="1:11" x14ac:dyDescent="0.3">
      <c r="A25" s="256">
        <v>18</v>
      </c>
      <c r="B25" s="257" t="s">
        <v>1355</v>
      </c>
      <c r="C25" s="276">
        <v>44475</v>
      </c>
      <c r="D25" s="257" t="s">
        <v>1259</v>
      </c>
      <c r="E25" s="256" t="s">
        <v>1569</v>
      </c>
      <c r="F25" s="256" t="s">
        <v>1544</v>
      </c>
      <c r="G25" s="258">
        <v>31234000000</v>
      </c>
      <c r="H25" s="265">
        <v>0.1</v>
      </c>
      <c r="I25" s="258">
        <v>3123400000</v>
      </c>
      <c r="J25" s="258">
        <v>34357400000</v>
      </c>
      <c r="K25" s="256" t="s">
        <v>1346</v>
      </c>
    </row>
    <row r="26" spans="1:11" x14ac:dyDescent="0.3">
      <c r="A26" s="256">
        <v>19</v>
      </c>
      <c r="B26" s="257" t="s">
        <v>1355</v>
      </c>
      <c r="C26" s="276">
        <v>44476</v>
      </c>
      <c r="D26" s="257" t="s">
        <v>1264</v>
      </c>
      <c r="E26" s="256" t="s">
        <v>1584</v>
      </c>
      <c r="F26" s="256" t="s">
        <v>1542</v>
      </c>
      <c r="G26" s="258">
        <v>39234000000</v>
      </c>
      <c r="H26" s="265">
        <v>0.1</v>
      </c>
      <c r="I26" s="258">
        <v>3923400000</v>
      </c>
      <c r="J26" s="258">
        <v>43157400000</v>
      </c>
      <c r="K26" s="256" t="s">
        <v>1346</v>
      </c>
    </row>
    <row r="27" spans="1:11" x14ac:dyDescent="0.3">
      <c r="A27" s="256">
        <v>20</v>
      </c>
      <c r="B27" s="257" t="s">
        <v>1355</v>
      </c>
      <c r="C27" s="276">
        <v>44477</v>
      </c>
      <c r="D27" s="257" t="s">
        <v>1260</v>
      </c>
      <c r="E27" s="256" t="s">
        <v>1585</v>
      </c>
      <c r="F27" s="256" t="s">
        <v>1547</v>
      </c>
      <c r="G27" s="258">
        <v>16345000000</v>
      </c>
      <c r="H27" s="265">
        <v>0.1</v>
      </c>
      <c r="I27" s="258">
        <v>1634500000</v>
      </c>
      <c r="J27" s="258">
        <v>17979500000</v>
      </c>
      <c r="K27" s="256" t="s">
        <v>1346</v>
      </c>
    </row>
    <row r="28" spans="1:11" x14ac:dyDescent="0.3">
      <c r="A28" s="256">
        <v>21</v>
      </c>
      <c r="B28" s="257" t="s">
        <v>1356</v>
      </c>
      <c r="C28" s="276">
        <v>44478</v>
      </c>
      <c r="D28" s="257" t="s">
        <v>1277</v>
      </c>
      <c r="E28" s="256" t="s">
        <v>1582</v>
      </c>
      <c r="F28" s="256" t="s">
        <v>1543</v>
      </c>
      <c r="G28" s="258">
        <v>20234000000</v>
      </c>
      <c r="H28" s="265">
        <v>0.1</v>
      </c>
      <c r="I28" s="258">
        <v>2023400000</v>
      </c>
      <c r="J28" s="258">
        <v>22257400000</v>
      </c>
      <c r="K28" s="256" t="s">
        <v>1346</v>
      </c>
    </row>
    <row r="29" spans="1:11" x14ac:dyDescent="0.3">
      <c r="A29" s="256">
        <v>22</v>
      </c>
      <c r="B29" s="257" t="s">
        <v>1355</v>
      </c>
      <c r="C29" s="276">
        <v>44479</v>
      </c>
      <c r="D29" s="257" t="s">
        <v>1435</v>
      </c>
      <c r="E29" s="256" t="s">
        <v>1577</v>
      </c>
      <c r="F29" s="256" t="s">
        <v>1542</v>
      </c>
      <c r="G29" s="258">
        <v>47890000000</v>
      </c>
      <c r="H29" s="265">
        <v>0.1</v>
      </c>
      <c r="I29" s="258">
        <v>4789000000</v>
      </c>
      <c r="J29" s="258">
        <v>52679000000</v>
      </c>
      <c r="K29" s="256" t="s">
        <v>1346</v>
      </c>
    </row>
    <row r="30" spans="1:11" x14ac:dyDescent="0.3">
      <c r="A30" s="256">
        <v>23</v>
      </c>
      <c r="B30" s="257" t="s">
        <v>1355</v>
      </c>
      <c r="C30" s="276">
        <v>44480</v>
      </c>
      <c r="D30" s="257" t="s">
        <v>1384</v>
      </c>
      <c r="E30" s="256" t="s">
        <v>1565</v>
      </c>
      <c r="F30" s="256" t="s">
        <v>1546</v>
      </c>
      <c r="G30" s="258">
        <v>22890000000</v>
      </c>
      <c r="H30" s="265">
        <v>0</v>
      </c>
      <c r="I30" s="258">
        <v>0</v>
      </c>
      <c r="J30" s="258">
        <v>22890000000</v>
      </c>
      <c r="K30" s="256" t="s">
        <v>1346</v>
      </c>
    </row>
    <row r="31" spans="1:11" x14ac:dyDescent="0.3">
      <c r="A31" s="256">
        <v>24</v>
      </c>
      <c r="B31" s="257" t="s">
        <v>1355</v>
      </c>
      <c r="C31" s="276">
        <v>44481</v>
      </c>
      <c r="D31" s="257" t="s">
        <v>1278</v>
      </c>
      <c r="E31" s="256" t="s">
        <v>1593</v>
      </c>
      <c r="F31" s="256" t="s">
        <v>1542</v>
      </c>
      <c r="G31" s="258">
        <v>51234000000</v>
      </c>
      <c r="H31" s="265">
        <v>0.1</v>
      </c>
      <c r="I31" s="258">
        <v>5123400000</v>
      </c>
      <c r="J31" s="258">
        <v>56357400000</v>
      </c>
      <c r="K31" s="256" t="s">
        <v>1346</v>
      </c>
    </row>
    <row r="32" spans="1:11" x14ac:dyDescent="0.3">
      <c r="A32" s="256">
        <v>25</v>
      </c>
      <c r="B32" s="257" t="s">
        <v>1355</v>
      </c>
      <c r="C32" s="276">
        <v>44211</v>
      </c>
      <c r="D32" s="257" t="s">
        <v>1263</v>
      </c>
      <c r="E32" s="256" t="s">
        <v>1579</v>
      </c>
      <c r="F32" s="256" t="s">
        <v>1544</v>
      </c>
      <c r="G32" s="258">
        <v>28901000000</v>
      </c>
      <c r="H32" s="265">
        <v>0.1</v>
      </c>
      <c r="I32" s="258">
        <v>2890100000</v>
      </c>
      <c r="J32" s="258">
        <v>31791100000</v>
      </c>
      <c r="K32" s="256" t="s">
        <v>1346</v>
      </c>
    </row>
    <row r="33" spans="1:11" x14ac:dyDescent="0.3">
      <c r="A33" s="256">
        <v>26</v>
      </c>
      <c r="B33" s="257" t="s">
        <v>1356</v>
      </c>
      <c r="C33" s="276">
        <v>44242</v>
      </c>
      <c r="D33" s="257" t="s">
        <v>1428</v>
      </c>
      <c r="E33" s="256" t="s">
        <v>1557</v>
      </c>
      <c r="F33" s="256" t="s">
        <v>1542</v>
      </c>
      <c r="G33" s="258">
        <v>43456000000</v>
      </c>
      <c r="H33" s="265">
        <v>0.1</v>
      </c>
      <c r="I33" s="258">
        <v>4345600000</v>
      </c>
      <c r="J33" s="258">
        <v>47801600000</v>
      </c>
      <c r="K33" s="256" t="s">
        <v>1346</v>
      </c>
    </row>
    <row r="34" spans="1:11" x14ac:dyDescent="0.3">
      <c r="A34" s="256">
        <v>27</v>
      </c>
      <c r="B34" s="257" t="s">
        <v>1202</v>
      </c>
      <c r="C34" s="276">
        <v>44270</v>
      </c>
      <c r="D34" s="257" t="s">
        <v>1282</v>
      </c>
      <c r="E34" s="256" t="s">
        <v>1580</v>
      </c>
      <c r="F34" s="256" t="s">
        <v>1543</v>
      </c>
      <c r="G34" s="258">
        <v>17890000000</v>
      </c>
      <c r="H34" s="265">
        <v>0.1</v>
      </c>
      <c r="I34" s="258">
        <v>1789000000</v>
      </c>
      <c r="J34" s="258">
        <v>19679000000</v>
      </c>
      <c r="K34" s="256" t="s">
        <v>1346</v>
      </c>
    </row>
    <row r="35" spans="1:11" x14ac:dyDescent="0.3">
      <c r="A35" s="256">
        <v>28</v>
      </c>
      <c r="B35" s="257" t="s">
        <v>1200</v>
      </c>
      <c r="C35" s="276">
        <v>44301</v>
      </c>
      <c r="D35" s="257" t="s">
        <v>1258</v>
      </c>
      <c r="E35" s="256" t="s">
        <v>351</v>
      </c>
      <c r="F35" s="256" t="s">
        <v>1545</v>
      </c>
      <c r="G35" s="258">
        <v>21345000000</v>
      </c>
      <c r="H35" s="265">
        <v>0.1</v>
      </c>
      <c r="I35" s="258">
        <v>2134500000</v>
      </c>
      <c r="J35" s="258">
        <v>23479500000</v>
      </c>
      <c r="K35" s="256" t="s">
        <v>1346</v>
      </c>
    </row>
    <row r="36" spans="1:11" x14ac:dyDescent="0.3">
      <c r="A36" s="256">
        <v>29</v>
      </c>
      <c r="B36" s="257" t="s">
        <v>1356</v>
      </c>
      <c r="C36" s="276">
        <v>44331</v>
      </c>
      <c r="D36" s="257" t="s">
        <v>1262</v>
      </c>
      <c r="E36" s="256" t="s">
        <v>1556</v>
      </c>
      <c r="F36" s="256" t="s">
        <v>1542</v>
      </c>
      <c r="G36" s="258">
        <v>48901000000</v>
      </c>
      <c r="H36" s="265">
        <v>0.1</v>
      </c>
      <c r="I36" s="258">
        <v>4890100000</v>
      </c>
      <c r="J36" s="258">
        <v>53791100000</v>
      </c>
      <c r="K36" s="256" t="s">
        <v>1346</v>
      </c>
    </row>
    <row r="37" spans="1:11" x14ac:dyDescent="0.3">
      <c r="A37" s="256">
        <v>30</v>
      </c>
      <c r="B37" s="257" t="s">
        <v>1358</v>
      </c>
      <c r="C37" s="276">
        <v>44362</v>
      </c>
      <c r="D37" s="257" t="s">
        <v>1352</v>
      </c>
      <c r="E37" s="256" t="s">
        <v>1571</v>
      </c>
      <c r="F37" s="256" t="s">
        <v>1548</v>
      </c>
      <c r="G37" s="258">
        <v>14567000000</v>
      </c>
      <c r="H37" s="265">
        <v>0.1</v>
      </c>
      <c r="I37" s="258">
        <v>1456700000</v>
      </c>
      <c r="J37" s="258">
        <v>16023700000</v>
      </c>
      <c r="K37" s="256" t="s">
        <v>1346</v>
      </c>
    </row>
    <row r="38" spans="1:11" x14ac:dyDescent="0.3">
      <c r="A38" s="256">
        <v>31</v>
      </c>
      <c r="B38" s="257" t="s">
        <v>1358</v>
      </c>
      <c r="C38" s="276">
        <v>44392</v>
      </c>
      <c r="D38" s="257" t="s">
        <v>1272</v>
      </c>
      <c r="E38" s="256" t="s">
        <v>540</v>
      </c>
      <c r="F38" s="256" t="s">
        <v>1542</v>
      </c>
      <c r="G38" s="258">
        <v>39890000000</v>
      </c>
      <c r="H38" s="265">
        <v>0.1</v>
      </c>
      <c r="I38" s="258">
        <v>3989000000</v>
      </c>
      <c r="J38" s="258">
        <v>43879000000</v>
      </c>
      <c r="K38" s="256" t="s">
        <v>1346</v>
      </c>
    </row>
    <row r="39" spans="1:11" x14ac:dyDescent="0.3">
      <c r="A39" s="256">
        <v>32</v>
      </c>
      <c r="B39" s="257" t="s">
        <v>1358</v>
      </c>
      <c r="C39" s="276">
        <v>44423</v>
      </c>
      <c r="D39" s="257" t="s">
        <v>1261</v>
      </c>
      <c r="E39" s="256" t="s">
        <v>1572</v>
      </c>
      <c r="F39" s="256" t="s">
        <v>1547</v>
      </c>
      <c r="G39" s="258">
        <v>17234000000</v>
      </c>
      <c r="H39" s="265">
        <v>0.1</v>
      </c>
      <c r="I39" s="258">
        <v>1723400000</v>
      </c>
      <c r="J39" s="258">
        <v>18957400000</v>
      </c>
      <c r="K39" s="256" t="s">
        <v>1346</v>
      </c>
    </row>
    <row r="40" spans="1:11" x14ac:dyDescent="0.3">
      <c r="A40" s="256">
        <v>33</v>
      </c>
      <c r="B40" s="257" t="s">
        <v>1201</v>
      </c>
      <c r="C40" s="276">
        <v>44454</v>
      </c>
      <c r="D40" s="257" t="s">
        <v>1283</v>
      </c>
      <c r="E40" s="256" t="s">
        <v>1588</v>
      </c>
      <c r="F40" s="256" t="s">
        <v>1542</v>
      </c>
      <c r="G40" s="258">
        <v>52890000000</v>
      </c>
      <c r="H40" s="265">
        <v>0.1</v>
      </c>
      <c r="I40" s="258">
        <v>5289000000</v>
      </c>
      <c r="J40" s="258">
        <v>58179000000</v>
      </c>
      <c r="K40" s="256" t="s">
        <v>1346</v>
      </c>
    </row>
    <row r="41" spans="1:11" x14ac:dyDescent="0.3">
      <c r="A41" s="256">
        <v>34</v>
      </c>
      <c r="B41" s="257" t="s">
        <v>1358</v>
      </c>
      <c r="C41" s="276">
        <v>44484</v>
      </c>
      <c r="D41" s="257" t="s">
        <v>1267</v>
      </c>
      <c r="E41" s="256" t="s">
        <v>1560</v>
      </c>
      <c r="F41" s="256" t="s">
        <v>1543</v>
      </c>
      <c r="G41" s="258">
        <v>18901000000</v>
      </c>
      <c r="H41" s="265">
        <v>0.1</v>
      </c>
      <c r="I41" s="258">
        <v>1890100000</v>
      </c>
      <c r="J41" s="258">
        <v>20791100000</v>
      </c>
      <c r="K41" s="256" t="s">
        <v>1346</v>
      </c>
    </row>
    <row r="42" spans="1:11" x14ac:dyDescent="0.3">
      <c r="A42" s="256">
        <v>35</v>
      </c>
      <c r="B42" s="257" t="s">
        <v>1358</v>
      </c>
      <c r="C42" s="276">
        <v>44515</v>
      </c>
      <c r="D42" s="257" t="s">
        <v>1279</v>
      </c>
      <c r="E42" s="256" t="s">
        <v>1573</v>
      </c>
      <c r="F42" s="256" t="s">
        <v>1545</v>
      </c>
      <c r="G42" s="258">
        <v>23456000000</v>
      </c>
      <c r="H42" s="265">
        <v>0.1</v>
      </c>
      <c r="I42" s="258">
        <v>2345600000</v>
      </c>
      <c r="J42" s="258">
        <v>25801600000</v>
      </c>
      <c r="K42" s="256" t="s">
        <v>1346</v>
      </c>
    </row>
    <row r="43" spans="1:11" x14ac:dyDescent="0.3">
      <c r="A43" s="256">
        <v>36</v>
      </c>
      <c r="B43" s="257" t="s">
        <v>1355</v>
      </c>
      <c r="C43" s="276">
        <v>44545</v>
      </c>
      <c r="D43" s="257" t="s">
        <v>1389</v>
      </c>
      <c r="E43" s="256" t="s">
        <v>1555</v>
      </c>
      <c r="F43" s="256" t="s">
        <v>1542</v>
      </c>
      <c r="G43" s="258">
        <v>44234000000</v>
      </c>
      <c r="H43" s="265">
        <v>0.1</v>
      </c>
      <c r="I43" s="258">
        <v>4423400000</v>
      </c>
      <c r="J43" s="258">
        <v>48657400000</v>
      </c>
      <c r="K43" s="256" t="s">
        <v>1346</v>
      </c>
    </row>
    <row r="44" spans="1:11" x14ac:dyDescent="0.3">
      <c r="A44" s="256">
        <v>37</v>
      </c>
      <c r="B44" s="257" t="s">
        <v>1358</v>
      </c>
      <c r="C44" s="276">
        <v>44216</v>
      </c>
      <c r="D44" s="257" t="s">
        <v>1274</v>
      </c>
      <c r="E44" s="256" t="s">
        <v>1592</v>
      </c>
      <c r="F44" s="256" t="s">
        <v>1544</v>
      </c>
      <c r="G44" s="258">
        <v>32345000000</v>
      </c>
      <c r="H44" s="265">
        <v>0.1</v>
      </c>
      <c r="I44" s="258">
        <v>3234500000</v>
      </c>
      <c r="J44" s="258">
        <v>35579500000</v>
      </c>
      <c r="K44" s="256" t="s">
        <v>1346</v>
      </c>
    </row>
    <row r="45" spans="1:11" x14ac:dyDescent="0.3">
      <c r="A45" s="256">
        <v>38</v>
      </c>
      <c r="B45" s="257" t="s">
        <v>1356</v>
      </c>
      <c r="C45" s="276">
        <v>44247</v>
      </c>
      <c r="D45" s="257" t="s">
        <v>1280</v>
      </c>
      <c r="E45" s="256" t="s">
        <v>618</v>
      </c>
      <c r="F45" s="256" t="s">
        <v>1542</v>
      </c>
      <c r="G45" s="258">
        <v>41234000000</v>
      </c>
      <c r="H45" s="265">
        <v>0.1</v>
      </c>
      <c r="I45" s="258">
        <v>4123400000</v>
      </c>
      <c r="J45" s="258">
        <v>45357400000</v>
      </c>
      <c r="K45" s="256" t="s">
        <v>1346</v>
      </c>
    </row>
    <row r="46" spans="1:11" x14ac:dyDescent="0.3">
      <c r="A46" s="256">
        <v>39</v>
      </c>
      <c r="B46" s="257" t="s">
        <v>1355</v>
      </c>
      <c r="C46" s="276">
        <v>44275</v>
      </c>
      <c r="D46" s="257" t="s">
        <v>1416</v>
      </c>
      <c r="E46" s="256" t="s">
        <v>1562</v>
      </c>
      <c r="F46" s="256" t="s">
        <v>1543</v>
      </c>
      <c r="G46" s="258">
        <v>16234000000</v>
      </c>
      <c r="H46" s="265">
        <v>0.1</v>
      </c>
      <c r="I46" s="258">
        <v>1623400000</v>
      </c>
      <c r="J46" s="258">
        <v>17857400000</v>
      </c>
      <c r="K46" s="256" t="s">
        <v>1346</v>
      </c>
    </row>
    <row r="47" spans="1:11" x14ac:dyDescent="0.3">
      <c r="A47" s="256">
        <v>40</v>
      </c>
      <c r="B47" s="257" t="s">
        <v>1358</v>
      </c>
      <c r="C47" s="276">
        <v>44306</v>
      </c>
      <c r="D47" s="257" t="s">
        <v>1284</v>
      </c>
      <c r="E47" s="256" t="s">
        <v>1552</v>
      </c>
      <c r="F47" s="256" t="s">
        <v>1542</v>
      </c>
      <c r="G47" s="258">
        <v>50234000000</v>
      </c>
      <c r="H47" s="265">
        <v>0.1</v>
      </c>
      <c r="I47" s="258">
        <v>5023400000</v>
      </c>
      <c r="J47" s="258">
        <v>55257400000</v>
      </c>
      <c r="K47" s="256" t="s">
        <v>1346</v>
      </c>
    </row>
    <row r="48" spans="1:11" x14ac:dyDescent="0.3">
      <c r="A48" s="256">
        <v>41</v>
      </c>
      <c r="B48" s="257" t="s">
        <v>1202</v>
      </c>
      <c r="C48" s="276">
        <v>44336</v>
      </c>
      <c r="D48" s="257" t="s">
        <v>1268</v>
      </c>
      <c r="E48" s="256" t="s">
        <v>1594</v>
      </c>
      <c r="F48" s="256" t="s">
        <v>1546</v>
      </c>
      <c r="G48" s="258">
        <v>21890000000</v>
      </c>
      <c r="H48" s="265">
        <v>0</v>
      </c>
      <c r="I48" s="258">
        <v>0</v>
      </c>
      <c r="J48" s="258">
        <v>21890000000</v>
      </c>
      <c r="K48" s="256" t="s">
        <v>1346</v>
      </c>
    </row>
    <row r="49" spans="1:11" x14ac:dyDescent="0.3">
      <c r="A49" s="256">
        <v>42</v>
      </c>
      <c r="B49" s="257" t="s">
        <v>1358</v>
      </c>
      <c r="C49" s="276">
        <v>44367</v>
      </c>
      <c r="D49" s="257" t="s">
        <v>1275</v>
      </c>
      <c r="E49" s="256" t="s">
        <v>1575</v>
      </c>
      <c r="F49" s="256" t="s">
        <v>1547</v>
      </c>
      <c r="G49" s="258">
        <v>15234000000</v>
      </c>
      <c r="H49" s="265">
        <v>0.1</v>
      </c>
      <c r="I49" s="258">
        <v>1523400000</v>
      </c>
      <c r="J49" s="258">
        <v>16757400000</v>
      </c>
      <c r="K49" s="256" t="s">
        <v>1346</v>
      </c>
    </row>
    <row r="50" spans="1:11" x14ac:dyDescent="0.3">
      <c r="A50" s="256">
        <v>43</v>
      </c>
      <c r="B50" s="257" t="s">
        <v>1356</v>
      </c>
      <c r="C50" s="276">
        <v>44397</v>
      </c>
      <c r="D50" s="257" t="s">
        <v>1266</v>
      </c>
      <c r="E50" s="256" t="s">
        <v>1570</v>
      </c>
      <c r="F50" s="256" t="s">
        <v>1542</v>
      </c>
      <c r="G50" s="258">
        <v>46789000000</v>
      </c>
      <c r="H50" s="265">
        <v>0.1</v>
      </c>
      <c r="I50" s="258">
        <v>4678900000</v>
      </c>
      <c r="J50" s="258">
        <v>51467900000</v>
      </c>
      <c r="K50" s="256" t="s">
        <v>1346</v>
      </c>
    </row>
    <row r="51" spans="1:11" x14ac:dyDescent="0.3">
      <c r="A51" s="256">
        <v>44</v>
      </c>
      <c r="B51" s="257" t="s">
        <v>1356</v>
      </c>
      <c r="C51" s="276">
        <v>44428</v>
      </c>
      <c r="D51" s="257" t="s">
        <v>1285</v>
      </c>
      <c r="E51" s="256" t="s">
        <v>1558</v>
      </c>
      <c r="F51" s="256" t="s">
        <v>1544</v>
      </c>
      <c r="G51" s="258">
        <v>30234000000</v>
      </c>
      <c r="H51" s="265">
        <v>0.1</v>
      </c>
      <c r="I51" s="258">
        <v>3023400000</v>
      </c>
      <c r="J51" s="258">
        <v>33257400000</v>
      </c>
      <c r="K51" s="256" t="s">
        <v>1346</v>
      </c>
    </row>
    <row r="52" spans="1:11" x14ac:dyDescent="0.3">
      <c r="A52" s="256">
        <v>45</v>
      </c>
      <c r="B52" s="257" t="s">
        <v>1358</v>
      </c>
      <c r="C52" s="276">
        <v>44459</v>
      </c>
      <c r="D52" s="257" t="s">
        <v>1281</v>
      </c>
      <c r="E52" s="256" t="s">
        <v>1559</v>
      </c>
      <c r="F52" s="256" t="s">
        <v>1542</v>
      </c>
      <c r="G52" s="258">
        <v>43890000000</v>
      </c>
      <c r="H52" s="265">
        <v>0.1</v>
      </c>
      <c r="I52" s="258">
        <v>4389000000</v>
      </c>
      <c r="J52" s="258">
        <v>48279000000</v>
      </c>
      <c r="K52" s="256" t="s">
        <v>1346</v>
      </c>
    </row>
    <row r="53" spans="1:11" x14ac:dyDescent="0.3">
      <c r="A53" s="256">
        <v>46</v>
      </c>
      <c r="B53" s="257" t="s">
        <v>1358</v>
      </c>
      <c r="C53" s="276">
        <v>44489</v>
      </c>
      <c r="D53" s="257" t="s">
        <v>1395</v>
      </c>
      <c r="E53" s="256" t="s">
        <v>1581</v>
      </c>
      <c r="F53" s="256" t="s">
        <v>1543</v>
      </c>
      <c r="G53" s="258">
        <v>18456000000</v>
      </c>
      <c r="H53" s="265">
        <v>0.1</v>
      </c>
      <c r="I53" s="258">
        <v>1845600000</v>
      </c>
      <c r="J53" s="258">
        <v>20301600000</v>
      </c>
      <c r="K53" s="256" t="s">
        <v>1346</v>
      </c>
    </row>
    <row r="54" spans="1:11" x14ac:dyDescent="0.3">
      <c r="A54" s="256">
        <v>47</v>
      </c>
      <c r="B54" s="257" t="s">
        <v>1356</v>
      </c>
      <c r="C54" s="276">
        <v>44520</v>
      </c>
      <c r="D54" s="257" t="s">
        <v>1259</v>
      </c>
      <c r="E54" s="256" t="s">
        <v>1569</v>
      </c>
      <c r="F54" s="256" t="s">
        <v>1545</v>
      </c>
      <c r="G54" s="258">
        <v>22890000000</v>
      </c>
      <c r="H54" s="265">
        <v>0.1</v>
      </c>
      <c r="I54" s="258">
        <v>2289000000</v>
      </c>
      <c r="J54" s="258">
        <v>25179000000</v>
      </c>
      <c r="K54" s="256" t="s">
        <v>1346</v>
      </c>
    </row>
    <row r="55" spans="1:11" x14ac:dyDescent="0.3">
      <c r="A55" s="256">
        <v>48</v>
      </c>
      <c r="B55" s="257" t="s">
        <v>1356</v>
      </c>
      <c r="C55" s="276">
        <v>44550</v>
      </c>
      <c r="D55" s="257" t="s">
        <v>1264</v>
      </c>
      <c r="E55" s="256" t="s">
        <v>1584</v>
      </c>
      <c r="F55" s="256" t="s">
        <v>1542</v>
      </c>
      <c r="G55" s="258">
        <v>49234000000</v>
      </c>
      <c r="H55" s="265">
        <v>0.1</v>
      </c>
      <c r="I55" s="258">
        <v>4923400000</v>
      </c>
      <c r="J55" s="258">
        <v>54157400000</v>
      </c>
      <c r="K55" s="256" t="s">
        <v>1346</v>
      </c>
    </row>
    <row r="56" spans="1:11" x14ac:dyDescent="0.3">
      <c r="A56" s="256">
        <v>49</v>
      </c>
      <c r="B56" s="257" t="s">
        <v>1356</v>
      </c>
      <c r="C56" s="276">
        <v>44221</v>
      </c>
      <c r="D56" s="257" t="s">
        <v>1260</v>
      </c>
      <c r="E56" s="256" t="s">
        <v>1585</v>
      </c>
      <c r="F56" s="256" t="s">
        <v>1548</v>
      </c>
      <c r="G56" s="258">
        <v>14890000000</v>
      </c>
      <c r="H56" s="265">
        <v>0.1</v>
      </c>
      <c r="I56" s="258">
        <v>1489000000</v>
      </c>
      <c r="J56" s="258">
        <v>16379000000</v>
      </c>
      <c r="K56" s="256" t="s">
        <v>1346</v>
      </c>
    </row>
    <row r="57" spans="1:11" x14ac:dyDescent="0.3">
      <c r="A57" s="256">
        <v>50</v>
      </c>
      <c r="B57" s="257" t="s">
        <v>1358</v>
      </c>
      <c r="C57" s="276">
        <v>44252</v>
      </c>
      <c r="D57" s="257" t="s">
        <v>1277</v>
      </c>
      <c r="E57" s="256" t="s">
        <v>1582</v>
      </c>
      <c r="F57" s="256" t="s">
        <v>1542</v>
      </c>
      <c r="G57" s="258">
        <v>39567000000</v>
      </c>
      <c r="H57" s="265">
        <v>0.1</v>
      </c>
      <c r="I57" s="258">
        <v>3956700000</v>
      </c>
      <c r="J57" s="258">
        <v>43523700000</v>
      </c>
      <c r="K57" s="256" t="s">
        <v>1346</v>
      </c>
    </row>
    <row r="58" spans="1:11" x14ac:dyDescent="0.3">
      <c r="A58" s="256">
        <v>51</v>
      </c>
      <c r="B58" s="257" t="s">
        <v>1356</v>
      </c>
      <c r="C58" s="276">
        <v>44280</v>
      </c>
      <c r="D58" s="257" t="s">
        <v>1435</v>
      </c>
      <c r="E58" s="256" t="s">
        <v>1577</v>
      </c>
      <c r="F58" s="256" t="s">
        <v>1547</v>
      </c>
      <c r="G58" s="258">
        <v>16890000000</v>
      </c>
      <c r="H58" s="265">
        <v>0.1</v>
      </c>
      <c r="I58" s="258">
        <v>1689000000</v>
      </c>
      <c r="J58" s="258">
        <v>18579000000</v>
      </c>
      <c r="K58" s="256" t="s">
        <v>1346</v>
      </c>
    </row>
    <row r="59" spans="1:11" x14ac:dyDescent="0.3">
      <c r="A59" s="256">
        <v>52</v>
      </c>
      <c r="B59" s="257" t="s">
        <v>1356</v>
      </c>
      <c r="C59" s="276">
        <v>44311</v>
      </c>
      <c r="D59" s="257" t="s">
        <v>1384</v>
      </c>
      <c r="E59" s="256" t="s">
        <v>1565</v>
      </c>
      <c r="F59" s="256" t="s">
        <v>1542</v>
      </c>
      <c r="G59" s="258">
        <v>45567000000</v>
      </c>
      <c r="H59" s="265">
        <v>0.1</v>
      </c>
      <c r="I59" s="258">
        <v>4556700000</v>
      </c>
      <c r="J59" s="258">
        <v>50123700000</v>
      </c>
      <c r="K59" s="256" t="s">
        <v>1346</v>
      </c>
    </row>
    <row r="60" spans="1:11" x14ac:dyDescent="0.3">
      <c r="A60" s="256">
        <v>53</v>
      </c>
      <c r="B60" s="257" t="s">
        <v>1356</v>
      </c>
      <c r="C60" s="276">
        <v>44341</v>
      </c>
      <c r="D60" s="257" t="s">
        <v>1278</v>
      </c>
      <c r="E60" s="256" t="s">
        <v>1593</v>
      </c>
      <c r="F60" s="256" t="s">
        <v>1544</v>
      </c>
      <c r="G60" s="258">
        <v>29890000000</v>
      </c>
      <c r="H60" s="265">
        <v>0.1</v>
      </c>
      <c r="I60" s="258">
        <v>2989000000</v>
      </c>
      <c r="J60" s="258">
        <v>32879000000</v>
      </c>
      <c r="K60" s="256" t="s">
        <v>1346</v>
      </c>
    </row>
    <row r="61" spans="1:11" x14ac:dyDescent="0.3">
      <c r="A61" s="256">
        <v>54</v>
      </c>
      <c r="B61" s="257" t="s">
        <v>1356</v>
      </c>
      <c r="C61" s="276">
        <v>44372</v>
      </c>
      <c r="D61" s="257" t="s">
        <v>1263</v>
      </c>
      <c r="E61" s="256" t="s">
        <v>1579</v>
      </c>
      <c r="F61" s="256" t="s">
        <v>1543</v>
      </c>
      <c r="G61" s="258">
        <v>17456000000</v>
      </c>
      <c r="H61" s="265">
        <v>0.1</v>
      </c>
      <c r="I61" s="258">
        <v>1745600000</v>
      </c>
      <c r="J61" s="258">
        <v>19201600000</v>
      </c>
      <c r="K61" s="256" t="s">
        <v>1346</v>
      </c>
    </row>
    <row r="62" spans="1:11" x14ac:dyDescent="0.3">
      <c r="A62" s="256">
        <v>55</v>
      </c>
      <c r="B62" s="257" t="s">
        <v>1358</v>
      </c>
      <c r="C62" s="276">
        <v>44402</v>
      </c>
      <c r="D62" s="257" t="s">
        <v>1428</v>
      </c>
      <c r="E62" s="256" t="s">
        <v>1557</v>
      </c>
      <c r="F62" s="256" t="s">
        <v>1542</v>
      </c>
      <c r="G62" s="258">
        <v>48567000000</v>
      </c>
      <c r="H62" s="265">
        <v>0.1</v>
      </c>
      <c r="I62" s="258">
        <v>4856700000</v>
      </c>
      <c r="J62" s="258">
        <v>53423700000</v>
      </c>
      <c r="K62" s="256" t="s">
        <v>1346</v>
      </c>
    </row>
    <row r="63" spans="1:11" x14ac:dyDescent="0.3">
      <c r="A63" s="256">
        <v>56</v>
      </c>
      <c r="B63" s="257" t="s">
        <v>1355</v>
      </c>
      <c r="C63" s="276">
        <v>44433</v>
      </c>
      <c r="D63" s="257" t="s">
        <v>1282</v>
      </c>
      <c r="E63" s="256" t="s">
        <v>1580</v>
      </c>
      <c r="F63" s="256" t="s">
        <v>1545</v>
      </c>
      <c r="G63" s="258">
        <v>21890000000</v>
      </c>
      <c r="H63" s="265">
        <v>0.1</v>
      </c>
      <c r="I63" s="258">
        <v>2189000000</v>
      </c>
      <c r="J63" s="258">
        <v>24079000000</v>
      </c>
      <c r="K63" s="256" t="s">
        <v>1346</v>
      </c>
    </row>
    <row r="64" spans="1:11" x14ac:dyDescent="0.3">
      <c r="A64" s="256">
        <v>57</v>
      </c>
      <c r="B64" s="257" t="s">
        <v>1201</v>
      </c>
      <c r="C64" s="276">
        <v>44464</v>
      </c>
      <c r="D64" s="257" t="s">
        <v>1258</v>
      </c>
      <c r="E64" s="256" t="s">
        <v>351</v>
      </c>
      <c r="F64" s="256" t="s">
        <v>1542</v>
      </c>
      <c r="G64" s="258">
        <v>42234000000</v>
      </c>
      <c r="H64" s="265">
        <v>0.1</v>
      </c>
      <c r="I64" s="258">
        <v>4223400000</v>
      </c>
      <c r="J64" s="258">
        <v>46457400000</v>
      </c>
      <c r="K64" s="256" t="s">
        <v>1346</v>
      </c>
    </row>
    <row r="65" spans="1:11" x14ac:dyDescent="0.3">
      <c r="A65" s="256">
        <v>58</v>
      </c>
      <c r="B65" s="257" t="s">
        <v>1358</v>
      </c>
      <c r="C65" s="276">
        <v>44494</v>
      </c>
      <c r="D65" s="257" t="s">
        <v>1262</v>
      </c>
      <c r="E65" s="256" t="s">
        <v>1556</v>
      </c>
      <c r="F65" s="256" t="s">
        <v>1544</v>
      </c>
      <c r="G65" s="258">
        <v>31890000000</v>
      </c>
      <c r="H65" s="265">
        <v>0.1</v>
      </c>
      <c r="I65" s="258">
        <v>3189000000</v>
      </c>
      <c r="J65" s="258">
        <v>35079000000</v>
      </c>
      <c r="K65" s="256" t="s">
        <v>1346</v>
      </c>
    </row>
    <row r="66" spans="1:11" x14ac:dyDescent="0.3">
      <c r="A66" s="256">
        <v>59</v>
      </c>
      <c r="B66" s="257" t="s">
        <v>1360</v>
      </c>
      <c r="C66" s="276">
        <v>44525</v>
      </c>
      <c r="D66" s="257" t="s">
        <v>1352</v>
      </c>
      <c r="E66" s="256" t="s">
        <v>1571</v>
      </c>
      <c r="F66" s="256" t="s">
        <v>1542</v>
      </c>
      <c r="G66" s="258">
        <v>51234000000</v>
      </c>
      <c r="H66" s="265">
        <v>0.1</v>
      </c>
      <c r="I66" s="258">
        <v>5123400000</v>
      </c>
      <c r="J66" s="258">
        <v>56357400000</v>
      </c>
      <c r="K66" s="256" t="s">
        <v>1346</v>
      </c>
    </row>
    <row r="67" spans="1:11" x14ac:dyDescent="0.3">
      <c r="A67" s="256">
        <v>60</v>
      </c>
      <c r="B67" s="257" t="s">
        <v>1360</v>
      </c>
      <c r="C67" s="276">
        <v>44555</v>
      </c>
      <c r="D67" s="257" t="s">
        <v>1272</v>
      </c>
      <c r="E67" s="256" t="s">
        <v>540</v>
      </c>
      <c r="F67" s="256" t="s">
        <v>1546</v>
      </c>
      <c r="G67" s="258">
        <v>23456000000</v>
      </c>
      <c r="H67" s="265">
        <v>0</v>
      </c>
      <c r="I67" s="258">
        <v>0</v>
      </c>
      <c r="J67" s="258">
        <v>23456000000</v>
      </c>
      <c r="K67" s="256" t="s">
        <v>1346</v>
      </c>
    </row>
    <row r="68" spans="1:11" x14ac:dyDescent="0.3">
      <c r="A68" s="256">
        <v>61</v>
      </c>
      <c r="B68" s="257" t="s">
        <v>1360</v>
      </c>
      <c r="C68" s="276">
        <v>44227</v>
      </c>
      <c r="D68" s="257" t="s">
        <v>1261</v>
      </c>
      <c r="E68" s="256" t="s">
        <v>1572</v>
      </c>
      <c r="F68" s="256" t="s">
        <v>1542</v>
      </c>
      <c r="G68" s="258">
        <v>40234000000</v>
      </c>
      <c r="H68" s="265">
        <v>0.1</v>
      </c>
      <c r="I68" s="258">
        <v>4023400000</v>
      </c>
      <c r="J68" s="258">
        <v>44257400000</v>
      </c>
      <c r="K68" s="256" t="s">
        <v>1346</v>
      </c>
    </row>
    <row r="69" spans="1:11" x14ac:dyDescent="0.3">
      <c r="A69" s="256">
        <v>62</v>
      </c>
      <c r="B69" s="257" t="s">
        <v>1202</v>
      </c>
      <c r="C69" s="276">
        <v>44286</v>
      </c>
      <c r="D69" s="257" t="s">
        <v>1283</v>
      </c>
      <c r="E69" s="256" t="s">
        <v>1588</v>
      </c>
      <c r="F69" s="256" t="s">
        <v>1547</v>
      </c>
      <c r="G69" s="258">
        <v>15890000000</v>
      </c>
      <c r="H69" s="265">
        <v>0.1</v>
      </c>
      <c r="I69" s="258">
        <v>1589000000</v>
      </c>
      <c r="J69" s="258">
        <v>17479000000</v>
      </c>
      <c r="K69" s="256" t="s">
        <v>1346</v>
      </c>
    </row>
    <row r="70" spans="1:11" x14ac:dyDescent="0.3">
      <c r="A70" s="256">
        <v>63</v>
      </c>
      <c r="B70" s="257" t="s">
        <v>1360</v>
      </c>
      <c r="C70" s="276">
        <v>44347</v>
      </c>
      <c r="D70" s="257" t="s">
        <v>1267</v>
      </c>
      <c r="E70" s="256" t="s">
        <v>1560</v>
      </c>
      <c r="F70" s="256" t="s">
        <v>1542</v>
      </c>
      <c r="G70" s="258">
        <v>47890000000</v>
      </c>
      <c r="H70" s="265">
        <v>0.1</v>
      </c>
      <c r="I70" s="258">
        <v>4789000000</v>
      </c>
      <c r="J70" s="258">
        <v>52679000000</v>
      </c>
      <c r="K70" s="256" t="s">
        <v>1346</v>
      </c>
    </row>
    <row r="71" spans="1:11" x14ac:dyDescent="0.3">
      <c r="A71" s="256">
        <v>64</v>
      </c>
      <c r="B71" s="257" t="s">
        <v>1360</v>
      </c>
      <c r="C71" s="276">
        <v>44408</v>
      </c>
      <c r="D71" s="257" t="s">
        <v>1279</v>
      </c>
      <c r="E71" s="256" t="s">
        <v>1573</v>
      </c>
      <c r="F71" s="256" t="s">
        <v>1544</v>
      </c>
      <c r="G71" s="258">
        <v>29456000000</v>
      </c>
      <c r="H71" s="265">
        <v>0.1</v>
      </c>
      <c r="I71" s="258">
        <v>2945600000</v>
      </c>
      <c r="J71" s="258">
        <v>32401600000</v>
      </c>
      <c r="K71" s="256" t="s">
        <v>1346</v>
      </c>
    </row>
    <row r="72" spans="1:11" x14ac:dyDescent="0.3">
      <c r="A72" s="256">
        <v>65</v>
      </c>
      <c r="B72" s="257" t="s">
        <v>1356</v>
      </c>
      <c r="C72" s="276">
        <v>44439</v>
      </c>
      <c r="D72" s="257" t="s">
        <v>1389</v>
      </c>
      <c r="E72" s="256" t="s">
        <v>1555</v>
      </c>
      <c r="F72" s="256" t="s">
        <v>1542</v>
      </c>
      <c r="G72" s="258">
        <v>44890000000</v>
      </c>
      <c r="H72" s="265">
        <v>0.1</v>
      </c>
      <c r="I72" s="258">
        <v>4489000000</v>
      </c>
      <c r="J72" s="258">
        <v>49379000000</v>
      </c>
      <c r="K72" s="256" t="s">
        <v>1346</v>
      </c>
    </row>
    <row r="73" spans="1:11" x14ac:dyDescent="0.3">
      <c r="A73" s="256">
        <v>66</v>
      </c>
      <c r="B73" s="257" t="s">
        <v>1360</v>
      </c>
      <c r="C73" s="276">
        <v>44500</v>
      </c>
      <c r="D73" s="257" t="s">
        <v>1274</v>
      </c>
      <c r="E73" s="256" t="s">
        <v>1592</v>
      </c>
      <c r="F73" s="256" t="s">
        <v>1543</v>
      </c>
      <c r="G73" s="258">
        <v>18234000000</v>
      </c>
      <c r="H73" s="265">
        <v>0.1</v>
      </c>
      <c r="I73" s="258">
        <v>1823400000</v>
      </c>
      <c r="J73" s="258">
        <v>20057400000</v>
      </c>
      <c r="K73" s="256" t="s">
        <v>1346</v>
      </c>
    </row>
    <row r="74" spans="1:11" x14ac:dyDescent="0.3">
      <c r="A74" s="256">
        <v>67</v>
      </c>
      <c r="B74" s="257" t="s">
        <v>1358</v>
      </c>
      <c r="C74" s="276">
        <v>44500</v>
      </c>
      <c r="D74" s="257" t="s">
        <v>1280</v>
      </c>
      <c r="E74" s="256" t="s">
        <v>618</v>
      </c>
      <c r="F74" s="256" t="s">
        <v>1542</v>
      </c>
      <c r="G74" s="258">
        <v>50890000000</v>
      </c>
      <c r="H74" s="265">
        <v>0.1</v>
      </c>
      <c r="I74" s="258">
        <v>5089000000</v>
      </c>
      <c r="J74" s="258">
        <v>55979000000</v>
      </c>
      <c r="K74" s="256" t="s">
        <v>1346</v>
      </c>
    </row>
    <row r="75" spans="1:11" x14ac:dyDescent="0.3">
      <c r="A75" s="256">
        <v>68</v>
      </c>
      <c r="B75" s="257" t="s">
        <v>1200</v>
      </c>
      <c r="C75" s="276">
        <v>44561</v>
      </c>
      <c r="D75" s="257" t="s">
        <v>1994</v>
      </c>
      <c r="E75" s="256" t="s">
        <v>1562</v>
      </c>
      <c r="F75" s="256" t="s">
        <v>1545</v>
      </c>
      <c r="G75" s="258">
        <v>23890000000</v>
      </c>
      <c r="H75" s="265">
        <v>0.1</v>
      </c>
      <c r="I75" s="258">
        <v>2389000000</v>
      </c>
      <c r="J75" s="258">
        <v>26279000000</v>
      </c>
      <c r="K75" s="256" t="s">
        <v>1346</v>
      </c>
    </row>
    <row r="76" spans="1:11" x14ac:dyDescent="0.3">
      <c r="A76" s="256">
        <v>69</v>
      </c>
      <c r="B76" s="257" t="s">
        <v>1360</v>
      </c>
      <c r="C76" s="276">
        <v>44561</v>
      </c>
      <c r="D76" s="257" t="s">
        <v>1284</v>
      </c>
      <c r="E76" s="256" t="s">
        <v>1552</v>
      </c>
      <c r="F76" s="256" t="s">
        <v>1542</v>
      </c>
      <c r="G76" s="258">
        <v>47456000000</v>
      </c>
      <c r="H76" s="265">
        <v>0.1</v>
      </c>
      <c r="I76" s="258">
        <v>4745600000</v>
      </c>
      <c r="J76" s="258">
        <v>52201600000</v>
      </c>
      <c r="K76" s="256" t="s">
        <v>1346</v>
      </c>
    </row>
    <row r="77" spans="1:11" x14ac:dyDescent="0.3">
      <c r="A77" s="256">
        <v>70</v>
      </c>
      <c r="B77" s="257" t="s">
        <v>1355</v>
      </c>
      <c r="C77" s="276">
        <v>44561</v>
      </c>
      <c r="D77" s="257" t="s">
        <v>1268</v>
      </c>
      <c r="E77" s="256" t="s">
        <v>1594</v>
      </c>
      <c r="F77" s="256" t="s">
        <v>1548</v>
      </c>
      <c r="G77" s="258">
        <v>15456000000</v>
      </c>
      <c r="H77" s="265">
        <v>0.1</v>
      </c>
      <c r="I77" s="258">
        <v>1545600000</v>
      </c>
      <c r="J77" s="258">
        <v>17001600000</v>
      </c>
      <c r="K77" s="256" t="s">
        <v>1348</v>
      </c>
    </row>
    <row r="78" spans="1:11" x14ac:dyDescent="0.3">
      <c r="A78" s="266" t="s">
        <v>1351</v>
      </c>
      <c r="B78" s="266"/>
      <c r="C78" s="266"/>
      <c r="D78" s="266"/>
      <c r="E78" s="266"/>
      <c r="F78" s="266"/>
      <c r="G78" s="267">
        <f>SUM(G8:G77)</f>
        <v>2250626000000</v>
      </c>
      <c r="H78" s="266"/>
      <c r="I78" s="267">
        <f>SUM(I8:I77)</f>
        <v>215782300000</v>
      </c>
      <c r="J78" s="267">
        <f>SUM(J8:J77)</f>
        <v>2466408300000</v>
      </c>
      <c r="K78" s="266"/>
    </row>
    <row r="79" spans="1:11" x14ac:dyDescent="0.3">
      <c r="A79" s="256"/>
      <c r="B79" s="256"/>
      <c r="C79" s="256"/>
      <c r="D79" s="256"/>
      <c r="E79" s="256"/>
      <c r="F79" s="256"/>
      <c r="G79" s="256"/>
      <c r="H79" s="256"/>
      <c r="I79" s="256"/>
      <c r="J79" s="256"/>
      <c r="K79" s="256"/>
    </row>
    <row r="80" spans="1:11" x14ac:dyDescent="0.3">
      <c r="A80" s="256" t="s">
        <v>1420</v>
      </c>
      <c r="B80" s="256"/>
      <c r="C80" s="256"/>
      <c r="D80" s="256"/>
      <c r="E80" s="256"/>
      <c r="F80" s="256"/>
      <c r="G80" s="256"/>
      <c r="H80" s="256"/>
      <c r="I80" s="256"/>
      <c r="J80" s="256"/>
      <c r="K80" s="256"/>
    </row>
    <row r="81" spans="1:11" x14ac:dyDescent="0.3">
      <c r="A81" s="266" t="s">
        <v>0</v>
      </c>
      <c r="B81" s="266" t="s">
        <v>212</v>
      </c>
      <c r="C81" s="266" t="s">
        <v>1535</v>
      </c>
      <c r="D81" s="266" t="s">
        <v>1586</v>
      </c>
      <c r="E81" s="266" t="s">
        <v>1422</v>
      </c>
      <c r="F81" s="266" t="s">
        <v>1537</v>
      </c>
      <c r="G81" s="266" t="s">
        <v>270</v>
      </c>
      <c r="H81" s="266" t="s">
        <v>1538</v>
      </c>
      <c r="I81" s="266" t="s">
        <v>1539</v>
      </c>
      <c r="J81" s="266" t="s">
        <v>1540</v>
      </c>
      <c r="K81" s="266" t="s">
        <v>1541</v>
      </c>
    </row>
    <row r="82" spans="1:11" x14ac:dyDescent="0.3">
      <c r="A82" s="256">
        <v>1</v>
      </c>
      <c r="B82" s="257" t="s">
        <v>1200</v>
      </c>
      <c r="C82" s="276">
        <v>44317</v>
      </c>
      <c r="D82" s="257" t="s">
        <v>1352</v>
      </c>
      <c r="E82" s="256" t="s">
        <v>1571</v>
      </c>
      <c r="F82" s="256" t="s">
        <v>1587</v>
      </c>
      <c r="G82" s="258">
        <v>48234000000</v>
      </c>
      <c r="H82" s="265">
        <v>0.1</v>
      </c>
      <c r="I82" s="258">
        <v>4823400000</v>
      </c>
      <c r="J82" s="258">
        <v>53057400000</v>
      </c>
      <c r="K82" s="256" t="s">
        <v>1346</v>
      </c>
    </row>
    <row r="83" spans="1:11" x14ac:dyDescent="0.3">
      <c r="A83" s="256">
        <v>2</v>
      </c>
      <c r="B83" s="257" t="s">
        <v>1201</v>
      </c>
      <c r="C83" s="276">
        <v>44319</v>
      </c>
      <c r="D83" s="257" t="s">
        <v>1283</v>
      </c>
      <c r="E83" s="256" t="s">
        <v>1588</v>
      </c>
      <c r="F83" s="256" t="s">
        <v>1589</v>
      </c>
      <c r="G83" s="258">
        <v>72345000000</v>
      </c>
      <c r="H83" s="265">
        <v>0</v>
      </c>
      <c r="I83" s="258">
        <v>0</v>
      </c>
      <c r="J83" s="258">
        <v>72345000000</v>
      </c>
      <c r="K83" s="256" t="s">
        <v>1346</v>
      </c>
    </row>
    <row r="84" spans="1:11" x14ac:dyDescent="0.3">
      <c r="A84" s="256">
        <v>3</v>
      </c>
      <c r="B84" s="257" t="s">
        <v>1202</v>
      </c>
      <c r="C84" s="276">
        <v>44321</v>
      </c>
      <c r="D84" s="257" t="s">
        <v>1384</v>
      </c>
      <c r="E84" s="256" t="s">
        <v>1565</v>
      </c>
      <c r="F84" s="256" t="s">
        <v>1587</v>
      </c>
      <c r="G84" s="258">
        <v>45678000000</v>
      </c>
      <c r="H84" s="265">
        <v>0.1</v>
      </c>
      <c r="I84" s="258">
        <v>4567800000</v>
      </c>
      <c r="J84" s="258">
        <v>50245800000</v>
      </c>
      <c r="K84" s="256" t="s">
        <v>1346</v>
      </c>
    </row>
    <row r="85" spans="1:11" x14ac:dyDescent="0.3">
      <c r="A85" s="256">
        <v>4</v>
      </c>
      <c r="B85" s="257" t="s">
        <v>1355</v>
      </c>
      <c r="C85" s="276">
        <v>44323</v>
      </c>
      <c r="D85" s="257" t="s">
        <v>1258</v>
      </c>
      <c r="E85" s="256" t="s">
        <v>351</v>
      </c>
      <c r="F85" s="256" t="s">
        <v>1589</v>
      </c>
      <c r="G85" s="258">
        <v>78901000000</v>
      </c>
      <c r="H85" s="265">
        <v>0</v>
      </c>
      <c r="I85" s="258">
        <v>0</v>
      </c>
      <c r="J85" s="258">
        <v>78901000000</v>
      </c>
      <c r="K85" s="256" t="s">
        <v>1346</v>
      </c>
    </row>
    <row r="86" spans="1:11" x14ac:dyDescent="0.3">
      <c r="A86" s="256">
        <v>5</v>
      </c>
      <c r="B86" s="257" t="s">
        <v>1356</v>
      </c>
      <c r="C86" s="276">
        <v>44325</v>
      </c>
      <c r="D86" s="257" t="s">
        <v>1275</v>
      </c>
      <c r="E86" s="256" t="s">
        <v>1575</v>
      </c>
      <c r="F86" s="256" t="s">
        <v>1590</v>
      </c>
      <c r="G86" s="258">
        <v>34567000000</v>
      </c>
      <c r="H86" s="265">
        <v>0.1</v>
      </c>
      <c r="I86" s="258">
        <v>3456700000</v>
      </c>
      <c r="J86" s="258">
        <v>38023700000</v>
      </c>
      <c r="K86" s="256" t="s">
        <v>1346</v>
      </c>
    </row>
    <row r="87" spans="1:11" x14ac:dyDescent="0.3">
      <c r="A87" s="256">
        <v>6</v>
      </c>
      <c r="B87" s="257" t="s">
        <v>1358</v>
      </c>
      <c r="C87" s="276">
        <v>44327</v>
      </c>
      <c r="D87" s="257" t="s">
        <v>1428</v>
      </c>
      <c r="E87" s="256" t="s">
        <v>1557</v>
      </c>
      <c r="F87" s="256" t="s">
        <v>1587</v>
      </c>
      <c r="G87" s="258">
        <v>52345000000</v>
      </c>
      <c r="H87" s="265">
        <v>0.1</v>
      </c>
      <c r="I87" s="258">
        <v>5234500000</v>
      </c>
      <c r="J87" s="258">
        <v>57579500000</v>
      </c>
      <c r="K87" s="256" t="s">
        <v>1346</v>
      </c>
    </row>
    <row r="88" spans="1:11" x14ac:dyDescent="0.3">
      <c r="A88" s="256">
        <v>7</v>
      </c>
      <c r="B88" s="257" t="s">
        <v>1360</v>
      </c>
      <c r="C88" s="276">
        <v>44470</v>
      </c>
      <c r="D88" s="257" t="s">
        <v>1277</v>
      </c>
      <c r="E88" s="256" t="s">
        <v>1582</v>
      </c>
      <c r="F88" s="256" t="s">
        <v>1589</v>
      </c>
      <c r="G88" s="258">
        <v>89234000000</v>
      </c>
      <c r="H88" s="265">
        <v>0</v>
      </c>
      <c r="I88" s="258">
        <v>0</v>
      </c>
      <c r="J88" s="258">
        <v>89234000000</v>
      </c>
      <c r="K88" s="256" t="s">
        <v>1346</v>
      </c>
    </row>
    <row r="89" spans="1:11" x14ac:dyDescent="0.3">
      <c r="A89" s="256">
        <v>8</v>
      </c>
      <c r="B89" s="257" t="s">
        <v>1362</v>
      </c>
      <c r="C89" s="276">
        <v>44472</v>
      </c>
      <c r="D89" s="257" t="s">
        <v>1262</v>
      </c>
      <c r="E89" s="256" t="s">
        <v>1556</v>
      </c>
      <c r="F89" s="256" t="s">
        <v>1591</v>
      </c>
      <c r="G89" s="258">
        <v>31234000000</v>
      </c>
      <c r="H89" s="265">
        <v>0.1</v>
      </c>
      <c r="I89" s="258">
        <v>3123400000</v>
      </c>
      <c r="J89" s="258">
        <v>34357400000</v>
      </c>
      <c r="K89" s="256" t="s">
        <v>1346</v>
      </c>
    </row>
    <row r="90" spans="1:11" x14ac:dyDescent="0.3">
      <c r="A90" s="256">
        <v>9</v>
      </c>
      <c r="B90" s="257" t="s">
        <v>1364</v>
      </c>
      <c r="C90" s="276">
        <v>44474</v>
      </c>
      <c r="D90" s="257" t="s">
        <v>1285</v>
      </c>
      <c r="E90" s="256" t="s">
        <v>1558</v>
      </c>
      <c r="F90" s="256" t="s">
        <v>1587</v>
      </c>
      <c r="G90" s="258">
        <v>57890000000</v>
      </c>
      <c r="H90" s="265">
        <v>0.1</v>
      </c>
      <c r="I90" s="258">
        <v>5789000000</v>
      </c>
      <c r="J90" s="258">
        <v>63679000000</v>
      </c>
      <c r="K90" s="256" t="s">
        <v>1346</v>
      </c>
    </row>
    <row r="91" spans="1:11" x14ac:dyDescent="0.3">
      <c r="A91" s="256">
        <v>10</v>
      </c>
      <c r="B91" s="257" t="s">
        <v>1366</v>
      </c>
      <c r="C91" s="276">
        <v>44476</v>
      </c>
      <c r="D91" s="257" t="s">
        <v>1435</v>
      </c>
      <c r="E91" s="256" t="s">
        <v>1577</v>
      </c>
      <c r="F91" s="256" t="s">
        <v>1589</v>
      </c>
      <c r="G91" s="258">
        <v>76234000000</v>
      </c>
      <c r="H91" s="265">
        <v>0</v>
      </c>
      <c r="I91" s="258">
        <v>0</v>
      </c>
      <c r="J91" s="258">
        <v>76234000000</v>
      </c>
      <c r="K91" s="256" t="s">
        <v>1346</v>
      </c>
    </row>
    <row r="92" spans="1:11" x14ac:dyDescent="0.3">
      <c r="A92" s="256">
        <v>11</v>
      </c>
      <c r="B92" s="257" t="s">
        <v>1368</v>
      </c>
      <c r="C92" s="276">
        <v>44478</v>
      </c>
      <c r="D92" s="257" t="s">
        <v>1279</v>
      </c>
      <c r="E92" s="256" t="s">
        <v>1573</v>
      </c>
      <c r="F92" s="256" t="s">
        <v>1590</v>
      </c>
      <c r="G92" s="258">
        <v>38901000000</v>
      </c>
      <c r="H92" s="265">
        <v>0.1</v>
      </c>
      <c r="I92" s="258">
        <v>3890100000</v>
      </c>
      <c r="J92" s="258">
        <v>42791100000</v>
      </c>
      <c r="K92" s="256" t="s">
        <v>1346</v>
      </c>
    </row>
    <row r="93" spans="1:11" x14ac:dyDescent="0.3">
      <c r="A93" s="256">
        <v>12</v>
      </c>
      <c r="B93" s="257" t="s">
        <v>1371</v>
      </c>
      <c r="C93" s="276">
        <v>44480</v>
      </c>
      <c r="D93" s="257" t="s">
        <v>1260</v>
      </c>
      <c r="E93" s="256" t="s">
        <v>1585</v>
      </c>
      <c r="F93" s="256" t="s">
        <v>1587</v>
      </c>
      <c r="G93" s="258">
        <v>51234000000</v>
      </c>
      <c r="H93" s="265">
        <v>0.1</v>
      </c>
      <c r="I93" s="258">
        <v>5123400000</v>
      </c>
      <c r="J93" s="258">
        <v>56357400000</v>
      </c>
      <c r="K93" s="256" t="s">
        <v>1346</v>
      </c>
    </row>
    <row r="94" spans="1:11" x14ac:dyDescent="0.3">
      <c r="A94" s="256">
        <v>13</v>
      </c>
      <c r="B94" s="257" t="s">
        <v>1373</v>
      </c>
      <c r="C94" s="276">
        <v>44211</v>
      </c>
      <c r="D94" s="257" t="s">
        <v>1395</v>
      </c>
      <c r="E94" s="256" t="s">
        <v>1581</v>
      </c>
      <c r="F94" s="256" t="s">
        <v>1589</v>
      </c>
      <c r="G94" s="258">
        <v>84567000000</v>
      </c>
      <c r="H94" s="265">
        <v>0</v>
      </c>
      <c r="I94" s="258">
        <v>0</v>
      </c>
      <c r="J94" s="258">
        <v>84567000000</v>
      </c>
      <c r="K94" s="256" t="s">
        <v>1346</v>
      </c>
    </row>
    <row r="95" spans="1:11" x14ac:dyDescent="0.3">
      <c r="A95" s="256">
        <v>14</v>
      </c>
      <c r="B95" s="257" t="s">
        <v>1374</v>
      </c>
      <c r="C95" s="276">
        <v>44270</v>
      </c>
      <c r="D95" s="257" t="s">
        <v>1281</v>
      </c>
      <c r="E95" s="256" t="s">
        <v>1559</v>
      </c>
      <c r="F95" s="256" t="s">
        <v>1591</v>
      </c>
      <c r="G95" s="258">
        <v>33456000000</v>
      </c>
      <c r="H95" s="265">
        <v>0.1</v>
      </c>
      <c r="I95" s="258">
        <v>3345600000</v>
      </c>
      <c r="J95" s="258">
        <v>36801600000</v>
      </c>
      <c r="K95" s="256" t="s">
        <v>1346</v>
      </c>
    </row>
    <row r="96" spans="1:11" x14ac:dyDescent="0.3">
      <c r="A96" s="256">
        <v>15</v>
      </c>
      <c r="B96" s="257" t="s">
        <v>1376</v>
      </c>
      <c r="C96" s="276">
        <v>44331</v>
      </c>
      <c r="D96" s="257" t="s">
        <v>1282</v>
      </c>
      <c r="E96" s="256" t="s">
        <v>1580</v>
      </c>
      <c r="F96" s="256" t="s">
        <v>1587</v>
      </c>
      <c r="G96" s="258">
        <v>62345000000</v>
      </c>
      <c r="H96" s="265">
        <v>0.1</v>
      </c>
      <c r="I96" s="258">
        <v>6234500000</v>
      </c>
      <c r="J96" s="258">
        <v>68579500000</v>
      </c>
      <c r="K96" s="256" t="s">
        <v>1346</v>
      </c>
    </row>
    <row r="97" spans="1:11" x14ac:dyDescent="0.3">
      <c r="A97" s="256">
        <v>16</v>
      </c>
      <c r="B97" s="257" t="s">
        <v>1378</v>
      </c>
      <c r="C97" s="276">
        <v>44392</v>
      </c>
      <c r="D97" s="257" t="s">
        <v>1274</v>
      </c>
      <c r="E97" s="256" t="s">
        <v>1592</v>
      </c>
      <c r="F97" s="256" t="s">
        <v>1589</v>
      </c>
      <c r="G97" s="258">
        <v>69234000000</v>
      </c>
      <c r="H97" s="265">
        <v>0</v>
      </c>
      <c r="I97" s="258">
        <v>0</v>
      </c>
      <c r="J97" s="258">
        <v>69234000000</v>
      </c>
      <c r="K97" s="256" t="s">
        <v>1346</v>
      </c>
    </row>
    <row r="98" spans="1:11" x14ac:dyDescent="0.3">
      <c r="A98" s="256">
        <v>17</v>
      </c>
      <c r="B98" s="257" t="s">
        <v>1379</v>
      </c>
      <c r="C98" s="276">
        <v>44454</v>
      </c>
      <c r="D98" s="257" t="s">
        <v>1280</v>
      </c>
      <c r="E98" s="256" t="s">
        <v>618</v>
      </c>
      <c r="F98" s="256" t="s">
        <v>1590</v>
      </c>
      <c r="G98" s="258">
        <v>41234000000</v>
      </c>
      <c r="H98" s="265">
        <v>0.1</v>
      </c>
      <c r="I98" s="258">
        <v>4123400000</v>
      </c>
      <c r="J98" s="258">
        <v>45357400000</v>
      </c>
      <c r="K98" s="256" t="s">
        <v>1346</v>
      </c>
    </row>
    <row r="99" spans="1:11" x14ac:dyDescent="0.3">
      <c r="A99" s="256">
        <v>18</v>
      </c>
      <c r="B99" s="257" t="s">
        <v>1381</v>
      </c>
      <c r="C99" s="276">
        <v>44515</v>
      </c>
      <c r="D99" s="257" t="s">
        <v>1267</v>
      </c>
      <c r="E99" s="256" t="s">
        <v>1560</v>
      </c>
      <c r="F99" s="256" t="s">
        <v>1587</v>
      </c>
      <c r="G99" s="258">
        <v>55678000000</v>
      </c>
      <c r="H99" s="265">
        <v>0.1</v>
      </c>
      <c r="I99" s="258">
        <v>5567800000</v>
      </c>
      <c r="J99" s="258">
        <v>61245800000</v>
      </c>
      <c r="K99" s="256" t="s">
        <v>1346</v>
      </c>
    </row>
    <row r="100" spans="1:11" x14ac:dyDescent="0.3">
      <c r="A100" s="256">
        <v>19</v>
      </c>
      <c r="B100" s="257" t="s">
        <v>1382</v>
      </c>
      <c r="C100" s="276">
        <v>44216</v>
      </c>
      <c r="D100" s="257" t="s">
        <v>1416</v>
      </c>
      <c r="E100" s="256" t="s">
        <v>1562</v>
      </c>
      <c r="F100" s="256" t="s">
        <v>1589</v>
      </c>
      <c r="G100" s="258">
        <v>74567000000</v>
      </c>
      <c r="H100" s="265">
        <v>0</v>
      </c>
      <c r="I100" s="258">
        <v>0</v>
      </c>
      <c r="J100" s="258">
        <v>74567000000</v>
      </c>
      <c r="K100" s="256" t="s">
        <v>1346</v>
      </c>
    </row>
    <row r="101" spans="1:11" x14ac:dyDescent="0.3">
      <c r="A101" s="256">
        <v>20</v>
      </c>
      <c r="B101" s="257" t="s">
        <v>1383</v>
      </c>
      <c r="C101" s="276">
        <v>44275</v>
      </c>
      <c r="D101" s="257" t="s">
        <v>1284</v>
      </c>
      <c r="E101" s="256" t="s">
        <v>1552</v>
      </c>
      <c r="F101" s="256" t="s">
        <v>1591</v>
      </c>
      <c r="G101" s="258">
        <v>31890000000</v>
      </c>
      <c r="H101" s="265">
        <v>0.1</v>
      </c>
      <c r="I101" s="258">
        <v>3189000000</v>
      </c>
      <c r="J101" s="258">
        <v>35079000000</v>
      </c>
      <c r="K101" s="256" t="s">
        <v>1346</v>
      </c>
    </row>
    <row r="102" spans="1:11" x14ac:dyDescent="0.3">
      <c r="A102" s="256">
        <v>21</v>
      </c>
      <c r="B102" s="257" t="s">
        <v>1203</v>
      </c>
      <c r="C102" s="276">
        <v>44336</v>
      </c>
      <c r="D102" s="257" t="s">
        <v>1264</v>
      </c>
      <c r="E102" s="256" t="s">
        <v>1584</v>
      </c>
      <c r="F102" s="256" t="s">
        <v>1587</v>
      </c>
      <c r="G102" s="258">
        <v>58901000000</v>
      </c>
      <c r="H102" s="265">
        <v>0.1</v>
      </c>
      <c r="I102" s="258">
        <v>5890100000</v>
      </c>
      <c r="J102" s="258">
        <v>64791100000</v>
      </c>
      <c r="K102" s="256" t="s">
        <v>1346</v>
      </c>
    </row>
    <row r="103" spans="1:11" x14ac:dyDescent="0.3">
      <c r="A103" s="256">
        <v>22</v>
      </c>
      <c r="B103" s="257" t="s">
        <v>1204</v>
      </c>
      <c r="C103" s="276">
        <v>44397</v>
      </c>
      <c r="D103" s="257" t="s">
        <v>1261</v>
      </c>
      <c r="E103" s="256" t="s">
        <v>1572</v>
      </c>
      <c r="F103" s="256" t="s">
        <v>1589</v>
      </c>
      <c r="G103" s="258">
        <v>71234000000</v>
      </c>
      <c r="H103" s="265">
        <v>0</v>
      </c>
      <c r="I103" s="258">
        <v>0</v>
      </c>
      <c r="J103" s="258">
        <v>71234000000</v>
      </c>
      <c r="K103" s="256" t="s">
        <v>1346</v>
      </c>
    </row>
    <row r="104" spans="1:11" x14ac:dyDescent="0.3">
      <c r="A104" s="256">
        <v>23</v>
      </c>
      <c r="B104" s="257" t="s">
        <v>1205</v>
      </c>
      <c r="C104" s="276">
        <v>44459</v>
      </c>
      <c r="D104" s="257" t="s">
        <v>1352</v>
      </c>
      <c r="E104" s="256" t="s">
        <v>1571</v>
      </c>
      <c r="F104" s="256" t="s">
        <v>1590</v>
      </c>
      <c r="G104" s="258">
        <v>35678000000</v>
      </c>
      <c r="H104" s="265">
        <v>0.1</v>
      </c>
      <c r="I104" s="258">
        <v>3567800000</v>
      </c>
      <c r="J104" s="258">
        <v>39245800000</v>
      </c>
      <c r="K104" s="256" t="s">
        <v>1346</v>
      </c>
    </row>
    <row r="105" spans="1:11" x14ac:dyDescent="0.3">
      <c r="A105" s="256">
        <v>24</v>
      </c>
      <c r="B105" s="257" t="s">
        <v>1385</v>
      </c>
      <c r="C105" s="276">
        <v>44520</v>
      </c>
      <c r="D105" s="257" t="s">
        <v>1272</v>
      </c>
      <c r="E105" s="256" t="s">
        <v>540</v>
      </c>
      <c r="F105" s="256" t="s">
        <v>1587</v>
      </c>
      <c r="G105" s="258">
        <v>49234000000</v>
      </c>
      <c r="H105" s="265">
        <v>0.1</v>
      </c>
      <c r="I105" s="258">
        <v>4923400000</v>
      </c>
      <c r="J105" s="258">
        <v>54157400000</v>
      </c>
      <c r="K105" s="256" t="s">
        <v>1346</v>
      </c>
    </row>
    <row r="106" spans="1:11" x14ac:dyDescent="0.3">
      <c r="A106" s="256">
        <v>25</v>
      </c>
      <c r="B106" s="257" t="s">
        <v>1387</v>
      </c>
      <c r="C106" s="276">
        <v>44221</v>
      </c>
      <c r="D106" s="257" t="s">
        <v>1257</v>
      </c>
      <c r="E106" s="256" t="s">
        <v>1574</v>
      </c>
      <c r="F106" s="256" t="s">
        <v>1589</v>
      </c>
      <c r="G106" s="258">
        <v>82345000000</v>
      </c>
      <c r="H106" s="265">
        <v>0</v>
      </c>
      <c r="I106" s="258">
        <v>0</v>
      </c>
      <c r="J106" s="258">
        <v>82345000000</v>
      </c>
      <c r="K106" s="256" t="s">
        <v>1346</v>
      </c>
    </row>
    <row r="107" spans="1:11" x14ac:dyDescent="0.3">
      <c r="A107" s="256">
        <v>26</v>
      </c>
      <c r="B107" s="257" t="s">
        <v>1388</v>
      </c>
      <c r="C107" s="276">
        <v>44280</v>
      </c>
      <c r="D107" s="257" t="s">
        <v>1265</v>
      </c>
      <c r="E107" s="256" t="s">
        <v>1583</v>
      </c>
      <c r="F107" s="256" t="s">
        <v>1591</v>
      </c>
      <c r="G107" s="258">
        <v>36789000000</v>
      </c>
      <c r="H107" s="265">
        <v>0.1</v>
      </c>
      <c r="I107" s="258">
        <v>3678900000</v>
      </c>
      <c r="J107" s="258">
        <v>40467900000</v>
      </c>
      <c r="K107" s="256" t="s">
        <v>1346</v>
      </c>
    </row>
    <row r="108" spans="1:11" x14ac:dyDescent="0.3">
      <c r="A108" s="256">
        <v>27</v>
      </c>
      <c r="B108" s="257" t="s">
        <v>1391</v>
      </c>
      <c r="C108" s="276">
        <v>44341</v>
      </c>
      <c r="D108" s="257" t="s">
        <v>1278</v>
      </c>
      <c r="E108" s="256" t="s">
        <v>1593</v>
      </c>
      <c r="F108" s="256" t="s">
        <v>1587</v>
      </c>
      <c r="G108" s="258">
        <v>56789000000</v>
      </c>
      <c r="H108" s="265">
        <v>0.1</v>
      </c>
      <c r="I108" s="258">
        <v>5678900000</v>
      </c>
      <c r="J108" s="258">
        <v>62467900000</v>
      </c>
      <c r="K108" s="256" t="s">
        <v>1346</v>
      </c>
    </row>
    <row r="109" spans="1:11" x14ac:dyDescent="0.3">
      <c r="A109" s="256">
        <v>28</v>
      </c>
      <c r="B109" s="257" t="s">
        <v>1392</v>
      </c>
      <c r="C109" s="276">
        <v>44402</v>
      </c>
      <c r="D109" s="257" t="s">
        <v>1263</v>
      </c>
      <c r="E109" s="256" t="s">
        <v>1579</v>
      </c>
      <c r="F109" s="256" t="s">
        <v>1589</v>
      </c>
      <c r="G109" s="258">
        <v>72890000000</v>
      </c>
      <c r="H109" s="265">
        <v>0</v>
      </c>
      <c r="I109" s="258">
        <v>0</v>
      </c>
      <c r="J109" s="258">
        <v>72890000000</v>
      </c>
      <c r="K109" s="256" t="s">
        <v>1346</v>
      </c>
    </row>
    <row r="110" spans="1:11" x14ac:dyDescent="0.3">
      <c r="A110" s="256">
        <v>29</v>
      </c>
      <c r="B110" s="257" t="s">
        <v>1394</v>
      </c>
      <c r="C110" s="276">
        <v>44464</v>
      </c>
      <c r="D110" s="257" t="s">
        <v>1275</v>
      </c>
      <c r="E110" s="256" t="s">
        <v>1575</v>
      </c>
      <c r="F110" s="256" t="s">
        <v>1590</v>
      </c>
      <c r="G110" s="258">
        <v>38456000000</v>
      </c>
      <c r="H110" s="265">
        <v>0.1</v>
      </c>
      <c r="I110" s="258">
        <v>3845600000</v>
      </c>
      <c r="J110" s="258">
        <v>42301600000</v>
      </c>
      <c r="K110" s="256" t="s">
        <v>1346</v>
      </c>
    </row>
    <row r="111" spans="1:11" x14ac:dyDescent="0.3">
      <c r="A111" s="256">
        <v>30</v>
      </c>
      <c r="B111" s="257" t="s">
        <v>1396</v>
      </c>
      <c r="C111" s="276">
        <v>44525</v>
      </c>
      <c r="D111" s="257" t="s">
        <v>1389</v>
      </c>
      <c r="E111" s="256" t="s">
        <v>1555</v>
      </c>
      <c r="F111" s="256" t="s">
        <v>1587</v>
      </c>
      <c r="G111" s="258">
        <v>52890000000</v>
      </c>
      <c r="H111" s="265">
        <v>0.1</v>
      </c>
      <c r="I111" s="258">
        <v>5289000000</v>
      </c>
      <c r="J111" s="258">
        <v>58179000000</v>
      </c>
      <c r="K111" s="256" t="s">
        <v>1346</v>
      </c>
    </row>
    <row r="112" spans="1:11" x14ac:dyDescent="0.3">
      <c r="A112" s="256">
        <v>31</v>
      </c>
      <c r="B112" s="257" t="s">
        <v>1397</v>
      </c>
      <c r="C112" s="276">
        <v>44227</v>
      </c>
      <c r="D112" s="257" t="s">
        <v>1428</v>
      </c>
      <c r="E112" s="256" t="s">
        <v>1557</v>
      </c>
      <c r="F112" s="256" t="s">
        <v>1589</v>
      </c>
      <c r="G112" s="258">
        <v>77890000000</v>
      </c>
      <c r="H112" s="265">
        <v>0</v>
      </c>
      <c r="I112" s="258">
        <v>0</v>
      </c>
      <c r="J112" s="258">
        <v>77890000000</v>
      </c>
      <c r="K112" s="256" t="s">
        <v>1346</v>
      </c>
    </row>
    <row r="113" spans="1:11" x14ac:dyDescent="0.3">
      <c r="A113" s="256">
        <v>32</v>
      </c>
      <c r="B113" s="257" t="s">
        <v>1398</v>
      </c>
      <c r="C113" s="276">
        <v>44286</v>
      </c>
      <c r="D113" s="257" t="s">
        <v>1285</v>
      </c>
      <c r="E113" s="256" t="s">
        <v>1558</v>
      </c>
      <c r="F113" s="256" t="s">
        <v>1591</v>
      </c>
      <c r="G113" s="258">
        <v>32345000000</v>
      </c>
      <c r="H113" s="265">
        <v>0.1</v>
      </c>
      <c r="I113" s="258">
        <v>3234500000</v>
      </c>
      <c r="J113" s="258">
        <v>35579500000</v>
      </c>
      <c r="K113" s="256" t="s">
        <v>1346</v>
      </c>
    </row>
    <row r="114" spans="1:11" x14ac:dyDescent="0.3">
      <c r="A114" s="256">
        <v>33</v>
      </c>
      <c r="B114" s="257" t="s">
        <v>1399</v>
      </c>
      <c r="C114" s="276">
        <v>44347</v>
      </c>
      <c r="D114" s="257" t="s">
        <v>1260</v>
      </c>
      <c r="E114" s="256" t="s">
        <v>1585</v>
      </c>
      <c r="F114" s="256" t="s">
        <v>1587</v>
      </c>
      <c r="G114" s="258">
        <v>57890000000</v>
      </c>
      <c r="H114" s="265">
        <v>0.1</v>
      </c>
      <c r="I114" s="258">
        <v>5789000000</v>
      </c>
      <c r="J114" s="258">
        <v>63679000000</v>
      </c>
      <c r="K114" s="256" t="s">
        <v>1346</v>
      </c>
    </row>
    <row r="115" spans="1:11" x14ac:dyDescent="0.3">
      <c r="A115" s="256">
        <v>34</v>
      </c>
      <c r="B115" s="257" t="s">
        <v>1401</v>
      </c>
      <c r="C115" s="276">
        <v>44408</v>
      </c>
      <c r="D115" s="257" t="s">
        <v>1395</v>
      </c>
      <c r="E115" s="256" t="s">
        <v>1581</v>
      </c>
      <c r="F115" s="256" t="s">
        <v>1589</v>
      </c>
      <c r="G115" s="258">
        <v>71890000000</v>
      </c>
      <c r="H115" s="265">
        <v>0</v>
      </c>
      <c r="I115" s="258">
        <v>0</v>
      </c>
      <c r="J115" s="258">
        <v>71890000000</v>
      </c>
      <c r="K115" s="256" t="s">
        <v>1346</v>
      </c>
    </row>
    <row r="116" spans="1:11" x14ac:dyDescent="0.3">
      <c r="A116" s="256">
        <v>35</v>
      </c>
      <c r="B116" s="257" t="s">
        <v>1402</v>
      </c>
      <c r="C116" s="276">
        <v>44439</v>
      </c>
      <c r="D116" s="257" t="s">
        <v>1277</v>
      </c>
      <c r="E116" s="256" t="s">
        <v>1582</v>
      </c>
      <c r="F116" s="256" t="s">
        <v>1590</v>
      </c>
      <c r="G116" s="258">
        <v>42345000000</v>
      </c>
      <c r="H116" s="265">
        <v>0.1</v>
      </c>
      <c r="I116" s="258">
        <v>4234500000</v>
      </c>
      <c r="J116" s="258">
        <v>46579500000</v>
      </c>
      <c r="K116" s="256" t="s">
        <v>1346</v>
      </c>
    </row>
    <row r="117" spans="1:11" x14ac:dyDescent="0.3">
      <c r="A117" s="256">
        <v>36</v>
      </c>
      <c r="B117" s="257" t="s">
        <v>1403</v>
      </c>
      <c r="C117" s="276">
        <v>44500</v>
      </c>
      <c r="D117" s="257" t="s">
        <v>1266</v>
      </c>
      <c r="E117" s="256" t="s">
        <v>1570</v>
      </c>
      <c r="F117" s="256" t="s">
        <v>1587</v>
      </c>
      <c r="G117" s="258">
        <v>54567000000</v>
      </c>
      <c r="H117" s="265">
        <v>0.1</v>
      </c>
      <c r="I117" s="258">
        <v>5456700000</v>
      </c>
      <c r="J117" s="258">
        <v>60023700000</v>
      </c>
      <c r="K117" s="256" t="s">
        <v>1346</v>
      </c>
    </row>
    <row r="118" spans="1:11" x14ac:dyDescent="0.3">
      <c r="A118" s="256">
        <v>37</v>
      </c>
      <c r="B118" s="257" t="s">
        <v>1404</v>
      </c>
      <c r="C118" s="276">
        <v>44500</v>
      </c>
      <c r="D118" s="257" t="s">
        <v>1283</v>
      </c>
      <c r="E118" s="256" t="s">
        <v>1588</v>
      </c>
      <c r="F118" s="256" t="s">
        <v>1589</v>
      </c>
      <c r="G118" s="258">
        <v>88234000000</v>
      </c>
      <c r="H118" s="265">
        <v>0</v>
      </c>
      <c r="I118" s="258">
        <v>0</v>
      </c>
      <c r="J118" s="258">
        <v>88234000000</v>
      </c>
      <c r="K118" s="256" t="s">
        <v>1346</v>
      </c>
    </row>
    <row r="119" spans="1:11" x14ac:dyDescent="0.3">
      <c r="A119" s="256">
        <v>38</v>
      </c>
      <c r="B119" s="257" t="s">
        <v>1405</v>
      </c>
      <c r="C119" s="276">
        <v>44500</v>
      </c>
      <c r="D119" s="257" t="s">
        <v>1259</v>
      </c>
      <c r="E119" s="256" t="s">
        <v>1569</v>
      </c>
      <c r="F119" s="256" t="s">
        <v>1591</v>
      </c>
      <c r="G119" s="258">
        <v>34890000000</v>
      </c>
      <c r="H119" s="265">
        <v>0.1</v>
      </c>
      <c r="I119" s="258">
        <v>3489000000</v>
      </c>
      <c r="J119" s="258">
        <v>38379000000</v>
      </c>
      <c r="K119" s="256" t="s">
        <v>1346</v>
      </c>
    </row>
    <row r="120" spans="1:11" x14ac:dyDescent="0.3">
      <c r="A120" s="256">
        <v>39</v>
      </c>
      <c r="B120" s="257" t="s">
        <v>1406</v>
      </c>
      <c r="C120" s="276">
        <v>44531</v>
      </c>
      <c r="D120" s="257" t="s">
        <v>1281</v>
      </c>
      <c r="E120" s="256" t="s">
        <v>1559</v>
      </c>
      <c r="F120" s="256" t="s">
        <v>1587</v>
      </c>
      <c r="G120" s="258">
        <v>59567000000</v>
      </c>
      <c r="H120" s="265">
        <v>0.1</v>
      </c>
      <c r="I120" s="258">
        <v>5956700000</v>
      </c>
      <c r="J120" s="258">
        <v>65523700000</v>
      </c>
      <c r="K120" s="256" t="s">
        <v>1346</v>
      </c>
    </row>
    <row r="121" spans="1:11" x14ac:dyDescent="0.3">
      <c r="A121" s="256">
        <v>40</v>
      </c>
      <c r="B121" s="257" t="s">
        <v>1408</v>
      </c>
      <c r="C121" s="276">
        <v>44561</v>
      </c>
      <c r="D121" s="257" t="s">
        <v>1273</v>
      </c>
      <c r="E121" s="256" t="s">
        <v>1567</v>
      </c>
      <c r="F121" s="256" t="s">
        <v>1589</v>
      </c>
      <c r="G121" s="258">
        <v>75234000000</v>
      </c>
      <c r="H121" s="265">
        <v>0</v>
      </c>
      <c r="I121" s="258">
        <v>0</v>
      </c>
      <c r="J121" s="258">
        <v>75234000000</v>
      </c>
      <c r="K121" s="256" t="s">
        <v>1346</v>
      </c>
    </row>
    <row r="122" spans="1:11" x14ac:dyDescent="0.3">
      <c r="A122" s="256">
        <v>41</v>
      </c>
      <c r="B122" s="257" t="s">
        <v>1409</v>
      </c>
      <c r="C122" s="276">
        <v>44561</v>
      </c>
      <c r="D122" s="257" t="s">
        <v>1282</v>
      </c>
      <c r="E122" s="256" t="s">
        <v>1580</v>
      </c>
      <c r="F122" s="256" t="s">
        <v>1590</v>
      </c>
      <c r="G122" s="258">
        <v>39456000000</v>
      </c>
      <c r="H122" s="265">
        <v>0.1</v>
      </c>
      <c r="I122" s="258">
        <v>3945600000</v>
      </c>
      <c r="J122" s="258">
        <v>43401600000</v>
      </c>
      <c r="K122" s="256" t="s">
        <v>1346</v>
      </c>
    </row>
    <row r="123" spans="1:11" x14ac:dyDescent="0.3">
      <c r="A123" s="256">
        <v>42</v>
      </c>
      <c r="B123" s="257" t="s">
        <v>1411</v>
      </c>
      <c r="C123" s="276">
        <v>44561</v>
      </c>
      <c r="D123" s="257" t="s">
        <v>1267</v>
      </c>
      <c r="E123" s="256" t="s">
        <v>1560</v>
      </c>
      <c r="F123" s="256" t="s">
        <v>1587</v>
      </c>
      <c r="G123" s="258">
        <v>55234000000</v>
      </c>
      <c r="H123" s="265">
        <v>0.1</v>
      </c>
      <c r="I123" s="258">
        <v>5523400000</v>
      </c>
      <c r="J123" s="258">
        <v>60757400000</v>
      </c>
      <c r="K123" s="256" t="s">
        <v>1346</v>
      </c>
    </row>
    <row r="124" spans="1:11" x14ac:dyDescent="0.3">
      <c r="A124" s="256">
        <v>43</v>
      </c>
      <c r="B124" s="257" t="s">
        <v>1414</v>
      </c>
      <c r="C124" s="276">
        <v>44561</v>
      </c>
      <c r="D124" s="257" t="s">
        <v>1416</v>
      </c>
      <c r="E124" s="256" t="s">
        <v>1562</v>
      </c>
      <c r="F124" s="256" t="s">
        <v>1589</v>
      </c>
      <c r="G124" s="258">
        <v>79567000000</v>
      </c>
      <c r="H124" s="265">
        <v>0</v>
      </c>
      <c r="I124" s="258">
        <v>0</v>
      </c>
      <c r="J124" s="258">
        <v>79567000000</v>
      </c>
      <c r="K124" s="256" t="s">
        <v>1346</v>
      </c>
    </row>
    <row r="125" spans="1:11" x14ac:dyDescent="0.3">
      <c r="A125" s="256">
        <v>44</v>
      </c>
      <c r="B125" s="257" t="s">
        <v>1415</v>
      </c>
      <c r="C125" s="276">
        <v>44561</v>
      </c>
      <c r="D125" s="257" t="s">
        <v>1279</v>
      </c>
      <c r="E125" s="256" t="s">
        <v>1573</v>
      </c>
      <c r="F125" s="256" t="s">
        <v>1591</v>
      </c>
      <c r="G125" s="258">
        <v>35234000000</v>
      </c>
      <c r="H125" s="265">
        <v>0.1</v>
      </c>
      <c r="I125" s="258">
        <v>3523400000</v>
      </c>
      <c r="J125" s="258">
        <v>38757400000</v>
      </c>
      <c r="K125" s="256" t="s">
        <v>1346</v>
      </c>
    </row>
    <row r="126" spans="1:11" x14ac:dyDescent="0.3">
      <c r="A126" s="256">
        <v>45</v>
      </c>
      <c r="B126" s="257" t="s">
        <v>1206</v>
      </c>
      <c r="C126" s="276">
        <v>44561</v>
      </c>
      <c r="D126" s="257" t="s">
        <v>1261</v>
      </c>
      <c r="E126" s="256" t="s">
        <v>1572</v>
      </c>
      <c r="F126" s="256" t="s">
        <v>1587</v>
      </c>
      <c r="G126" s="258">
        <v>56789000000</v>
      </c>
      <c r="H126" s="265">
        <v>0.1</v>
      </c>
      <c r="I126" s="258">
        <v>5678900000</v>
      </c>
      <c r="J126" s="258">
        <v>62467900000</v>
      </c>
      <c r="K126" s="256" t="s">
        <v>1346</v>
      </c>
    </row>
    <row r="127" spans="1:11" x14ac:dyDescent="0.3">
      <c r="A127" s="256">
        <v>46</v>
      </c>
      <c r="B127" s="257" t="s">
        <v>1207</v>
      </c>
      <c r="C127" s="276">
        <v>44561</v>
      </c>
      <c r="D127" s="257" t="s">
        <v>1352</v>
      </c>
      <c r="E127" s="256" t="s">
        <v>1571</v>
      </c>
      <c r="F127" s="256" t="s">
        <v>1589</v>
      </c>
      <c r="G127" s="258">
        <v>72345000000</v>
      </c>
      <c r="H127" s="265">
        <v>0</v>
      </c>
      <c r="I127" s="258">
        <v>0</v>
      </c>
      <c r="J127" s="258">
        <v>72345000000</v>
      </c>
      <c r="K127" s="256" t="s">
        <v>1346</v>
      </c>
    </row>
    <row r="128" spans="1:11" x14ac:dyDescent="0.3">
      <c r="A128" s="256">
        <v>47</v>
      </c>
      <c r="B128" s="257" t="s">
        <v>1208</v>
      </c>
      <c r="C128" s="276">
        <v>44561</v>
      </c>
      <c r="D128" s="257" t="s">
        <v>1272</v>
      </c>
      <c r="E128" s="256" t="s">
        <v>540</v>
      </c>
      <c r="F128" s="256" t="s">
        <v>1590</v>
      </c>
      <c r="G128" s="258">
        <v>44567000000</v>
      </c>
      <c r="H128" s="265">
        <v>0.1</v>
      </c>
      <c r="I128" s="258">
        <v>4456700000</v>
      </c>
      <c r="J128" s="258">
        <v>49023700000</v>
      </c>
      <c r="K128" s="256" t="s">
        <v>1346</v>
      </c>
    </row>
    <row r="129" spans="1:11" x14ac:dyDescent="0.3">
      <c r="A129" s="256">
        <v>48</v>
      </c>
      <c r="B129" s="257" t="s">
        <v>1209</v>
      </c>
      <c r="C129" s="276">
        <v>44561</v>
      </c>
      <c r="D129" s="257" t="s">
        <v>1284</v>
      </c>
      <c r="E129" s="256" t="s">
        <v>1552</v>
      </c>
      <c r="F129" s="256" t="s">
        <v>1587</v>
      </c>
      <c r="G129" s="258">
        <v>60234000000</v>
      </c>
      <c r="H129" s="265">
        <v>0.1</v>
      </c>
      <c r="I129" s="258">
        <v>6023400000</v>
      </c>
      <c r="J129" s="258">
        <v>66257400000</v>
      </c>
      <c r="K129" s="256" t="s">
        <v>1346</v>
      </c>
    </row>
    <row r="130" spans="1:11" x14ac:dyDescent="0.3">
      <c r="A130" s="256">
        <v>49</v>
      </c>
      <c r="B130" s="257" t="s">
        <v>1418</v>
      </c>
      <c r="C130" s="276">
        <v>44561</v>
      </c>
      <c r="D130" s="257" t="s">
        <v>1280</v>
      </c>
      <c r="E130" s="256" t="s">
        <v>618</v>
      </c>
      <c r="F130" s="256" t="s">
        <v>1589</v>
      </c>
      <c r="G130" s="258">
        <v>77890000000</v>
      </c>
      <c r="H130" s="265">
        <v>0</v>
      </c>
      <c r="I130" s="258">
        <v>0</v>
      </c>
      <c r="J130" s="258">
        <v>77890000000</v>
      </c>
      <c r="K130" s="256" t="s">
        <v>1346</v>
      </c>
    </row>
    <row r="131" spans="1:11" x14ac:dyDescent="0.3">
      <c r="A131" s="256">
        <v>50</v>
      </c>
      <c r="B131" s="257" t="s">
        <v>1419</v>
      </c>
      <c r="C131" s="276">
        <v>44561</v>
      </c>
      <c r="D131" s="257" t="s">
        <v>1264</v>
      </c>
      <c r="E131" s="256" t="s">
        <v>1584</v>
      </c>
      <c r="F131" s="256" t="s">
        <v>1591</v>
      </c>
      <c r="G131" s="258">
        <v>33456000000</v>
      </c>
      <c r="H131" s="265">
        <v>0.1</v>
      </c>
      <c r="I131" s="258">
        <v>3345600000</v>
      </c>
      <c r="J131" s="258">
        <v>36801600000</v>
      </c>
      <c r="K131" s="256" t="s">
        <v>1346</v>
      </c>
    </row>
    <row r="132" spans="1:11" x14ac:dyDescent="0.3">
      <c r="A132" s="266" t="s">
        <v>1351</v>
      </c>
      <c r="B132" s="266"/>
      <c r="C132" s="266"/>
      <c r="D132" s="266"/>
      <c r="E132" s="266"/>
      <c r="F132" s="266"/>
      <c r="G132" s="267">
        <f>SUM(G82:G131)</f>
        <v>2834598000000</v>
      </c>
      <c r="H132" s="266"/>
      <c r="I132" s="267">
        <f>SUM(I82:I131)</f>
        <v>151999700000</v>
      </c>
      <c r="J132" s="267">
        <f>SUM(J82:J131)</f>
        <v>2986597700000</v>
      </c>
      <c r="K132" s="26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2"/>
  <sheetViews>
    <sheetView workbookViewId="0"/>
  </sheetViews>
  <sheetFormatPr defaultRowHeight="14.4" x14ac:dyDescent="0.3"/>
  <sheetData>
    <row r="1" spans="1:11" x14ac:dyDescent="0.3">
      <c r="A1" s="256" t="s">
        <v>1340</v>
      </c>
      <c r="B1" s="256" t="s">
        <v>338</v>
      </c>
      <c r="C1" s="256"/>
      <c r="D1" s="256"/>
      <c r="E1" s="256"/>
      <c r="F1" s="256"/>
      <c r="G1" s="256"/>
      <c r="H1" s="256"/>
      <c r="I1" s="256"/>
      <c r="J1" s="256"/>
      <c r="K1" s="256"/>
    </row>
    <row r="2" spans="1:11" x14ac:dyDescent="0.3">
      <c r="A2" s="256" t="s">
        <v>1339</v>
      </c>
      <c r="B2" s="257">
        <v>100105503</v>
      </c>
      <c r="C2" s="256"/>
      <c r="D2" s="256"/>
      <c r="E2" s="256"/>
      <c r="F2" s="256"/>
      <c r="G2" s="256"/>
      <c r="H2" s="256"/>
      <c r="I2" s="256"/>
      <c r="J2" s="256"/>
      <c r="K2" s="256"/>
    </row>
    <row r="3" spans="1:11" x14ac:dyDescent="0.3">
      <c r="A3" s="256" t="s">
        <v>1343</v>
      </c>
      <c r="B3" s="258">
        <v>938638903649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1362</v>
      </c>
      <c r="C8" s="276">
        <v>44317</v>
      </c>
      <c r="D8" s="257" t="s">
        <v>1352</v>
      </c>
      <c r="E8" s="256" t="s">
        <v>1571</v>
      </c>
      <c r="F8" s="256" t="s">
        <v>1595</v>
      </c>
      <c r="G8" s="258">
        <v>32456000000</v>
      </c>
      <c r="H8" s="265">
        <v>0.1</v>
      </c>
      <c r="I8" s="258">
        <v>3245600000</v>
      </c>
      <c r="J8" s="258">
        <v>35701600000</v>
      </c>
      <c r="K8" s="256" t="s">
        <v>1346</v>
      </c>
    </row>
    <row r="9" spans="1:11" x14ac:dyDescent="0.3">
      <c r="A9" s="256">
        <v>2</v>
      </c>
      <c r="B9" s="257" t="s">
        <v>1355</v>
      </c>
      <c r="C9" s="276">
        <v>44318</v>
      </c>
      <c r="D9" s="257" t="s">
        <v>1283</v>
      </c>
      <c r="E9" s="256" t="s">
        <v>1588</v>
      </c>
      <c r="F9" s="256" t="s">
        <v>1596</v>
      </c>
      <c r="G9" s="258">
        <v>18234000000</v>
      </c>
      <c r="H9" s="265">
        <v>0.1</v>
      </c>
      <c r="I9" s="258">
        <v>1823400000</v>
      </c>
      <c r="J9" s="258">
        <v>20057400000</v>
      </c>
      <c r="K9" s="256" t="s">
        <v>1346</v>
      </c>
    </row>
    <row r="10" spans="1:11" x14ac:dyDescent="0.3">
      <c r="A10" s="256">
        <v>3</v>
      </c>
      <c r="B10" s="257" t="s">
        <v>1362</v>
      </c>
      <c r="C10" s="276">
        <v>44319</v>
      </c>
      <c r="D10" s="257" t="s">
        <v>1272</v>
      </c>
      <c r="E10" s="256" t="s">
        <v>540</v>
      </c>
      <c r="F10" s="256" t="s">
        <v>1597</v>
      </c>
      <c r="G10" s="258">
        <v>25678000000</v>
      </c>
      <c r="H10" s="265">
        <v>0.1</v>
      </c>
      <c r="I10" s="258">
        <v>2567800000</v>
      </c>
      <c r="J10" s="258">
        <v>28245800000</v>
      </c>
      <c r="K10" s="256" t="s">
        <v>1346</v>
      </c>
    </row>
    <row r="11" spans="1:11" x14ac:dyDescent="0.3">
      <c r="A11" s="256">
        <v>4</v>
      </c>
      <c r="B11" s="257" t="s">
        <v>1360</v>
      </c>
      <c r="C11" s="276">
        <v>44320</v>
      </c>
      <c r="D11" s="257" t="s">
        <v>1277</v>
      </c>
      <c r="E11" s="256" t="s">
        <v>1582</v>
      </c>
      <c r="F11" s="256" t="s">
        <v>1595</v>
      </c>
      <c r="G11" s="258">
        <v>41234000000</v>
      </c>
      <c r="H11" s="265">
        <v>0.1</v>
      </c>
      <c r="I11" s="258">
        <v>4123400000</v>
      </c>
      <c r="J11" s="258">
        <v>45357400000</v>
      </c>
      <c r="K11" s="256" t="s">
        <v>1346</v>
      </c>
    </row>
    <row r="12" spans="1:11" x14ac:dyDescent="0.3">
      <c r="A12" s="256">
        <v>5</v>
      </c>
      <c r="B12" s="257" t="s">
        <v>1358</v>
      </c>
      <c r="C12" s="276">
        <v>44321</v>
      </c>
      <c r="D12" s="257" t="s">
        <v>1389</v>
      </c>
      <c r="E12" s="256" t="s">
        <v>1555</v>
      </c>
      <c r="F12" s="256" t="s">
        <v>1598</v>
      </c>
      <c r="G12" s="258">
        <v>14567000000</v>
      </c>
      <c r="H12" s="265">
        <v>0.1</v>
      </c>
      <c r="I12" s="258">
        <v>1456700000</v>
      </c>
      <c r="J12" s="258">
        <v>16023700000</v>
      </c>
      <c r="K12" s="256" t="s">
        <v>1346</v>
      </c>
    </row>
    <row r="13" spans="1:11" x14ac:dyDescent="0.3">
      <c r="A13" s="256">
        <v>6</v>
      </c>
      <c r="B13" s="257" t="s">
        <v>1360</v>
      </c>
      <c r="C13" s="276">
        <v>44322</v>
      </c>
      <c r="D13" s="257" t="s">
        <v>1395</v>
      </c>
      <c r="E13" s="256" t="s">
        <v>1581</v>
      </c>
      <c r="F13" s="256" t="s">
        <v>1595</v>
      </c>
      <c r="G13" s="258">
        <v>38901000000</v>
      </c>
      <c r="H13" s="265">
        <v>0.1</v>
      </c>
      <c r="I13" s="258">
        <v>3890100000</v>
      </c>
      <c r="J13" s="258">
        <v>42791100000</v>
      </c>
      <c r="K13" s="256" t="s">
        <v>1346</v>
      </c>
    </row>
    <row r="14" spans="1:11" x14ac:dyDescent="0.3">
      <c r="A14" s="256">
        <v>7</v>
      </c>
      <c r="B14" s="257" t="s">
        <v>1362</v>
      </c>
      <c r="C14" s="276">
        <v>44323</v>
      </c>
      <c r="D14" s="257" t="s">
        <v>1279</v>
      </c>
      <c r="E14" s="256" t="s">
        <v>1573</v>
      </c>
      <c r="F14" s="256" t="s">
        <v>1599</v>
      </c>
      <c r="G14" s="258">
        <v>16789000000</v>
      </c>
      <c r="H14" s="265">
        <v>0.1</v>
      </c>
      <c r="I14" s="258">
        <v>1678900000</v>
      </c>
      <c r="J14" s="258">
        <v>18467900000</v>
      </c>
      <c r="K14" s="256" t="s">
        <v>1346</v>
      </c>
    </row>
    <row r="15" spans="1:11" x14ac:dyDescent="0.3">
      <c r="A15" s="256">
        <v>8</v>
      </c>
      <c r="B15" s="257" t="s">
        <v>1356</v>
      </c>
      <c r="C15" s="276">
        <v>44324</v>
      </c>
      <c r="D15" s="257" t="s">
        <v>1268</v>
      </c>
      <c r="E15" s="256" t="s">
        <v>1594</v>
      </c>
      <c r="F15" s="256" t="s">
        <v>1597</v>
      </c>
      <c r="G15" s="258">
        <v>22345000000</v>
      </c>
      <c r="H15" s="265">
        <v>0.1</v>
      </c>
      <c r="I15" s="258">
        <v>2234500000</v>
      </c>
      <c r="J15" s="258">
        <v>24579500000</v>
      </c>
      <c r="K15" s="256" t="s">
        <v>1348</v>
      </c>
    </row>
    <row r="16" spans="1:11" x14ac:dyDescent="0.3">
      <c r="A16" s="256">
        <v>9</v>
      </c>
      <c r="B16" s="257" t="s">
        <v>1360</v>
      </c>
      <c r="C16" s="276">
        <v>44325</v>
      </c>
      <c r="D16" s="257" t="s">
        <v>1275</v>
      </c>
      <c r="E16" s="256" t="s">
        <v>1575</v>
      </c>
      <c r="F16" s="256" t="s">
        <v>1600</v>
      </c>
      <c r="G16" s="258">
        <v>18901000000</v>
      </c>
      <c r="H16" s="265">
        <v>0.1</v>
      </c>
      <c r="I16" s="258">
        <v>1890100000</v>
      </c>
      <c r="J16" s="258">
        <v>20791100000</v>
      </c>
      <c r="K16" s="256" t="s">
        <v>1346</v>
      </c>
    </row>
    <row r="17" spans="1:11" x14ac:dyDescent="0.3">
      <c r="A17" s="256">
        <v>10</v>
      </c>
      <c r="B17" s="257" t="s">
        <v>1356</v>
      </c>
      <c r="C17" s="276">
        <v>44326</v>
      </c>
      <c r="D17" s="257" t="s">
        <v>1416</v>
      </c>
      <c r="E17" s="256" t="s">
        <v>1562</v>
      </c>
      <c r="F17" s="256" t="s">
        <v>1595</v>
      </c>
      <c r="G17" s="258">
        <v>44567000000</v>
      </c>
      <c r="H17" s="265">
        <v>0.1</v>
      </c>
      <c r="I17" s="258">
        <v>4456700000</v>
      </c>
      <c r="J17" s="258">
        <v>49023700000</v>
      </c>
      <c r="K17" s="256" t="s">
        <v>1346</v>
      </c>
    </row>
    <row r="18" spans="1:11" x14ac:dyDescent="0.3">
      <c r="A18" s="256">
        <v>11</v>
      </c>
      <c r="B18" s="257" t="s">
        <v>1360</v>
      </c>
      <c r="C18" s="276">
        <v>44327</v>
      </c>
      <c r="D18" s="257" t="s">
        <v>1262</v>
      </c>
      <c r="E18" s="256" t="s">
        <v>1556</v>
      </c>
      <c r="F18" s="256" t="s">
        <v>1601</v>
      </c>
      <c r="G18" s="258">
        <v>19234000000</v>
      </c>
      <c r="H18" s="265">
        <v>0.1</v>
      </c>
      <c r="I18" s="258">
        <v>1923400000</v>
      </c>
      <c r="J18" s="258">
        <v>21157400000</v>
      </c>
      <c r="K18" s="256" t="s">
        <v>1346</v>
      </c>
    </row>
    <row r="19" spans="1:11" x14ac:dyDescent="0.3">
      <c r="A19" s="256">
        <v>12</v>
      </c>
      <c r="B19" s="257" t="s">
        <v>1360</v>
      </c>
      <c r="C19" s="276">
        <v>44328</v>
      </c>
      <c r="D19" s="257" t="s">
        <v>1280</v>
      </c>
      <c r="E19" s="256" t="s">
        <v>618</v>
      </c>
      <c r="F19" s="256" t="s">
        <v>1596</v>
      </c>
      <c r="G19" s="258">
        <v>14234000000</v>
      </c>
      <c r="H19" s="265">
        <v>0.1</v>
      </c>
      <c r="I19" s="258">
        <v>1423400000</v>
      </c>
      <c r="J19" s="258">
        <v>15657400000</v>
      </c>
      <c r="K19" s="256" t="s">
        <v>1346</v>
      </c>
    </row>
    <row r="20" spans="1:11" x14ac:dyDescent="0.3">
      <c r="A20" s="256">
        <v>13</v>
      </c>
      <c r="B20" s="257" t="s">
        <v>1362</v>
      </c>
      <c r="C20" s="276">
        <v>44470</v>
      </c>
      <c r="D20" s="257" t="s">
        <v>1284</v>
      </c>
      <c r="E20" s="256" t="s">
        <v>1552</v>
      </c>
      <c r="F20" s="256" t="s">
        <v>1595</v>
      </c>
      <c r="G20" s="258">
        <v>36789000000</v>
      </c>
      <c r="H20" s="265">
        <v>0.1</v>
      </c>
      <c r="I20" s="258">
        <v>3678900000</v>
      </c>
      <c r="J20" s="258">
        <v>40467900000</v>
      </c>
      <c r="K20" s="256" t="s">
        <v>1346</v>
      </c>
    </row>
    <row r="21" spans="1:11" x14ac:dyDescent="0.3">
      <c r="A21" s="256">
        <v>14</v>
      </c>
      <c r="B21" s="257" t="s">
        <v>1358</v>
      </c>
      <c r="C21" s="276">
        <v>44471</v>
      </c>
      <c r="D21" s="257" t="s">
        <v>1260</v>
      </c>
      <c r="E21" s="256" t="s">
        <v>1585</v>
      </c>
      <c r="F21" s="256" t="s">
        <v>1597</v>
      </c>
      <c r="G21" s="258">
        <v>28456000000</v>
      </c>
      <c r="H21" s="265">
        <v>0.1</v>
      </c>
      <c r="I21" s="258">
        <v>2845600000</v>
      </c>
      <c r="J21" s="258">
        <v>31301600000</v>
      </c>
      <c r="K21" s="256" t="s">
        <v>1346</v>
      </c>
    </row>
    <row r="22" spans="1:11" x14ac:dyDescent="0.3">
      <c r="A22" s="256">
        <v>15</v>
      </c>
      <c r="B22" s="257" t="s">
        <v>1358</v>
      </c>
      <c r="C22" s="276">
        <v>44472</v>
      </c>
      <c r="D22" s="257" t="s">
        <v>1384</v>
      </c>
      <c r="E22" s="256" t="s">
        <v>1565</v>
      </c>
      <c r="F22" s="256" t="s">
        <v>1599</v>
      </c>
      <c r="G22" s="258">
        <v>17890000000</v>
      </c>
      <c r="H22" s="265">
        <v>0.1</v>
      </c>
      <c r="I22" s="258">
        <v>1789000000</v>
      </c>
      <c r="J22" s="258">
        <v>19679000000</v>
      </c>
      <c r="K22" s="256" t="s">
        <v>1346</v>
      </c>
    </row>
    <row r="23" spans="1:11" x14ac:dyDescent="0.3">
      <c r="A23" s="256">
        <v>16</v>
      </c>
      <c r="B23" s="257" t="s">
        <v>1360</v>
      </c>
      <c r="C23" s="276">
        <v>44473</v>
      </c>
      <c r="D23" s="257" t="s">
        <v>1281</v>
      </c>
      <c r="E23" s="256" t="s">
        <v>1559</v>
      </c>
      <c r="F23" s="256" t="s">
        <v>1595</v>
      </c>
      <c r="G23" s="258">
        <v>39234000000</v>
      </c>
      <c r="H23" s="265">
        <v>0.1</v>
      </c>
      <c r="I23" s="258">
        <v>3923400000</v>
      </c>
      <c r="J23" s="258">
        <v>43157400000</v>
      </c>
      <c r="K23" s="256" t="s">
        <v>1346</v>
      </c>
    </row>
    <row r="24" spans="1:11" x14ac:dyDescent="0.3">
      <c r="A24" s="256">
        <v>17</v>
      </c>
      <c r="B24" s="257" t="s">
        <v>1358</v>
      </c>
      <c r="C24" s="276">
        <v>44474</v>
      </c>
      <c r="D24" s="257" t="s">
        <v>1285</v>
      </c>
      <c r="E24" s="256" t="s">
        <v>1558</v>
      </c>
      <c r="F24" s="256" t="s">
        <v>1600</v>
      </c>
      <c r="G24" s="258">
        <v>21345000000</v>
      </c>
      <c r="H24" s="265">
        <v>0.1</v>
      </c>
      <c r="I24" s="258">
        <v>2134500000</v>
      </c>
      <c r="J24" s="258">
        <v>23479500000</v>
      </c>
      <c r="K24" s="256" t="s">
        <v>1346</v>
      </c>
    </row>
    <row r="25" spans="1:11" x14ac:dyDescent="0.3">
      <c r="A25" s="256">
        <v>18</v>
      </c>
      <c r="B25" s="257" t="s">
        <v>1358</v>
      </c>
      <c r="C25" s="276">
        <v>44475</v>
      </c>
      <c r="D25" s="257" t="s">
        <v>1435</v>
      </c>
      <c r="E25" s="256" t="s">
        <v>1577</v>
      </c>
      <c r="F25" s="256" t="s">
        <v>1595</v>
      </c>
      <c r="G25" s="258">
        <v>46789000000</v>
      </c>
      <c r="H25" s="265">
        <v>0.1</v>
      </c>
      <c r="I25" s="258">
        <v>4678900000</v>
      </c>
      <c r="J25" s="258">
        <v>51467900000</v>
      </c>
      <c r="K25" s="256" t="s">
        <v>1346</v>
      </c>
    </row>
    <row r="26" spans="1:11" x14ac:dyDescent="0.3">
      <c r="A26" s="256">
        <v>19</v>
      </c>
      <c r="B26" s="257" t="s">
        <v>1358</v>
      </c>
      <c r="C26" s="276">
        <v>44476</v>
      </c>
      <c r="D26" s="257" t="s">
        <v>1259</v>
      </c>
      <c r="E26" s="256" t="s">
        <v>1569</v>
      </c>
      <c r="F26" s="256" t="s">
        <v>1596</v>
      </c>
      <c r="G26" s="258">
        <v>15678000000</v>
      </c>
      <c r="H26" s="265">
        <v>0.1</v>
      </c>
      <c r="I26" s="258">
        <v>1567800000</v>
      </c>
      <c r="J26" s="258">
        <v>17245800000</v>
      </c>
      <c r="K26" s="256" t="s">
        <v>1346</v>
      </c>
    </row>
    <row r="27" spans="1:11" x14ac:dyDescent="0.3">
      <c r="A27" s="256">
        <v>20</v>
      </c>
      <c r="B27" s="257" t="s">
        <v>1358</v>
      </c>
      <c r="C27" s="276">
        <v>44477</v>
      </c>
      <c r="D27" s="257" t="s">
        <v>1278</v>
      </c>
      <c r="E27" s="256" t="s">
        <v>1593</v>
      </c>
      <c r="F27" s="256" t="s">
        <v>1598</v>
      </c>
      <c r="G27" s="258">
        <v>13456000000</v>
      </c>
      <c r="H27" s="265">
        <v>0.1</v>
      </c>
      <c r="I27" s="258">
        <v>1345600000</v>
      </c>
      <c r="J27" s="258">
        <v>14801600000</v>
      </c>
      <c r="K27" s="256" t="s">
        <v>1346</v>
      </c>
    </row>
    <row r="28" spans="1:11" x14ac:dyDescent="0.3">
      <c r="A28" s="256">
        <v>21</v>
      </c>
      <c r="B28" s="257" t="s">
        <v>1358</v>
      </c>
      <c r="C28" s="276">
        <v>44478</v>
      </c>
      <c r="D28" s="257" t="s">
        <v>1263</v>
      </c>
      <c r="E28" s="256" t="s">
        <v>1579</v>
      </c>
      <c r="F28" s="256" t="s">
        <v>1595</v>
      </c>
      <c r="G28" s="258">
        <v>42345000000</v>
      </c>
      <c r="H28" s="265">
        <v>0.1</v>
      </c>
      <c r="I28" s="258">
        <v>4234500000</v>
      </c>
      <c r="J28" s="258">
        <v>46579500000</v>
      </c>
      <c r="K28" s="256" t="s">
        <v>1346</v>
      </c>
    </row>
    <row r="29" spans="1:11" x14ac:dyDescent="0.3">
      <c r="A29" s="256">
        <v>22</v>
      </c>
      <c r="B29" s="257" t="s">
        <v>1362</v>
      </c>
      <c r="C29" s="276">
        <v>44479</v>
      </c>
      <c r="D29" s="257" t="s">
        <v>1274</v>
      </c>
      <c r="E29" s="256" t="s">
        <v>1592</v>
      </c>
      <c r="F29" s="256" t="s">
        <v>1597</v>
      </c>
      <c r="G29" s="258">
        <v>25678000000</v>
      </c>
      <c r="H29" s="265">
        <v>0.1</v>
      </c>
      <c r="I29" s="258">
        <v>2567800000</v>
      </c>
      <c r="J29" s="258">
        <v>28245800000</v>
      </c>
      <c r="K29" s="256" t="s">
        <v>1346</v>
      </c>
    </row>
    <row r="30" spans="1:11" x14ac:dyDescent="0.3">
      <c r="A30" s="256">
        <v>23</v>
      </c>
      <c r="B30" s="257" t="s">
        <v>1356</v>
      </c>
      <c r="C30" s="276">
        <v>44480</v>
      </c>
      <c r="D30" s="257" t="s">
        <v>1282</v>
      </c>
      <c r="E30" s="256" t="s">
        <v>1580</v>
      </c>
      <c r="F30" s="256" t="s">
        <v>1599</v>
      </c>
      <c r="G30" s="258">
        <v>16234000000</v>
      </c>
      <c r="H30" s="265">
        <v>0.1</v>
      </c>
      <c r="I30" s="258">
        <v>1623400000</v>
      </c>
      <c r="J30" s="258">
        <v>17857400000</v>
      </c>
      <c r="K30" s="256" t="s">
        <v>1346</v>
      </c>
    </row>
    <row r="31" spans="1:11" x14ac:dyDescent="0.3">
      <c r="A31" s="256">
        <v>24</v>
      </c>
      <c r="B31" s="257" t="s">
        <v>1362</v>
      </c>
      <c r="C31" s="276">
        <v>44481</v>
      </c>
      <c r="D31" s="257" t="s">
        <v>1267</v>
      </c>
      <c r="E31" s="256" t="s">
        <v>1560</v>
      </c>
      <c r="F31" s="256" t="s">
        <v>1595</v>
      </c>
      <c r="G31" s="258">
        <v>38901000000</v>
      </c>
      <c r="H31" s="265">
        <v>0.1</v>
      </c>
      <c r="I31" s="258">
        <v>3890100000</v>
      </c>
      <c r="J31" s="258">
        <v>42791100000</v>
      </c>
      <c r="K31" s="256" t="s">
        <v>1346</v>
      </c>
    </row>
    <row r="32" spans="1:11" x14ac:dyDescent="0.3">
      <c r="A32" s="256">
        <v>25</v>
      </c>
      <c r="B32" s="257" t="s">
        <v>1360</v>
      </c>
      <c r="C32" s="276">
        <v>44211</v>
      </c>
      <c r="D32" s="257" t="s">
        <v>1428</v>
      </c>
      <c r="E32" s="256" t="s">
        <v>1557</v>
      </c>
      <c r="F32" s="256" t="s">
        <v>1600</v>
      </c>
      <c r="G32" s="258">
        <v>19234000000</v>
      </c>
      <c r="H32" s="265">
        <v>0.1</v>
      </c>
      <c r="I32" s="258">
        <v>1923400000</v>
      </c>
      <c r="J32" s="258">
        <v>21157400000</v>
      </c>
      <c r="K32" s="256" t="s">
        <v>1346</v>
      </c>
    </row>
    <row r="33" spans="1:11" x14ac:dyDescent="0.3">
      <c r="A33" s="256">
        <v>26</v>
      </c>
      <c r="B33" s="257" t="s">
        <v>1356</v>
      </c>
      <c r="C33" s="276">
        <v>44242</v>
      </c>
      <c r="D33" s="257" t="s">
        <v>1273</v>
      </c>
      <c r="E33" s="256" t="s">
        <v>1567</v>
      </c>
      <c r="F33" s="256" t="s">
        <v>1595</v>
      </c>
      <c r="G33" s="258">
        <v>35678000000</v>
      </c>
      <c r="H33" s="265">
        <v>0.1</v>
      </c>
      <c r="I33" s="258">
        <v>3567800000</v>
      </c>
      <c r="J33" s="258">
        <v>39245800000</v>
      </c>
      <c r="K33" s="256" t="s">
        <v>1346</v>
      </c>
    </row>
    <row r="34" spans="1:11" x14ac:dyDescent="0.3">
      <c r="A34" s="256">
        <v>27</v>
      </c>
      <c r="B34" s="257" t="s">
        <v>1358</v>
      </c>
      <c r="C34" s="276">
        <v>44270</v>
      </c>
      <c r="D34" s="257" t="s">
        <v>1264</v>
      </c>
      <c r="E34" s="256" t="s">
        <v>1584</v>
      </c>
      <c r="F34" s="256" t="s">
        <v>1601</v>
      </c>
      <c r="G34" s="258">
        <v>18901000000</v>
      </c>
      <c r="H34" s="265">
        <v>0.1</v>
      </c>
      <c r="I34" s="258">
        <v>1890100000</v>
      </c>
      <c r="J34" s="258">
        <v>20791100000</v>
      </c>
      <c r="K34" s="256" t="s">
        <v>1346</v>
      </c>
    </row>
    <row r="35" spans="1:11" x14ac:dyDescent="0.3">
      <c r="A35" s="256">
        <v>28</v>
      </c>
      <c r="B35" s="257" t="s">
        <v>1364</v>
      </c>
      <c r="C35" s="276">
        <v>44301</v>
      </c>
      <c r="D35" s="257" t="s">
        <v>1352</v>
      </c>
      <c r="E35" s="256" t="s">
        <v>1571</v>
      </c>
      <c r="F35" s="256" t="s">
        <v>1596</v>
      </c>
      <c r="G35" s="258">
        <v>14890000000</v>
      </c>
      <c r="H35" s="265">
        <v>0.1</v>
      </c>
      <c r="I35" s="258">
        <v>1489000000</v>
      </c>
      <c r="J35" s="258">
        <v>16379000000</v>
      </c>
      <c r="K35" s="256" t="s">
        <v>1346</v>
      </c>
    </row>
    <row r="36" spans="1:11" x14ac:dyDescent="0.3">
      <c r="A36" s="256">
        <v>29</v>
      </c>
      <c r="B36" s="257" t="s">
        <v>1364</v>
      </c>
      <c r="C36" s="276">
        <v>44331</v>
      </c>
      <c r="D36" s="257" t="s">
        <v>1272</v>
      </c>
      <c r="E36" s="256" t="s">
        <v>540</v>
      </c>
      <c r="F36" s="256" t="s">
        <v>1595</v>
      </c>
      <c r="G36" s="258">
        <v>41234000000</v>
      </c>
      <c r="H36" s="265">
        <v>0.1</v>
      </c>
      <c r="I36" s="258">
        <v>4123400000</v>
      </c>
      <c r="J36" s="258">
        <v>45357400000</v>
      </c>
      <c r="K36" s="256" t="s">
        <v>1346</v>
      </c>
    </row>
    <row r="37" spans="1:11" x14ac:dyDescent="0.3">
      <c r="A37" s="256">
        <v>30</v>
      </c>
      <c r="B37" s="257" t="s">
        <v>1356</v>
      </c>
      <c r="C37" s="276">
        <v>44362</v>
      </c>
      <c r="D37" s="257" t="s">
        <v>1283</v>
      </c>
      <c r="E37" s="256" t="s">
        <v>1588</v>
      </c>
      <c r="F37" s="256" t="s">
        <v>1597</v>
      </c>
      <c r="G37" s="258">
        <v>27890000000</v>
      </c>
      <c r="H37" s="265">
        <v>0.1</v>
      </c>
      <c r="I37" s="258">
        <v>2789000000</v>
      </c>
      <c r="J37" s="258">
        <v>30679000000</v>
      </c>
      <c r="K37" s="256" t="s">
        <v>1346</v>
      </c>
    </row>
    <row r="38" spans="1:11" x14ac:dyDescent="0.3">
      <c r="A38" s="256">
        <v>31</v>
      </c>
      <c r="B38" s="257" t="s">
        <v>1362</v>
      </c>
      <c r="C38" s="276">
        <v>44392</v>
      </c>
      <c r="D38" s="257" t="s">
        <v>1277</v>
      </c>
      <c r="E38" s="256" t="s">
        <v>1582</v>
      </c>
      <c r="F38" s="256" t="s">
        <v>1599</v>
      </c>
      <c r="G38" s="258">
        <v>17234000000</v>
      </c>
      <c r="H38" s="265">
        <v>0.1</v>
      </c>
      <c r="I38" s="258">
        <v>1723400000</v>
      </c>
      <c r="J38" s="258">
        <v>18957400000</v>
      </c>
      <c r="K38" s="256" t="s">
        <v>1346</v>
      </c>
    </row>
    <row r="39" spans="1:11" x14ac:dyDescent="0.3">
      <c r="A39" s="256">
        <v>32</v>
      </c>
      <c r="B39" s="257" t="s">
        <v>1360</v>
      </c>
      <c r="C39" s="276">
        <v>44423</v>
      </c>
      <c r="D39" s="257" t="s">
        <v>1389</v>
      </c>
      <c r="E39" s="256" t="s">
        <v>1555</v>
      </c>
      <c r="F39" s="256" t="s">
        <v>1595</v>
      </c>
      <c r="G39" s="258">
        <v>43456000000</v>
      </c>
      <c r="H39" s="265">
        <v>0.1</v>
      </c>
      <c r="I39" s="258">
        <v>4345600000</v>
      </c>
      <c r="J39" s="258">
        <v>47801600000</v>
      </c>
      <c r="K39" s="256" t="s">
        <v>1346</v>
      </c>
    </row>
    <row r="40" spans="1:11" x14ac:dyDescent="0.3">
      <c r="A40" s="256">
        <v>33</v>
      </c>
      <c r="B40" s="257" t="s">
        <v>1362</v>
      </c>
      <c r="C40" s="276">
        <v>44454</v>
      </c>
      <c r="D40" s="257" t="s">
        <v>1395</v>
      </c>
      <c r="E40" s="256" t="s">
        <v>1581</v>
      </c>
      <c r="F40" s="256" t="s">
        <v>1598</v>
      </c>
      <c r="G40" s="258">
        <v>14567000000</v>
      </c>
      <c r="H40" s="265">
        <v>0.1</v>
      </c>
      <c r="I40" s="258">
        <v>1456700000</v>
      </c>
      <c r="J40" s="258">
        <v>16023700000</v>
      </c>
      <c r="K40" s="256" t="s">
        <v>1346</v>
      </c>
    </row>
    <row r="41" spans="1:11" x14ac:dyDescent="0.3">
      <c r="A41" s="256">
        <v>34</v>
      </c>
      <c r="B41" s="257" t="s">
        <v>1364</v>
      </c>
      <c r="C41" s="276">
        <v>44484</v>
      </c>
      <c r="D41" s="257" t="s">
        <v>1279</v>
      </c>
      <c r="E41" s="256" t="s">
        <v>1573</v>
      </c>
      <c r="F41" s="256" t="s">
        <v>1595</v>
      </c>
      <c r="G41" s="258">
        <v>37234000000</v>
      </c>
      <c r="H41" s="265">
        <v>0.1</v>
      </c>
      <c r="I41" s="258">
        <v>3723400000</v>
      </c>
      <c r="J41" s="258">
        <v>40957400000</v>
      </c>
      <c r="K41" s="256" t="s">
        <v>1346</v>
      </c>
    </row>
    <row r="42" spans="1:11" x14ac:dyDescent="0.3">
      <c r="A42" s="256">
        <v>35</v>
      </c>
      <c r="B42" s="257" t="s">
        <v>1358</v>
      </c>
      <c r="C42" s="276">
        <v>44515</v>
      </c>
      <c r="D42" s="257" t="s">
        <v>1268</v>
      </c>
      <c r="E42" s="256" t="s">
        <v>1594</v>
      </c>
      <c r="F42" s="256" t="s">
        <v>1600</v>
      </c>
      <c r="G42" s="258">
        <v>20234000000</v>
      </c>
      <c r="H42" s="265">
        <v>0.1</v>
      </c>
      <c r="I42" s="258">
        <v>2023400000</v>
      </c>
      <c r="J42" s="258">
        <v>22257400000</v>
      </c>
      <c r="K42" s="256" t="s">
        <v>1346</v>
      </c>
    </row>
    <row r="43" spans="1:11" x14ac:dyDescent="0.3">
      <c r="A43" s="256">
        <v>36</v>
      </c>
      <c r="B43" s="257" t="s">
        <v>1362</v>
      </c>
      <c r="C43" s="276">
        <v>44545</v>
      </c>
      <c r="D43" s="257" t="s">
        <v>1275</v>
      </c>
      <c r="E43" s="256" t="s">
        <v>1575</v>
      </c>
      <c r="F43" s="256" t="s">
        <v>1596</v>
      </c>
      <c r="G43" s="258">
        <v>13890000000</v>
      </c>
      <c r="H43" s="265">
        <v>0.1</v>
      </c>
      <c r="I43" s="258">
        <v>1389000000</v>
      </c>
      <c r="J43" s="258">
        <v>15279000000</v>
      </c>
      <c r="K43" s="256" t="s">
        <v>1346</v>
      </c>
    </row>
    <row r="44" spans="1:11" x14ac:dyDescent="0.3">
      <c r="A44" s="256">
        <v>37</v>
      </c>
      <c r="B44" s="257" t="s">
        <v>1358</v>
      </c>
      <c r="C44" s="276">
        <v>44216</v>
      </c>
      <c r="D44" s="257" t="s">
        <v>1416</v>
      </c>
      <c r="E44" s="256" t="s">
        <v>1562</v>
      </c>
      <c r="F44" s="256" t="s">
        <v>1595</v>
      </c>
      <c r="G44" s="258">
        <v>44890000000</v>
      </c>
      <c r="H44" s="265">
        <v>0.1</v>
      </c>
      <c r="I44" s="258">
        <v>4489000000</v>
      </c>
      <c r="J44" s="258">
        <v>49379000000</v>
      </c>
      <c r="K44" s="256" t="s">
        <v>1346</v>
      </c>
    </row>
    <row r="45" spans="1:11" x14ac:dyDescent="0.3">
      <c r="A45" s="256">
        <v>38</v>
      </c>
      <c r="B45" s="257" t="s">
        <v>1362</v>
      </c>
      <c r="C45" s="276">
        <v>44247</v>
      </c>
      <c r="D45" s="257" t="s">
        <v>1262</v>
      </c>
      <c r="E45" s="256" t="s">
        <v>1556</v>
      </c>
      <c r="F45" s="256" t="s">
        <v>1597</v>
      </c>
      <c r="G45" s="258">
        <v>26789000000</v>
      </c>
      <c r="H45" s="265">
        <v>0.1</v>
      </c>
      <c r="I45" s="258">
        <v>2678900000</v>
      </c>
      <c r="J45" s="258">
        <v>29467900000</v>
      </c>
      <c r="K45" s="256" t="s">
        <v>1346</v>
      </c>
    </row>
    <row r="46" spans="1:11" x14ac:dyDescent="0.3">
      <c r="A46" s="256">
        <v>39</v>
      </c>
      <c r="B46" s="257" t="s">
        <v>1362</v>
      </c>
      <c r="C46" s="276">
        <v>44275</v>
      </c>
      <c r="D46" s="257" t="s">
        <v>1280</v>
      </c>
      <c r="E46" s="256" t="s">
        <v>618</v>
      </c>
      <c r="F46" s="256" t="s">
        <v>1601</v>
      </c>
      <c r="G46" s="258">
        <v>17890000000</v>
      </c>
      <c r="H46" s="265">
        <v>0.1</v>
      </c>
      <c r="I46" s="258">
        <v>1789000000</v>
      </c>
      <c r="J46" s="258">
        <v>19679000000</v>
      </c>
      <c r="K46" s="256" t="s">
        <v>1346</v>
      </c>
    </row>
    <row r="47" spans="1:11" x14ac:dyDescent="0.3">
      <c r="A47" s="256">
        <v>40</v>
      </c>
      <c r="B47" s="257" t="s">
        <v>1364</v>
      </c>
      <c r="C47" s="276">
        <v>44306</v>
      </c>
      <c r="D47" s="257" t="s">
        <v>1284</v>
      </c>
      <c r="E47" s="256" t="s">
        <v>1552</v>
      </c>
      <c r="F47" s="256" t="s">
        <v>1595</v>
      </c>
      <c r="G47" s="258">
        <v>39567000000</v>
      </c>
      <c r="H47" s="265">
        <v>0.1</v>
      </c>
      <c r="I47" s="258">
        <v>3956700000</v>
      </c>
      <c r="J47" s="258">
        <v>43523700000</v>
      </c>
      <c r="K47" s="256" t="s">
        <v>1346</v>
      </c>
    </row>
    <row r="48" spans="1:11" x14ac:dyDescent="0.3">
      <c r="A48" s="256">
        <v>41</v>
      </c>
      <c r="B48" s="257" t="s">
        <v>1360</v>
      </c>
      <c r="C48" s="276">
        <v>44336</v>
      </c>
      <c r="D48" s="257" t="s">
        <v>1260</v>
      </c>
      <c r="E48" s="256" t="s">
        <v>1585</v>
      </c>
      <c r="F48" s="256" t="s">
        <v>1599</v>
      </c>
      <c r="G48" s="258">
        <v>16567000000</v>
      </c>
      <c r="H48" s="265">
        <v>0.1</v>
      </c>
      <c r="I48" s="258">
        <v>1656700000</v>
      </c>
      <c r="J48" s="258">
        <v>18223700000</v>
      </c>
      <c r="K48" s="256" t="s">
        <v>1346</v>
      </c>
    </row>
    <row r="49" spans="1:11" x14ac:dyDescent="0.3">
      <c r="A49" s="256">
        <v>42</v>
      </c>
      <c r="B49" s="257" t="s">
        <v>1360</v>
      </c>
      <c r="C49" s="276">
        <v>44367</v>
      </c>
      <c r="D49" s="257" t="s">
        <v>1384</v>
      </c>
      <c r="E49" s="256" t="s">
        <v>1565</v>
      </c>
      <c r="F49" s="256" t="s">
        <v>1595</v>
      </c>
      <c r="G49" s="258">
        <v>36789000000</v>
      </c>
      <c r="H49" s="265">
        <v>0.1</v>
      </c>
      <c r="I49" s="258">
        <v>3678900000</v>
      </c>
      <c r="J49" s="258">
        <v>40467900000</v>
      </c>
      <c r="K49" s="256" t="s">
        <v>1346</v>
      </c>
    </row>
    <row r="50" spans="1:11" x14ac:dyDescent="0.3">
      <c r="A50" s="256">
        <v>43</v>
      </c>
      <c r="B50" s="257" t="s">
        <v>1362</v>
      </c>
      <c r="C50" s="276">
        <v>44397</v>
      </c>
      <c r="D50" s="257" t="s">
        <v>1281</v>
      </c>
      <c r="E50" s="256" t="s">
        <v>1559</v>
      </c>
      <c r="F50" s="256" t="s">
        <v>1598</v>
      </c>
      <c r="G50" s="258">
        <v>13234000000</v>
      </c>
      <c r="H50" s="265">
        <v>0.1</v>
      </c>
      <c r="I50" s="258">
        <v>1323400000</v>
      </c>
      <c r="J50" s="258">
        <v>14557400000</v>
      </c>
      <c r="K50" s="256" t="s">
        <v>1346</v>
      </c>
    </row>
    <row r="51" spans="1:11" x14ac:dyDescent="0.3">
      <c r="A51" s="256">
        <v>44</v>
      </c>
      <c r="B51" s="257" t="s">
        <v>1360</v>
      </c>
      <c r="C51" s="276">
        <v>44428</v>
      </c>
      <c r="D51" s="257" t="s">
        <v>1285</v>
      </c>
      <c r="E51" s="256" t="s">
        <v>1558</v>
      </c>
      <c r="F51" s="256" t="s">
        <v>1595</v>
      </c>
      <c r="G51" s="258">
        <v>42345000000</v>
      </c>
      <c r="H51" s="265">
        <v>0.1</v>
      </c>
      <c r="I51" s="258">
        <v>4234500000</v>
      </c>
      <c r="J51" s="258">
        <v>46579500000</v>
      </c>
      <c r="K51" s="256" t="s">
        <v>1346</v>
      </c>
    </row>
    <row r="52" spans="1:11" x14ac:dyDescent="0.3">
      <c r="A52" s="256">
        <v>45</v>
      </c>
      <c r="B52" s="257" t="s">
        <v>1360</v>
      </c>
      <c r="C52" s="276">
        <v>44459</v>
      </c>
      <c r="D52" s="257" t="s">
        <v>1435</v>
      </c>
      <c r="E52" s="256" t="s">
        <v>1577</v>
      </c>
      <c r="F52" s="256" t="s">
        <v>1597</v>
      </c>
      <c r="G52" s="258">
        <v>28901000000</v>
      </c>
      <c r="H52" s="265">
        <v>0.1</v>
      </c>
      <c r="I52" s="258">
        <v>2890100000</v>
      </c>
      <c r="J52" s="258">
        <v>31791100000</v>
      </c>
      <c r="K52" s="256" t="s">
        <v>1346</v>
      </c>
    </row>
    <row r="53" spans="1:11" x14ac:dyDescent="0.3">
      <c r="A53" s="256">
        <v>46</v>
      </c>
      <c r="B53" s="257" t="s">
        <v>1360</v>
      </c>
      <c r="C53" s="276">
        <v>44489</v>
      </c>
      <c r="D53" s="257" t="s">
        <v>1259</v>
      </c>
      <c r="E53" s="256" t="s">
        <v>1569</v>
      </c>
      <c r="F53" s="256" t="s">
        <v>1596</v>
      </c>
      <c r="G53" s="258">
        <v>14234000000</v>
      </c>
      <c r="H53" s="265">
        <v>0.1</v>
      </c>
      <c r="I53" s="258">
        <v>1423400000</v>
      </c>
      <c r="J53" s="258">
        <v>15657400000</v>
      </c>
      <c r="K53" s="256" t="s">
        <v>1346</v>
      </c>
    </row>
    <row r="54" spans="1:11" x14ac:dyDescent="0.3">
      <c r="A54" s="256">
        <v>47</v>
      </c>
      <c r="B54" s="257" t="s">
        <v>1360</v>
      </c>
      <c r="C54" s="276">
        <v>44520</v>
      </c>
      <c r="D54" s="257" t="s">
        <v>1278</v>
      </c>
      <c r="E54" s="256" t="s">
        <v>1593</v>
      </c>
      <c r="F54" s="256" t="s">
        <v>1595</v>
      </c>
      <c r="G54" s="258">
        <v>37890000000</v>
      </c>
      <c r="H54" s="265">
        <v>0.1</v>
      </c>
      <c r="I54" s="258">
        <v>3789000000</v>
      </c>
      <c r="J54" s="258">
        <v>41679000000</v>
      </c>
      <c r="K54" s="256" t="s">
        <v>1346</v>
      </c>
    </row>
    <row r="55" spans="1:11" x14ac:dyDescent="0.3">
      <c r="A55" s="256">
        <v>48</v>
      </c>
      <c r="B55" s="257" t="s">
        <v>1360</v>
      </c>
      <c r="C55" s="276">
        <v>44550</v>
      </c>
      <c r="D55" s="257" t="s">
        <v>1263</v>
      </c>
      <c r="E55" s="256" t="s">
        <v>1579</v>
      </c>
      <c r="F55" s="256" t="s">
        <v>1600</v>
      </c>
      <c r="G55" s="258">
        <v>19890000000</v>
      </c>
      <c r="H55" s="265">
        <v>0.1</v>
      </c>
      <c r="I55" s="258">
        <v>1989000000</v>
      </c>
      <c r="J55" s="258">
        <v>21879000000</v>
      </c>
      <c r="K55" s="256" t="s">
        <v>1346</v>
      </c>
    </row>
    <row r="56" spans="1:11" x14ac:dyDescent="0.3">
      <c r="A56" s="256">
        <v>49</v>
      </c>
      <c r="B56" s="257" t="s">
        <v>1364</v>
      </c>
      <c r="C56" s="276">
        <v>44221</v>
      </c>
      <c r="D56" s="257" t="s">
        <v>1274</v>
      </c>
      <c r="E56" s="256" t="s">
        <v>1592</v>
      </c>
      <c r="F56" s="256" t="s">
        <v>1595</v>
      </c>
      <c r="G56" s="258">
        <v>41890000000</v>
      </c>
      <c r="H56" s="265">
        <v>0.1</v>
      </c>
      <c r="I56" s="258">
        <v>4189000000</v>
      </c>
      <c r="J56" s="258">
        <v>46079000000</v>
      </c>
      <c r="K56" s="256" t="s">
        <v>1346</v>
      </c>
    </row>
    <row r="57" spans="1:11" x14ac:dyDescent="0.3">
      <c r="A57" s="256">
        <v>50</v>
      </c>
      <c r="B57" s="257" t="s">
        <v>1358</v>
      </c>
      <c r="C57" s="276">
        <v>44252</v>
      </c>
      <c r="D57" s="257" t="s">
        <v>1282</v>
      </c>
      <c r="E57" s="256" t="s">
        <v>1580</v>
      </c>
      <c r="F57" s="256" t="s">
        <v>1599</v>
      </c>
      <c r="G57" s="258">
        <v>16890000000</v>
      </c>
      <c r="H57" s="265">
        <v>0.1</v>
      </c>
      <c r="I57" s="258">
        <v>1689000000</v>
      </c>
      <c r="J57" s="258">
        <v>18579000000</v>
      </c>
      <c r="K57" s="256" t="s">
        <v>1346</v>
      </c>
    </row>
    <row r="58" spans="1:11" x14ac:dyDescent="0.3">
      <c r="A58" s="256">
        <v>51</v>
      </c>
      <c r="B58" s="257" t="s">
        <v>1364</v>
      </c>
      <c r="C58" s="276">
        <v>44280</v>
      </c>
      <c r="D58" s="257" t="s">
        <v>1267</v>
      </c>
      <c r="E58" s="256" t="s">
        <v>1560</v>
      </c>
      <c r="F58" s="256" t="s">
        <v>1601</v>
      </c>
      <c r="G58" s="258">
        <v>17234000000</v>
      </c>
      <c r="H58" s="265">
        <v>0.1</v>
      </c>
      <c r="I58" s="258">
        <v>1723400000</v>
      </c>
      <c r="J58" s="258">
        <v>18957400000</v>
      </c>
      <c r="K58" s="256" t="s">
        <v>1346</v>
      </c>
    </row>
    <row r="59" spans="1:11" x14ac:dyDescent="0.3">
      <c r="A59" s="256">
        <v>52</v>
      </c>
      <c r="B59" s="257" t="s">
        <v>1362</v>
      </c>
      <c r="C59" s="276">
        <v>44311</v>
      </c>
      <c r="D59" s="257" t="s">
        <v>1428</v>
      </c>
      <c r="E59" s="256" t="s">
        <v>1557</v>
      </c>
      <c r="F59" s="256" t="s">
        <v>1595</v>
      </c>
      <c r="G59" s="258">
        <v>38234000000</v>
      </c>
      <c r="H59" s="265">
        <v>0.1</v>
      </c>
      <c r="I59" s="258">
        <v>3823400000</v>
      </c>
      <c r="J59" s="258">
        <v>42057400000</v>
      </c>
      <c r="K59" s="256" t="s">
        <v>1346</v>
      </c>
    </row>
    <row r="60" spans="1:11" x14ac:dyDescent="0.3">
      <c r="A60" s="256">
        <v>53</v>
      </c>
      <c r="B60" s="257" t="s">
        <v>1358</v>
      </c>
      <c r="C60" s="276">
        <v>44341</v>
      </c>
      <c r="D60" s="257" t="s">
        <v>1273</v>
      </c>
      <c r="E60" s="256" t="s">
        <v>1567</v>
      </c>
      <c r="F60" s="256" t="s">
        <v>1597</v>
      </c>
      <c r="G60" s="258">
        <v>26234000000</v>
      </c>
      <c r="H60" s="265">
        <v>0.1</v>
      </c>
      <c r="I60" s="258">
        <v>2623400000</v>
      </c>
      <c r="J60" s="258">
        <v>28857400000</v>
      </c>
      <c r="K60" s="256" t="s">
        <v>1346</v>
      </c>
    </row>
    <row r="61" spans="1:11" x14ac:dyDescent="0.3">
      <c r="A61" s="256">
        <v>54</v>
      </c>
      <c r="B61" s="257" t="s">
        <v>1360</v>
      </c>
      <c r="C61" s="276">
        <v>44372</v>
      </c>
      <c r="D61" s="257" t="s">
        <v>1264</v>
      </c>
      <c r="E61" s="256" t="s">
        <v>1584</v>
      </c>
      <c r="F61" s="256" t="s">
        <v>1595</v>
      </c>
      <c r="G61" s="258">
        <v>42890000000</v>
      </c>
      <c r="H61" s="265">
        <v>0.1</v>
      </c>
      <c r="I61" s="258">
        <v>4289000000</v>
      </c>
      <c r="J61" s="258">
        <v>47179000000</v>
      </c>
      <c r="K61" s="256" t="s">
        <v>1346</v>
      </c>
    </row>
    <row r="62" spans="1:11" x14ac:dyDescent="0.3">
      <c r="A62" s="256">
        <v>55</v>
      </c>
      <c r="B62" s="257" t="s">
        <v>1366</v>
      </c>
      <c r="C62" s="276">
        <v>44402</v>
      </c>
      <c r="D62" s="257" t="s">
        <v>1352</v>
      </c>
      <c r="E62" s="256" t="s">
        <v>1571</v>
      </c>
      <c r="F62" s="256" t="s">
        <v>1598</v>
      </c>
      <c r="G62" s="258">
        <v>14890000000</v>
      </c>
      <c r="H62" s="265">
        <v>0.1</v>
      </c>
      <c r="I62" s="258">
        <v>1489000000</v>
      </c>
      <c r="J62" s="258">
        <v>16379000000</v>
      </c>
      <c r="K62" s="256" t="s">
        <v>1346</v>
      </c>
    </row>
    <row r="63" spans="1:11" x14ac:dyDescent="0.3">
      <c r="A63" s="256">
        <v>56</v>
      </c>
      <c r="B63" s="257" t="s">
        <v>1366</v>
      </c>
      <c r="C63" s="276">
        <v>44433</v>
      </c>
      <c r="D63" s="257" t="s">
        <v>1272</v>
      </c>
      <c r="E63" s="256" t="s">
        <v>540</v>
      </c>
      <c r="F63" s="256" t="s">
        <v>1596</v>
      </c>
      <c r="G63" s="258">
        <v>13678000000</v>
      </c>
      <c r="H63" s="265">
        <v>0.1</v>
      </c>
      <c r="I63" s="258">
        <v>1367800000</v>
      </c>
      <c r="J63" s="258">
        <v>15045800000</v>
      </c>
      <c r="K63" s="256" t="s">
        <v>1346</v>
      </c>
    </row>
    <row r="64" spans="1:11" x14ac:dyDescent="0.3">
      <c r="A64" s="256">
        <v>57</v>
      </c>
      <c r="B64" s="257" t="s">
        <v>1358</v>
      </c>
      <c r="C64" s="276">
        <v>44464</v>
      </c>
      <c r="D64" s="257" t="s">
        <v>1283</v>
      </c>
      <c r="E64" s="256" t="s">
        <v>1588</v>
      </c>
      <c r="F64" s="256" t="s">
        <v>1595</v>
      </c>
      <c r="G64" s="258">
        <v>40234000000</v>
      </c>
      <c r="H64" s="265">
        <v>0.1</v>
      </c>
      <c r="I64" s="258">
        <v>4023400000</v>
      </c>
      <c r="J64" s="258">
        <v>44257400000</v>
      </c>
      <c r="K64" s="256" t="s">
        <v>1346</v>
      </c>
    </row>
    <row r="65" spans="1:11" x14ac:dyDescent="0.3">
      <c r="A65" s="256">
        <v>58</v>
      </c>
      <c r="B65" s="257" t="s">
        <v>1364</v>
      </c>
      <c r="C65" s="276">
        <v>44494</v>
      </c>
      <c r="D65" s="257" t="s">
        <v>1277</v>
      </c>
      <c r="E65" s="256" t="s">
        <v>1582</v>
      </c>
      <c r="F65" s="256" t="s">
        <v>1600</v>
      </c>
      <c r="G65" s="258">
        <v>20890000000</v>
      </c>
      <c r="H65" s="265">
        <v>0.1</v>
      </c>
      <c r="I65" s="258">
        <v>2089000000</v>
      </c>
      <c r="J65" s="258">
        <v>22979000000</v>
      </c>
      <c r="K65" s="256" t="s">
        <v>1346</v>
      </c>
    </row>
    <row r="66" spans="1:11" x14ac:dyDescent="0.3">
      <c r="A66" s="256">
        <v>59</v>
      </c>
      <c r="B66" s="257" t="s">
        <v>1362</v>
      </c>
      <c r="C66" s="276">
        <v>44525</v>
      </c>
      <c r="D66" s="257" t="s">
        <v>1389</v>
      </c>
      <c r="E66" s="256" t="s">
        <v>1555</v>
      </c>
      <c r="F66" s="256" t="s">
        <v>1599</v>
      </c>
      <c r="G66" s="258">
        <v>17456000000</v>
      </c>
      <c r="H66" s="265">
        <v>0.1</v>
      </c>
      <c r="I66" s="258">
        <v>1745600000</v>
      </c>
      <c r="J66" s="258">
        <v>19201600000</v>
      </c>
      <c r="K66" s="256" t="s">
        <v>1346</v>
      </c>
    </row>
    <row r="67" spans="1:11" x14ac:dyDescent="0.3">
      <c r="A67" s="256">
        <v>60</v>
      </c>
      <c r="B67" s="257" t="s">
        <v>1364</v>
      </c>
      <c r="C67" s="276">
        <v>44555</v>
      </c>
      <c r="D67" s="257" t="s">
        <v>1395</v>
      </c>
      <c r="E67" s="256" t="s">
        <v>1581</v>
      </c>
      <c r="F67" s="256" t="s">
        <v>1595</v>
      </c>
      <c r="G67" s="258">
        <v>44234000000</v>
      </c>
      <c r="H67" s="265">
        <v>0.1</v>
      </c>
      <c r="I67" s="258">
        <v>4423400000</v>
      </c>
      <c r="J67" s="258">
        <v>48657400000</v>
      </c>
      <c r="K67" s="256" t="s">
        <v>1346</v>
      </c>
    </row>
    <row r="68" spans="1:11" x14ac:dyDescent="0.3">
      <c r="A68" s="266" t="s">
        <v>1351</v>
      </c>
      <c r="B68" s="266"/>
      <c r="C68" s="266"/>
      <c r="D68" s="266"/>
      <c r="E68" s="266"/>
      <c r="F68" s="266"/>
      <c r="G68" s="267">
        <f>SUM(G8:G67)</f>
        <v>1628117000000</v>
      </c>
      <c r="H68" s="266"/>
      <c r="I68" s="267">
        <f>SUM(I8:I67)</f>
        <v>162811700000</v>
      </c>
      <c r="J68" s="267">
        <f>SUM(J8:J67)</f>
        <v>1790928700000</v>
      </c>
      <c r="K68" s="266"/>
    </row>
    <row r="69" spans="1:11" x14ac:dyDescent="0.3">
      <c r="A69" s="256"/>
      <c r="B69" s="256"/>
      <c r="C69" s="256"/>
      <c r="D69" s="256"/>
      <c r="E69" s="256"/>
      <c r="F69" s="256"/>
      <c r="G69" s="256"/>
      <c r="H69" s="256"/>
      <c r="I69" s="256"/>
      <c r="J69" s="256"/>
      <c r="K69" s="256"/>
    </row>
    <row r="70" spans="1:11" x14ac:dyDescent="0.3">
      <c r="A70" s="256" t="s">
        <v>1420</v>
      </c>
      <c r="B70" s="256"/>
      <c r="C70" s="256"/>
      <c r="D70" s="256"/>
      <c r="E70" s="256"/>
      <c r="F70" s="256"/>
      <c r="G70" s="256"/>
      <c r="H70" s="256"/>
      <c r="I70" s="256"/>
      <c r="J70" s="256"/>
      <c r="K70" s="256"/>
    </row>
    <row r="71" spans="1:11" x14ac:dyDescent="0.3">
      <c r="A71" s="266" t="s">
        <v>0</v>
      </c>
      <c r="B71" s="266" t="s">
        <v>212</v>
      </c>
      <c r="C71" s="266" t="s">
        <v>1535</v>
      </c>
      <c r="D71" s="266" t="s">
        <v>1586</v>
      </c>
      <c r="E71" s="266" t="s">
        <v>1422</v>
      </c>
      <c r="F71" s="266" t="s">
        <v>1537</v>
      </c>
      <c r="G71" s="266" t="s">
        <v>270</v>
      </c>
      <c r="H71" s="266" t="s">
        <v>1538</v>
      </c>
      <c r="I71" s="266" t="s">
        <v>1539</v>
      </c>
      <c r="J71" s="266" t="s">
        <v>1540</v>
      </c>
      <c r="K71" s="266" t="s">
        <v>1541</v>
      </c>
    </row>
    <row r="72" spans="1:11" x14ac:dyDescent="0.3">
      <c r="A72" s="256">
        <v>1</v>
      </c>
      <c r="B72" s="257" t="s">
        <v>1200</v>
      </c>
      <c r="C72" s="276">
        <v>44470</v>
      </c>
      <c r="D72" s="257" t="s">
        <v>1352</v>
      </c>
      <c r="E72" s="256" t="s">
        <v>1571</v>
      </c>
      <c r="F72" s="256" t="s">
        <v>1602</v>
      </c>
      <c r="G72" s="258">
        <v>23456000000</v>
      </c>
      <c r="H72" s="265">
        <v>0.1</v>
      </c>
      <c r="I72" s="258">
        <v>2345600000</v>
      </c>
      <c r="J72" s="258">
        <v>25801600000</v>
      </c>
      <c r="K72" s="256" t="s">
        <v>1346</v>
      </c>
    </row>
    <row r="73" spans="1:11" x14ac:dyDescent="0.3">
      <c r="A73" s="256">
        <v>2</v>
      </c>
      <c r="B73" s="257" t="s">
        <v>1201</v>
      </c>
      <c r="C73" s="276">
        <v>44472</v>
      </c>
      <c r="D73" s="257" t="s">
        <v>1283</v>
      </c>
      <c r="E73" s="256" t="s">
        <v>1588</v>
      </c>
      <c r="F73" s="256" t="s">
        <v>1603</v>
      </c>
      <c r="G73" s="258">
        <v>56789000000</v>
      </c>
      <c r="H73" s="265">
        <v>0.1</v>
      </c>
      <c r="I73" s="258">
        <v>5678900000</v>
      </c>
      <c r="J73" s="258">
        <v>62467900000</v>
      </c>
      <c r="K73" s="256" t="s">
        <v>1346</v>
      </c>
    </row>
    <row r="74" spans="1:11" x14ac:dyDescent="0.3">
      <c r="A74" s="256">
        <v>3</v>
      </c>
      <c r="B74" s="257" t="s">
        <v>1202</v>
      </c>
      <c r="C74" s="276">
        <v>44474</v>
      </c>
      <c r="D74" s="257" t="s">
        <v>1384</v>
      </c>
      <c r="E74" s="256" t="s">
        <v>1565</v>
      </c>
      <c r="F74" s="256" t="s">
        <v>1602</v>
      </c>
      <c r="G74" s="258">
        <v>31234000000</v>
      </c>
      <c r="H74" s="265">
        <v>0.1</v>
      </c>
      <c r="I74" s="258">
        <v>3123400000</v>
      </c>
      <c r="J74" s="258">
        <v>34357400000</v>
      </c>
      <c r="K74" s="256" t="s">
        <v>1346</v>
      </c>
    </row>
    <row r="75" spans="1:11" x14ac:dyDescent="0.3">
      <c r="A75" s="256">
        <v>4</v>
      </c>
      <c r="B75" s="257" t="s">
        <v>1355</v>
      </c>
      <c r="C75" s="276">
        <v>44476</v>
      </c>
      <c r="D75" s="257" t="s">
        <v>1258</v>
      </c>
      <c r="E75" s="256" t="s">
        <v>351</v>
      </c>
      <c r="F75" s="256" t="s">
        <v>1603</v>
      </c>
      <c r="G75" s="258">
        <v>72345000000</v>
      </c>
      <c r="H75" s="265">
        <v>0.1</v>
      </c>
      <c r="I75" s="258">
        <v>7234500000</v>
      </c>
      <c r="J75" s="258">
        <v>79579500000</v>
      </c>
      <c r="K75" s="256" t="s">
        <v>1346</v>
      </c>
    </row>
    <row r="76" spans="1:11" x14ac:dyDescent="0.3">
      <c r="A76" s="256">
        <v>5</v>
      </c>
      <c r="B76" s="257" t="s">
        <v>1356</v>
      </c>
      <c r="C76" s="276">
        <v>44478</v>
      </c>
      <c r="D76" s="257" t="s">
        <v>1275</v>
      </c>
      <c r="E76" s="256" t="s">
        <v>1575</v>
      </c>
      <c r="F76" s="256" t="s">
        <v>1604</v>
      </c>
      <c r="G76" s="258">
        <v>18901000000</v>
      </c>
      <c r="H76" s="265">
        <v>0.1</v>
      </c>
      <c r="I76" s="258">
        <v>1890100000</v>
      </c>
      <c r="J76" s="258">
        <v>20791100000</v>
      </c>
      <c r="K76" s="256" t="s">
        <v>1346</v>
      </c>
    </row>
    <row r="77" spans="1:11" x14ac:dyDescent="0.3">
      <c r="A77" s="256">
        <v>6</v>
      </c>
      <c r="B77" s="257" t="s">
        <v>1358</v>
      </c>
      <c r="C77" s="276">
        <v>44480</v>
      </c>
      <c r="D77" s="257" t="s">
        <v>1428</v>
      </c>
      <c r="E77" s="256" t="s">
        <v>1557</v>
      </c>
      <c r="F77" s="256" t="s">
        <v>1602</v>
      </c>
      <c r="G77" s="258">
        <v>27890000000</v>
      </c>
      <c r="H77" s="265">
        <v>0.1</v>
      </c>
      <c r="I77" s="258">
        <v>2789000000</v>
      </c>
      <c r="J77" s="258">
        <v>30679000000</v>
      </c>
      <c r="K77" s="256" t="s">
        <v>1346</v>
      </c>
    </row>
    <row r="78" spans="1:11" x14ac:dyDescent="0.3">
      <c r="A78" s="256">
        <v>7</v>
      </c>
      <c r="B78" s="257" t="s">
        <v>1360</v>
      </c>
      <c r="C78" s="276">
        <v>44211</v>
      </c>
      <c r="D78" s="257" t="s">
        <v>1277</v>
      </c>
      <c r="E78" s="256" t="s">
        <v>1582</v>
      </c>
      <c r="F78" s="256" t="s">
        <v>1603</v>
      </c>
      <c r="G78" s="258">
        <v>65234000000</v>
      </c>
      <c r="H78" s="265">
        <v>0.1</v>
      </c>
      <c r="I78" s="258">
        <v>6523400000</v>
      </c>
      <c r="J78" s="258">
        <v>71757400000</v>
      </c>
      <c r="K78" s="256" t="s">
        <v>1346</v>
      </c>
    </row>
    <row r="79" spans="1:11" x14ac:dyDescent="0.3">
      <c r="A79" s="256">
        <v>8</v>
      </c>
      <c r="B79" s="257" t="s">
        <v>1362</v>
      </c>
      <c r="C79" s="276">
        <v>44270</v>
      </c>
      <c r="D79" s="257" t="s">
        <v>1262</v>
      </c>
      <c r="E79" s="256" t="s">
        <v>1556</v>
      </c>
      <c r="F79" s="256" t="s">
        <v>1605</v>
      </c>
      <c r="G79" s="258">
        <v>22345000000</v>
      </c>
      <c r="H79" s="265">
        <v>0.1</v>
      </c>
      <c r="I79" s="258">
        <v>2234500000</v>
      </c>
      <c r="J79" s="258">
        <v>24579500000</v>
      </c>
      <c r="K79" s="256" t="s">
        <v>1346</v>
      </c>
    </row>
    <row r="80" spans="1:11" x14ac:dyDescent="0.3">
      <c r="A80" s="256">
        <v>9</v>
      </c>
      <c r="B80" s="257" t="s">
        <v>1364</v>
      </c>
      <c r="C80" s="276">
        <v>44331</v>
      </c>
      <c r="D80" s="257" t="s">
        <v>1285</v>
      </c>
      <c r="E80" s="256" t="s">
        <v>1558</v>
      </c>
      <c r="F80" s="256" t="s">
        <v>1602</v>
      </c>
      <c r="G80" s="258">
        <v>34567000000</v>
      </c>
      <c r="H80" s="265">
        <v>0.1</v>
      </c>
      <c r="I80" s="258">
        <v>3456700000</v>
      </c>
      <c r="J80" s="258">
        <v>38023700000</v>
      </c>
      <c r="K80" s="256" t="s">
        <v>1346</v>
      </c>
    </row>
    <row r="81" spans="1:11" x14ac:dyDescent="0.3">
      <c r="A81" s="256">
        <v>10</v>
      </c>
      <c r="B81" s="257" t="s">
        <v>1366</v>
      </c>
      <c r="C81" s="276">
        <v>44392</v>
      </c>
      <c r="D81" s="257" t="s">
        <v>1435</v>
      </c>
      <c r="E81" s="256" t="s">
        <v>1577</v>
      </c>
      <c r="F81" s="256" t="s">
        <v>1603</v>
      </c>
      <c r="G81" s="258">
        <v>78901000000</v>
      </c>
      <c r="H81" s="265">
        <v>0.1</v>
      </c>
      <c r="I81" s="258">
        <v>7890100000</v>
      </c>
      <c r="J81" s="258">
        <v>86791100000</v>
      </c>
      <c r="K81" s="256" t="s">
        <v>1346</v>
      </c>
    </row>
    <row r="82" spans="1:11" x14ac:dyDescent="0.3">
      <c r="A82" s="256">
        <v>11</v>
      </c>
      <c r="B82" s="257" t="s">
        <v>1368</v>
      </c>
      <c r="C82" s="276">
        <v>44454</v>
      </c>
      <c r="D82" s="257" t="s">
        <v>1279</v>
      </c>
      <c r="E82" s="256" t="s">
        <v>1573</v>
      </c>
      <c r="F82" s="256" t="s">
        <v>1604</v>
      </c>
      <c r="G82" s="258">
        <v>21234000000</v>
      </c>
      <c r="H82" s="265">
        <v>0.1</v>
      </c>
      <c r="I82" s="258">
        <v>2123400000</v>
      </c>
      <c r="J82" s="258">
        <v>23357400000</v>
      </c>
      <c r="K82" s="256" t="s">
        <v>1346</v>
      </c>
    </row>
    <row r="83" spans="1:11" x14ac:dyDescent="0.3">
      <c r="A83" s="256">
        <v>12</v>
      </c>
      <c r="B83" s="257" t="s">
        <v>1371</v>
      </c>
      <c r="C83" s="276">
        <v>44515</v>
      </c>
      <c r="D83" s="257" t="s">
        <v>1260</v>
      </c>
      <c r="E83" s="256" t="s">
        <v>1585</v>
      </c>
      <c r="F83" s="256" t="s">
        <v>1602</v>
      </c>
      <c r="G83" s="258">
        <v>29345000000</v>
      </c>
      <c r="H83" s="265">
        <v>0.1</v>
      </c>
      <c r="I83" s="258">
        <v>2934500000</v>
      </c>
      <c r="J83" s="258">
        <v>32279500000</v>
      </c>
      <c r="K83" s="256" t="s">
        <v>1346</v>
      </c>
    </row>
    <row r="84" spans="1:11" x14ac:dyDescent="0.3">
      <c r="A84" s="256">
        <v>13</v>
      </c>
      <c r="B84" s="257" t="s">
        <v>1373</v>
      </c>
      <c r="C84" s="276">
        <v>44216</v>
      </c>
      <c r="D84" s="257" t="s">
        <v>1395</v>
      </c>
      <c r="E84" s="256" t="s">
        <v>1581</v>
      </c>
      <c r="F84" s="256" t="s">
        <v>1603</v>
      </c>
      <c r="G84" s="258">
        <v>67890000000</v>
      </c>
      <c r="H84" s="265">
        <v>0.1</v>
      </c>
      <c r="I84" s="258">
        <v>6789000000</v>
      </c>
      <c r="J84" s="258">
        <v>74679000000</v>
      </c>
      <c r="K84" s="256" t="s">
        <v>1346</v>
      </c>
    </row>
    <row r="85" spans="1:11" x14ac:dyDescent="0.3">
      <c r="A85" s="256">
        <v>14</v>
      </c>
      <c r="B85" s="257" t="s">
        <v>1374</v>
      </c>
      <c r="C85" s="276">
        <v>44275</v>
      </c>
      <c r="D85" s="257" t="s">
        <v>1281</v>
      </c>
      <c r="E85" s="256" t="s">
        <v>1559</v>
      </c>
      <c r="F85" s="256" t="s">
        <v>1605</v>
      </c>
      <c r="G85" s="258">
        <v>23456000000</v>
      </c>
      <c r="H85" s="265">
        <v>0.1</v>
      </c>
      <c r="I85" s="258">
        <v>2345600000</v>
      </c>
      <c r="J85" s="258">
        <v>25801600000</v>
      </c>
      <c r="K85" s="256" t="s">
        <v>1346</v>
      </c>
    </row>
    <row r="86" spans="1:11" x14ac:dyDescent="0.3">
      <c r="A86" s="256">
        <v>15</v>
      </c>
      <c r="B86" s="257" t="s">
        <v>1376</v>
      </c>
      <c r="C86" s="276">
        <v>44336</v>
      </c>
      <c r="D86" s="257" t="s">
        <v>1282</v>
      </c>
      <c r="E86" s="256" t="s">
        <v>1580</v>
      </c>
      <c r="F86" s="256" t="s">
        <v>1602</v>
      </c>
      <c r="G86" s="258">
        <v>38901000000</v>
      </c>
      <c r="H86" s="265">
        <v>0.1</v>
      </c>
      <c r="I86" s="258">
        <v>3890100000</v>
      </c>
      <c r="J86" s="258">
        <v>42791100000</v>
      </c>
      <c r="K86" s="256" t="s">
        <v>1346</v>
      </c>
    </row>
    <row r="87" spans="1:11" x14ac:dyDescent="0.3">
      <c r="A87" s="256">
        <v>16</v>
      </c>
      <c r="B87" s="257" t="s">
        <v>1378</v>
      </c>
      <c r="C87" s="276">
        <v>44397</v>
      </c>
      <c r="D87" s="257" t="s">
        <v>1274</v>
      </c>
      <c r="E87" s="256" t="s">
        <v>1592</v>
      </c>
      <c r="F87" s="256" t="s">
        <v>1603</v>
      </c>
      <c r="G87" s="258">
        <v>71234000000</v>
      </c>
      <c r="H87" s="265">
        <v>0.1</v>
      </c>
      <c r="I87" s="258">
        <v>7123400000</v>
      </c>
      <c r="J87" s="258">
        <v>78357400000</v>
      </c>
      <c r="K87" s="256" t="s">
        <v>1346</v>
      </c>
    </row>
    <row r="88" spans="1:11" x14ac:dyDescent="0.3">
      <c r="A88" s="256">
        <v>17</v>
      </c>
      <c r="B88" s="257" t="s">
        <v>1379</v>
      </c>
      <c r="C88" s="276">
        <v>44459</v>
      </c>
      <c r="D88" s="257" t="s">
        <v>1280</v>
      </c>
      <c r="E88" s="256" t="s">
        <v>618</v>
      </c>
      <c r="F88" s="256" t="s">
        <v>1604</v>
      </c>
      <c r="G88" s="258">
        <v>19234000000</v>
      </c>
      <c r="H88" s="265">
        <v>0.1</v>
      </c>
      <c r="I88" s="258">
        <v>1923400000</v>
      </c>
      <c r="J88" s="258">
        <v>21157400000</v>
      </c>
      <c r="K88" s="256" t="s">
        <v>1346</v>
      </c>
    </row>
    <row r="89" spans="1:11" x14ac:dyDescent="0.3">
      <c r="A89" s="256">
        <v>18</v>
      </c>
      <c r="B89" s="257" t="s">
        <v>1381</v>
      </c>
      <c r="C89" s="276">
        <v>44520</v>
      </c>
      <c r="D89" s="257" t="s">
        <v>1267</v>
      </c>
      <c r="E89" s="256" t="s">
        <v>1560</v>
      </c>
      <c r="F89" s="256" t="s">
        <v>1602</v>
      </c>
      <c r="G89" s="258">
        <v>32345000000</v>
      </c>
      <c r="H89" s="265">
        <v>0.1</v>
      </c>
      <c r="I89" s="258">
        <v>3234500000</v>
      </c>
      <c r="J89" s="258">
        <v>35579500000</v>
      </c>
      <c r="K89" s="256" t="s">
        <v>1346</v>
      </c>
    </row>
    <row r="90" spans="1:11" x14ac:dyDescent="0.3">
      <c r="A90" s="256">
        <v>19</v>
      </c>
      <c r="B90" s="257" t="s">
        <v>1382</v>
      </c>
      <c r="C90" s="276">
        <v>44221</v>
      </c>
      <c r="D90" s="257" t="s">
        <v>1416</v>
      </c>
      <c r="E90" s="256" t="s">
        <v>1562</v>
      </c>
      <c r="F90" s="256" t="s">
        <v>1603</v>
      </c>
      <c r="G90" s="258">
        <v>69234000000</v>
      </c>
      <c r="H90" s="265">
        <v>0.1</v>
      </c>
      <c r="I90" s="258">
        <v>6923400000</v>
      </c>
      <c r="J90" s="258">
        <v>76157400000</v>
      </c>
      <c r="K90" s="256" t="s">
        <v>1346</v>
      </c>
    </row>
    <row r="91" spans="1:11" x14ac:dyDescent="0.3">
      <c r="A91" s="256">
        <v>20</v>
      </c>
      <c r="B91" s="257" t="s">
        <v>1383</v>
      </c>
      <c r="C91" s="276">
        <v>44280</v>
      </c>
      <c r="D91" s="257" t="s">
        <v>1284</v>
      </c>
      <c r="E91" s="256" t="s">
        <v>1552</v>
      </c>
      <c r="F91" s="256" t="s">
        <v>1605</v>
      </c>
      <c r="G91" s="258">
        <v>24567000000</v>
      </c>
      <c r="H91" s="265">
        <v>0.1</v>
      </c>
      <c r="I91" s="258">
        <v>2456700000</v>
      </c>
      <c r="J91" s="258">
        <v>27023700000</v>
      </c>
      <c r="K91" s="256" t="s">
        <v>1346</v>
      </c>
    </row>
    <row r="92" spans="1:11" x14ac:dyDescent="0.3">
      <c r="A92" s="256">
        <v>21</v>
      </c>
      <c r="B92" s="257" t="s">
        <v>1203</v>
      </c>
      <c r="C92" s="276">
        <v>44341</v>
      </c>
      <c r="D92" s="257" t="s">
        <v>1264</v>
      </c>
      <c r="E92" s="256" t="s">
        <v>1584</v>
      </c>
      <c r="F92" s="256" t="s">
        <v>1602</v>
      </c>
      <c r="G92" s="258">
        <v>36789000000</v>
      </c>
      <c r="H92" s="265">
        <v>0.1</v>
      </c>
      <c r="I92" s="258">
        <v>3678900000</v>
      </c>
      <c r="J92" s="258">
        <v>40467900000</v>
      </c>
      <c r="K92" s="256" t="s">
        <v>1346</v>
      </c>
    </row>
    <row r="93" spans="1:11" x14ac:dyDescent="0.3">
      <c r="A93" s="256">
        <v>22</v>
      </c>
      <c r="B93" s="257" t="s">
        <v>1204</v>
      </c>
      <c r="C93" s="276">
        <v>44402</v>
      </c>
      <c r="D93" s="257" t="s">
        <v>1261</v>
      </c>
      <c r="E93" s="256" t="s">
        <v>1572</v>
      </c>
      <c r="F93" s="256" t="s">
        <v>1603</v>
      </c>
      <c r="G93" s="258">
        <v>74567000000</v>
      </c>
      <c r="H93" s="265">
        <v>0.1</v>
      </c>
      <c r="I93" s="258">
        <v>7456700000</v>
      </c>
      <c r="J93" s="258">
        <v>82023700000</v>
      </c>
      <c r="K93" s="256" t="s">
        <v>1346</v>
      </c>
    </row>
    <row r="94" spans="1:11" x14ac:dyDescent="0.3">
      <c r="A94" s="256">
        <v>23</v>
      </c>
      <c r="B94" s="257" t="s">
        <v>1205</v>
      </c>
      <c r="C94" s="276">
        <v>44464</v>
      </c>
      <c r="D94" s="257" t="s">
        <v>1352</v>
      </c>
      <c r="E94" s="256" t="s">
        <v>1571</v>
      </c>
      <c r="F94" s="256" t="s">
        <v>1604</v>
      </c>
      <c r="G94" s="258">
        <v>20890000000</v>
      </c>
      <c r="H94" s="265">
        <v>0.1</v>
      </c>
      <c r="I94" s="258">
        <v>2089000000</v>
      </c>
      <c r="J94" s="258">
        <v>22979000000</v>
      </c>
      <c r="K94" s="256" t="s">
        <v>1346</v>
      </c>
    </row>
    <row r="95" spans="1:11" x14ac:dyDescent="0.3">
      <c r="A95" s="256">
        <v>24</v>
      </c>
      <c r="B95" s="257" t="s">
        <v>1385</v>
      </c>
      <c r="C95" s="276">
        <v>44525</v>
      </c>
      <c r="D95" s="257" t="s">
        <v>1272</v>
      </c>
      <c r="E95" s="256" t="s">
        <v>540</v>
      </c>
      <c r="F95" s="256" t="s">
        <v>1602</v>
      </c>
      <c r="G95" s="258">
        <v>35678000000</v>
      </c>
      <c r="H95" s="265">
        <v>0.1</v>
      </c>
      <c r="I95" s="258">
        <v>3567800000</v>
      </c>
      <c r="J95" s="258">
        <v>39245800000</v>
      </c>
      <c r="K95" s="256" t="s">
        <v>1346</v>
      </c>
    </row>
    <row r="96" spans="1:11" x14ac:dyDescent="0.3">
      <c r="A96" s="256">
        <v>25</v>
      </c>
      <c r="B96" s="257" t="s">
        <v>1387</v>
      </c>
      <c r="C96" s="276">
        <v>44227</v>
      </c>
      <c r="D96" s="257" t="s">
        <v>1257</v>
      </c>
      <c r="E96" s="256" t="s">
        <v>1574</v>
      </c>
      <c r="F96" s="256" t="s">
        <v>1603</v>
      </c>
      <c r="G96" s="258">
        <v>63456000000</v>
      </c>
      <c r="H96" s="265">
        <v>0.1</v>
      </c>
      <c r="I96" s="258">
        <v>6345600000</v>
      </c>
      <c r="J96" s="258">
        <v>69801600000</v>
      </c>
      <c r="K96" s="256" t="s">
        <v>1346</v>
      </c>
    </row>
    <row r="97" spans="1:11" x14ac:dyDescent="0.3">
      <c r="A97" s="256">
        <v>26</v>
      </c>
      <c r="B97" s="257" t="s">
        <v>1388</v>
      </c>
      <c r="C97" s="276">
        <v>44286</v>
      </c>
      <c r="D97" s="257" t="s">
        <v>1265</v>
      </c>
      <c r="E97" s="256" t="s">
        <v>1583</v>
      </c>
      <c r="F97" s="256" t="s">
        <v>1605</v>
      </c>
      <c r="G97" s="258">
        <v>21234000000</v>
      </c>
      <c r="H97" s="265">
        <v>0.1</v>
      </c>
      <c r="I97" s="258">
        <v>2123400000</v>
      </c>
      <c r="J97" s="258">
        <v>23357400000</v>
      </c>
      <c r="K97" s="256" t="s">
        <v>1346</v>
      </c>
    </row>
    <row r="98" spans="1:11" x14ac:dyDescent="0.3">
      <c r="A98" s="256">
        <v>27</v>
      </c>
      <c r="B98" s="257" t="s">
        <v>1391</v>
      </c>
      <c r="C98" s="276">
        <v>44347</v>
      </c>
      <c r="D98" s="257" t="s">
        <v>1278</v>
      </c>
      <c r="E98" s="256" t="s">
        <v>1593</v>
      </c>
      <c r="F98" s="256" t="s">
        <v>1602</v>
      </c>
      <c r="G98" s="258">
        <v>37890000000</v>
      </c>
      <c r="H98" s="265">
        <v>0.1</v>
      </c>
      <c r="I98" s="258">
        <v>3789000000</v>
      </c>
      <c r="J98" s="258">
        <v>41679000000</v>
      </c>
      <c r="K98" s="256" t="s">
        <v>1346</v>
      </c>
    </row>
    <row r="99" spans="1:11" x14ac:dyDescent="0.3">
      <c r="A99" s="256">
        <v>28</v>
      </c>
      <c r="B99" s="257" t="s">
        <v>1392</v>
      </c>
      <c r="C99" s="276">
        <v>44408</v>
      </c>
      <c r="D99" s="257" t="s">
        <v>1263</v>
      </c>
      <c r="E99" s="256" t="s">
        <v>1579</v>
      </c>
      <c r="F99" s="256" t="s">
        <v>1603</v>
      </c>
      <c r="G99" s="258">
        <v>72345000000</v>
      </c>
      <c r="H99" s="265">
        <v>0.1</v>
      </c>
      <c r="I99" s="258">
        <v>7234500000</v>
      </c>
      <c r="J99" s="258">
        <v>79579500000</v>
      </c>
      <c r="K99" s="256" t="s">
        <v>1346</v>
      </c>
    </row>
    <row r="100" spans="1:11" x14ac:dyDescent="0.3">
      <c r="A100" s="256">
        <v>29</v>
      </c>
      <c r="B100" s="257" t="s">
        <v>1394</v>
      </c>
      <c r="C100" s="276">
        <v>44470</v>
      </c>
      <c r="D100" s="257" t="s">
        <v>1275</v>
      </c>
      <c r="E100" s="256" t="s">
        <v>1575</v>
      </c>
      <c r="F100" s="256" t="s">
        <v>1604</v>
      </c>
      <c r="G100" s="258">
        <v>19890000000</v>
      </c>
      <c r="H100" s="265">
        <v>0.1</v>
      </c>
      <c r="I100" s="258">
        <v>1989000000</v>
      </c>
      <c r="J100" s="258">
        <v>21879000000</v>
      </c>
      <c r="K100" s="256" t="s">
        <v>1346</v>
      </c>
    </row>
    <row r="101" spans="1:11" x14ac:dyDescent="0.3">
      <c r="A101" s="256">
        <v>30</v>
      </c>
      <c r="B101" s="257" t="s">
        <v>1396</v>
      </c>
      <c r="C101" s="276">
        <v>44561</v>
      </c>
      <c r="D101" s="257" t="s">
        <v>1389</v>
      </c>
      <c r="E101" s="256" t="s">
        <v>1555</v>
      </c>
      <c r="F101" s="256" t="s">
        <v>1602</v>
      </c>
      <c r="G101" s="258">
        <v>33456000000</v>
      </c>
      <c r="H101" s="265">
        <v>0.1</v>
      </c>
      <c r="I101" s="258">
        <v>3345600000</v>
      </c>
      <c r="J101" s="258">
        <v>36801600000</v>
      </c>
      <c r="K101" s="256" t="s">
        <v>1346</v>
      </c>
    </row>
    <row r="102" spans="1:11" x14ac:dyDescent="0.3">
      <c r="A102" s="256">
        <v>31</v>
      </c>
      <c r="B102" s="257" t="s">
        <v>1397</v>
      </c>
      <c r="C102" s="276">
        <v>44561</v>
      </c>
      <c r="D102" s="257" t="s">
        <v>1428</v>
      </c>
      <c r="E102" s="256" t="s">
        <v>1557</v>
      </c>
      <c r="F102" s="256" t="s">
        <v>1603</v>
      </c>
      <c r="G102" s="258">
        <v>76234000000</v>
      </c>
      <c r="H102" s="265">
        <v>0.1</v>
      </c>
      <c r="I102" s="258">
        <v>7623400000</v>
      </c>
      <c r="J102" s="258">
        <v>83857400000</v>
      </c>
      <c r="K102" s="256" t="s">
        <v>1346</v>
      </c>
    </row>
    <row r="103" spans="1:11" x14ac:dyDescent="0.3">
      <c r="A103" s="256">
        <v>32</v>
      </c>
      <c r="B103" s="257" t="s">
        <v>1398</v>
      </c>
      <c r="C103" s="276">
        <v>44561</v>
      </c>
      <c r="D103" s="257" t="s">
        <v>1285</v>
      </c>
      <c r="E103" s="256" t="s">
        <v>1558</v>
      </c>
      <c r="F103" s="256" t="s">
        <v>1605</v>
      </c>
      <c r="G103" s="258">
        <v>22345000000</v>
      </c>
      <c r="H103" s="265">
        <v>0.1</v>
      </c>
      <c r="I103" s="258">
        <v>2234500000</v>
      </c>
      <c r="J103" s="258">
        <v>24579500000</v>
      </c>
      <c r="K103" s="256" t="s">
        <v>1346</v>
      </c>
    </row>
    <row r="104" spans="1:11" x14ac:dyDescent="0.3">
      <c r="A104" s="256">
        <v>33</v>
      </c>
      <c r="B104" s="257" t="s">
        <v>1399</v>
      </c>
      <c r="C104" s="276">
        <v>44561</v>
      </c>
      <c r="D104" s="257" t="s">
        <v>1260</v>
      </c>
      <c r="E104" s="256" t="s">
        <v>1585</v>
      </c>
      <c r="F104" s="256" t="s">
        <v>1602</v>
      </c>
      <c r="G104" s="258">
        <v>38901000000</v>
      </c>
      <c r="H104" s="265">
        <v>0.1</v>
      </c>
      <c r="I104" s="258">
        <v>3890100000</v>
      </c>
      <c r="J104" s="258">
        <v>42791100000</v>
      </c>
      <c r="K104" s="256" t="s">
        <v>1346</v>
      </c>
    </row>
    <row r="105" spans="1:11" x14ac:dyDescent="0.3">
      <c r="A105" s="256">
        <v>34</v>
      </c>
      <c r="B105" s="257" t="s">
        <v>1401</v>
      </c>
      <c r="C105" s="276">
        <v>44561</v>
      </c>
      <c r="D105" s="257" t="s">
        <v>1395</v>
      </c>
      <c r="E105" s="256" t="s">
        <v>1581</v>
      </c>
      <c r="F105" s="256" t="s">
        <v>1603</v>
      </c>
      <c r="G105" s="258">
        <v>68234000000</v>
      </c>
      <c r="H105" s="265">
        <v>0.1</v>
      </c>
      <c r="I105" s="258">
        <v>6823400000</v>
      </c>
      <c r="J105" s="258">
        <v>75057400000</v>
      </c>
      <c r="K105" s="256" t="s">
        <v>1346</v>
      </c>
    </row>
    <row r="106" spans="1:11" x14ac:dyDescent="0.3">
      <c r="A106" s="256">
        <v>35</v>
      </c>
      <c r="B106" s="257" t="s">
        <v>1402</v>
      </c>
      <c r="C106" s="276">
        <v>44561</v>
      </c>
      <c r="D106" s="257" t="s">
        <v>1277</v>
      </c>
      <c r="E106" s="256" t="s">
        <v>1582</v>
      </c>
      <c r="F106" s="256" t="s">
        <v>1604</v>
      </c>
      <c r="G106" s="258">
        <v>21890000000</v>
      </c>
      <c r="H106" s="265">
        <v>0.1</v>
      </c>
      <c r="I106" s="258">
        <v>2189000000</v>
      </c>
      <c r="J106" s="258">
        <v>24079000000</v>
      </c>
      <c r="K106" s="256" t="s">
        <v>1346</v>
      </c>
    </row>
    <row r="107" spans="1:11" x14ac:dyDescent="0.3">
      <c r="A107" s="256">
        <v>36</v>
      </c>
      <c r="B107" s="257" t="s">
        <v>1403</v>
      </c>
      <c r="C107" s="276">
        <v>44561</v>
      </c>
      <c r="D107" s="257" t="s">
        <v>1266</v>
      </c>
      <c r="E107" s="256" t="s">
        <v>1570</v>
      </c>
      <c r="F107" s="256" t="s">
        <v>1602</v>
      </c>
      <c r="G107" s="258">
        <v>36789000000</v>
      </c>
      <c r="H107" s="265">
        <v>0.1</v>
      </c>
      <c r="I107" s="258">
        <v>3678900000</v>
      </c>
      <c r="J107" s="258">
        <v>40467900000</v>
      </c>
      <c r="K107" s="256" t="s">
        <v>1346</v>
      </c>
    </row>
    <row r="108" spans="1:11" x14ac:dyDescent="0.3">
      <c r="A108" s="256">
        <v>37</v>
      </c>
      <c r="B108" s="257" t="s">
        <v>1404</v>
      </c>
      <c r="C108" s="276">
        <v>44561</v>
      </c>
      <c r="D108" s="257" t="s">
        <v>1283</v>
      </c>
      <c r="E108" s="256" t="s">
        <v>1588</v>
      </c>
      <c r="F108" s="256" t="s">
        <v>1603</v>
      </c>
      <c r="G108" s="258">
        <v>78234000000</v>
      </c>
      <c r="H108" s="265">
        <v>0.1</v>
      </c>
      <c r="I108" s="258">
        <v>7823400000</v>
      </c>
      <c r="J108" s="258">
        <v>86057400000</v>
      </c>
      <c r="K108" s="256" t="s">
        <v>1346</v>
      </c>
    </row>
    <row r="109" spans="1:11" x14ac:dyDescent="0.3">
      <c r="A109" s="256">
        <v>38</v>
      </c>
      <c r="B109" s="257" t="s">
        <v>1405</v>
      </c>
      <c r="C109" s="276">
        <v>44561</v>
      </c>
      <c r="D109" s="257" t="s">
        <v>1259</v>
      </c>
      <c r="E109" s="256" t="s">
        <v>1569</v>
      </c>
      <c r="F109" s="256" t="s">
        <v>1605</v>
      </c>
      <c r="G109" s="258">
        <v>23456000000</v>
      </c>
      <c r="H109" s="265">
        <v>0.1</v>
      </c>
      <c r="I109" s="258">
        <v>2345600000</v>
      </c>
      <c r="J109" s="258">
        <v>25801600000</v>
      </c>
      <c r="K109" s="256" t="s">
        <v>1346</v>
      </c>
    </row>
    <row r="110" spans="1:11" x14ac:dyDescent="0.3">
      <c r="A110" s="256">
        <v>39</v>
      </c>
      <c r="B110" s="257" t="s">
        <v>1406</v>
      </c>
      <c r="C110" s="276">
        <v>44561</v>
      </c>
      <c r="D110" s="257" t="s">
        <v>1281</v>
      </c>
      <c r="E110" s="256" t="s">
        <v>1559</v>
      </c>
      <c r="F110" s="256" t="s">
        <v>1602</v>
      </c>
      <c r="G110" s="258">
        <v>41234000000</v>
      </c>
      <c r="H110" s="265">
        <v>0.1</v>
      </c>
      <c r="I110" s="258">
        <v>4123400000</v>
      </c>
      <c r="J110" s="258">
        <v>45357400000</v>
      </c>
      <c r="K110" s="256" t="s">
        <v>1346</v>
      </c>
    </row>
    <row r="111" spans="1:11" x14ac:dyDescent="0.3">
      <c r="A111" s="256">
        <v>40</v>
      </c>
      <c r="B111" s="257" t="s">
        <v>1408</v>
      </c>
      <c r="C111" s="276">
        <v>44561</v>
      </c>
      <c r="D111" s="257" t="s">
        <v>1273</v>
      </c>
      <c r="E111" s="256" t="s">
        <v>1567</v>
      </c>
      <c r="F111" s="256" t="s">
        <v>1603</v>
      </c>
      <c r="G111" s="258">
        <v>71890000000</v>
      </c>
      <c r="H111" s="265">
        <v>0.1</v>
      </c>
      <c r="I111" s="258">
        <v>7189000000</v>
      </c>
      <c r="J111" s="258">
        <v>79079000000</v>
      </c>
      <c r="K111" s="256" t="s">
        <v>1346</v>
      </c>
    </row>
    <row r="112" spans="1:11" x14ac:dyDescent="0.3">
      <c r="A112" s="256">
        <v>41</v>
      </c>
      <c r="B112" s="257" t="s">
        <v>1409</v>
      </c>
      <c r="C112" s="276">
        <v>44561</v>
      </c>
      <c r="D112" s="257" t="s">
        <v>1282</v>
      </c>
      <c r="E112" s="256" t="s">
        <v>1580</v>
      </c>
      <c r="F112" s="256" t="s">
        <v>1604</v>
      </c>
      <c r="G112" s="258">
        <v>20890000000</v>
      </c>
      <c r="H112" s="265">
        <v>0.1</v>
      </c>
      <c r="I112" s="258">
        <v>2089000000</v>
      </c>
      <c r="J112" s="258">
        <v>22979000000</v>
      </c>
      <c r="K112" s="256" t="s">
        <v>1346</v>
      </c>
    </row>
    <row r="113" spans="1:11" x14ac:dyDescent="0.3">
      <c r="A113" s="256">
        <v>42</v>
      </c>
      <c r="B113" s="257" t="s">
        <v>1411</v>
      </c>
      <c r="C113" s="276">
        <v>44561</v>
      </c>
      <c r="D113" s="257" t="s">
        <v>1267</v>
      </c>
      <c r="E113" s="256" t="s">
        <v>1560</v>
      </c>
      <c r="F113" s="256" t="s">
        <v>1602</v>
      </c>
      <c r="G113" s="258">
        <v>35678000000</v>
      </c>
      <c r="H113" s="265">
        <v>0.1</v>
      </c>
      <c r="I113" s="258">
        <v>3567800000</v>
      </c>
      <c r="J113" s="258">
        <v>39245800000</v>
      </c>
      <c r="K113" s="256" t="s">
        <v>1346</v>
      </c>
    </row>
    <row r="114" spans="1:11" x14ac:dyDescent="0.3">
      <c r="A114" s="256">
        <v>43</v>
      </c>
      <c r="B114" s="257" t="s">
        <v>1414</v>
      </c>
      <c r="C114" s="276">
        <v>44561</v>
      </c>
      <c r="D114" s="257" t="s">
        <v>1416</v>
      </c>
      <c r="E114" s="256" t="s">
        <v>1562</v>
      </c>
      <c r="F114" s="256" t="s">
        <v>1603</v>
      </c>
      <c r="G114" s="258">
        <v>70234000000</v>
      </c>
      <c r="H114" s="265">
        <v>0.1</v>
      </c>
      <c r="I114" s="258">
        <v>7023400000</v>
      </c>
      <c r="J114" s="258">
        <v>77257400000</v>
      </c>
      <c r="K114" s="256" t="s">
        <v>1346</v>
      </c>
    </row>
    <row r="115" spans="1:11" x14ac:dyDescent="0.3">
      <c r="A115" s="256">
        <v>44</v>
      </c>
      <c r="B115" s="257" t="s">
        <v>1415</v>
      </c>
      <c r="C115" s="276">
        <v>44561</v>
      </c>
      <c r="D115" s="257" t="s">
        <v>1279</v>
      </c>
      <c r="E115" s="256" t="s">
        <v>1573</v>
      </c>
      <c r="F115" s="256" t="s">
        <v>1605</v>
      </c>
      <c r="G115" s="258">
        <v>24234000000</v>
      </c>
      <c r="H115" s="265">
        <v>0.1</v>
      </c>
      <c r="I115" s="258">
        <v>2423400000</v>
      </c>
      <c r="J115" s="258">
        <v>26657400000</v>
      </c>
      <c r="K115" s="256" t="s">
        <v>1346</v>
      </c>
    </row>
    <row r="116" spans="1:11" x14ac:dyDescent="0.3">
      <c r="A116" s="256">
        <v>45</v>
      </c>
      <c r="B116" s="257" t="s">
        <v>1206</v>
      </c>
      <c r="C116" s="276">
        <v>44561</v>
      </c>
      <c r="D116" s="257" t="s">
        <v>1261</v>
      </c>
      <c r="E116" s="256" t="s">
        <v>1572</v>
      </c>
      <c r="F116" s="256" t="s">
        <v>1602</v>
      </c>
      <c r="G116" s="258">
        <v>39456000000</v>
      </c>
      <c r="H116" s="265">
        <v>0.1</v>
      </c>
      <c r="I116" s="258">
        <v>3945600000</v>
      </c>
      <c r="J116" s="258">
        <v>43401600000</v>
      </c>
      <c r="K116" s="256" t="s">
        <v>1346</v>
      </c>
    </row>
    <row r="117" spans="1:11" x14ac:dyDescent="0.3">
      <c r="A117" s="256">
        <v>46</v>
      </c>
      <c r="B117" s="257" t="s">
        <v>1207</v>
      </c>
      <c r="C117" s="276">
        <v>44561</v>
      </c>
      <c r="D117" s="257" t="s">
        <v>1352</v>
      </c>
      <c r="E117" s="256" t="s">
        <v>1571</v>
      </c>
      <c r="F117" s="256" t="s">
        <v>1603</v>
      </c>
      <c r="G117" s="258">
        <v>69890000000</v>
      </c>
      <c r="H117" s="265">
        <v>0.1</v>
      </c>
      <c r="I117" s="258">
        <v>6989000000</v>
      </c>
      <c r="J117" s="258">
        <v>76879000000</v>
      </c>
      <c r="K117" s="256" t="s">
        <v>1346</v>
      </c>
    </row>
    <row r="118" spans="1:11" x14ac:dyDescent="0.3">
      <c r="A118" s="256">
        <v>47</v>
      </c>
      <c r="B118" s="257" t="s">
        <v>1208</v>
      </c>
      <c r="C118" s="276">
        <v>44561</v>
      </c>
      <c r="D118" s="257" t="s">
        <v>1272</v>
      </c>
      <c r="E118" s="256" t="s">
        <v>540</v>
      </c>
      <c r="F118" s="256" t="s">
        <v>1604</v>
      </c>
      <c r="G118" s="258">
        <v>21456000000</v>
      </c>
      <c r="H118" s="265">
        <v>0.1</v>
      </c>
      <c r="I118" s="258">
        <v>2145600000</v>
      </c>
      <c r="J118" s="258">
        <v>23601600000</v>
      </c>
      <c r="K118" s="256" t="s">
        <v>1346</v>
      </c>
    </row>
    <row r="119" spans="1:11" x14ac:dyDescent="0.3">
      <c r="A119" s="256">
        <v>48</v>
      </c>
      <c r="B119" s="257" t="s">
        <v>1209</v>
      </c>
      <c r="C119" s="276">
        <v>44561</v>
      </c>
      <c r="D119" s="257" t="s">
        <v>1284</v>
      </c>
      <c r="E119" s="256" t="s">
        <v>1552</v>
      </c>
      <c r="F119" s="256" t="s">
        <v>1602</v>
      </c>
      <c r="G119" s="258">
        <v>38234000000</v>
      </c>
      <c r="H119" s="265">
        <v>0.1</v>
      </c>
      <c r="I119" s="258">
        <v>3823400000</v>
      </c>
      <c r="J119" s="258">
        <v>42057400000</v>
      </c>
      <c r="K119" s="256" t="s">
        <v>1346</v>
      </c>
    </row>
    <row r="120" spans="1:11" x14ac:dyDescent="0.3">
      <c r="A120" s="256">
        <v>49</v>
      </c>
      <c r="B120" s="257" t="s">
        <v>1418</v>
      </c>
      <c r="C120" s="276">
        <v>44561</v>
      </c>
      <c r="D120" s="257" t="s">
        <v>1280</v>
      </c>
      <c r="E120" s="256" t="s">
        <v>618</v>
      </c>
      <c r="F120" s="256" t="s">
        <v>1603</v>
      </c>
      <c r="G120" s="258">
        <v>72890000000</v>
      </c>
      <c r="H120" s="265">
        <v>0.1</v>
      </c>
      <c r="I120" s="258">
        <v>7289000000</v>
      </c>
      <c r="J120" s="258">
        <v>80179000000</v>
      </c>
      <c r="K120" s="256" t="s">
        <v>1346</v>
      </c>
    </row>
    <row r="121" spans="1:11" x14ac:dyDescent="0.3">
      <c r="A121" s="256">
        <v>50</v>
      </c>
      <c r="B121" s="257" t="s">
        <v>1419</v>
      </c>
      <c r="C121" s="276">
        <v>44561</v>
      </c>
      <c r="D121" s="257" t="s">
        <v>1264</v>
      </c>
      <c r="E121" s="256" t="s">
        <v>1584</v>
      </c>
      <c r="F121" s="256" t="s">
        <v>1605</v>
      </c>
      <c r="G121" s="258">
        <v>25678000000</v>
      </c>
      <c r="H121" s="265">
        <v>0.1</v>
      </c>
      <c r="I121" s="258">
        <v>2567800000</v>
      </c>
      <c r="J121" s="258">
        <v>28245800000</v>
      </c>
      <c r="K121" s="256" t="s">
        <v>1346</v>
      </c>
    </row>
    <row r="122" spans="1:11" x14ac:dyDescent="0.3">
      <c r="A122" s="266" t="s">
        <v>1351</v>
      </c>
      <c r="B122" s="266"/>
      <c r="C122" s="266"/>
      <c r="D122" s="266"/>
      <c r="E122" s="266"/>
      <c r="F122" s="266"/>
      <c r="G122" s="267">
        <f>SUM(G72:G121)</f>
        <v>2143144000000</v>
      </c>
      <c r="H122" s="266"/>
      <c r="I122" s="267">
        <f>SUM(I72:I121)</f>
        <v>214314400000</v>
      </c>
      <c r="J122" s="267">
        <f>SUM(J72:J121)</f>
        <v>2357458400000</v>
      </c>
      <c r="K122" s="26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sheetViews>
  <sheetFormatPr defaultRowHeight="14.4" x14ac:dyDescent="0.3"/>
  <cols>
    <col min="2" max="2" width="15.21875" customWidth="1"/>
    <col min="7" max="7" width="14.21875" bestFit="1" customWidth="1"/>
  </cols>
  <sheetData>
    <row r="1" spans="1:11" x14ac:dyDescent="0.3">
      <c r="A1" s="256" t="s">
        <v>1340</v>
      </c>
      <c r="B1" s="256" t="s">
        <v>351</v>
      </c>
      <c r="C1" s="256"/>
      <c r="D1" s="256"/>
      <c r="E1" s="256"/>
      <c r="F1" s="256"/>
      <c r="G1" s="256"/>
      <c r="H1" s="256"/>
      <c r="I1" s="256"/>
      <c r="J1" s="256"/>
      <c r="K1" s="256"/>
    </row>
    <row r="2" spans="1:11" x14ac:dyDescent="0.3">
      <c r="A2" s="256" t="s">
        <v>1339</v>
      </c>
      <c r="B2" s="257">
        <v>100113494</v>
      </c>
      <c r="C2" s="256"/>
      <c r="D2" s="256"/>
      <c r="E2" s="256"/>
      <c r="F2" s="256"/>
      <c r="G2" s="256"/>
      <c r="H2" s="256"/>
      <c r="I2" s="256"/>
      <c r="J2" s="256"/>
      <c r="K2" s="256"/>
    </row>
    <row r="3" spans="1:11" x14ac:dyDescent="0.3">
      <c r="A3" s="256" t="s">
        <v>1343</v>
      </c>
      <c r="B3" s="258">
        <v>1572072876382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1368</v>
      </c>
      <c r="C8" s="276">
        <v>44317</v>
      </c>
      <c r="D8" s="257" t="s">
        <v>1352</v>
      </c>
      <c r="E8" s="256" t="s">
        <v>1571</v>
      </c>
      <c r="F8" s="256" t="s">
        <v>1606</v>
      </c>
      <c r="G8" s="258">
        <v>52345000000</v>
      </c>
      <c r="H8" s="265">
        <v>0.1</v>
      </c>
      <c r="I8" s="258">
        <v>5234500000</v>
      </c>
      <c r="J8" s="258">
        <v>57579500000</v>
      </c>
      <c r="K8" s="256" t="s">
        <v>1346</v>
      </c>
    </row>
    <row r="9" spans="1:11" x14ac:dyDescent="0.3">
      <c r="A9" s="256">
        <v>2</v>
      </c>
      <c r="B9" s="257" t="s">
        <v>1360</v>
      </c>
      <c r="C9" s="276">
        <v>44318</v>
      </c>
      <c r="D9" s="257" t="s">
        <v>1283</v>
      </c>
      <c r="E9" s="256" t="s">
        <v>1588</v>
      </c>
      <c r="F9" s="256" t="s">
        <v>1607</v>
      </c>
      <c r="G9" s="258">
        <v>18234000000</v>
      </c>
      <c r="H9" s="265">
        <v>0.1</v>
      </c>
      <c r="I9" s="258">
        <v>1823400000</v>
      </c>
      <c r="J9" s="258">
        <v>20057400000</v>
      </c>
      <c r="K9" s="256" t="s">
        <v>1346</v>
      </c>
    </row>
    <row r="10" spans="1:11" x14ac:dyDescent="0.3">
      <c r="A10" s="256">
        <v>3</v>
      </c>
      <c r="B10" s="257" t="s">
        <v>1368</v>
      </c>
      <c r="C10" s="276">
        <v>44319</v>
      </c>
      <c r="D10" s="257" t="s">
        <v>1272</v>
      </c>
      <c r="E10" s="256" t="s">
        <v>540</v>
      </c>
      <c r="F10" s="256" t="s">
        <v>1608</v>
      </c>
      <c r="G10" s="258">
        <v>38901000000</v>
      </c>
      <c r="H10" s="265">
        <v>0.1</v>
      </c>
      <c r="I10" s="258">
        <v>3890100000</v>
      </c>
      <c r="J10" s="258">
        <v>42791100000</v>
      </c>
      <c r="K10" s="256" t="s">
        <v>1346</v>
      </c>
    </row>
    <row r="11" spans="1:11" x14ac:dyDescent="0.3">
      <c r="A11" s="256">
        <v>4</v>
      </c>
      <c r="B11" s="257" t="s">
        <v>1366</v>
      </c>
      <c r="C11" s="276">
        <v>44320</v>
      </c>
      <c r="D11" s="257" t="s">
        <v>1277</v>
      </c>
      <c r="E11" s="256" t="s">
        <v>1582</v>
      </c>
      <c r="F11" s="256" t="s">
        <v>1609</v>
      </c>
      <c r="G11" s="258">
        <v>14567000000</v>
      </c>
      <c r="H11" s="265">
        <v>0.1</v>
      </c>
      <c r="I11" s="258">
        <v>1456700000</v>
      </c>
      <c r="J11" s="258">
        <v>16023700000</v>
      </c>
      <c r="K11" s="256" t="s">
        <v>1346</v>
      </c>
    </row>
    <row r="12" spans="1:11" x14ac:dyDescent="0.3">
      <c r="A12" s="256">
        <v>5</v>
      </c>
      <c r="B12" s="257" t="s">
        <v>1364</v>
      </c>
      <c r="C12" s="276">
        <v>44321</v>
      </c>
      <c r="D12" s="257" t="s">
        <v>1389</v>
      </c>
      <c r="E12" s="256" t="s">
        <v>1555</v>
      </c>
      <c r="F12" s="256" t="s">
        <v>1606</v>
      </c>
      <c r="G12" s="258">
        <v>61234000000</v>
      </c>
      <c r="H12" s="265">
        <v>0.1</v>
      </c>
      <c r="I12" s="258">
        <v>6123400000</v>
      </c>
      <c r="J12" s="258">
        <v>67357400000</v>
      </c>
      <c r="K12" s="256" t="s">
        <v>1346</v>
      </c>
    </row>
    <row r="13" spans="1:11" x14ac:dyDescent="0.3">
      <c r="A13" s="256">
        <v>6</v>
      </c>
      <c r="B13" s="257" t="s">
        <v>1366</v>
      </c>
      <c r="C13" s="276">
        <v>44322</v>
      </c>
      <c r="D13" s="257" t="s">
        <v>1395</v>
      </c>
      <c r="E13" s="256" t="s">
        <v>1581</v>
      </c>
      <c r="F13" s="256" t="s">
        <v>1610</v>
      </c>
      <c r="G13" s="258">
        <v>16789000000</v>
      </c>
      <c r="H13" s="265">
        <v>0.1</v>
      </c>
      <c r="I13" s="258">
        <v>1678900000</v>
      </c>
      <c r="J13" s="258">
        <v>18467900000</v>
      </c>
      <c r="K13" s="256" t="s">
        <v>1346</v>
      </c>
    </row>
    <row r="14" spans="1:11" x14ac:dyDescent="0.3">
      <c r="A14" s="256">
        <v>7</v>
      </c>
      <c r="B14" s="257" t="s">
        <v>1366</v>
      </c>
      <c r="C14" s="276">
        <v>44323</v>
      </c>
      <c r="D14" s="257" t="s">
        <v>1279</v>
      </c>
      <c r="E14" s="256" t="s">
        <v>1573</v>
      </c>
      <c r="F14" s="256" t="s">
        <v>1608</v>
      </c>
      <c r="G14" s="258">
        <v>44567000000</v>
      </c>
      <c r="H14" s="265">
        <v>0.1</v>
      </c>
      <c r="I14" s="258">
        <v>4456700000</v>
      </c>
      <c r="J14" s="258">
        <v>49023700000</v>
      </c>
      <c r="K14" s="256" t="s">
        <v>1346</v>
      </c>
    </row>
    <row r="15" spans="1:11" x14ac:dyDescent="0.3">
      <c r="A15" s="256">
        <v>8</v>
      </c>
      <c r="B15" s="257" t="s">
        <v>1360</v>
      </c>
      <c r="C15" s="276">
        <v>44324</v>
      </c>
      <c r="D15" s="257" t="s">
        <v>1268</v>
      </c>
      <c r="E15" s="256" t="s">
        <v>1594</v>
      </c>
      <c r="F15" s="256" t="s">
        <v>1607</v>
      </c>
      <c r="G15" s="258">
        <v>19234000000</v>
      </c>
      <c r="H15" s="265">
        <v>0.1</v>
      </c>
      <c r="I15" s="258">
        <v>1923400000</v>
      </c>
      <c r="J15" s="258">
        <v>21157400000</v>
      </c>
      <c r="K15" s="256" t="s">
        <v>1348</v>
      </c>
    </row>
    <row r="16" spans="1:11" x14ac:dyDescent="0.3">
      <c r="A16" s="256">
        <v>9</v>
      </c>
      <c r="B16" s="257" t="s">
        <v>1364</v>
      </c>
      <c r="C16" s="276">
        <v>44325</v>
      </c>
      <c r="D16" s="257" t="s">
        <v>1275</v>
      </c>
      <c r="E16" s="256" t="s">
        <v>1575</v>
      </c>
      <c r="F16" s="256" t="s">
        <v>1606</v>
      </c>
      <c r="G16" s="258">
        <v>55678000000</v>
      </c>
      <c r="H16" s="265">
        <v>0.1</v>
      </c>
      <c r="I16" s="258">
        <v>5567800000</v>
      </c>
      <c r="J16" s="258">
        <v>61245800000</v>
      </c>
      <c r="K16" s="256" t="s">
        <v>1346</v>
      </c>
    </row>
    <row r="17" spans="1:11" x14ac:dyDescent="0.3">
      <c r="A17" s="256">
        <v>10</v>
      </c>
      <c r="B17" s="257" t="s">
        <v>1360</v>
      </c>
      <c r="C17" s="276">
        <v>44326</v>
      </c>
      <c r="D17" s="257" t="s">
        <v>1416</v>
      </c>
      <c r="E17" s="256" t="s">
        <v>1562</v>
      </c>
      <c r="F17" s="256" t="s">
        <v>1609</v>
      </c>
      <c r="G17" s="258">
        <v>13456000000</v>
      </c>
      <c r="H17" s="265">
        <v>0.1</v>
      </c>
      <c r="I17" s="258">
        <v>1345600000</v>
      </c>
      <c r="J17" s="258">
        <v>14801600000</v>
      </c>
      <c r="K17" s="256" t="s">
        <v>1346</v>
      </c>
    </row>
    <row r="18" spans="1:11" x14ac:dyDescent="0.3">
      <c r="A18" s="256">
        <v>11</v>
      </c>
      <c r="B18" s="257" t="s">
        <v>1364</v>
      </c>
      <c r="C18" s="276">
        <v>44327</v>
      </c>
      <c r="D18" s="257" t="s">
        <v>1262</v>
      </c>
      <c r="E18" s="256" t="s">
        <v>1556</v>
      </c>
      <c r="F18" s="256" t="s">
        <v>1608</v>
      </c>
      <c r="G18" s="258">
        <v>41234000000</v>
      </c>
      <c r="H18" s="265">
        <v>0.1</v>
      </c>
      <c r="I18" s="258">
        <v>4123400000</v>
      </c>
      <c r="J18" s="258">
        <v>45357400000</v>
      </c>
      <c r="K18" s="256" t="s">
        <v>1346</v>
      </c>
    </row>
    <row r="19" spans="1:11" x14ac:dyDescent="0.3">
      <c r="A19" s="256">
        <v>12</v>
      </c>
      <c r="B19" s="257" t="s">
        <v>1364</v>
      </c>
      <c r="C19" s="276">
        <v>44328</v>
      </c>
      <c r="D19" s="257" t="s">
        <v>1280</v>
      </c>
      <c r="E19" s="256" t="s">
        <v>618</v>
      </c>
      <c r="F19" s="256" t="s">
        <v>1611</v>
      </c>
      <c r="G19" s="258">
        <v>18901000000</v>
      </c>
      <c r="H19" s="265">
        <v>0.1</v>
      </c>
      <c r="I19" s="258">
        <v>1890100000</v>
      </c>
      <c r="J19" s="258">
        <v>20791100000</v>
      </c>
      <c r="K19" s="256" t="s">
        <v>1346</v>
      </c>
    </row>
    <row r="20" spans="1:11" x14ac:dyDescent="0.3">
      <c r="A20" s="256">
        <v>13</v>
      </c>
      <c r="B20" s="257" t="s">
        <v>1366</v>
      </c>
      <c r="C20" s="276">
        <v>44470</v>
      </c>
      <c r="D20" s="257" t="s">
        <v>1284</v>
      </c>
      <c r="E20" s="256" t="s">
        <v>1552</v>
      </c>
      <c r="F20" s="256" t="s">
        <v>1606</v>
      </c>
      <c r="G20" s="258">
        <v>57890000000</v>
      </c>
      <c r="H20" s="265">
        <v>0.1</v>
      </c>
      <c r="I20" s="258">
        <v>5789000000</v>
      </c>
      <c r="J20" s="258">
        <v>63679000000</v>
      </c>
      <c r="K20" s="256" t="s">
        <v>1346</v>
      </c>
    </row>
    <row r="21" spans="1:11" x14ac:dyDescent="0.3">
      <c r="A21" s="256">
        <v>14</v>
      </c>
      <c r="B21" s="257" t="s">
        <v>1362</v>
      </c>
      <c r="C21" s="276">
        <v>44471</v>
      </c>
      <c r="D21" s="257" t="s">
        <v>1260</v>
      </c>
      <c r="E21" s="256" t="s">
        <v>1585</v>
      </c>
      <c r="F21" s="256" t="s">
        <v>1607</v>
      </c>
      <c r="G21" s="258">
        <v>17234000000</v>
      </c>
      <c r="H21" s="265">
        <v>0.1</v>
      </c>
      <c r="I21" s="258">
        <v>1723400000</v>
      </c>
      <c r="J21" s="258">
        <v>18957400000</v>
      </c>
      <c r="K21" s="256" t="s">
        <v>1346</v>
      </c>
    </row>
    <row r="22" spans="1:11" x14ac:dyDescent="0.3">
      <c r="A22" s="256">
        <v>15</v>
      </c>
      <c r="B22" s="257" t="s">
        <v>1362</v>
      </c>
      <c r="C22" s="276">
        <v>44472</v>
      </c>
      <c r="D22" s="257" t="s">
        <v>1384</v>
      </c>
      <c r="E22" s="256" t="s">
        <v>1565</v>
      </c>
      <c r="F22" s="256" t="s">
        <v>1608</v>
      </c>
      <c r="G22" s="258">
        <v>39234000000</v>
      </c>
      <c r="H22" s="265">
        <v>0.1</v>
      </c>
      <c r="I22" s="258">
        <v>3923400000</v>
      </c>
      <c r="J22" s="258">
        <v>43157400000</v>
      </c>
      <c r="K22" s="256" t="s">
        <v>1346</v>
      </c>
    </row>
    <row r="23" spans="1:11" x14ac:dyDescent="0.3">
      <c r="A23" s="256">
        <v>16</v>
      </c>
      <c r="B23" s="257" t="s">
        <v>1364</v>
      </c>
      <c r="C23" s="276">
        <v>44473</v>
      </c>
      <c r="D23" s="257" t="s">
        <v>1281</v>
      </c>
      <c r="E23" s="256" t="s">
        <v>1559</v>
      </c>
      <c r="F23" s="256" t="s">
        <v>1609</v>
      </c>
      <c r="G23" s="258">
        <v>14890000000</v>
      </c>
      <c r="H23" s="265">
        <v>0.1</v>
      </c>
      <c r="I23" s="258">
        <v>1489000000</v>
      </c>
      <c r="J23" s="258">
        <v>16379000000</v>
      </c>
      <c r="K23" s="256" t="s">
        <v>1346</v>
      </c>
    </row>
    <row r="24" spans="1:11" x14ac:dyDescent="0.3">
      <c r="A24" s="256">
        <v>17</v>
      </c>
      <c r="B24" s="257" t="s">
        <v>1362</v>
      </c>
      <c r="C24" s="276">
        <v>44474</v>
      </c>
      <c r="D24" s="257" t="s">
        <v>1285</v>
      </c>
      <c r="E24" s="256" t="s">
        <v>1558</v>
      </c>
      <c r="F24" s="256" t="s">
        <v>1606</v>
      </c>
      <c r="G24" s="258">
        <v>62345000000</v>
      </c>
      <c r="H24" s="265">
        <v>0.1</v>
      </c>
      <c r="I24" s="258">
        <v>6234500000</v>
      </c>
      <c r="J24" s="258">
        <v>68579500000</v>
      </c>
      <c r="K24" s="256" t="s">
        <v>1346</v>
      </c>
    </row>
    <row r="25" spans="1:11" x14ac:dyDescent="0.3">
      <c r="A25" s="256">
        <v>18</v>
      </c>
      <c r="B25" s="257" t="s">
        <v>1362</v>
      </c>
      <c r="C25" s="276">
        <v>44475</v>
      </c>
      <c r="D25" s="257" t="s">
        <v>1435</v>
      </c>
      <c r="E25" s="256" t="s">
        <v>1577</v>
      </c>
      <c r="F25" s="256" t="s">
        <v>1610</v>
      </c>
      <c r="G25" s="258">
        <v>15678000000</v>
      </c>
      <c r="H25" s="265">
        <v>0.1</v>
      </c>
      <c r="I25" s="258">
        <v>1567800000</v>
      </c>
      <c r="J25" s="258">
        <v>17245800000</v>
      </c>
      <c r="K25" s="256" t="s">
        <v>1346</v>
      </c>
    </row>
    <row r="26" spans="1:11" x14ac:dyDescent="0.3">
      <c r="A26" s="256">
        <v>19</v>
      </c>
      <c r="B26" s="257" t="s">
        <v>1362</v>
      </c>
      <c r="C26" s="276">
        <v>44476</v>
      </c>
      <c r="D26" s="257" t="s">
        <v>1259</v>
      </c>
      <c r="E26" s="256" t="s">
        <v>1569</v>
      </c>
      <c r="F26" s="256" t="s">
        <v>1608</v>
      </c>
      <c r="G26" s="258">
        <v>45678000000</v>
      </c>
      <c r="H26" s="265">
        <v>0.1</v>
      </c>
      <c r="I26" s="258">
        <v>4567800000</v>
      </c>
      <c r="J26" s="258">
        <v>50245800000</v>
      </c>
      <c r="K26" s="256" t="s">
        <v>1346</v>
      </c>
    </row>
    <row r="27" spans="1:11" x14ac:dyDescent="0.3">
      <c r="A27" s="256">
        <v>20</v>
      </c>
      <c r="B27" s="257" t="s">
        <v>1362</v>
      </c>
      <c r="C27" s="276">
        <v>44477</v>
      </c>
      <c r="D27" s="257" t="s">
        <v>1278</v>
      </c>
      <c r="E27" s="256" t="s">
        <v>1593</v>
      </c>
      <c r="F27" s="256" t="s">
        <v>1607</v>
      </c>
      <c r="G27" s="258">
        <v>16234000000</v>
      </c>
      <c r="H27" s="265">
        <v>0.1</v>
      </c>
      <c r="I27" s="258">
        <v>1623400000</v>
      </c>
      <c r="J27" s="258">
        <v>17857400000</v>
      </c>
      <c r="K27" s="256" t="s">
        <v>1346</v>
      </c>
    </row>
    <row r="28" spans="1:11" x14ac:dyDescent="0.3">
      <c r="A28" s="256">
        <v>21</v>
      </c>
      <c r="B28" s="257" t="s">
        <v>1362</v>
      </c>
      <c r="C28" s="276">
        <v>44478</v>
      </c>
      <c r="D28" s="257" t="s">
        <v>1263</v>
      </c>
      <c r="E28" s="256" t="s">
        <v>1579</v>
      </c>
      <c r="F28" s="256" t="s">
        <v>1606</v>
      </c>
      <c r="G28" s="258">
        <v>59234000000</v>
      </c>
      <c r="H28" s="265">
        <v>0.1</v>
      </c>
      <c r="I28" s="258">
        <v>5923400000</v>
      </c>
      <c r="J28" s="258">
        <v>65157400000</v>
      </c>
      <c r="K28" s="256" t="s">
        <v>1346</v>
      </c>
    </row>
    <row r="29" spans="1:11" x14ac:dyDescent="0.3">
      <c r="A29" s="256">
        <v>22</v>
      </c>
      <c r="B29" s="257" t="s">
        <v>1366</v>
      </c>
      <c r="C29" s="276">
        <v>44479</v>
      </c>
      <c r="D29" s="257" t="s">
        <v>1274</v>
      </c>
      <c r="E29" s="256" t="s">
        <v>1592</v>
      </c>
      <c r="F29" s="256" t="s">
        <v>1609</v>
      </c>
      <c r="G29" s="258">
        <v>13890000000</v>
      </c>
      <c r="H29" s="265">
        <v>0.1</v>
      </c>
      <c r="I29" s="258">
        <v>1389000000</v>
      </c>
      <c r="J29" s="258">
        <v>15279000000</v>
      </c>
      <c r="K29" s="256" t="s">
        <v>1346</v>
      </c>
    </row>
    <row r="30" spans="1:11" x14ac:dyDescent="0.3">
      <c r="A30" s="256">
        <v>23</v>
      </c>
      <c r="B30" s="257" t="s">
        <v>1360</v>
      </c>
      <c r="C30" s="276">
        <v>44480</v>
      </c>
      <c r="D30" s="257" t="s">
        <v>1282</v>
      </c>
      <c r="E30" s="256" t="s">
        <v>1580</v>
      </c>
      <c r="F30" s="256" t="s">
        <v>1608</v>
      </c>
      <c r="G30" s="258">
        <v>42345000000</v>
      </c>
      <c r="H30" s="265">
        <v>0.1</v>
      </c>
      <c r="I30" s="258">
        <v>4234500000</v>
      </c>
      <c r="J30" s="258">
        <v>46579500000</v>
      </c>
      <c r="K30" s="256" t="s">
        <v>1346</v>
      </c>
    </row>
    <row r="31" spans="1:11" x14ac:dyDescent="0.3">
      <c r="A31" s="256">
        <v>24</v>
      </c>
      <c r="B31" s="257" t="s">
        <v>1366</v>
      </c>
      <c r="C31" s="276">
        <v>44481</v>
      </c>
      <c r="D31" s="257" t="s">
        <v>1267</v>
      </c>
      <c r="E31" s="256" t="s">
        <v>1560</v>
      </c>
      <c r="F31" s="256" t="s">
        <v>1611</v>
      </c>
      <c r="G31" s="258">
        <v>19234000000</v>
      </c>
      <c r="H31" s="265">
        <v>0.1</v>
      </c>
      <c r="I31" s="258">
        <v>1923400000</v>
      </c>
      <c r="J31" s="258">
        <v>21157400000</v>
      </c>
      <c r="K31" s="256" t="s">
        <v>1346</v>
      </c>
    </row>
    <row r="32" spans="1:11" x14ac:dyDescent="0.3">
      <c r="A32" s="256">
        <v>25</v>
      </c>
      <c r="B32" s="257" t="s">
        <v>1364</v>
      </c>
      <c r="C32" s="276">
        <v>44211</v>
      </c>
      <c r="D32" s="257" t="s">
        <v>1428</v>
      </c>
      <c r="E32" s="256" t="s">
        <v>1557</v>
      </c>
      <c r="F32" s="256" t="s">
        <v>1606</v>
      </c>
      <c r="G32" s="258">
        <v>53456000000</v>
      </c>
      <c r="H32" s="265">
        <v>0.1</v>
      </c>
      <c r="I32" s="258">
        <v>5345600000</v>
      </c>
      <c r="J32" s="258">
        <v>58801600000</v>
      </c>
      <c r="K32" s="256" t="s">
        <v>1346</v>
      </c>
    </row>
    <row r="33" spans="1:11" x14ac:dyDescent="0.3">
      <c r="A33" s="256">
        <v>26</v>
      </c>
      <c r="B33" s="257" t="s">
        <v>1360</v>
      </c>
      <c r="C33" s="276">
        <v>44242</v>
      </c>
      <c r="D33" s="257" t="s">
        <v>1273</v>
      </c>
      <c r="E33" s="256" t="s">
        <v>1567</v>
      </c>
      <c r="F33" s="256" t="s">
        <v>1607</v>
      </c>
      <c r="G33" s="258">
        <v>17890000000</v>
      </c>
      <c r="H33" s="265">
        <v>0.1</v>
      </c>
      <c r="I33" s="258">
        <v>1789000000</v>
      </c>
      <c r="J33" s="258">
        <v>19679000000</v>
      </c>
      <c r="K33" s="256" t="s">
        <v>1346</v>
      </c>
    </row>
    <row r="34" spans="1:11" x14ac:dyDescent="0.3">
      <c r="A34" s="256">
        <v>27</v>
      </c>
      <c r="B34" s="257" t="s">
        <v>1362</v>
      </c>
      <c r="C34" s="276">
        <v>44270</v>
      </c>
      <c r="D34" s="257" t="s">
        <v>1264</v>
      </c>
      <c r="E34" s="256" t="s">
        <v>1584</v>
      </c>
      <c r="F34" s="256" t="s">
        <v>1608</v>
      </c>
      <c r="G34" s="258">
        <v>40234000000</v>
      </c>
      <c r="H34" s="265">
        <v>0.1</v>
      </c>
      <c r="I34" s="258">
        <v>4023400000</v>
      </c>
      <c r="J34" s="258">
        <v>44257400000</v>
      </c>
      <c r="K34" s="256" t="s">
        <v>1346</v>
      </c>
    </row>
    <row r="35" spans="1:11" x14ac:dyDescent="0.3">
      <c r="A35" s="256">
        <v>28</v>
      </c>
      <c r="B35" s="257" t="s">
        <v>1371</v>
      </c>
      <c r="C35" s="276">
        <v>44301</v>
      </c>
      <c r="D35" s="257" t="s">
        <v>1352</v>
      </c>
      <c r="E35" s="256" t="s">
        <v>1571</v>
      </c>
      <c r="F35" s="256" t="s">
        <v>1609</v>
      </c>
      <c r="G35" s="258">
        <v>14234000000</v>
      </c>
      <c r="H35" s="265">
        <v>0.1</v>
      </c>
      <c r="I35" s="258">
        <v>1423400000</v>
      </c>
      <c r="J35" s="258">
        <v>15657400000</v>
      </c>
      <c r="K35" s="256" t="s">
        <v>1346</v>
      </c>
    </row>
    <row r="36" spans="1:11" x14ac:dyDescent="0.3">
      <c r="A36" s="256">
        <v>29</v>
      </c>
      <c r="B36" s="257" t="s">
        <v>1371</v>
      </c>
      <c r="C36" s="276">
        <v>44331</v>
      </c>
      <c r="D36" s="257" t="s">
        <v>1272</v>
      </c>
      <c r="E36" s="256" t="s">
        <v>540</v>
      </c>
      <c r="F36" s="256" t="s">
        <v>1606</v>
      </c>
      <c r="G36" s="258">
        <v>56789000000</v>
      </c>
      <c r="H36" s="265">
        <v>0.1</v>
      </c>
      <c r="I36" s="258">
        <v>5678900000</v>
      </c>
      <c r="J36" s="258">
        <v>62467900000</v>
      </c>
      <c r="K36" s="256" t="s">
        <v>1346</v>
      </c>
    </row>
    <row r="37" spans="1:11" x14ac:dyDescent="0.3">
      <c r="A37" s="256">
        <v>30</v>
      </c>
      <c r="B37" s="257" t="s">
        <v>1362</v>
      </c>
      <c r="C37" s="276">
        <v>44362</v>
      </c>
      <c r="D37" s="257" t="s">
        <v>1283</v>
      </c>
      <c r="E37" s="256" t="s">
        <v>1588</v>
      </c>
      <c r="F37" s="256" t="s">
        <v>1610</v>
      </c>
      <c r="G37" s="258">
        <v>15234000000</v>
      </c>
      <c r="H37" s="265">
        <v>0.1</v>
      </c>
      <c r="I37" s="258">
        <v>1523400000</v>
      </c>
      <c r="J37" s="258">
        <v>16757400000</v>
      </c>
      <c r="K37" s="256" t="s">
        <v>1346</v>
      </c>
    </row>
    <row r="38" spans="1:11" x14ac:dyDescent="0.3">
      <c r="A38" s="256">
        <v>31</v>
      </c>
      <c r="B38" s="257" t="s">
        <v>1368</v>
      </c>
      <c r="C38" s="276">
        <v>44392</v>
      </c>
      <c r="D38" s="257" t="s">
        <v>1277</v>
      </c>
      <c r="E38" s="256" t="s">
        <v>1582</v>
      </c>
      <c r="F38" s="256" t="s">
        <v>1608</v>
      </c>
      <c r="G38" s="258">
        <v>43567000000</v>
      </c>
      <c r="H38" s="265">
        <v>0.1</v>
      </c>
      <c r="I38" s="258">
        <v>4356700000</v>
      </c>
      <c r="J38" s="258">
        <v>47923700000</v>
      </c>
      <c r="K38" s="256" t="s">
        <v>1346</v>
      </c>
    </row>
    <row r="39" spans="1:11" x14ac:dyDescent="0.3">
      <c r="A39" s="256">
        <v>32</v>
      </c>
      <c r="B39" s="257" t="s">
        <v>1366</v>
      </c>
      <c r="C39" s="276">
        <v>44423</v>
      </c>
      <c r="D39" s="257" t="s">
        <v>1389</v>
      </c>
      <c r="E39" s="256" t="s">
        <v>1555</v>
      </c>
      <c r="F39" s="256" t="s">
        <v>1607</v>
      </c>
      <c r="G39" s="258">
        <v>18234000000</v>
      </c>
      <c r="H39" s="265">
        <v>0.1</v>
      </c>
      <c r="I39" s="258">
        <v>1823400000</v>
      </c>
      <c r="J39" s="258">
        <v>20057400000</v>
      </c>
      <c r="K39" s="256" t="s">
        <v>1346</v>
      </c>
    </row>
    <row r="40" spans="1:11" x14ac:dyDescent="0.3">
      <c r="A40" s="256">
        <v>33</v>
      </c>
      <c r="B40" s="257" t="s">
        <v>1368</v>
      </c>
      <c r="C40" s="276">
        <v>44454</v>
      </c>
      <c r="D40" s="257" t="s">
        <v>1395</v>
      </c>
      <c r="E40" s="256" t="s">
        <v>1581</v>
      </c>
      <c r="F40" s="256" t="s">
        <v>1606</v>
      </c>
      <c r="G40" s="258">
        <v>60234000000</v>
      </c>
      <c r="H40" s="265">
        <v>0.1</v>
      </c>
      <c r="I40" s="258">
        <v>6023400000</v>
      </c>
      <c r="J40" s="258">
        <v>66257400000</v>
      </c>
      <c r="K40" s="256" t="s">
        <v>1346</v>
      </c>
    </row>
    <row r="41" spans="1:11" x14ac:dyDescent="0.3">
      <c r="A41" s="256">
        <v>34</v>
      </c>
      <c r="B41" s="257" t="s">
        <v>1368</v>
      </c>
      <c r="C41" s="276">
        <v>44484</v>
      </c>
      <c r="D41" s="257" t="s">
        <v>1279</v>
      </c>
      <c r="E41" s="256" t="s">
        <v>1573</v>
      </c>
      <c r="F41" s="256" t="s">
        <v>1609</v>
      </c>
      <c r="G41" s="258">
        <v>13456000000</v>
      </c>
      <c r="H41" s="265">
        <v>0.1</v>
      </c>
      <c r="I41" s="258">
        <v>1345600000</v>
      </c>
      <c r="J41" s="258">
        <v>14801600000</v>
      </c>
      <c r="K41" s="256" t="s">
        <v>1346</v>
      </c>
    </row>
    <row r="42" spans="1:11" x14ac:dyDescent="0.3">
      <c r="A42" s="256">
        <v>35</v>
      </c>
      <c r="B42" s="257" t="s">
        <v>1362</v>
      </c>
      <c r="C42" s="276">
        <v>44515</v>
      </c>
      <c r="D42" s="257" t="s">
        <v>1268</v>
      </c>
      <c r="E42" s="256" t="s">
        <v>1594</v>
      </c>
      <c r="F42" s="256" t="s">
        <v>1608</v>
      </c>
      <c r="G42" s="258">
        <v>41890000000</v>
      </c>
      <c r="H42" s="265">
        <v>0.1</v>
      </c>
      <c r="I42" s="258">
        <v>4189000000</v>
      </c>
      <c r="J42" s="258">
        <v>46079000000</v>
      </c>
      <c r="K42" s="256" t="s">
        <v>1346</v>
      </c>
    </row>
    <row r="43" spans="1:11" x14ac:dyDescent="0.3">
      <c r="A43" s="256">
        <v>36</v>
      </c>
      <c r="B43" s="257" t="s">
        <v>1366</v>
      </c>
      <c r="C43" s="276">
        <v>44545</v>
      </c>
      <c r="D43" s="257" t="s">
        <v>1275</v>
      </c>
      <c r="E43" s="256" t="s">
        <v>1575</v>
      </c>
      <c r="F43" s="256" t="s">
        <v>1611</v>
      </c>
      <c r="G43" s="258">
        <v>19890000000</v>
      </c>
      <c r="H43" s="265">
        <v>0.1</v>
      </c>
      <c r="I43" s="258">
        <v>1989000000</v>
      </c>
      <c r="J43" s="258">
        <v>21879000000</v>
      </c>
      <c r="K43" s="256" t="s">
        <v>1346</v>
      </c>
    </row>
    <row r="44" spans="1:11" x14ac:dyDescent="0.3">
      <c r="A44" s="256">
        <v>37</v>
      </c>
      <c r="B44" s="257" t="s">
        <v>1362</v>
      </c>
      <c r="C44" s="276">
        <v>44216</v>
      </c>
      <c r="D44" s="257" t="s">
        <v>1416</v>
      </c>
      <c r="E44" s="256" t="s">
        <v>1562</v>
      </c>
      <c r="F44" s="256" t="s">
        <v>1606</v>
      </c>
      <c r="G44" s="258">
        <v>54567000000</v>
      </c>
      <c r="H44" s="265">
        <v>0.1</v>
      </c>
      <c r="I44" s="258">
        <v>5456700000</v>
      </c>
      <c r="J44" s="258">
        <v>60023700000</v>
      </c>
      <c r="K44" s="256" t="s">
        <v>1346</v>
      </c>
    </row>
    <row r="45" spans="1:11" x14ac:dyDescent="0.3">
      <c r="A45" s="256">
        <v>38</v>
      </c>
      <c r="B45" s="257" t="s">
        <v>1366</v>
      </c>
      <c r="C45" s="276">
        <v>44247</v>
      </c>
      <c r="D45" s="257" t="s">
        <v>1262</v>
      </c>
      <c r="E45" s="256" t="s">
        <v>1556</v>
      </c>
      <c r="F45" s="256" t="s">
        <v>1607</v>
      </c>
      <c r="G45" s="258">
        <v>17456000000</v>
      </c>
      <c r="H45" s="265">
        <v>0.1</v>
      </c>
      <c r="I45" s="258">
        <v>1745600000</v>
      </c>
      <c r="J45" s="258">
        <v>19201600000</v>
      </c>
      <c r="K45" s="256" t="s">
        <v>1346</v>
      </c>
    </row>
    <row r="46" spans="1:11" x14ac:dyDescent="0.3">
      <c r="A46" s="256">
        <v>39</v>
      </c>
      <c r="B46" s="257" t="s">
        <v>1366</v>
      </c>
      <c r="C46" s="276">
        <v>44275</v>
      </c>
      <c r="D46" s="257" t="s">
        <v>1280</v>
      </c>
      <c r="E46" s="256" t="s">
        <v>618</v>
      </c>
      <c r="F46" s="256" t="s">
        <v>1608</v>
      </c>
      <c r="G46" s="258">
        <v>38901000000</v>
      </c>
      <c r="H46" s="265">
        <v>0.1</v>
      </c>
      <c r="I46" s="258">
        <v>3890100000</v>
      </c>
      <c r="J46" s="258">
        <v>42791100000</v>
      </c>
      <c r="K46" s="256" t="s">
        <v>1346</v>
      </c>
    </row>
    <row r="47" spans="1:11" x14ac:dyDescent="0.3">
      <c r="A47" s="256">
        <v>40</v>
      </c>
      <c r="B47" s="257" t="s">
        <v>1368</v>
      </c>
      <c r="C47" s="276">
        <v>44306</v>
      </c>
      <c r="D47" s="257" t="s">
        <v>1284</v>
      </c>
      <c r="E47" s="256" t="s">
        <v>1552</v>
      </c>
      <c r="F47" s="256" t="s">
        <v>1609</v>
      </c>
      <c r="G47" s="258">
        <v>14567000000</v>
      </c>
      <c r="H47" s="265">
        <v>0.1</v>
      </c>
      <c r="I47" s="258">
        <v>1456700000</v>
      </c>
      <c r="J47" s="258">
        <v>16023700000</v>
      </c>
      <c r="K47" s="256" t="s">
        <v>1346</v>
      </c>
    </row>
    <row r="48" spans="1:11" x14ac:dyDescent="0.3">
      <c r="A48" s="256">
        <v>41</v>
      </c>
      <c r="B48" s="257" t="s">
        <v>1364</v>
      </c>
      <c r="C48" s="276">
        <v>44336</v>
      </c>
      <c r="D48" s="257" t="s">
        <v>1260</v>
      </c>
      <c r="E48" s="256" t="s">
        <v>1585</v>
      </c>
      <c r="F48" s="256" t="s">
        <v>1606</v>
      </c>
      <c r="G48" s="258">
        <v>58234000000</v>
      </c>
      <c r="H48" s="265">
        <v>0.1</v>
      </c>
      <c r="I48" s="258">
        <v>5823400000</v>
      </c>
      <c r="J48" s="258">
        <v>64057400000</v>
      </c>
      <c r="K48" s="256" t="s">
        <v>1346</v>
      </c>
    </row>
    <row r="49" spans="1:11" x14ac:dyDescent="0.3">
      <c r="A49" s="256">
        <v>42</v>
      </c>
      <c r="B49" s="257" t="s">
        <v>1364</v>
      </c>
      <c r="C49" s="276">
        <v>44367</v>
      </c>
      <c r="D49" s="257" t="s">
        <v>1384</v>
      </c>
      <c r="E49" s="256" t="s">
        <v>1565</v>
      </c>
      <c r="F49" s="256" t="s">
        <v>1610</v>
      </c>
      <c r="G49" s="258">
        <v>15890000000</v>
      </c>
      <c r="H49" s="265">
        <v>0.1</v>
      </c>
      <c r="I49" s="258">
        <v>1589000000</v>
      </c>
      <c r="J49" s="258">
        <v>17479000000</v>
      </c>
      <c r="K49" s="256" t="s">
        <v>1346</v>
      </c>
    </row>
    <row r="50" spans="1:11" x14ac:dyDescent="0.3">
      <c r="A50" s="256">
        <v>43</v>
      </c>
      <c r="B50" s="257" t="s">
        <v>1366</v>
      </c>
      <c r="C50" s="276">
        <v>44397</v>
      </c>
      <c r="D50" s="257" t="s">
        <v>1281</v>
      </c>
      <c r="E50" s="256" t="s">
        <v>1559</v>
      </c>
      <c r="F50" s="256" t="s">
        <v>1608</v>
      </c>
      <c r="G50" s="258">
        <v>44234000000</v>
      </c>
      <c r="H50" s="265">
        <v>0.1</v>
      </c>
      <c r="I50" s="258">
        <v>4423400000</v>
      </c>
      <c r="J50" s="258">
        <v>48657400000</v>
      </c>
      <c r="K50" s="256" t="s">
        <v>1346</v>
      </c>
    </row>
    <row r="51" spans="1:11" x14ac:dyDescent="0.3">
      <c r="A51" s="256">
        <v>44</v>
      </c>
      <c r="B51" s="257" t="s">
        <v>1364</v>
      </c>
      <c r="C51" s="276">
        <v>44428</v>
      </c>
      <c r="D51" s="257" t="s">
        <v>1285</v>
      </c>
      <c r="E51" s="256" t="s">
        <v>1558</v>
      </c>
      <c r="F51" s="256" t="s">
        <v>1607</v>
      </c>
      <c r="G51" s="258">
        <v>16890000000</v>
      </c>
      <c r="H51" s="265">
        <v>0.1</v>
      </c>
      <c r="I51" s="258">
        <v>1689000000</v>
      </c>
      <c r="J51" s="258">
        <v>18579000000</v>
      </c>
      <c r="K51" s="256" t="s">
        <v>1346</v>
      </c>
    </row>
    <row r="52" spans="1:11" x14ac:dyDescent="0.3">
      <c r="A52" s="256">
        <v>45</v>
      </c>
      <c r="B52" s="257" t="s">
        <v>1364</v>
      </c>
      <c r="C52" s="276">
        <v>44459</v>
      </c>
      <c r="D52" s="257" t="s">
        <v>1435</v>
      </c>
      <c r="E52" s="256" t="s">
        <v>1577</v>
      </c>
      <c r="F52" s="256" t="s">
        <v>1606</v>
      </c>
      <c r="G52" s="258">
        <v>61234000000</v>
      </c>
      <c r="H52" s="265">
        <v>0.1</v>
      </c>
      <c r="I52" s="258">
        <v>6123400000</v>
      </c>
      <c r="J52" s="258">
        <v>67357400000</v>
      </c>
      <c r="K52" s="256" t="s">
        <v>1346</v>
      </c>
    </row>
    <row r="53" spans="1:11" x14ac:dyDescent="0.3">
      <c r="A53" s="256">
        <v>46</v>
      </c>
      <c r="B53" s="257" t="s">
        <v>1364</v>
      </c>
      <c r="C53" s="276">
        <v>44489</v>
      </c>
      <c r="D53" s="257" t="s">
        <v>1259</v>
      </c>
      <c r="E53" s="256" t="s">
        <v>1569</v>
      </c>
      <c r="F53" s="256" t="s">
        <v>1609</v>
      </c>
      <c r="G53" s="258">
        <v>14234000000</v>
      </c>
      <c r="H53" s="265">
        <v>0.1</v>
      </c>
      <c r="I53" s="258">
        <v>1423400000</v>
      </c>
      <c r="J53" s="258">
        <v>15657400000</v>
      </c>
      <c r="K53" s="256" t="s">
        <v>1346</v>
      </c>
    </row>
    <row r="54" spans="1:11" x14ac:dyDescent="0.3">
      <c r="A54" s="256">
        <v>47</v>
      </c>
      <c r="B54" s="257" t="s">
        <v>1364</v>
      </c>
      <c r="C54" s="276">
        <v>44520</v>
      </c>
      <c r="D54" s="257" t="s">
        <v>1278</v>
      </c>
      <c r="E54" s="256" t="s">
        <v>1593</v>
      </c>
      <c r="F54" s="256" t="s">
        <v>1608</v>
      </c>
      <c r="G54" s="258">
        <v>42890000000</v>
      </c>
      <c r="H54" s="265">
        <v>0.1</v>
      </c>
      <c r="I54" s="258">
        <v>4289000000</v>
      </c>
      <c r="J54" s="258">
        <v>47179000000</v>
      </c>
      <c r="K54" s="256" t="s">
        <v>1346</v>
      </c>
    </row>
    <row r="55" spans="1:11" x14ac:dyDescent="0.3">
      <c r="A55" s="256">
        <v>48</v>
      </c>
      <c r="B55" s="257" t="s">
        <v>1364</v>
      </c>
      <c r="C55" s="276">
        <v>44550</v>
      </c>
      <c r="D55" s="257" t="s">
        <v>1263</v>
      </c>
      <c r="E55" s="256" t="s">
        <v>1579</v>
      </c>
      <c r="F55" s="256" t="s">
        <v>1611</v>
      </c>
      <c r="G55" s="258">
        <v>20234000000</v>
      </c>
      <c r="H55" s="265">
        <v>0.1</v>
      </c>
      <c r="I55" s="258">
        <v>2023400000</v>
      </c>
      <c r="J55" s="258">
        <v>22257400000</v>
      </c>
      <c r="K55" s="256" t="s">
        <v>1346</v>
      </c>
    </row>
    <row r="56" spans="1:11" x14ac:dyDescent="0.3">
      <c r="A56" s="256">
        <v>49</v>
      </c>
      <c r="B56" s="257" t="s">
        <v>1368</v>
      </c>
      <c r="C56" s="276">
        <v>44221</v>
      </c>
      <c r="D56" s="257" t="s">
        <v>1274</v>
      </c>
      <c r="E56" s="256" t="s">
        <v>1592</v>
      </c>
      <c r="F56" s="256" t="s">
        <v>1606</v>
      </c>
      <c r="G56" s="258">
        <v>55678000000</v>
      </c>
      <c r="H56" s="265">
        <v>0.1</v>
      </c>
      <c r="I56" s="258">
        <v>5567800000</v>
      </c>
      <c r="J56" s="258">
        <v>61245800000</v>
      </c>
      <c r="K56" s="256" t="s">
        <v>1346</v>
      </c>
    </row>
    <row r="57" spans="1:11" x14ac:dyDescent="0.3">
      <c r="A57" s="256">
        <v>50</v>
      </c>
      <c r="B57" s="257" t="s">
        <v>1362</v>
      </c>
      <c r="C57" s="276">
        <v>44252</v>
      </c>
      <c r="D57" s="257" t="s">
        <v>1282</v>
      </c>
      <c r="E57" s="256" t="s">
        <v>1580</v>
      </c>
      <c r="F57" s="256" t="s">
        <v>1607</v>
      </c>
      <c r="G57" s="258">
        <v>18901000000</v>
      </c>
      <c r="H57" s="265">
        <v>0.1</v>
      </c>
      <c r="I57" s="258">
        <v>1890100000</v>
      </c>
      <c r="J57" s="258">
        <v>20791100000</v>
      </c>
      <c r="K57" s="256" t="s">
        <v>1346</v>
      </c>
    </row>
    <row r="58" spans="1:11" x14ac:dyDescent="0.3">
      <c r="A58" s="256">
        <v>51</v>
      </c>
      <c r="B58" s="257" t="s">
        <v>1368</v>
      </c>
      <c r="C58" s="276">
        <v>44280</v>
      </c>
      <c r="D58" s="257" t="s">
        <v>1267</v>
      </c>
      <c r="E58" s="256" t="s">
        <v>1560</v>
      </c>
      <c r="F58" s="256" t="s">
        <v>1608</v>
      </c>
      <c r="G58" s="258">
        <v>39234000000</v>
      </c>
      <c r="H58" s="265">
        <v>0.1</v>
      </c>
      <c r="I58" s="258">
        <v>3923400000</v>
      </c>
      <c r="J58" s="258">
        <v>43157400000</v>
      </c>
      <c r="K58" s="256" t="s">
        <v>1346</v>
      </c>
    </row>
    <row r="59" spans="1:11" x14ac:dyDescent="0.3">
      <c r="A59" s="256">
        <v>52</v>
      </c>
      <c r="B59" s="257" t="s">
        <v>1366</v>
      </c>
      <c r="C59" s="276">
        <v>44311</v>
      </c>
      <c r="D59" s="257" t="s">
        <v>1428</v>
      </c>
      <c r="E59" s="256" t="s">
        <v>1557</v>
      </c>
      <c r="F59" s="256" t="s">
        <v>1609</v>
      </c>
      <c r="G59" s="258">
        <v>13678000000</v>
      </c>
      <c r="H59" s="265">
        <v>0.1</v>
      </c>
      <c r="I59" s="258">
        <v>1367800000</v>
      </c>
      <c r="J59" s="258">
        <v>15045800000</v>
      </c>
      <c r="K59" s="256" t="s">
        <v>1346</v>
      </c>
    </row>
    <row r="60" spans="1:11" x14ac:dyDescent="0.3">
      <c r="A60" s="256">
        <v>53</v>
      </c>
      <c r="B60" s="257" t="s">
        <v>1362</v>
      </c>
      <c r="C60" s="276">
        <v>44341</v>
      </c>
      <c r="D60" s="257" t="s">
        <v>1273</v>
      </c>
      <c r="E60" s="256" t="s">
        <v>1567</v>
      </c>
      <c r="F60" s="256" t="s">
        <v>1606</v>
      </c>
      <c r="G60" s="258">
        <v>57234000000</v>
      </c>
      <c r="H60" s="265">
        <v>0.1</v>
      </c>
      <c r="I60" s="258">
        <v>5723400000</v>
      </c>
      <c r="J60" s="258">
        <v>62957400000</v>
      </c>
      <c r="K60" s="256" t="s">
        <v>1346</v>
      </c>
    </row>
    <row r="61" spans="1:11" x14ac:dyDescent="0.3">
      <c r="A61" s="256">
        <v>54</v>
      </c>
      <c r="B61" s="257" t="s">
        <v>1364</v>
      </c>
      <c r="C61" s="276">
        <v>44372</v>
      </c>
      <c r="D61" s="257" t="s">
        <v>1264</v>
      </c>
      <c r="E61" s="256" t="s">
        <v>1584</v>
      </c>
      <c r="F61" s="256" t="s">
        <v>1610</v>
      </c>
      <c r="G61" s="258">
        <v>15456000000</v>
      </c>
      <c r="H61" s="265">
        <v>0.1</v>
      </c>
      <c r="I61" s="258">
        <v>1545600000</v>
      </c>
      <c r="J61" s="258">
        <v>17001600000</v>
      </c>
      <c r="K61" s="256" t="s">
        <v>1346</v>
      </c>
    </row>
    <row r="62" spans="1:11" x14ac:dyDescent="0.3">
      <c r="A62" s="256">
        <v>55</v>
      </c>
      <c r="B62" s="257" t="s">
        <v>1373</v>
      </c>
      <c r="C62" s="276">
        <v>44402</v>
      </c>
      <c r="D62" s="257" t="s">
        <v>1352</v>
      </c>
      <c r="E62" s="256" t="s">
        <v>1571</v>
      </c>
      <c r="F62" s="256" t="s">
        <v>1608</v>
      </c>
      <c r="G62" s="258">
        <v>41890000000</v>
      </c>
      <c r="H62" s="265">
        <v>0.1</v>
      </c>
      <c r="I62" s="258">
        <v>4189000000</v>
      </c>
      <c r="J62" s="258">
        <v>46079000000</v>
      </c>
      <c r="K62" s="256" t="s">
        <v>1346</v>
      </c>
    </row>
    <row r="63" spans="1:11" x14ac:dyDescent="0.3">
      <c r="A63" s="256">
        <v>56</v>
      </c>
      <c r="B63" s="257" t="s">
        <v>1373</v>
      </c>
      <c r="C63" s="276">
        <v>44433</v>
      </c>
      <c r="D63" s="257" t="s">
        <v>1272</v>
      </c>
      <c r="E63" s="256" t="s">
        <v>540</v>
      </c>
      <c r="F63" s="256" t="s">
        <v>1607</v>
      </c>
      <c r="G63" s="258">
        <v>17234000000</v>
      </c>
      <c r="H63" s="265">
        <v>0.1</v>
      </c>
      <c r="I63" s="258">
        <v>1723400000</v>
      </c>
      <c r="J63" s="258">
        <v>18957400000</v>
      </c>
      <c r="K63" s="256" t="s">
        <v>1346</v>
      </c>
    </row>
    <row r="64" spans="1:11" x14ac:dyDescent="0.3">
      <c r="A64" s="256">
        <v>57</v>
      </c>
      <c r="B64" s="257" t="s">
        <v>1364</v>
      </c>
      <c r="C64" s="276">
        <v>44464</v>
      </c>
      <c r="D64" s="257" t="s">
        <v>1283</v>
      </c>
      <c r="E64" s="256" t="s">
        <v>1588</v>
      </c>
      <c r="F64" s="256" t="s">
        <v>1606</v>
      </c>
      <c r="G64" s="258">
        <v>59890000000</v>
      </c>
      <c r="H64" s="265">
        <v>0.1</v>
      </c>
      <c r="I64" s="258">
        <v>5989000000</v>
      </c>
      <c r="J64" s="258">
        <v>65879000000</v>
      </c>
      <c r="K64" s="256" t="s">
        <v>1346</v>
      </c>
    </row>
    <row r="65" spans="1:11" x14ac:dyDescent="0.3">
      <c r="A65" s="256">
        <v>58</v>
      </c>
      <c r="B65" s="257" t="s">
        <v>1371</v>
      </c>
      <c r="C65" s="276">
        <v>44494</v>
      </c>
      <c r="D65" s="257" t="s">
        <v>1277</v>
      </c>
      <c r="E65" s="256" t="s">
        <v>1582</v>
      </c>
      <c r="F65" s="256" t="s">
        <v>1609</v>
      </c>
      <c r="G65" s="258">
        <v>14890000000</v>
      </c>
      <c r="H65" s="265">
        <v>0.1</v>
      </c>
      <c r="I65" s="258">
        <v>1489000000</v>
      </c>
      <c r="J65" s="258">
        <v>16379000000</v>
      </c>
      <c r="K65" s="256" t="s">
        <v>1346</v>
      </c>
    </row>
    <row r="66" spans="1:11" x14ac:dyDescent="0.3">
      <c r="A66" s="256">
        <v>59</v>
      </c>
      <c r="B66" s="257" t="s">
        <v>1368</v>
      </c>
      <c r="C66" s="276">
        <v>44525</v>
      </c>
      <c r="D66" s="257" t="s">
        <v>1389</v>
      </c>
      <c r="E66" s="256" t="s">
        <v>1555</v>
      </c>
      <c r="F66" s="256" t="s">
        <v>1608</v>
      </c>
      <c r="G66" s="258">
        <v>43456000000</v>
      </c>
      <c r="H66" s="265">
        <v>0.1</v>
      </c>
      <c r="I66" s="258">
        <v>4345600000</v>
      </c>
      <c r="J66" s="258">
        <v>47801600000</v>
      </c>
      <c r="K66" s="256" t="s">
        <v>1346</v>
      </c>
    </row>
    <row r="67" spans="1:11" x14ac:dyDescent="0.3">
      <c r="A67" s="256">
        <v>60</v>
      </c>
      <c r="B67" s="257" t="s">
        <v>1371</v>
      </c>
      <c r="C67" s="276">
        <v>44555</v>
      </c>
      <c r="D67" s="257" t="s">
        <v>1395</v>
      </c>
      <c r="E67" s="256" t="s">
        <v>1581</v>
      </c>
      <c r="F67" s="256" t="s">
        <v>1611</v>
      </c>
      <c r="G67" s="258">
        <v>20890000000</v>
      </c>
      <c r="H67" s="265">
        <v>0.1</v>
      </c>
      <c r="I67" s="258">
        <v>2089000000</v>
      </c>
      <c r="J67" s="258">
        <v>22979000000</v>
      </c>
      <c r="K67" s="256" t="s">
        <v>1346</v>
      </c>
    </row>
    <row r="68" spans="1:11" x14ac:dyDescent="0.3">
      <c r="A68" s="256">
        <v>61</v>
      </c>
      <c r="B68" s="257" t="s">
        <v>1371</v>
      </c>
      <c r="C68" s="276">
        <v>44224</v>
      </c>
      <c r="D68" s="257" t="s">
        <v>1279</v>
      </c>
      <c r="E68" s="256" t="s">
        <v>1573</v>
      </c>
      <c r="F68" s="256" t="s">
        <v>1606</v>
      </c>
      <c r="G68" s="258">
        <v>56789000000</v>
      </c>
      <c r="H68" s="265">
        <v>0.1</v>
      </c>
      <c r="I68" s="258">
        <v>5678900000</v>
      </c>
      <c r="J68" s="258">
        <v>62467900000</v>
      </c>
      <c r="K68" s="256" t="s">
        <v>1346</v>
      </c>
    </row>
    <row r="69" spans="1:11" x14ac:dyDescent="0.3">
      <c r="A69" s="256">
        <v>62</v>
      </c>
      <c r="B69" s="257" t="s">
        <v>1364</v>
      </c>
      <c r="C69" s="276">
        <v>44255</v>
      </c>
      <c r="D69" s="257" t="s">
        <v>1268</v>
      </c>
      <c r="E69" s="256" t="s">
        <v>1594</v>
      </c>
      <c r="F69" s="256" t="s">
        <v>1607</v>
      </c>
      <c r="G69" s="258">
        <v>18678000000</v>
      </c>
      <c r="H69" s="265">
        <v>0.1</v>
      </c>
      <c r="I69" s="258">
        <v>1867800000</v>
      </c>
      <c r="J69" s="258">
        <v>20545800000</v>
      </c>
      <c r="K69" s="256" t="s">
        <v>1346</v>
      </c>
    </row>
    <row r="70" spans="1:11" x14ac:dyDescent="0.3">
      <c r="A70" s="256">
        <v>63</v>
      </c>
      <c r="B70" s="257" t="s">
        <v>1368</v>
      </c>
      <c r="C70" s="276">
        <v>44283</v>
      </c>
      <c r="D70" s="257" t="s">
        <v>1275</v>
      </c>
      <c r="E70" s="256" t="s">
        <v>1575</v>
      </c>
      <c r="F70" s="256" t="s">
        <v>1608</v>
      </c>
      <c r="G70" s="258">
        <v>40890000000</v>
      </c>
      <c r="H70" s="265">
        <v>0.1</v>
      </c>
      <c r="I70" s="258">
        <v>4089000000</v>
      </c>
      <c r="J70" s="258">
        <v>44979000000</v>
      </c>
      <c r="K70" s="256" t="s">
        <v>1346</v>
      </c>
    </row>
    <row r="71" spans="1:11" x14ac:dyDescent="0.3">
      <c r="A71" s="256">
        <v>64</v>
      </c>
      <c r="B71" s="257" t="s">
        <v>1364</v>
      </c>
      <c r="C71" s="276">
        <v>44405</v>
      </c>
      <c r="D71" s="257" t="s">
        <v>1416</v>
      </c>
      <c r="E71" s="256" t="s">
        <v>1562</v>
      </c>
      <c r="F71" s="256" t="s">
        <v>1609</v>
      </c>
      <c r="G71" s="258">
        <v>13890000000</v>
      </c>
      <c r="H71" s="265">
        <v>0.1</v>
      </c>
      <c r="I71" s="258">
        <v>1389000000</v>
      </c>
      <c r="J71" s="258">
        <v>15279000000</v>
      </c>
      <c r="K71" s="256" t="s">
        <v>1346</v>
      </c>
    </row>
    <row r="72" spans="1:11" x14ac:dyDescent="0.3">
      <c r="A72" s="256">
        <v>65</v>
      </c>
      <c r="B72" s="257" t="s">
        <v>1368</v>
      </c>
      <c r="C72" s="276">
        <v>44436</v>
      </c>
      <c r="D72" s="257" t="s">
        <v>1262</v>
      </c>
      <c r="E72" s="256" t="s">
        <v>1556</v>
      </c>
      <c r="F72" s="256" t="s">
        <v>1606</v>
      </c>
      <c r="G72" s="258">
        <v>58901000000</v>
      </c>
      <c r="H72" s="265">
        <v>0.1</v>
      </c>
      <c r="I72" s="258">
        <v>5890100000</v>
      </c>
      <c r="J72" s="258">
        <v>64791100000</v>
      </c>
      <c r="K72" s="256" t="s">
        <v>1346</v>
      </c>
    </row>
    <row r="73" spans="1:11" x14ac:dyDescent="0.3">
      <c r="A73" s="256">
        <v>66</v>
      </c>
      <c r="B73" s="257" t="s">
        <v>1368</v>
      </c>
      <c r="C73" s="276">
        <v>44497</v>
      </c>
      <c r="D73" s="257" t="s">
        <v>1280</v>
      </c>
      <c r="E73" s="256" t="s">
        <v>618</v>
      </c>
      <c r="F73" s="256" t="s">
        <v>1610</v>
      </c>
      <c r="G73" s="258">
        <v>15890000000</v>
      </c>
      <c r="H73" s="265">
        <v>0.1</v>
      </c>
      <c r="I73" s="258">
        <v>1589000000</v>
      </c>
      <c r="J73" s="258">
        <v>17479000000</v>
      </c>
      <c r="K73" s="256" t="s">
        <v>1346</v>
      </c>
    </row>
    <row r="74" spans="1:11" x14ac:dyDescent="0.3">
      <c r="A74" s="256">
        <v>67</v>
      </c>
      <c r="B74" s="257" t="s">
        <v>1371</v>
      </c>
      <c r="C74" s="276">
        <v>44227</v>
      </c>
      <c r="D74" s="257" t="s">
        <v>1284</v>
      </c>
      <c r="E74" s="256" t="s">
        <v>1552</v>
      </c>
      <c r="F74" s="256" t="s">
        <v>1608</v>
      </c>
      <c r="G74" s="258">
        <v>44890000000</v>
      </c>
      <c r="H74" s="265">
        <v>0.1</v>
      </c>
      <c r="I74" s="258">
        <v>4489000000</v>
      </c>
      <c r="J74" s="258">
        <v>49379000000</v>
      </c>
      <c r="K74" s="256" t="s">
        <v>1346</v>
      </c>
    </row>
    <row r="75" spans="1:11" x14ac:dyDescent="0.3">
      <c r="A75" s="256">
        <v>68</v>
      </c>
      <c r="B75" s="257" t="s">
        <v>1366</v>
      </c>
      <c r="C75" s="276">
        <v>44286</v>
      </c>
      <c r="D75" s="257" t="s">
        <v>1260</v>
      </c>
      <c r="E75" s="256" t="s">
        <v>1585</v>
      </c>
      <c r="F75" s="256" t="s">
        <v>1607</v>
      </c>
      <c r="G75" s="258">
        <v>17890000000</v>
      </c>
      <c r="H75" s="265">
        <v>0.1</v>
      </c>
      <c r="I75" s="258">
        <v>1789000000</v>
      </c>
      <c r="J75" s="258">
        <v>19679000000</v>
      </c>
      <c r="K75" s="256" t="s">
        <v>1346</v>
      </c>
    </row>
    <row r="76" spans="1:11" x14ac:dyDescent="0.3">
      <c r="A76" s="256">
        <v>69</v>
      </c>
      <c r="B76" s="257" t="s">
        <v>1366</v>
      </c>
      <c r="C76" s="276">
        <v>44347</v>
      </c>
      <c r="D76" s="257" t="s">
        <v>1384</v>
      </c>
      <c r="E76" s="256" t="s">
        <v>1565</v>
      </c>
      <c r="F76" s="256" t="s">
        <v>1606</v>
      </c>
      <c r="G76" s="258">
        <v>60890000000</v>
      </c>
      <c r="H76" s="265">
        <v>0.1</v>
      </c>
      <c r="I76" s="258">
        <v>6089000000</v>
      </c>
      <c r="J76" s="258">
        <v>66979000000</v>
      </c>
      <c r="K76" s="256" t="s">
        <v>1346</v>
      </c>
    </row>
    <row r="77" spans="1:11" x14ac:dyDescent="0.3">
      <c r="A77" s="256">
        <v>70</v>
      </c>
      <c r="B77" s="257" t="s">
        <v>1368</v>
      </c>
      <c r="C77" s="276">
        <v>44561</v>
      </c>
      <c r="D77" s="257" t="s">
        <v>1281</v>
      </c>
      <c r="E77" s="256" t="s">
        <v>1559</v>
      </c>
      <c r="F77" s="256" t="s">
        <v>1609</v>
      </c>
      <c r="G77" s="258">
        <v>15234000000</v>
      </c>
      <c r="H77" s="265">
        <v>0.1</v>
      </c>
      <c r="I77" s="258">
        <v>1523400000</v>
      </c>
      <c r="J77" s="258">
        <v>16757400000</v>
      </c>
      <c r="K77" s="256" t="s">
        <v>1346</v>
      </c>
    </row>
    <row r="78" spans="1:11" x14ac:dyDescent="0.3">
      <c r="A78" s="266" t="s">
        <v>1351</v>
      </c>
      <c r="B78" s="266"/>
      <c r="C78" s="266"/>
      <c r="D78" s="266"/>
      <c r="E78" s="266"/>
      <c r="F78" s="266"/>
      <c r="G78" s="267">
        <f>SUM(G8:G77)</f>
        <v>2335838000000</v>
      </c>
      <c r="H78" s="266"/>
      <c r="I78" s="267">
        <f>SUM(I8:I77)</f>
        <v>233583800000</v>
      </c>
      <c r="J78" s="267">
        <f>SUM(J8:J77)</f>
        <v>2569421800000</v>
      </c>
      <c r="K78" s="266"/>
    </row>
    <row r="79" spans="1:11" x14ac:dyDescent="0.3">
      <c r="A79" s="256"/>
      <c r="B79" s="256"/>
      <c r="C79" s="256"/>
      <c r="D79" s="256"/>
      <c r="E79" s="256"/>
      <c r="F79" s="256"/>
      <c r="G79" s="256"/>
      <c r="H79" s="256"/>
      <c r="I79" s="256"/>
      <c r="J79" s="256"/>
      <c r="K79" s="256"/>
    </row>
    <row r="80" spans="1:11" x14ac:dyDescent="0.3">
      <c r="A80" s="256" t="s">
        <v>1420</v>
      </c>
      <c r="B80" s="256"/>
      <c r="C80" s="256"/>
      <c r="D80" s="256"/>
      <c r="E80" s="256"/>
      <c r="F80" s="256"/>
      <c r="G80" s="256"/>
      <c r="H80" s="256"/>
      <c r="I80" s="256"/>
      <c r="J80" s="256"/>
      <c r="K80" s="256"/>
    </row>
    <row r="81" spans="1:11" x14ac:dyDescent="0.3">
      <c r="A81" s="266" t="s">
        <v>0</v>
      </c>
      <c r="B81" s="266" t="s">
        <v>212</v>
      </c>
      <c r="C81" s="266" t="s">
        <v>1535</v>
      </c>
      <c r="D81" s="266" t="s">
        <v>1586</v>
      </c>
      <c r="E81" s="266" t="s">
        <v>1422</v>
      </c>
      <c r="F81" s="266" t="s">
        <v>1537</v>
      </c>
      <c r="G81" s="266" t="s">
        <v>270</v>
      </c>
      <c r="H81" s="266" t="s">
        <v>1538</v>
      </c>
      <c r="I81" s="266" t="s">
        <v>1539</v>
      </c>
      <c r="J81" s="266" t="s">
        <v>1540</v>
      </c>
      <c r="K81" s="266" t="s">
        <v>1541</v>
      </c>
    </row>
    <row r="82" spans="1:11" x14ac:dyDescent="0.3">
      <c r="A82" s="256">
        <v>1</v>
      </c>
      <c r="B82" s="257" t="s">
        <v>1200</v>
      </c>
      <c r="C82" s="276">
        <v>44470</v>
      </c>
      <c r="D82" s="257" t="s">
        <v>1352</v>
      </c>
      <c r="E82" s="256" t="s">
        <v>1571</v>
      </c>
      <c r="F82" s="256" t="s">
        <v>1612</v>
      </c>
      <c r="G82" s="258">
        <v>38901000000</v>
      </c>
      <c r="H82" s="265">
        <v>0.1</v>
      </c>
      <c r="I82" s="258">
        <v>3890100000</v>
      </c>
      <c r="J82" s="258">
        <v>42791100000</v>
      </c>
      <c r="K82" s="256" t="s">
        <v>1346</v>
      </c>
    </row>
    <row r="83" spans="1:11" x14ac:dyDescent="0.3">
      <c r="A83" s="256">
        <v>2</v>
      </c>
      <c r="B83" s="257" t="s">
        <v>1201</v>
      </c>
      <c r="C83" s="276">
        <v>44472</v>
      </c>
      <c r="D83" s="257" t="s">
        <v>1283</v>
      </c>
      <c r="E83" s="256" t="s">
        <v>1588</v>
      </c>
      <c r="F83" s="256" t="s">
        <v>1613</v>
      </c>
      <c r="G83" s="258">
        <v>72345000000</v>
      </c>
      <c r="H83" s="265">
        <v>0</v>
      </c>
      <c r="I83" s="258">
        <v>0</v>
      </c>
      <c r="J83" s="258">
        <v>72345000000</v>
      </c>
      <c r="K83" s="256" t="s">
        <v>1346</v>
      </c>
    </row>
    <row r="84" spans="1:11" x14ac:dyDescent="0.3">
      <c r="A84" s="256">
        <v>3</v>
      </c>
      <c r="B84" s="257" t="s">
        <v>1202</v>
      </c>
      <c r="C84" s="276">
        <v>44474</v>
      </c>
      <c r="D84" s="257" t="s">
        <v>1384</v>
      </c>
      <c r="E84" s="256" t="s">
        <v>1565</v>
      </c>
      <c r="F84" s="256" t="s">
        <v>1614</v>
      </c>
      <c r="G84" s="258">
        <v>45678000000</v>
      </c>
      <c r="H84" s="265">
        <v>0.1</v>
      </c>
      <c r="I84" s="258">
        <v>4567800000</v>
      </c>
      <c r="J84" s="258">
        <v>50245800000</v>
      </c>
      <c r="K84" s="256" t="s">
        <v>1346</v>
      </c>
    </row>
    <row r="85" spans="1:11" x14ac:dyDescent="0.3">
      <c r="A85" s="256">
        <v>4</v>
      </c>
      <c r="B85" s="257" t="s">
        <v>1355</v>
      </c>
      <c r="C85" s="276">
        <v>44476</v>
      </c>
      <c r="D85" s="257" t="s">
        <v>1258</v>
      </c>
      <c r="E85" s="256" t="s">
        <v>351</v>
      </c>
      <c r="F85" s="256" t="s">
        <v>1613</v>
      </c>
      <c r="G85" s="258">
        <v>89234000000</v>
      </c>
      <c r="H85" s="265">
        <v>0</v>
      </c>
      <c r="I85" s="258">
        <v>0</v>
      </c>
      <c r="J85" s="258">
        <v>89234000000</v>
      </c>
      <c r="K85" s="256" t="s">
        <v>1346</v>
      </c>
    </row>
    <row r="86" spans="1:11" x14ac:dyDescent="0.3">
      <c r="A86" s="256">
        <v>5</v>
      </c>
      <c r="B86" s="257" t="s">
        <v>1356</v>
      </c>
      <c r="C86" s="276">
        <v>44478</v>
      </c>
      <c r="D86" s="257" t="s">
        <v>1275</v>
      </c>
      <c r="E86" s="256" t="s">
        <v>1575</v>
      </c>
      <c r="F86" s="256" t="s">
        <v>1615</v>
      </c>
      <c r="G86" s="258">
        <v>29345000000</v>
      </c>
      <c r="H86" s="265">
        <v>0.1</v>
      </c>
      <c r="I86" s="258">
        <v>2934500000</v>
      </c>
      <c r="J86" s="258">
        <v>32279500000</v>
      </c>
      <c r="K86" s="256" t="s">
        <v>1346</v>
      </c>
    </row>
    <row r="87" spans="1:11" x14ac:dyDescent="0.3">
      <c r="A87" s="256">
        <v>6</v>
      </c>
      <c r="B87" s="257" t="s">
        <v>1358</v>
      </c>
      <c r="C87" s="276">
        <v>44480</v>
      </c>
      <c r="D87" s="257" t="s">
        <v>1428</v>
      </c>
      <c r="E87" s="256" t="s">
        <v>1557</v>
      </c>
      <c r="F87" s="256" t="s">
        <v>1612</v>
      </c>
      <c r="G87" s="258">
        <v>52345000000</v>
      </c>
      <c r="H87" s="265">
        <v>0.1</v>
      </c>
      <c r="I87" s="258">
        <v>5234500000</v>
      </c>
      <c r="J87" s="258">
        <v>57579500000</v>
      </c>
      <c r="K87" s="256" t="s">
        <v>1346</v>
      </c>
    </row>
    <row r="88" spans="1:11" x14ac:dyDescent="0.3">
      <c r="A88" s="256">
        <v>7</v>
      </c>
      <c r="B88" s="257" t="s">
        <v>1360</v>
      </c>
      <c r="C88" s="276">
        <v>44211</v>
      </c>
      <c r="D88" s="257" t="s">
        <v>1277</v>
      </c>
      <c r="E88" s="256" t="s">
        <v>1582</v>
      </c>
      <c r="F88" s="256" t="s">
        <v>1613</v>
      </c>
      <c r="G88" s="258">
        <v>95678000000</v>
      </c>
      <c r="H88" s="265">
        <v>0</v>
      </c>
      <c r="I88" s="258">
        <v>0</v>
      </c>
      <c r="J88" s="258">
        <v>95678000000</v>
      </c>
      <c r="K88" s="256" t="s">
        <v>1346</v>
      </c>
    </row>
    <row r="89" spans="1:11" x14ac:dyDescent="0.3">
      <c r="A89" s="256">
        <v>8</v>
      </c>
      <c r="B89" s="257" t="s">
        <v>1362</v>
      </c>
      <c r="C89" s="276">
        <v>44270</v>
      </c>
      <c r="D89" s="257" t="s">
        <v>1262</v>
      </c>
      <c r="E89" s="256" t="s">
        <v>1556</v>
      </c>
      <c r="F89" s="256" t="s">
        <v>1614</v>
      </c>
      <c r="G89" s="258">
        <v>42345000000</v>
      </c>
      <c r="H89" s="265">
        <v>0.1</v>
      </c>
      <c r="I89" s="258">
        <v>4234500000</v>
      </c>
      <c r="J89" s="258">
        <v>46579500000</v>
      </c>
      <c r="K89" s="256" t="s">
        <v>1346</v>
      </c>
    </row>
    <row r="90" spans="1:11" x14ac:dyDescent="0.3">
      <c r="A90" s="256">
        <v>9</v>
      </c>
      <c r="B90" s="257" t="s">
        <v>1364</v>
      </c>
      <c r="C90" s="276">
        <v>44331</v>
      </c>
      <c r="D90" s="257" t="s">
        <v>1285</v>
      </c>
      <c r="E90" s="256" t="s">
        <v>1558</v>
      </c>
      <c r="F90" s="256" t="s">
        <v>1612</v>
      </c>
      <c r="G90" s="258">
        <v>61234000000</v>
      </c>
      <c r="H90" s="265">
        <v>0.1</v>
      </c>
      <c r="I90" s="258">
        <v>6123400000</v>
      </c>
      <c r="J90" s="258">
        <v>67357400000</v>
      </c>
      <c r="K90" s="256" t="s">
        <v>1346</v>
      </c>
    </row>
    <row r="91" spans="1:11" x14ac:dyDescent="0.3">
      <c r="A91" s="256">
        <v>10</v>
      </c>
      <c r="B91" s="257" t="s">
        <v>1366</v>
      </c>
      <c r="C91" s="276">
        <v>44392</v>
      </c>
      <c r="D91" s="257" t="s">
        <v>1435</v>
      </c>
      <c r="E91" s="256" t="s">
        <v>1577</v>
      </c>
      <c r="F91" s="256" t="s">
        <v>1613</v>
      </c>
      <c r="G91" s="258">
        <v>108234000000</v>
      </c>
      <c r="H91" s="265">
        <v>0</v>
      </c>
      <c r="I91" s="258">
        <v>0</v>
      </c>
      <c r="J91" s="258">
        <v>108234000000</v>
      </c>
      <c r="K91" s="256" t="s">
        <v>1346</v>
      </c>
    </row>
    <row r="92" spans="1:11" x14ac:dyDescent="0.3">
      <c r="A92" s="256">
        <v>11</v>
      </c>
      <c r="B92" s="257" t="s">
        <v>1368</v>
      </c>
      <c r="C92" s="276">
        <v>44454</v>
      </c>
      <c r="D92" s="257" t="s">
        <v>1279</v>
      </c>
      <c r="E92" s="256" t="s">
        <v>1573</v>
      </c>
      <c r="F92" s="256" t="s">
        <v>1615</v>
      </c>
      <c r="G92" s="258">
        <v>31234000000</v>
      </c>
      <c r="H92" s="265">
        <v>0.1</v>
      </c>
      <c r="I92" s="258">
        <v>3123400000</v>
      </c>
      <c r="J92" s="258">
        <v>34357400000</v>
      </c>
      <c r="K92" s="256" t="s">
        <v>1346</v>
      </c>
    </row>
    <row r="93" spans="1:11" x14ac:dyDescent="0.3">
      <c r="A93" s="256">
        <v>12</v>
      </c>
      <c r="B93" s="257" t="s">
        <v>1371</v>
      </c>
      <c r="C93" s="276">
        <v>44515</v>
      </c>
      <c r="D93" s="257" t="s">
        <v>1260</v>
      </c>
      <c r="E93" s="256" t="s">
        <v>1585</v>
      </c>
      <c r="F93" s="256" t="s">
        <v>1612</v>
      </c>
      <c r="G93" s="258">
        <v>57890000000</v>
      </c>
      <c r="H93" s="265">
        <v>0.1</v>
      </c>
      <c r="I93" s="258">
        <v>5789000000</v>
      </c>
      <c r="J93" s="258">
        <v>63679000000</v>
      </c>
      <c r="K93" s="256" t="s">
        <v>1346</v>
      </c>
    </row>
    <row r="94" spans="1:11" x14ac:dyDescent="0.3">
      <c r="A94" s="256">
        <v>13</v>
      </c>
      <c r="B94" s="257" t="s">
        <v>1373</v>
      </c>
      <c r="C94" s="276">
        <v>44216</v>
      </c>
      <c r="D94" s="257" t="s">
        <v>1395</v>
      </c>
      <c r="E94" s="256" t="s">
        <v>1581</v>
      </c>
      <c r="F94" s="256" t="s">
        <v>1613</v>
      </c>
      <c r="G94" s="258">
        <v>98234000000</v>
      </c>
      <c r="H94" s="265">
        <v>0</v>
      </c>
      <c r="I94" s="258">
        <v>0</v>
      </c>
      <c r="J94" s="258">
        <v>98234000000</v>
      </c>
      <c r="K94" s="256" t="s">
        <v>1346</v>
      </c>
    </row>
    <row r="95" spans="1:11" x14ac:dyDescent="0.3">
      <c r="A95" s="256">
        <v>14</v>
      </c>
      <c r="B95" s="257" t="s">
        <v>1374</v>
      </c>
      <c r="C95" s="276">
        <v>44275</v>
      </c>
      <c r="D95" s="257" t="s">
        <v>1281</v>
      </c>
      <c r="E95" s="256" t="s">
        <v>1559</v>
      </c>
      <c r="F95" s="256" t="s">
        <v>1614</v>
      </c>
      <c r="G95" s="258">
        <v>48901000000</v>
      </c>
      <c r="H95" s="265">
        <v>0.1</v>
      </c>
      <c r="I95" s="258">
        <v>4890100000</v>
      </c>
      <c r="J95" s="258">
        <v>53791100000</v>
      </c>
      <c r="K95" s="256" t="s">
        <v>1346</v>
      </c>
    </row>
    <row r="96" spans="1:11" x14ac:dyDescent="0.3">
      <c r="A96" s="256">
        <v>15</v>
      </c>
      <c r="B96" s="257" t="s">
        <v>1376</v>
      </c>
      <c r="C96" s="276">
        <v>44336</v>
      </c>
      <c r="D96" s="257" t="s">
        <v>1282</v>
      </c>
      <c r="E96" s="256" t="s">
        <v>1580</v>
      </c>
      <c r="F96" s="256" t="s">
        <v>1612</v>
      </c>
      <c r="G96" s="258">
        <v>65678000000</v>
      </c>
      <c r="H96" s="265">
        <v>0.1</v>
      </c>
      <c r="I96" s="258">
        <v>6567800000</v>
      </c>
      <c r="J96" s="258">
        <v>72245800000</v>
      </c>
      <c r="K96" s="256" t="s">
        <v>1346</v>
      </c>
    </row>
    <row r="97" spans="1:11" x14ac:dyDescent="0.3">
      <c r="A97" s="256">
        <v>16</v>
      </c>
      <c r="B97" s="257" t="s">
        <v>1378</v>
      </c>
      <c r="C97" s="276">
        <v>44397</v>
      </c>
      <c r="D97" s="257" t="s">
        <v>1274</v>
      </c>
      <c r="E97" s="256" t="s">
        <v>1592</v>
      </c>
      <c r="F97" s="256" t="s">
        <v>1613</v>
      </c>
      <c r="G97" s="258">
        <v>87234000000</v>
      </c>
      <c r="H97" s="265">
        <v>0</v>
      </c>
      <c r="I97" s="258">
        <v>0</v>
      </c>
      <c r="J97" s="258">
        <v>87234000000</v>
      </c>
      <c r="K97" s="256" t="s">
        <v>1346</v>
      </c>
    </row>
    <row r="98" spans="1:11" x14ac:dyDescent="0.3">
      <c r="A98" s="256">
        <v>17</v>
      </c>
      <c r="B98" s="257" t="s">
        <v>1379</v>
      </c>
      <c r="C98" s="276">
        <v>44459</v>
      </c>
      <c r="D98" s="257" t="s">
        <v>1280</v>
      </c>
      <c r="E98" s="256" t="s">
        <v>618</v>
      </c>
      <c r="F98" s="256" t="s">
        <v>1615</v>
      </c>
      <c r="G98" s="258">
        <v>35678000000</v>
      </c>
      <c r="H98" s="265">
        <v>0.1</v>
      </c>
      <c r="I98" s="258">
        <v>3567800000</v>
      </c>
      <c r="J98" s="258">
        <v>39245800000</v>
      </c>
      <c r="K98" s="256" t="s">
        <v>1346</v>
      </c>
    </row>
    <row r="99" spans="1:11" x14ac:dyDescent="0.3">
      <c r="A99" s="256">
        <v>18</v>
      </c>
      <c r="B99" s="257" t="s">
        <v>1381</v>
      </c>
      <c r="C99" s="276">
        <v>44520</v>
      </c>
      <c r="D99" s="257" t="s">
        <v>1267</v>
      </c>
      <c r="E99" s="256" t="s">
        <v>1560</v>
      </c>
      <c r="F99" s="256" t="s">
        <v>1612</v>
      </c>
      <c r="G99" s="258">
        <v>62345000000</v>
      </c>
      <c r="H99" s="265">
        <v>0.1</v>
      </c>
      <c r="I99" s="258">
        <v>6234500000</v>
      </c>
      <c r="J99" s="258">
        <v>68579500000</v>
      </c>
      <c r="K99" s="256" t="s">
        <v>1346</v>
      </c>
    </row>
    <row r="100" spans="1:11" x14ac:dyDescent="0.3">
      <c r="A100" s="256">
        <v>19</v>
      </c>
      <c r="B100" s="257" t="s">
        <v>1382</v>
      </c>
      <c r="C100" s="276">
        <v>44221</v>
      </c>
      <c r="D100" s="257" t="s">
        <v>1416</v>
      </c>
      <c r="E100" s="256" t="s">
        <v>1562</v>
      </c>
      <c r="F100" s="256" t="s">
        <v>1613</v>
      </c>
      <c r="G100" s="258">
        <v>102345000000</v>
      </c>
      <c r="H100" s="265">
        <v>0</v>
      </c>
      <c r="I100" s="258">
        <v>0</v>
      </c>
      <c r="J100" s="258">
        <v>102345000000</v>
      </c>
      <c r="K100" s="256" t="s">
        <v>1346</v>
      </c>
    </row>
    <row r="101" spans="1:11" x14ac:dyDescent="0.3">
      <c r="A101" s="256">
        <v>20</v>
      </c>
      <c r="B101" s="257" t="s">
        <v>1383</v>
      </c>
      <c r="C101" s="276">
        <v>44280</v>
      </c>
      <c r="D101" s="257" t="s">
        <v>1284</v>
      </c>
      <c r="E101" s="256" t="s">
        <v>1552</v>
      </c>
      <c r="F101" s="256" t="s">
        <v>1614</v>
      </c>
      <c r="G101" s="258">
        <v>45678000000</v>
      </c>
      <c r="H101" s="265">
        <v>0.1</v>
      </c>
      <c r="I101" s="258">
        <v>4567800000</v>
      </c>
      <c r="J101" s="258">
        <v>50245800000</v>
      </c>
      <c r="K101" s="256" t="s">
        <v>1346</v>
      </c>
    </row>
    <row r="102" spans="1:11" x14ac:dyDescent="0.3">
      <c r="A102" s="256">
        <v>21</v>
      </c>
      <c r="B102" s="257" t="s">
        <v>1203</v>
      </c>
      <c r="C102" s="276">
        <v>44341</v>
      </c>
      <c r="D102" s="257" t="s">
        <v>1264</v>
      </c>
      <c r="E102" s="256" t="s">
        <v>1584</v>
      </c>
      <c r="F102" s="256" t="s">
        <v>1612</v>
      </c>
      <c r="G102" s="258">
        <v>68901000000</v>
      </c>
      <c r="H102" s="265">
        <v>0.1</v>
      </c>
      <c r="I102" s="258">
        <v>6890100000</v>
      </c>
      <c r="J102" s="258">
        <v>75791100000</v>
      </c>
      <c r="K102" s="256" t="s">
        <v>1346</v>
      </c>
    </row>
    <row r="103" spans="1:11" x14ac:dyDescent="0.3">
      <c r="A103" s="256">
        <v>22</v>
      </c>
      <c r="B103" s="257" t="s">
        <v>1204</v>
      </c>
      <c r="C103" s="276">
        <v>44402</v>
      </c>
      <c r="D103" s="257" t="s">
        <v>1261</v>
      </c>
      <c r="E103" s="256" t="s">
        <v>1572</v>
      </c>
      <c r="F103" s="256" t="s">
        <v>1613</v>
      </c>
      <c r="G103" s="258">
        <v>92345000000</v>
      </c>
      <c r="H103" s="265">
        <v>0</v>
      </c>
      <c r="I103" s="258">
        <v>0</v>
      </c>
      <c r="J103" s="258">
        <v>92345000000</v>
      </c>
      <c r="K103" s="256" t="s">
        <v>1346</v>
      </c>
    </row>
    <row r="104" spans="1:11" x14ac:dyDescent="0.3">
      <c r="A104" s="256">
        <v>23</v>
      </c>
      <c r="B104" s="257" t="s">
        <v>1205</v>
      </c>
      <c r="C104" s="276">
        <v>44464</v>
      </c>
      <c r="D104" s="257" t="s">
        <v>1352</v>
      </c>
      <c r="E104" s="256" t="s">
        <v>1571</v>
      </c>
      <c r="F104" s="256" t="s">
        <v>1615</v>
      </c>
      <c r="G104" s="258">
        <v>38901000000</v>
      </c>
      <c r="H104" s="265">
        <v>0.1</v>
      </c>
      <c r="I104" s="258">
        <v>3890100000</v>
      </c>
      <c r="J104" s="258">
        <v>42791100000</v>
      </c>
      <c r="K104" s="256" t="s">
        <v>1346</v>
      </c>
    </row>
    <row r="105" spans="1:11" x14ac:dyDescent="0.3">
      <c r="A105" s="256">
        <v>24</v>
      </c>
      <c r="B105" s="257" t="s">
        <v>1385</v>
      </c>
      <c r="C105" s="276">
        <v>44525</v>
      </c>
      <c r="D105" s="257" t="s">
        <v>1272</v>
      </c>
      <c r="E105" s="256" t="s">
        <v>540</v>
      </c>
      <c r="F105" s="256" t="s">
        <v>1612</v>
      </c>
      <c r="G105" s="258">
        <v>65234000000</v>
      </c>
      <c r="H105" s="265">
        <v>0.1</v>
      </c>
      <c r="I105" s="258">
        <v>6523400000</v>
      </c>
      <c r="J105" s="258">
        <v>71757400000</v>
      </c>
      <c r="K105" s="256" t="s">
        <v>1346</v>
      </c>
    </row>
    <row r="106" spans="1:11" x14ac:dyDescent="0.3">
      <c r="A106" s="256">
        <v>25</v>
      </c>
      <c r="B106" s="257" t="s">
        <v>1387</v>
      </c>
      <c r="C106" s="276">
        <v>44227</v>
      </c>
      <c r="D106" s="257" t="s">
        <v>1257</v>
      </c>
      <c r="E106" s="256" t="s">
        <v>1574</v>
      </c>
      <c r="F106" s="256" t="s">
        <v>1613</v>
      </c>
      <c r="G106" s="258">
        <v>95678000000</v>
      </c>
      <c r="H106" s="265">
        <v>0</v>
      </c>
      <c r="I106" s="258">
        <v>0</v>
      </c>
      <c r="J106" s="258">
        <v>95678000000</v>
      </c>
      <c r="K106" s="256" t="s">
        <v>1346</v>
      </c>
    </row>
    <row r="107" spans="1:11" x14ac:dyDescent="0.3">
      <c r="A107" s="256">
        <v>26</v>
      </c>
      <c r="B107" s="257" t="s">
        <v>1388</v>
      </c>
      <c r="C107" s="276">
        <v>44286</v>
      </c>
      <c r="D107" s="257" t="s">
        <v>1265</v>
      </c>
      <c r="E107" s="256" t="s">
        <v>1583</v>
      </c>
      <c r="F107" s="256" t="s">
        <v>1614</v>
      </c>
      <c r="G107" s="258">
        <v>44567000000</v>
      </c>
      <c r="H107" s="265">
        <v>0.1</v>
      </c>
      <c r="I107" s="258">
        <v>4456700000</v>
      </c>
      <c r="J107" s="258">
        <v>49023700000</v>
      </c>
      <c r="K107" s="256" t="s">
        <v>1346</v>
      </c>
    </row>
    <row r="108" spans="1:11" x14ac:dyDescent="0.3">
      <c r="A108" s="256">
        <v>27</v>
      </c>
      <c r="B108" s="257" t="s">
        <v>1391</v>
      </c>
      <c r="C108" s="276">
        <v>44347</v>
      </c>
      <c r="D108" s="257" t="s">
        <v>1278</v>
      </c>
      <c r="E108" s="256" t="s">
        <v>1593</v>
      </c>
      <c r="F108" s="256" t="s">
        <v>1612</v>
      </c>
      <c r="G108" s="258">
        <v>70234000000</v>
      </c>
      <c r="H108" s="265">
        <v>0.1</v>
      </c>
      <c r="I108" s="258">
        <v>7023400000</v>
      </c>
      <c r="J108" s="258">
        <v>77257400000</v>
      </c>
      <c r="K108" s="256" t="s">
        <v>1346</v>
      </c>
    </row>
    <row r="109" spans="1:11" x14ac:dyDescent="0.3">
      <c r="A109" s="256">
        <v>28</v>
      </c>
      <c r="B109" s="257" t="s">
        <v>1392</v>
      </c>
      <c r="C109" s="276">
        <v>44408</v>
      </c>
      <c r="D109" s="257" t="s">
        <v>1263</v>
      </c>
      <c r="E109" s="256" t="s">
        <v>1579</v>
      </c>
      <c r="F109" s="256" t="s">
        <v>1613</v>
      </c>
      <c r="G109" s="258">
        <v>88901000000</v>
      </c>
      <c r="H109" s="265">
        <v>0</v>
      </c>
      <c r="I109" s="258">
        <v>0</v>
      </c>
      <c r="J109" s="258">
        <v>88901000000</v>
      </c>
      <c r="K109" s="256" t="s">
        <v>1346</v>
      </c>
    </row>
    <row r="110" spans="1:11" x14ac:dyDescent="0.3">
      <c r="A110" s="256">
        <v>29</v>
      </c>
      <c r="B110" s="257" t="s">
        <v>1394</v>
      </c>
      <c r="C110" s="276">
        <v>44470</v>
      </c>
      <c r="D110" s="257" t="s">
        <v>1275</v>
      </c>
      <c r="E110" s="256" t="s">
        <v>1575</v>
      </c>
      <c r="F110" s="256" t="s">
        <v>1615</v>
      </c>
      <c r="G110" s="258">
        <v>37890000000</v>
      </c>
      <c r="H110" s="265">
        <v>0.1</v>
      </c>
      <c r="I110" s="258">
        <v>3789000000</v>
      </c>
      <c r="J110" s="258">
        <v>41679000000</v>
      </c>
      <c r="K110" s="256" t="s">
        <v>1346</v>
      </c>
    </row>
    <row r="111" spans="1:11" x14ac:dyDescent="0.3">
      <c r="A111" s="256">
        <v>30</v>
      </c>
      <c r="B111" s="257" t="s">
        <v>1396</v>
      </c>
      <c r="C111" s="276">
        <v>44561</v>
      </c>
      <c r="D111" s="257" t="s">
        <v>1389</v>
      </c>
      <c r="E111" s="256" t="s">
        <v>1555</v>
      </c>
      <c r="F111" s="256" t="s">
        <v>1612</v>
      </c>
      <c r="G111" s="258">
        <v>68234000000</v>
      </c>
      <c r="H111" s="265">
        <v>0.1</v>
      </c>
      <c r="I111" s="258">
        <v>6823400000</v>
      </c>
      <c r="J111" s="258">
        <v>75057400000</v>
      </c>
      <c r="K111" s="256" t="s">
        <v>1346</v>
      </c>
    </row>
    <row r="112" spans="1:11" x14ac:dyDescent="0.3">
      <c r="A112" s="256">
        <v>31</v>
      </c>
      <c r="B112" s="257" t="s">
        <v>1397</v>
      </c>
      <c r="C112" s="276">
        <v>44561</v>
      </c>
      <c r="D112" s="257" t="s">
        <v>1428</v>
      </c>
      <c r="E112" s="256" t="s">
        <v>1557</v>
      </c>
      <c r="F112" s="256" t="s">
        <v>1613</v>
      </c>
      <c r="G112" s="258">
        <v>97234000000</v>
      </c>
      <c r="H112" s="265">
        <v>0</v>
      </c>
      <c r="I112" s="258">
        <v>0</v>
      </c>
      <c r="J112" s="258">
        <v>97234000000</v>
      </c>
      <c r="K112" s="256" t="s">
        <v>1346</v>
      </c>
    </row>
    <row r="113" spans="1:11" x14ac:dyDescent="0.3">
      <c r="A113" s="256">
        <v>32</v>
      </c>
      <c r="B113" s="257" t="s">
        <v>1398</v>
      </c>
      <c r="C113" s="276">
        <v>44561</v>
      </c>
      <c r="D113" s="257" t="s">
        <v>1285</v>
      </c>
      <c r="E113" s="256" t="s">
        <v>1558</v>
      </c>
      <c r="F113" s="256" t="s">
        <v>1614</v>
      </c>
      <c r="G113" s="258">
        <v>46789000000</v>
      </c>
      <c r="H113" s="265">
        <v>0.1</v>
      </c>
      <c r="I113" s="258">
        <v>4678900000</v>
      </c>
      <c r="J113" s="258">
        <v>51467900000</v>
      </c>
      <c r="K113" s="256" t="s">
        <v>1346</v>
      </c>
    </row>
    <row r="114" spans="1:11" x14ac:dyDescent="0.3">
      <c r="A114" s="256">
        <v>33</v>
      </c>
      <c r="B114" s="257" t="s">
        <v>1399</v>
      </c>
      <c r="C114" s="276">
        <v>44561</v>
      </c>
      <c r="D114" s="257" t="s">
        <v>1260</v>
      </c>
      <c r="E114" s="256" t="s">
        <v>1585</v>
      </c>
      <c r="F114" s="256" t="s">
        <v>1612</v>
      </c>
      <c r="G114" s="258">
        <v>73456000000</v>
      </c>
      <c r="H114" s="265">
        <v>0.1</v>
      </c>
      <c r="I114" s="258">
        <v>7345600000</v>
      </c>
      <c r="J114" s="258">
        <v>80801600000</v>
      </c>
      <c r="K114" s="256" t="s">
        <v>1346</v>
      </c>
    </row>
    <row r="115" spans="1:11" x14ac:dyDescent="0.3">
      <c r="A115" s="256">
        <v>34</v>
      </c>
      <c r="B115" s="257" t="s">
        <v>1401</v>
      </c>
      <c r="C115" s="276">
        <v>44561</v>
      </c>
      <c r="D115" s="257" t="s">
        <v>1395</v>
      </c>
      <c r="E115" s="256" t="s">
        <v>1581</v>
      </c>
      <c r="F115" s="256" t="s">
        <v>1613</v>
      </c>
      <c r="G115" s="258">
        <v>91234000000</v>
      </c>
      <c r="H115" s="265">
        <v>0</v>
      </c>
      <c r="I115" s="258">
        <v>0</v>
      </c>
      <c r="J115" s="258">
        <v>91234000000</v>
      </c>
      <c r="K115" s="256" t="s">
        <v>1346</v>
      </c>
    </row>
    <row r="116" spans="1:11" x14ac:dyDescent="0.3">
      <c r="A116" s="256">
        <v>35</v>
      </c>
      <c r="B116" s="257" t="s">
        <v>1402</v>
      </c>
      <c r="C116" s="276">
        <v>44561</v>
      </c>
      <c r="D116" s="257" t="s">
        <v>1277</v>
      </c>
      <c r="E116" s="256" t="s">
        <v>1582</v>
      </c>
      <c r="F116" s="256" t="s">
        <v>1615</v>
      </c>
      <c r="G116" s="258">
        <v>39234000000</v>
      </c>
      <c r="H116" s="265">
        <v>0.1</v>
      </c>
      <c r="I116" s="258">
        <v>3923400000</v>
      </c>
      <c r="J116" s="258">
        <v>43157400000</v>
      </c>
      <c r="K116" s="256" t="s">
        <v>1346</v>
      </c>
    </row>
    <row r="117" spans="1:11" x14ac:dyDescent="0.3">
      <c r="A117" s="256">
        <v>36</v>
      </c>
      <c r="B117" s="257" t="s">
        <v>1403</v>
      </c>
      <c r="C117" s="276">
        <v>44561</v>
      </c>
      <c r="D117" s="257" t="s">
        <v>1266</v>
      </c>
      <c r="E117" s="256" t="s">
        <v>1570</v>
      </c>
      <c r="F117" s="256" t="s">
        <v>1612</v>
      </c>
      <c r="G117" s="258">
        <v>64567000000</v>
      </c>
      <c r="H117" s="265">
        <v>0.1</v>
      </c>
      <c r="I117" s="258">
        <v>6456700000</v>
      </c>
      <c r="J117" s="258">
        <v>71023700000</v>
      </c>
      <c r="K117" s="256" t="s">
        <v>1346</v>
      </c>
    </row>
    <row r="118" spans="1:11" x14ac:dyDescent="0.3">
      <c r="A118" s="256">
        <v>37</v>
      </c>
      <c r="B118" s="257" t="s">
        <v>1404</v>
      </c>
      <c r="C118" s="276">
        <v>44561</v>
      </c>
      <c r="D118" s="257" t="s">
        <v>1283</v>
      </c>
      <c r="E118" s="256" t="s">
        <v>1588</v>
      </c>
      <c r="F118" s="256" t="s">
        <v>1613</v>
      </c>
      <c r="G118" s="258">
        <v>86234000000</v>
      </c>
      <c r="H118" s="265">
        <v>0</v>
      </c>
      <c r="I118" s="258">
        <v>0</v>
      </c>
      <c r="J118" s="258">
        <v>86234000000</v>
      </c>
      <c r="K118" s="256" t="s">
        <v>1346</v>
      </c>
    </row>
    <row r="119" spans="1:11" x14ac:dyDescent="0.3">
      <c r="A119" s="256">
        <v>38</v>
      </c>
      <c r="B119" s="257" t="s">
        <v>1405</v>
      </c>
      <c r="C119" s="276">
        <v>44561</v>
      </c>
      <c r="D119" s="257" t="s">
        <v>1259</v>
      </c>
      <c r="E119" s="256" t="s">
        <v>1569</v>
      </c>
      <c r="F119" s="256" t="s">
        <v>1614</v>
      </c>
      <c r="G119" s="258">
        <v>47890000000</v>
      </c>
      <c r="H119" s="265">
        <v>0.1</v>
      </c>
      <c r="I119" s="258">
        <v>4789000000</v>
      </c>
      <c r="J119" s="258">
        <v>52679000000</v>
      </c>
      <c r="K119" s="256" t="s">
        <v>1346</v>
      </c>
    </row>
    <row r="120" spans="1:11" x14ac:dyDescent="0.3">
      <c r="A120" s="256">
        <v>39</v>
      </c>
      <c r="B120" s="257" t="s">
        <v>1406</v>
      </c>
      <c r="C120" s="276">
        <v>44561</v>
      </c>
      <c r="D120" s="257" t="s">
        <v>1281</v>
      </c>
      <c r="E120" s="256" t="s">
        <v>1559</v>
      </c>
      <c r="F120" s="256" t="s">
        <v>1612</v>
      </c>
      <c r="G120" s="258">
        <v>71890000000</v>
      </c>
      <c r="H120" s="265">
        <v>0.1</v>
      </c>
      <c r="I120" s="258">
        <v>7189000000</v>
      </c>
      <c r="J120" s="258">
        <v>79079000000</v>
      </c>
      <c r="K120" s="256" t="s">
        <v>1346</v>
      </c>
    </row>
    <row r="121" spans="1:11" x14ac:dyDescent="0.3">
      <c r="A121" s="256">
        <v>40</v>
      </c>
      <c r="B121" s="257" t="s">
        <v>1408</v>
      </c>
      <c r="C121" s="276">
        <v>44561</v>
      </c>
      <c r="D121" s="257" t="s">
        <v>1273</v>
      </c>
      <c r="E121" s="256" t="s">
        <v>1567</v>
      </c>
      <c r="F121" s="256" t="s">
        <v>1613</v>
      </c>
      <c r="G121" s="258">
        <v>89234000000</v>
      </c>
      <c r="H121" s="265">
        <v>0</v>
      </c>
      <c r="I121" s="258">
        <v>0</v>
      </c>
      <c r="J121" s="258">
        <v>89234000000</v>
      </c>
      <c r="K121" s="256" t="s">
        <v>1346</v>
      </c>
    </row>
    <row r="122" spans="1:11" x14ac:dyDescent="0.3">
      <c r="A122" s="256">
        <v>41</v>
      </c>
      <c r="B122" s="257" t="s">
        <v>1409</v>
      </c>
      <c r="C122" s="276">
        <v>44561</v>
      </c>
      <c r="D122" s="257" t="s">
        <v>1282</v>
      </c>
      <c r="E122" s="256" t="s">
        <v>1580</v>
      </c>
      <c r="F122" s="256" t="s">
        <v>1615</v>
      </c>
      <c r="G122" s="258">
        <v>38901000000</v>
      </c>
      <c r="H122" s="265">
        <v>0.1</v>
      </c>
      <c r="I122" s="258">
        <v>3890100000</v>
      </c>
      <c r="J122" s="258">
        <v>42791100000</v>
      </c>
      <c r="K122" s="256" t="s">
        <v>1346</v>
      </c>
    </row>
    <row r="123" spans="1:11" x14ac:dyDescent="0.3">
      <c r="A123" s="256">
        <v>42</v>
      </c>
      <c r="B123" s="257" t="s">
        <v>1411</v>
      </c>
      <c r="C123" s="276">
        <v>44561</v>
      </c>
      <c r="D123" s="257" t="s">
        <v>1267</v>
      </c>
      <c r="E123" s="256" t="s">
        <v>1560</v>
      </c>
      <c r="F123" s="256" t="s">
        <v>1612</v>
      </c>
      <c r="G123" s="258">
        <v>68901000000</v>
      </c>
      <c r="H123" s="265">
        <v>0.1</v>
      </c>
      <c r="I123" s="258">
        <v>6890100000</v>
      </c>
      <c r="J123" s="258">
        <v>75791100000</v>
      </c>
      <c r="K123" s="256" t="s">
        <v>1346</v>
      </c>
    </row>
    <row r="124" spans="1:11" x14ac:dyDescent="0.3">
      <c r="A124" s="256">
        <v>43</v>
      </c>
      <c r="B124" s="257" t="s">
        <v>1414</v>
      </c>
      <c r="C124" s="276">
        <v>44561</v>
      </c>
      <c r="D124" s="257" t="s">
        <v>1416</v>
      </c>
      <c r="E124" s="256" t="s">
        <v>1562</v>
      </c>
      <c r="F124" s="256" t="s">
        <v>1613</v>
      </c>
      <c r="G124" s="258">
        <v>94567000000</v>
      </c>
      <c r="H124" s="265">
        <v>0</v>
      </c>
      <c r="I124" s="258">
        <v>0</v>
      </c>
      <c r="J124" s="258">
        <v>94567000000</v>
      </c>
      <c r="K124" s="256" t="s">
        <v>1346</v>
      </c>
    </row>
    <row r="125" spans="1:11" x14ac:dyDescent="0.3">
      <c r="A125" s="256">
        <v>44</v>
      </c>
      <c r="B125" s="257" t="s">
        <v>1415</v>
      </c>
      <c r="C125" s="276">
        <v>44561</v>
      </c>
      <c r="D125" s="257" t="s">
        <v>1279</v>
      </c>
      <c r="E125" s="256" t="s">
        <v>1573</v>
      </c>
      <c r="F125" s="256" t="s">
        <v>1614</v>
      </c>
      <c r="G125" s="258">
        <v>49234000000</v>
      </c>
      <c r="H125" s="265">
        <v>0.1</v>
      </c>
      <c r="I125" s="258">
        <v>4923400000</v>
      </c>
      <c r="J125" s="258">
        <v>54157400000</v>
      </c>
      <c r="K125" s="256" t="s">
        <v>1346</v>
      </c>
    </row>
    <row r="126" spans="1:11" x14ac:dyDescent="0.3">
      <c r="A126" s="256">
        <v>45</v>
      </c>
      <c r="B126" s="257" t="s">
        <v>1206</v>
      </c>
      <c r="C126" s="276">
        <v>44561</v>
      </c>
      <c r="D126" s="257" t="s">
        <v>1261</v>
      </c>
      <c r="E126" s="256" t="s">
        <v>1572</v>
      </c>
      <c r="F126" s="256" t="s">
        <v>1612</v>
      </c>
      <c r="G126" s="258">
        <v>72890000000</v>
      </c>
      <c r="H126" s="265">
        <v>0.1</v>
      </c>
      <c r="I126" s="258">
        <v>7289000000</v>
      </c>
      <c r="J126" s="258">
        <v>80179000000</v>
      </c>
      <c r="K126" s="256" t="s">
        <v>1346</v>
      </c>
    </row>
    <row r="127" spans="1:11" x14ac:dyDescent="0.3">
      <c r="A127" s="256">
        <v>46</v>
      </c>
      <c r="B127" s="257" t="s">
        <v>1207</v>
      </c>
      <c r="C127" s="276">
        <v>44561</v>
      </c>
      <c r="D127" s="257" t="s">
        <v>1352</v>
      </c>
      <c r="E127" s="256" t="s">
        <v>1571</v>
      </c>
      <c r="F127" s="256" t="s">
        <v>1613</v>
      </c>
      <c r="G127" s="258">
        <v>91890000000</v>
      </c>
      <c r="H127" s="265">
        <v>0</v>
      </c>
      <c r="I127" s="258">
        <v>0</v>
      </c>
      <c r="J127" s="258">
        <v>91890000000</v>
      </c>
      <c r="K127" s="256" t="s">
        <v>1346</v>
      </c>
    </row>
    <row r="128" spans="1:11" x14ac:dyDescent="0.3">
      <c r="A128" s="256">
        <v>47</v>
      </c>
      <c r="B128" s="257" t="s">
        <v>1208</v>
      </c>
      <c r="C128" s="276">
        <v>44561</v>
      </c>
      <c r="D128" s="257" t="s">
        <v>1272</v>
      </c>
      <c r="E128" s="256" t="s">
        <v>540</v>
      </c>
      <c r="F128" s="256" t="s">
        <v>1615</v>
      </c>
      <c r="G128" s="258">
        <v>40234000000</v>
      </c>
      <c r="H128" s="265">
        <v>0.1</v>
      </c>
      <c r="I128" s="258">
        <v>4023400000</v>
      </c>
      <c r="J128" s="258">
        <v>44257400000</v>
      </c>
      <c r="K128" s="256" t="s">
        <v>1346</v>
      </c>
    </row>
    <row r="129" spans="1:11" x14ac:dyDescent="0.3">
      <c r="A129" s="256">
        <v>48</v>
      </c>
      <c r="B129" s="257" t="s">
        <v>1209</v>
      </c>
      <c r="C129" s="276">
        <v>44561</v>
      </c>
      <c r="D129" s="257" t="s">
        <v>1284</v>
      </c>
      <c r="E129" s="256" t="s">
        <v>1552</v>
      </c>
      <c r="F129" s="256" t="s">
        <v>1612</v>
      </c>
      <c r="G129" s="258">
        <v>74234000000</v>
      </c>
      <c r="H129" s="265">
        <v>0.1</v>
      </c>
      <c r="I129" s="258">
        <v>7423400000</v>
      </c>
      <c r="J129" s="258">
        <v>81657400000</v>
      </c>
      <c r="K129" s="256" t="s">
        <v>1346</v>
      </c>
    </row>
    <row r="130" spans="1:11" x14ac:dyDescent="0.3">
      <c r="A130" s="256">
        <v>49</v>
      </c>
      <c r="B130" s="257" t="s">
        <v>1418</v>
      </c>
      <c r="C130" s="276">
        <v>44561</v>
      </c>
      <c r="D130" s="257" t="s">
        <v>1280</v>
      </c>
      <c r="E130" s="256" t="s">
        <v>618</v>
      </c>
      <c r="F130" s="256" t="s">
        <v>1613</v>
      </c>
      <c r="G130" s="258">
        <v>98234000000</v>
      </c>
      <c r="H130" s="265">
        <v>0</v>
      </c>
      <c r="I130" s="258">
        <v>0</v>
      </c>
      <c r="J130" s="258">
        <v>98234000000</v>
      </c>
      <c r="K130" s="256" t="s">
        <v>1346</v>
      </c>
    </row>
    <row r="131" spans="1:11" x14ac:dyDescent="0.3">
      <c r="A131" s="256">
        <v>50</v>
      </c>
      <c r="B131" s="257" t="s">
        <v>1419</v>
      </c>
      <c r="C131" s="276">
        <v>44561</v>
      </c>
      <c r="D131" s="257" t="s">
        <v>1264</v>
      </c>
      <c r="E131" s="256" t="s">
        <v>1584</v>
      </c>
      <c r="F131" s="256" t="s">
        <v>1614</v>
      </c>
      <c r="G131" s="258">
        <v>48567000000</v>
      </c>
      <c r="H131" s="265">
        <v>0.1</v>
      </c>
      <c r="I131" s="258">
        <v>4856700000</v>
      </c>
      <c r="J131" s="258">
        <v>53423700000</v>
      </c>
      <c r="K131" s="256" t="s">
        <v>1346</v>
      </c>
    </row>
    <row r="132" spans="1:11" x14ac:dyDescent="0.3">
      <c r="A132" s="266" t="s">
        <v>1351</v>
      </c>
      <c r="B132" s="266"/>
      <c r="C132" s="266"/>
      <c r="D132" s="266"/>
      <c r="E132" s="266"/>
      <c r="F132" s="266"/>
      <c r="G132" s="267">
        <f>SUM(G82:G131)</f>
        <v>3326855000000</v>
      </c>
      <c r="H132" s="266"/>
      <c r="I132" s="267">
        <f>SUM(I82:I131)</f>
        <v>174800000000</v>
      </c>
      <c r="J132" s="267">
        <f>SUM(J82:J131)</f>
        <v>3501655000000</v>
      </c>
      <c r="K132" s="26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topLeftCell="A2" workbookViewId="0"/>
  </sheetViews>
  <sheetFormatPr defaultRowHeight="14.4" x14ac:dyDescent="0.3"/>
  <sheetData>
    <row r="1" spans="1:11" x14ac:dyDescent="0.3">
      <c r="A1" s="256" t="s">
        <v>1340</v>
      </c>
      <c r="B1" s="256" t="s">
        <v>394</v>
      </c>
      <c r="C1" s="256"/>
      <c r="D1" s="256"/>
      <c r="E1" s="256"/>
      <c r="F1" s="256"/>
      <c r="G1" s="256"/>
      <c r="H1" s="256"/>
      <c r="I1" s="256"/>
      <c r="J1" s="256"/>
      <c r="K1" s="256"/>
    </row>
    <row r="2" spans="1:11" x14ac:dyDescent="0.3">
      <c r="A2" s="256" t="s">
        <v>1339</v>
      </c>
      <c r="B2" s="257">
        <v>100373485</v>
      </c>
      <c r="C2" s="256"/>
      <c r="D2" s="256"/>
      <c r="E2" s="256"/>
      <c r="F2" s="256"/>
      <c r="G2" s="256"/>
      <c r="H2" s="256"/>
      <c r="I2" s="256"/>
      <c r="J2" s="256"/>
      <c r="K2" s="256"/>
    </row>
    <row r="3" spans="1:11" x14ac:dyDescent="0.3">
      <c r="A3" s="256" t="s">
        <v>1343</v>
      </c>
      <c r="B3" s="258">
        <v>495157311217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1374</v>
      </c>
      <c r="C8" s="276">
        <v>44317</v>
      </c>
      <c r="D8" s="257" t="s">
        <v>1352</v>
      </c>
      <c r="E8" s="256" t="s">
        <v>1571</v>
      </c>
      <c r="F8" s="256" t="s">
        <v>1616</v>
      </c>
      <c r="G8" s="258">
        <v>15234000000</v>
      </c>
      <c r="H8" s="265">
        <v>0.1</v>
      </c>
      <c r="I8" s="258">
        <v>1523400000</v>
      </c>
      <c r="J8" s="258">
        <v>16757400000</v>
      </c>
      <c r="K8" s="256" t="s">
        <v>1346</v>
      </c>
    </row>
    <row r="9" spans="1:11" x14ac:dyDescent="0.3">
      <c r="A9" s="256">
        <v>2</v>
      </c>
      <c r="B9" s="257" t="s">
        <v>1366</v>
      </c>
      <c r="C9" s="276">
        <v>44318</v>
      </c>
      <c r="D9" s="257" t="s">
        <v>1283</v>
      </c>
      <c r="E9" s="256" t="s">
        <v>1588</v>
      </c>
      <c r="F9" s="256" t="s">
        <v>1617</v>
      </c>
      <c r="G9" s="258">
        <v>8901000000</v>
      </c>
      <c r="H9" s="265">
        <v>0.1</v>
      </c>
      <c r="I9" s="258">
        <v>890100000</v>
      </c>
      <c r="J9" s="258">
        <v>9791100000</v>
      </c>
      <c r="K9" s="256" t="s">
        <v>1346</v>
      </c>
    </row>
    <row r="10" spans="1:11" x14ac:dyDescent="0.3">
      <c r="A10" s="256">
        <v>3</v>
      </c>
      <c r="B10" s="257" t="s">
        <v>1374</v>
      </c>
      <c r="C10" s="276">
        <v>44319</v>
      </c>
      <c r="D10" s="257" t="s">
        <v>1272</v>
      </c>
      <c r="E10" s="256" t="s">
        <v>540</v>
      </c>
      <c r="F10" s="256" t="s">
        <v>1618</v>
      </c>
      <c r="G10" s="258">
        <v>12345000000</v>
      </c>
      <c r="H10" s="265">
        <v>0.1</v>
      </c>
      <c r="I10" s="258">
        <v>1234500000</v>
      </c>
      <c r="J10" s="258">
        <v>13579500000</v>
      </c>
      <c r="K10" s="256" t="s">
        <v>1346</v>
      </c>
    </row>
    <row r="11" spans="1:11" x14ac:dyDescent="0.3">
      <c r="A11" s="256">
        <v>4</v>
      </c>
      <c r="B11" s="257" t="s">
        <v>1373</v>
      </c>
      <c r="C11" s="276">
        <v>44320</v>
      </c>
      <c r="D11" s="257" t="s">
        <v>1277</v>
      </c>
      <c r="E11" s="256" t="s">
        <v>1582</v>
      </c>
      <c r="F11" s="256" t="s">
        <v>1616</v>
      </c>
      <c r="G11" s="258">
        <v>18234000000</v>
      </c>
      <c r="H11" s="265">
        <v>0.1</v>
      </c>
      <c r="I11" s="258">
        <v>1823400000</v>
      </c>
      <c r="J11" s="258">
        <v>20057400000</v>
      </c>
      <c r="K11" s="256" t="s">
        <v>1346</v>
      </c>
    </row>
    <row r="12" spans="1:11" x14ac:dyDescent="0.3">
      <c r="A12" s="256">
        <v>5</v>
      </c>
      <c r="B12" s="257" t="s">
        <v>1371</v>
      </c>
      <c r="C12" s="276">
        <v>44321</v>
      </c>
      <c r="D12" s="257" t="s">
        <v>1389</v>
      </c>
      <c r="E12" s="256" t="s">
        <v>1555</v>
      </c>
      <c r="F12" s="256" t="s">
        <v>1619</v>
      </c>
      <c r="G12" s="258">
        <v>9567000000</v>
      </c>
      <c r="H12" s="265">
        <v>0.1</v>
      </c>
      <c r="I12" s="258">
        <v>956700000</v>
      </c>
      <c r="J12" s="258">
        <v>10523700000</v>
      </c>
      <c r="K12" s="256" t="s">
        <v>1346</v>
      </c>
    </row>
    <row r="13" spans="1:11" x14ac:dyDescent="0.3">
      <c r="A13" s="256">
        <v>6</v>
      </c>
      <c r="B13" s="257" t="s">
        <v>1373</v>
      </c>
      <c r="C13" s="276">
        <v>44322</v>
      </c>
      <c r="D13" s="257" t="s">
        <v>1395</v>
      </c>
      <c r="E13" s="256" t="s">
        <v>1581</v>
      </c>
      <c r="F13" s="256" t="s">
        <v>1546</v>
      </c>
      <c r="G13" s="258">
        <v>11234000000</v>
      </c>
      <c r="H13" s="265">
        <v>0</v>
      </c>
      <c r="I13" s="258">
        <v>0</v>
      </c>
      <c r="J13" s="258">
        <v>11234000000</v>
      </c>
      <c r="K13" s="256" t="s">
        <v>1346</v>
      </c>
    </row>
    <row r="14" spans="1:11" x14ac:dyDescent="0.3">
      <c r="A14" s="256">
        <v>7</v>
      </c>
      <c r="B14" s="257" t="s">
        <v>1373</v>
      </c>
      <c r="C14" s="276">
        <v>44323</v>
      </c>
      <c r="D14" s="257" t="s">
        <v>1279</v>
      </c>
      <c r="E14" s="256" t="s">
        <v>1573</v>
      </c>
      <c r="F14" s="256" t="s">
        <v>1616</v>
      </c>
      <c r="G14" s="258">
        <v>16789000000</v>
      </c>
      <c r="H14" s="265">
        <v>0.1</v>
      </c>
      <c r="I14" s="258">
        <v>1678900000</v>
      </c>
      <c r="J14" s="258">
        <v>18467900000</v>
      </c>
      <c r="K14" s="256" t="s">
        <v>1346</v>
      </c>
    </row>
    <row r="15" spans="1:11" x14ac:dyDescent="0.3">
      <c r="A15" s="256">
        <v>8</v>
      </c>
      <c r="B15" s="257" t="s">
        <v>1366</v>
      </c>
      <c r="C15" s="276">
        <v>44324</v>
      </c>
      <c r="D15" s="257" t="s">
        <v>1268</v>
      </c>
      <c r="E15" s="256" t="s">
        <v>1594</v>
      </c>
      <c r="F15" s="256" t="s">
        <v>1620</v>
      </c>
      <c r="G15" s="258">
        <v>7234000000</v>
      </c>
      <c r="H15" s="265">
        <v>0.1</v>
      </c>
      <c r="I15" s="258">
        <v>723400000</v>
      </c>
      <c r="J15" s="258">
        <v>7957400000</v>
      </c>
      <c r="K15" s="256" t="s">
        <v>1348</v>
      </c>
    </row>
    <row r="16" spans="1:11" x14ac:dyDescent="0.3">
      <c r="A16" s="256">
        <v>9</v>
      </c>
      <c r="B16" s="257" t="s">
        <v>1371</v>
      </c>
      <c r="C16" s="276">
        <v>44325</v>
      </c>
      <c r="D16" s="257" t="s">
        <v>1275</v>
      </c>
      <c r="E16" s="256" t="s">
        <v>1575</v>
      </c>
      <c r="F16" s="256" t="s">
        <v>1621</v>
      </c>
      <c r="G16" s="258">
        <v>8901000000</v>
      </c>
      <c r="H16" s="265">
        <v>0.1</v>
      </c>
      <c r="I16" s="258">
        <v>890100000</v>
      </c>
      <c r="J16" s="258">
        <v>9791100000</v>
      </c>
      <c r="K16" s="256" t="s">
        <v>1346</v>
      </c>
    </row>
    <row r="17" spans="1:11" x14ac:dyDescent="0.3">
      <c r="A17" s="256">
        <v>10</v>
      </c>
      <c r="B17" s="257" t="s">
        <v>1366</v>
      </c>
      <c r="C17" s="276">
        <v>44326</v>
      </c>
      <c r="D17" s="257" t="s">
        <v>1416</v>
      </c>
      <c r="E17" s="256" t="s">
        <v>1562</v>
      </c>
      <c r="F17" s="256" t="s">
        <v>1616</v>
      </c>
      <c r="G17" s="258">
        <v>17345000000</v>
      </c>
      <c r="H17" s="265">
        <v>0.1</v>
      </c>
      <c r="I17" s="258">
        <v>1734500000</v>
      </c>
      <c r="J17" s="258">
        <v>19079500000</v>
      </c>
      <c r="K17" s="256" t="s">
        <v>1346</v>
      </c>
    </row>
    <row r="18" spans="1:11" x14ac:dyDescent="0.3">
      <c r="A18" s="256">
        <v>11</v>
      </c>
      <c r="B18" s="257" t="s">
        <v>1371</v>
      </c>
      <c r="C18" s="276">
        <v>44327</v>
      </c>
      <c r="D18" s="257" t="s">
        <v>1262</v>
      </c>
      <c r="E18" s="256" t="s">
        <v>1556</v>
      </c>
      <c r="F18" s="256" t="s">
        <v>1622</v>
      </c>
      <c r="G18" s="258">
        <v>9234000000</v>
      </c>
      <c r="H18" s="265">
        <v>0.1</v>
      </c>
      <c r="I18" s="258">
        <v>923400000</v>
      </c>
      <c r="J18" s="258">
        <v>10157400000</v>
      </c>
      <c r="K18" s="256" t="s">
        <v>1346</v>
      </c>
    </row>
    <row r="19" spans="1:11" x14ac:dyDescent="0.3">
      <c r="A19" s="256">
        <v>12</v>
      </c>
      <c r="B19" s="257" t="s">
        <v>1371</v>
      </c>
      <c r="C19" s="276">
        <v>44328</v>
      </c>
      <c r="D19" s="257" t="s">
        <v>1280</v>
      </c>
      <c r="E19" s="256" t="s">
        <v>618</v>
      </c>
      <c r="F19" s="256" t="s">
        <v>1616</v>
      </c>
      <c r="G19" s="258">
        <v>14567000000</v>
      </c>
      <c r="H19" s="265">
        <v>0.1</v>
      </c>
      <c r="I19" s="258">
        <v>1456700000</v>
      </c>
      <c r="J19" s="258">
        <v>16023700000</v>
      </c>
      <c r="K19" s="256" t="s">
        <v>1346</v>
      </c>
    </row>
    <row r="20" spans="1:11" x14ac:dyDescent="0.3">
      <c r="A20" s="256">
        <v>13</v>
      </c>
      <c r="B20" s="257" t="s">
        <v>1373</v>
      </c>
      <c r="C20" s="276">
        <v>44470</v>
      </c>
      <c r="D20" s="257" t="s">
        <v>1284</v>
      </c>
      <c r="E20" s="256" t="s">
        <v>1552</v>
      </c>
      <c r="F20" s="256" t="s">
        <v>1617</v>
      </c>
      <c r="G20" s="258">
        <v>8234000000</v>
      </c>
      <c r="H20" s="265">
        <v>0.1</v>
      </c>
      <c r="I20" s="258">
        <v>823400000</v>
      </c>
      <c r="J20" s="258">
        <v>9057400000</v>
      </c>
      <c r="K20" s="256" t="s">
        <v>1346</v>
      </c>
    </row>
    <row r="21" spans="1:11" x14ac:dyDescent="0.3">
      <c r="A21" s="256">
        <v>14</v>
      </c>
      <c r="B21" s="257" t="s">
        <v>1368</v>
      </c>
      <c r="C21" s="276">
        <v>44471</v>
      </c>
      <c r="D21" s="257" t="s">
        <v>1260</v>
      </c>
      <c r="E21" s="256" t="s">
        <v>1585</v>
      </c>
      <c r="F21" s="256" t="s">
        <v>1616</v>
      </c>
      <c r="G21" s="258">
        <v>19234000000</v>
      </c>
      <c r="H21" s="265">
        <v>0.1</v>
      </c>
      <c r="I21" s="258">
        <v>1923400000</v>
      </c>
      <c r="J21" s="258">
        <v>21157400000</v>
      </c>
      <c r="K21" s="256" t="s">
        <v>1346</v>
      </c>
    </row>
    <row r="22" spans="1:11" x14ac:dyDescent="0.3">
      <c r="A22" s="256">
        <v>15</v>
      </c>
      <c r="B22" s="257" t="s">
        <v>1368</v>
      </c>
      <c r="C22" s="276">
        <v>44472</v>
      </c>
      <c r="D22" s="257" t="s">
        <v>1384</v>
      </c>
      <c r="E22" s="256" t="s">
        <v>1565</v>
      </c>
      <c r="F22" s="256" t="s">
        <v>1619</v>
      </c>
      <c r="G22" s="258">
        <v>10234000000</v>
      </c>
      <c r="H22" s="265">
        <v>0.1</v>
      </c>
      <c r="I22" s="258">
        <v>1023400000</v>
      </c>
      <c r="J22" s="258">
        <v>11257400000</v>
      </c>
      <c r="K22" s="256" t="s">
        <v>1346</v>
      </c>
    </row>
    <row r="23" spans="1:11" x14ac:dyDescent="0.3">
      <c r="A23" s="256">
        <v>16</v>
      </c>
      <c r="B23" s="257" t="s">
        <v>1371</v>
      </c>
      <c r="C23" s="276">
        <v>44473</v>
      </c>
      <c r="D23" s="257" t="s">
        <v>1281</v>
      </c>
      <c r="E23" s="256" t="s">
        <v>1559</v>
      </c>
      <c r="F23" s="256" t="s">
        <v>1620</v>
      </c>
      <c r="G23" s="258">
        <v>7890000000</v>
      </c>
      <c r="H23" s="265">
        <v>0.1</v>
      </c>
      <c r="I23" s="258">
        <v>789000000</v>
      </c>
      <c r="J23" s="258">
        <v>8679000000</v>
      </c>
      <c r="K23" s="256" t="s">
        <v>1346</v>
      </c>
    </row>
    <row r="24" spans="1:11" x14ac:dyDescent="0.3">
      <c r="A24" s="256">
        <v>17</v>
      </c>
      <c r="B24" s="257" t="s">
        <v>1366</v>
      </c>
      <c r="C24" s="276">
        <v>44474</v>
      </c>
      <c r="D24" s="257" t="s">
        <v>1285</v>
      </c>
      <c r="E24" s="256" t="s">
        <v>1558</v>
      </c>
      <c r="F24" s="256" t="s">
        <v>1616</v>
      </c>
      <c r="G24" s="258">
        <v>15678000000</v>
      </c>
      <c r="H24" s="265">
        <v>0.1</v>
      </c>
      <c r="I24" s="258">
        <v>1567800000</v>
      </c>
      <c r="J24" s="258">
        <v>17245800000</v>
      </c>
      <c r="K24" s="256" t="s">
        <v>1346</v>
      </c>
    </row>
    <row r="25" spans="1:11" x14ac:dyDescent="0.3">
      <c r="A25" s="256">
        <v>18</v>
      </c>
      <c r="B25" s="257" t="s">
        <v>1366</v>
      </c>
      <c r="C25" s="276">
        <v>44475</v>
      </c>
      <c r="D25" s="257" t="s">
        <v>1435</v>
      </c>
      <c r="E25" s="256" t="s">
        <v>1577</v>
      </c>
      <c r="F25" s="256" t="s">
        <v>1621</v>
      </c>
      <c r="G25" s="258">
        <v>8567000000</v>
      </c>
      <c r="H25" s="265">
        <v>0.1</v>
      </c>
      <c r="I25" s="258">
        <v>856700000</v>
      </c>
      <c r="J25" s="258">
        <v>9423700000</v>
      </c>
      <c r="K25" s="256" t="s">
        <v>1346</v>
      </c>
    </row>
    <row r="26" spans="1:11" x14ac:dyDescent="0.3">
      <c r="A26" s="256">
        <v>19</v>
      </c>
      <c r="B26" s="257" t="s">
        <v>1366</v>
      </c>
      <c r="C26" s="276">
        <v>44476</v>
      </c>
      <c r="D26" s="257" t="s">
        <v>1259</v>
      </c>
      <c r="E26" s="256" t="s">
        <v>1569</v>
      </c>
      <c r="F26" s="256" t="s">
        <v>1618</v>
      </c>
      <c r="G26" s="258">
        <v>11890000000</v>
      </c>
      <c r="H26" s="265">
        <v>0.1</v>
      </c>
      <c r="I26" s="258">
        <v>1189000000</v>
      </c>
      <c r="J26" s="258">
        <v>13079000000</v>
      </c>
      <c r="K26" s="256" t="s">
        <v>1346</v>
      </c>
    </row>
    <row r="27" spans="1:11" x14ac:dyDescent="0.3">
      <c r="A27" s="256">
        <v>20</v>
      </c>
      <c r="B27" s="257" t="s">
        <v>1366</v>
      </c>
      <c r="C27" s="276">
        <v>44477</v>
      </c>
      <c r="D27" s="257" t="s">
        <v>1278</v>
      </c>
      <c r="E27" s="256" t="s">
        <v>1593</v>
      </c>
      <c r="F27" s="256" t="s">
        <v>1616</v>
      </c>
      <c r="G27" s="258">
        <v>16234000000</v>
      </c>
      <c r="H27" s="265">
        <v>0.1</v>
      </c>
      <c r="I27" s="258">
        <v>1623400000</v>
      </c>
      <c r="J27" s="258">
        <v>17857400000</v>
      </c>
      <c r="K27" s="256" t="s">
        <v>1346</v>
      </c>
    </row>
    <row r="28" spans="1:11" x14ac:dyDescent="0.3">
      <c r="A28" s="256">
        <v>21</v>
      </c>
      <c r="B28" s="257" t="s">
        <v>1366</v>
      </c>
      <c r="C28" s="276">
        <v>44478</v>
      </c>
      <c r="D28" s="257" t="s">
        <v>1263</v>
      </c>
      <c r="E28" s="256" t="s">
        <v>1579</v>
      </c>
      <c r="F28" s="256" t="s">
        <v>1617</v>
      </c>
      <c r="G28" s="258">
        <v>8901000000</v>
      </c>
      <c r="H28" s="265">
        <v>0.1</v>
      </c>
      <c r="I28" s="258">
        <v>890100000</v>
      </c>
      <c r="J28" s="258">
        <v>9791100000</v>
      </c>
      <c r="K28" s="256" t="s">
        <v>1346</v>
      </c>
    </row>
    <row r="29" spans="1:11" x14ac:dyDescent="0.3">
      <c r="A29" s="256">
        <v>22</v>
      </c>
      <c r="B29" s="257" t="s">
        <v>1371</v>
      </c>
      <c r="C29" s="276">
        <v>44479</v>
      </c>
      <c r="D29" s="257" t="s">
        <v>1274</v>
      </c>
      <c r="E29" s="256" t="s">
        <v>1592</v>
      </c>
      <c r="F29" s="256" t="s">
        <v>1616</v>
      </c>
      <c r="G29" s="258">
        <v>14890000000</v>
      </c>
      <c r="H29" s="265">
        <v>0.1</v>
      </c>
      <c r="I29" s="258">
        <v>1489000000</v>
      </c>
      <c r="J29" s="258">
        <v>16379000000</v>
      </c>
      <c r="K29" s="256" t="s">
        <v>1346</v>
      </c>
    </row>
    <row r="30" spans="1:11" x14ac:dyDescent="0.3">
      <c r="A30" s="256">
        <v>23</v>
      </c>
      <c r="B30" s="257" t="s">
        <v>1364</v>
      </c>
      <c r="C30" s="276">
        <v>44480</v>
      </c>
      <c r="D30" s="257" t="s">
        <v>1282</v>
      </c>
      <c r="E30" s="256" t="s">
        <v>1580</v>
      </c>
      <c r="F30" s="256" t="s">
        <v>1622</v>
      </c>
      <c r="G30" s="258">
        <v>9890000000</v>
      </c>
      <c r="H30" s="265">
        <v>0.1</v>
      </c>
      <c r="I30" s="258">
        <v>989000000</v>
      </c>
      <c r="J30" s="258">
        <v>10879000000</v>
      </c>
      <c r="K30" s="256" t="s">
        <v>1346</v>
      </c>
    </row>
    <row r="31" spans="1:11" x14ac:dyDescent="0.3">
      <c r="A31" s="256">
        <v>24</v>
      </c>
      <c r="B31" s="257" t="s">
        <v>1371</v>
      </c>
      <c r="C31" s="276">
        <v>44481</v>
      </c>
      <c r="D31" s="257" t="s">
        <v>1267</v>
      </c>
      <c r="E31" s="256" t="s">
        <v>1560</v>
      </c>
      <c r="F31" s="256" t="s">
        <v>1616</v>
      </c>
      <c r="G31" s="258">
        <v>17345000000</v>
      </c>
      <c r="H31" s="265">
        <v>0.1</v>
      </c>
      <c r="I31" s="258">
        <v>1734500000</v>
      </c>
      <c r="J31" s="258">
        <v>19079500000</v>
      </c>
      <c r="K31" s="256" t="s">
        <v>1346</v>
      </c>
    </row>
    <row r="32" spans="1:11" x14ac:dyDescent="0.3">
      <c r="A32" s="256">
        <v>25</v>
      </c>
      <c r="B32" s="257" t="s">
        <v>1368</v>
      </c>
      <c r="C32" s="276">
        <v>44211</v>
      </c>
      <c r="D32" s="257" t="s">
        <v>1428</v>
      </c>
      <c r="E32" s="256" t="s">
        <v>1557</v>
      </c>
      <c r="F32" s="256" t="s">
        <v>1546</v>
      </c>
      <c r="G32" s="258">
        <v>11890000000</v>
      </c>
      <c r="H32" s="265">
        <v>0</v>
      </c>
      <c r="I32" s="258">
        <v>0</v>
      </c>
      <c r="J32" s="258">
        <v>11890000000</v>
      </c>
      <c r="K32" s="256" t="s">
        <v>1346</v>
      </c>
    </row>
    <row r="33" spans="1:11" x14ac:dyDescent="0.3">
      <c r="A33" s="256">
        <v>26</v>
      </c>
      <c r="B33" s="257" t="s">
        <v>1364</v>
      </c>
      <c r="C33" s="276">
        <v>44242</v>
      </c>
      <c r="D33" s="257" t="s">
        <v>1273</v>
      </c>
      <c r="E33" s="256" t="s">
        <v>1567</v>
      </c>
      <c r="F33" s="256" t="s">
        <v>1616</v>
      </c>
      <c r="G33" s="258">
        <v>15234000000</v>
      </c>
      <c r="H33" s="265">
        <v>0.1</v>
      </c>
      <c r="I33" s="258">
        <v>1523400000</v>
      </c>
      <c r="J33" s="258">
        <v>16757400000</v>
      </c>
      <c r="K33" s="256" t="s">
        <v>1346</v>
      </c>
    </row>
    <row r="34" spans="1:11" x14ac:dyDescent="0.3">
      <c r="A34" s="256">
        <v>27</v>
      </c>
      <c r="B34" s="257" t="s">
        <v>1366</v>
      </c>
      <c r="C34" s="276">
        <v>44270</v>
      </c>
      <c r="D34" s="257" t="s">
        <v>1264</v>
      </c>
      <c r="E34" s="256" t="s">
        <v>1584</v>
      </c>
      <c r="F34" s="256" t="s">
        <v>1619</v>
      </c>
      <c r="G34" s="258">
        <v>9567000000</v>
      </c>
      <c r="H34" s="265">
        <v>0.1</v>
      </c>
      <c r="I34" s="258">
        <v>956700000</v>
      </c>
      <c r="J34" s="258">
        <v>10523700000</v>
      </c>
      <c r="K34" s="256" t="s">
        <v>1346</v>
      </c>
    </row>
    <row r="35" spans="1:11" x14ac:dyDescent="0.3">
      <c r="A35" s="256">
        <v>28</v>
      </c>
      <c r="B35" s="257" t="s">
        <v>1376</v>
      </c>
      <c r="C35" s="276">
        <v>44301</v>
      </c>
      <c r="D35" s="257" t="s">
        <v>1352</v>
      </c>
      <c r="E35" s="256" t="s">
        <v>1571</v>
      </c>
      <c r="F35" s="256" t="s">
        <v>1620</v>
      </c>
      <c r="G35" s="258">
        <v>7234000000</v>
      </c>
      <c r="H35" s="265">
        <v>0.1</v>
      </c>
      <c r="I35" s="258">
        <v>723400000</v>
      </c>
      <c r="J35" s="258">
        <v>7957400000</v>
      </c>
      <c r="K35" s="256" t="s">
        <v>1346</v>
      </c>
    </row>
    <row r="36" spans="1:11" x14ac:dyDescent="0.3">
      <c r="A36" s="256">
        <v>29</v>
      </c>
      <c r="B36" s="257" t="s">
        <v>1376</v>
      </c>
      <c r="C36" s="276">
        <v>44331</v>
      </c>
      <c r="D36" s="257" t="s">
        <v>1272</v>
      </c>
      <c r="E36" s="256" t="s">
        <v>540</v>
      </c>
      <c r="F36" s="256" t="s">
        <v>1616</v>
      </c>
      <c r="G36" s="258">
        <v>16789000000</v>
      </c>
      <c r="H36" s="265">
        <v>0.1</v>
      </c>
      <c r="I36" s="258">
        <v>1678900000</v>
      </c>
      <c r="J36" s="258">
        <v>18467900000</v>
      </c>
      <c r="K36" s="256" t="s">
        <v>1346</v>
      </c>
    </row>
    <row r="37" spans="1:11" x14ac:dyDescent="0.3">
      <c r="A37" s="256">
        <v>30</v>
      </c>
      <c r="B37" s="257" t="s">
        <v>1368</v>
      </c>
      <c r="C37" s="276">
        <v>44362</v>
      </c>
      <c r="D37" s="257" t="s">
        <v>1283</v>
      </c>
      <c r="E37" s="256" t="s">
        <v>1588</v>
      </c>
      <c r="F37" s="256" t="s">
        <v>1621</v>
      </c>
      <c r="G37" s="258">
        <v>8234000000</v>
      </c>
      <c r="H37" s="265">
        <v>0.1</v>
      </c>
      <c r="I37" s="258">
        <v>823400000</v>
      </c>
      <c r="J37" s="258">
        <v>9057400000</v>
      </c>
      <c r="K37" s="256" t="s">
        <v>1346</v>
      </c>
    </row>
    <row r="38" spans="1:11" x14ac:dyDescent="0.3">
      <c r="A38" s="256">
        <v>31</v>
      </c>
      <c r="B38" s="257" t="s">
        <v>1374</v>
      </c>
      <c r="C38" s="276">
        <v>44392</v>
      </c>
      <c r="D38" s="257" t="s">
        <v>1277</v>
      </c>
      <c r="E38" s="256" t="s">
        <v>1582</v>
      </c>
      <c r="F38" s="256" t="s">
        <v>1616</v>
      </c>
      <c r="G38" s="258">
        <v>14567000000</v>
      </c>
      <c r="H38" s="265">
        <v>0.1</v>
      </c>
      <c r="I38" s="258">
        <v>1456700000</v>
      </c>
      <c r="J38" s="258">
        <v>16023700000</v>
      </c>
      <c r="K38" s="256" t="s">
        <v>1346</v>
      </c>
    </row>
    <row r="39" spans="1:11" x14ac:dyDescent="0.3">
      <c r="A39" s="256">
        <v>32</v>
      </c>
      <c r="B39" s="257" t="s">
        <v>1373</v>
      </c>
      <c r="C39" s="276">
        <v>44423</v>
      </c>
      <c r="D39" s="257" t="s">
        <v>1389</v>
      </c>
      <c r="E39" s="256" t="s">
        <v>1555</v>
      </c>
      <c r="F39" s="256" t="s">
        <v>1617</v>
      </c>
      <c r="G39" s="258">
        <v>8567000000</v>
      </c>
      <c r="H39" s="265">
        <v>0.1</v>
      </c>
      <c r="I39" s="258">
        <v>856700000</v>
      </c>
      <c r="J39" s="258">
        <v>9423700000</v>
      </c>
      <c r="K39" s="256" t="s">
        <v>1346</v>
      </c>
    </row>
    <row r="40" spans="1:11" x14ac:dyDescent="0.3">
      <c r="A40" s="256">
        <v>33</v>
      </c>
      <c r="B40" s="257" t="s">
        <v>1374</v>
      </c>
      <c r="C40" s="276">
        <v>44454</v>
      </c>
      <c r="D40" s="257" t="s">
        <v>1395</v>
      </c>
      <c r="E40" s="256" t="s">
        <v>1581</v>
      </c>
      <c r="F40" s="256" t="s">
        <v>1616</v>
      </c>
      <c r="G40" s="258">
        <v>17890000000</v>
      </c>
      <c r="H40" s="265">
        <v>0.1</v>
      </c>
      <c r="I40" s="258">
        <v>1789000000</v>
      </c>
      <c r="J40" s="258">
        <v>19679000000</v>
      </c>
      <c r="K40" s="256" t="s">
        <v>1346</v>
      </c>
    </row>
    <row r="41" spans="1:11" x14ac:dyDescent="0.3">
      <c r="A41" s="256">
        <v>34</v>
      </c>
      <c r="B41" s="257" t="s">
        <v>1374</v>
      </c>
      <c r="C41" s="276">
        <v>44484</v>
      </c>
      <c r="D41" s="257" t="s">
        <v>1279</v>
      </c>
      <c r="E41" s="256" t="s">
        <v>1573</v>
      </c>
      <c r="F41" s="256" t="s">
        <v>1622</v>
      </c>
      <c r="G41" s="258">
        <v>9234000000</v>
      </c>
      <c r="H41" s="265">
        <v>0.1</v>
      </c>
      <c r="I41" s="258">
        <v>923400000</v>
      </c>
      <c r="J41" s="258">
        <v>10157400000</v>
      </c>
      <c r="K41" s="256" t="s">
        <v>1346</v>
      </c>
    </row>
    <row r="42" spans="1:11" x14ac:dyDescent="0.3">
      <c r="A42" s="256">
        <v>35</v>
      </c>
      <c r="B42" s="257" t="s">
        <v>1368</v>
      </c>
      <c r="C42" s="276">
        <v>44515</v>
      </c>
      <c r="D42" s="257" t="s">
        <v>1268</v>
      </c>
      <c r="E42" s="256" t="s">
        <v>1594</v>
      </c>
      <c r="F42" s="256" t="s">
        <v>1616</v>
      </c>
      <c r="G42" s="258">
        <v>15678000000</v>
      </c>
      <c r="H42" s="265">
        <v>0.1</v>
      </c>
      <c r="I42" s="258">
        <v>1567800000</v>
      </c>
      <c r="J42" s="258">
        <v>17245800000</v>
      </c>
      <c r="K42" s="256" t="s">
        <v>1346</v>
      </c>
    </row>
    <row r="43" spans="1:11" x14ac:dyDescent="0.3">
      <c r="A43" s="256">
        <v>36</v>
      </c>
      <c r="B43" s="257" t="s">
        <v>1373</v>
      </c>
      <c r="C43" s="276">
        <v>44545</v>
      </c>
      <c r="D43" s="257" t="s">
        <v>1275</v>
      </c>
      <c r="E43" s="256" t="s">
        <v>1575</v>
      </c>
      <c r="F43" s="256" t="s">
        <v>1620</v>
      </c>
      <c r="G43" s="258">
        <v>7890000000</v>
      </c>
      <c r="H43" s="265">
        <v>0.1</v>
      </c>
      <c r="I43" s="258">
        <v>789000000</v>
      </c>
      <c r="J43" s="258">
        <v>8679000000</v>
      </c>
      <c r="K43" s="256" t="s">
        <v>1346</v>
      </c>
    </row>
    <row r="44" spans="1:11" x14ac:dyDescent="0.3">
      <c r="A44" s="256">
        <v>37</v>
      </c>
      <c r="B44" s="257" t="s">
        <v>1368</v>
      </c>
      <c r="C44" s="276">
        <v>44216</v>
      </c>
      <c r="D44" s="257" t="s">
        <v>1416</v>
      </c>
      <c r="E44" s="256" t="s">
        <v>1562</v>
      </c>
      <c r="F44" s="256" t="s">
        <v>1616</v>
      </c>
      <c r="G44" s="258">
        <v>16234000000</v>
      </c>
      <c r="H44" s="265">
        <v>0.1</v>
      </c>
      <c r="I44" s="258">
        <v>1623400000</v>
      </c>
      <c r="J44" s="258">
        <v>17857400000</v>
      </c>
      <c r="K44" s="256" t="s">
        <v>1346</v>
      </c>
    </row>
    <row r="45" spans="1:11" x14ac:dyDescent="0.3">
      <c r="A45" s="256">
        <v>38</v>
      </c>
      <c r="B45" s="257" t="s">
        <v>1373</v>
      </c>
      <c r="C45" s="276">
        <v>44247</v>
      </c>
      <c r="D45" s="257" t="s">
        <v>1262</v>
      </c>
      <c r="E45" s="256" t="s">
        <v>1556</v>
      </c>
      <c r="F45" s="256" t="s">
        <v>1619</v>
      </c>
      <c r="G45" s="258">
        <v>9890000000</v>
      </c>
      <c r="H45" s="265">
        <v>0.1</v>
      </c>
      <c r="I45" s="258">
        <v>989000000</v>
      </c>
      <c r="J45" s="258">
        <v>10879000000</v>
      </c>
      <c r="K45" s="256" t="s">
        <v>1346</v>
      </c>
    </row>
    <row r="46" spans="1:11" x14ac:dyDescent="0.3">
      <c r="A46" s="256">
        <v>39</v>
      </c>
      <c r="B46" s="257" t="s">
        <v>1373</v>
      </c>
      <c r="C46" s="276">
        <v>44275</v>
      </c>
      <c r="D46" s="257" t="s">
        <v>1280</v>
      </c>
      <c r="E46" s="256" t="s">
        <v>618</v>
      </c>
      <c r="F46" s="256" t="s">
        <v>1546</v>
      </c>
      <c r="G46" s="258">
        <v>11567000000</v>
      </c>
      <c r="H46" s="265">
        <v>0</v>
      </c>
      <c r="I46" s="258">
        <v>0</v>
      </c>
      <c r="J46" s="258">
        <v>11567000000</v>
      </c>
      <c r="K46" s="256" t="s">
        <v>1346</v>
      </c>
    </row>
    <row r="47" spans="1:11" x14ac:dyDescent="0.3">
      <c r="A47" s="256">
        <v>40</v>
      </c>
      <c r="B47" s="257" t="s">
        <v>1374</v>
      </c>
      <c r="C47" s="276">
        <v>44306</v>
      </c>
      <c r="D47" s="257" t="s">
        <v>1284</v>
      </c>
      <c r="E47" s="256" t="s">
        <v>1552</v>
      </c>
      <c r="F47" s="256" t="s">
        <v>1616</v>
      </c>
      <c r="G47" s="258">
        <v>17345000000</v>
      </c>
      <c r="H47" s="265">
        <v>0.1</v>
      </c>
      <c r="I47" s="258">
        <v>1734500000</v>
      </c>
      <c r="J47" s="258">
        <v>19079500000</v>
      </c>
      <c r="K47" s="256" t="s">
        <v>1346</v>
      </c>
    </row>
    <row r="48" spans="1:11" x14ac:dyDescent="0.3">
      <c r="A48" s="256">
        <v>41</v>
      </c>
      <c r="B48" s="257" t="s">
        <v>1371</v>
      </c>
      <c r="C48" s="276">
        <v>44336</v>
      </c>
      <c r="D48" s="257" t="s">
        <v>1260</v>
      </c>
      <c r="E48" s="256" t="s">
        <v>1585</v>
      </c>
      <c r="F48" s="256" t="s">
        <v>1621</v>
      </c>
      <c r="G48" s="258">
        <v>8901000000</v>
      </c>
      <c r="H48" s="265">
        <v>0.1</v>
      </c>
      <c r="I48" s="258">
        <v>890100000</v>
      </c>
      <c r="J48" s="258">
        <v>9791100000</v>
      </c>
      <c r="K48" s="256" t="s">
        <v>1346</v>
      </c>
    </row>
    <row r="49" spans="1:11" x14ac:dyDescent="0.3">
      <c r="A49" s="256">
        <v>42</v>
      </c>
      <c r="B49" s="257" t="s">
        <v>1371</v>
      </c>
      <c r="C49" s="276">
        <v>44367</v>
      </c>
      <c r="D49" s="257" t="s">
        <v>1384</v>
      </c>
      <c r="E49" s="256" t="s">
        <v>1565</v>
      </c>
      <c r="F49" s="256" t="s">
        <v>1616</v>
      </c>
      <c r="G49" s="258">
        <v>15234000000</v>
      </c>
      <c r="H49" s="265">
        <v>0.1</v>
      </c>
      <c r="I49" s="258">
        <v>1523400000</v>
      </c>
      <c r="J49" s="258">
        <v>16757400000</v>
      </c>
      <c r="K49" s="256" t="s">
        <v>1346</v>
      </c>
    </row>
    <row r="50" spans="1:11" x14ac:dyDescent="0.3">
      <c r="A50" s="256">
        <v>43</v>
      </c>
      <c r="B50" s="257" t="s">
        <v>1373</v>
      </c>
      <c r="C50" s="276">
        <v>44397</v>
      </c>
      <c r="D50" s="257" t="s">
        <v>1281</v>
      </c>
      <c r="E50" s="256" t="s">
        <v>1559</v>
      </c>
      <c r="F50" s="256" t="s">
        <v>1617</v>
      </c>
      <c r="G50" s="258">
        <v>8234000000</v>
      </c>
      <c r="H50" s="265">
        <v>0.1</v>
      </c>
      <c r="I50" s="258">
        <v>823400000</v>
      </c>
      <c r="J50" s="258">
        <v>9057400000</v>
      </c>
      <c r="K50" s="256" t="s">
        <v>1346</v>
      </c>
    </row>
    <row r="51" spans="1:11" x14ac:dyDescent="0.3">
      <c r="A51" s="256">
        <v>44</v>
      </c>
      <c r="B51" s="257" t="s">
        <v>1368</v>
      </c>
      <c r="C51" s="276">
        <v>44428</v>
      </c>
      <c r="D51" s="257" t="s">
        <v>1285</v>
      </c>
      <c r="E51" s="256" t="s">
        <v>1558</v>
      </c>
      <c r="F51" s="256" t="s">
        <v>1616</v>
      </c>
      <c r="G51" s="258">
        <v>17890000000</v>
      </c>
      <c r="H51" s="265">
        <v>0.1</v>
      </c>
      <c r="I51" s="258">
        <v>1789000000</v>
      </c>
      <c r="J51" s="258">
        <v>19679000000</v>
      </c>
      <c r="K51" s="256" t="s">
        <v>1346</v>
      </c>
    </row>
    <row r="52" spans="1:11" x14ac:dyDescent="0.3">
      <c r="A52" s="256">
        <v>45</v>
      </c>
      <c r="B52" s="257" t="s">
        <v>1368</v>
      </c>
      <c r="C52" s="276">
        <v>44459</v>
      </c>
      <c r="D52" s="257" t="s">
        <v>1435</v>
      </c>
      <c r="E52" s="256" t="s">
        <v>1577</v>
      </c>
      <c r="F52" s="256" t="s">
        <v>1622</v>
      </c>
      <c r="G52" s="258">
        <v>9567000000</v>
      </c>
      <c r="H52" s="265">
        <v>0.1</v>
      </c>
      <c r="I52" s="258">
        <v>956700000</v>
      </c>
      <c r="J52" s="258">
        <v>10523700000</v>
      </c>
      <c r="K52" s="256" t="s">
        <v>1346</v>
      </c>
    </row>
    <row r="53" spans="1:11" x14ac:dyDescent="0.3">
      <c r="A53" s="256">
        <v>46</v>
      </c>
      <c r="B53" s="257" t="s">
        <v>1368</v>
      </c>
      <c r="C53" s="276">
        <v>44489</v>
      </c>
      <c r="D53" s="257" t="s">
        <v>1259</v>
      </c>
      <c r="E53" s="256" t="s">
        <v>1569</v>
      </c>
      <c r="F53" s="256" t="s">
        <v>1620</v>
      </c>
      <c r="G53" s="258">
        <v>7567000000</v>
      </c>
      <c r="H53" s="265">
        <v>0.1</v>
      </c>
      <c r="I53" s="258">
        <v>756700000</v>
      </c>
      <c r="J53" s="258">
        <v>8323700000</v>
      </c>
      <c r="K53" s="256" t="s">
        <v>1346</v>
      </c>
    </row>
    <row r="54" spans="1:11" x14ac:dyDescent="0.3">
      <c r="A54" s="256">
        <v>47</v>
      </c>
      <c r="B54" s="257" t="s">
        <v>1368</v>
      </c>
      <c r="C54" s="276">
        <v>44520</v>
      </c>
      <c r="D54" s="257" t="s">
        <v>1278</v>
      </c>
      <c r="E54" s="256" t="s">
        <v>1593</v>
      </c>
      <c r="F54" s="256" t="s">
        <v>1616</v>
      </c>
      <c r="G54" s="258">
        <v>16789000000</v>
      </c>
      <c r="H54" s="265">
        <v>0.1</v>
      </c>
      <c r="I54" s="258">
        <v>1678900000</v>
      </c>
      <c r="J54" s="258">
        <v>18467900000</v>
      </c>
      <c r="K54" s="256" t="s">
        <v>1346</v>
      </c>
    </row>
    <row r="55" spans="1:11" x14ac:dyDescent="0.3">
      <c r="A55" s="256">
        <v>48</v>
      </c>
      <c r="B55" s="257" t="s">
        <v>1368</v>
      </c>
      <c r="C55" s="276">
        <v>44550</v>
      </c>
      <c r="D55" s="257" t="s">
        <v>1263</v>
      </c>
      <c r="E55" s="256" t="s">
        <v>1579</v>
      </c>
      <c r="F55" s="256" t="s">
        <v>1621</v>
      </c>
      <c r="G55" s="258">
        <v>8901000000</v>
      </c>
      <c r="H55" s="265">
        <v>0.1</v>
      </c>
      <c r="I55" s="258">
        <v>890100000</v>
      </c>
      <c r="J55" s="258">
        <v>9791100000</v>
      </c>
      <c r="K55" s="256" t="s">
        <v>1346</v>
      </c>
    </row>
    <row r="56" spans="1:11" x14ac:dyDescent="0.3">
      <c r="A56" s="256">
        <v>49</v>
      </c>
      <c r="B56" s="257" t="s">
        <v>1373</v>
      </c>
      <c r="C56" s="276">
        <v>44221</v>
      </c>
      <c r="D56" s="257" t="s">
        <v>1274</v>
      </c>
      <c r="E56" s="256" t="s">
        <v>1592</v>
      </c>
      <c r="F56" s="256" t="s">
        <v>1616</v>
      </c>
      <c r="G56" s="258">
        <v>15890000000</v>
      </c>
      <c r="H56" s="265">
        <v>0.1</v>
      </c>
      <c r="I56" s="258">
        <v>1589000000</v>
      </c>
      <c r="J56" s="258">
        <v>17479000000</v>
      </c>
      <c r="K56" s="256" t="s">
        <v>1346</v>
      </c>
    </row>
    <row r="57" spans="1:11" x14ac:dyDescent="0.3">
      <c r="A57" s="256">
        <v>50</v>
      </c>
      <c r="B57" s="257" t="s">
        <v>1366</v>
      </c>
      <c r="C57" s="276">
        <v>44252</v>
      </c>
      <c r="D57" s="257" t="s">
        <v>1282</v>
      </c>
      <c r="E57" s="256" t="s">
        <v>1580</v>
      </c>
      <c r="F57" s="256" t="s">
        <v>1619</v>
      </c>
      <c r="G57" s="258">
        <v>9234000000</v>
      </c>
      <c r="H57" s="265">
        <v>0.1</v>
      </c>
      <c r="I57" s="258">
        <v>923400000</v>
      </c>
      <c r="J57" s="258">
        <v>10157400000</v>
      </c>
      <c r="K57" s="256" t="s">
        <v>1346</v>
      </c>
    </row>
    <row r="58" spans="1:11" x14ac:dyDescent="0.3">
      <c r="A58" s="256">
        <v>51</v>
      </c>
      <c r="B58" s="257" t="s">
        <v>1373</v>
      </c>
      <c r="C58" s="276">
        <v>44280</v>
      </c>
      <c r="D58" s="257" t="s">
        <v>1267</v>
      </c>
      <c r="E58" s="256" t="s">
        <v>1560</v>
      </c>
      <c r="F58" s="256" t="s">
        <v>1616</v>
      </c>
      <c r="G58" s="258">
        <v>16234000000</v>
      </c>
      <c r="H58" s="265">
        <v>0.1</v>
      </c>
      <c r="I58" s="258">
        <v>1623400000</v>
      </c>
      <c r="J58" s="258">
        <v>17857400000</v>
      </c>
      <c r="K58" s="256" t="s">
        <v>1346</v>
      </c>
    </row>
    <row r="59" spans="1:11" x14ac:dyDescent="0.3">
      <c r="A59" s="256">
        <v>52</v>
      </c>
      <c r="B59" s="257" t="s">
        <v>1371</v>
      </c>
      <c r="C59" s="276">
        <v>44311</v>
      </c>
      <c r="D59" s="257" t="s">
        <v>1428</v>
      </c>
      <c r="E59" s="256" t="s">
        <v>1557</v>
      </c>
      <c r="F59" s="256" t="s">
        <v>1620</v>
      </c>
      <c r="G59" s="258">
        <v>7890000000</v>
      </c>
      <c r="H59" s="265">
        <v>0.1</v>
      </c>
      <c r="I59" s="258">
        <v>789000000</v>
      </c>
      <c r="J59" s="258">
        <v>8679000000</v>
      </c>
      <c r="K59" s="256" t="s">
        <v>1346</v>
      </c>
    </row>
    <row r="60" spans="1:11" x14ac:dyDescent="0.3">
      <c r="A60" s="256">
        <v>53</v>
      </c>
      <c r="B60" s="257" t="s">
        <v>1366</v>
      </c>
      <c r="C60" s="276">
        <v>44341</v>
      </c>
      <c r="D60" s="257" t="s">
        <v>1273</v>
      </c>
      <c r="E60" s="256" t="s">
        <v>1567</v>
      </c>
      <c r="F60" s="256" t="s">
        <v>1546</v>
      </c>
      <c r="G60" s="258">
        <v>11890000000</v>
      </c>
      <c r="H60" s="265">
        <v>0</v>
      </c>
      <c r="I60" s="258">
        <v>0</v>
      </c>
      <c r="J60" s="258">
        <v>11890000000</v>
      </c>
      <c r="K60" s="256" t="s">
        <v>1346</v>
      </c>
    </row>
    <row r="61" spans="1:11" x14ac:dyDescent="0.3">
      <c r="A61" s="256">
        <v>54</v>
      </c>
      <c r="B61" s="257" t="s">
        <v>1368</v>
      </c>
      <c r="C61" s="276">
        <v>44372</v>
      </c>
      <c r="D61" s="257" t="s">
        <v>1264</v>
      </c>
      <c r="E61" s="256" t="s">
        <v>1584</v>
      </c>
      <c r="F61" s="256" t="s">
        <v>1616</v>
      </c>
      <c r="G61" s="258">
        <v>15678000000</v>
      </c>
      <c r="H61" s="265">
        <v>0.1</v>
      </c>
      <c r="I61" s="258">
        <v>1567800000</v>
      </c>
      <c r="J61" s="258">
        <v>17245800000</v>
      </c>
      <c r="K61" s="256" t="s">
        <v>1346</v>
      </c>
    </row>
    <row r="62" spans="1:11" x14ac:dyDescent="0.3">
      <c r="A62" s="256">
        <v>55</v>
      </c>
      <c r="B62" s="257" t="s">
        <v>1378</v>
      </c>
      <c r="C62" s="276">
        <v>44561</v>
      </c>
      <c r="D62" s="257" t="s">
        <v>1352</v>
      </c>
      <c r="E62" s="256" t="s">
        <v>1571</v>
      </c>
      <c r="F62" s="256" t="s">
        <v>1621</v>
      </c>
      <c r="G62" s="258">
        <v>8234000000</v>
      </c>
      <c r="H62" s="265">
        <v>0.1</v>
      </c>
      <c r="I62" s="258">
        <v>823400000</v>
      </c>
      <c r="J62" s="258">
        <v>9057400000</v>
      </c>
      <c r="K62" s="256" t="s">
        <v>1346</v>
      </c>
    </row>
    <row r="63" spans="1:11" x14ac:dyDescent="0.3">
      <c r="A63" s="266" t="s">
        <v>1351</v>
      </c>
      <c r="B63" s="266"/>
      <c r="C63" s="266"/>
      <c r="D63" s="266"/>
      <c r="E63" s="266"/>
      <c r="F63" s="266"/>
      <c r="G63" s="267">
        <f>SUM(G8:G62)</f>
        <v>674515000000</v>
      </c>
      <c r="H63" s="266"/>
      <c r="I63" s="267">
        <f>SUM(I8:I62)</f>
        <v>62793400000</v>
      </c>
      <c r="J63" s="267">
        <f>SUM(J8:J62)</f>
        <v>737308400000</v>
      </c>
      <c r="K63" s="266"/>
    </row>
    <row r="64" spans="1:11" x14ac:dyDescent="0.3">
      <c r="A64" s="256"/>
      <c r="B64" s="256"/>
      <c r="C64" s="256"/>
      <c r="D64" s="256"/>
      <c r="E64" s="256"/>
      <c r="F64" s="256"/>
      <c r="G64" s="256"/>
      <c r="H64" s="256"/>
      <c r="I64" s="256"/>
      <c r="J64" s="256"/>
      <c r="K64" s="256"/>
    </row>
    <row r="65" spans="1:11" x14ac:dyDescent="0.3">
      <c r="A65" s="256" t="s">
        <v>1420</v>
      </c>
      <c r="B65" s="256"/>
      <c r="C65" s="256"/>
      <c r="D65" s="256"/>
      <c r="E65" s="256"/>
      <c r="F65" s="256"/>
      <c r="G65" s="256"/>
      <c r="H65" s="256"/>
      <c r="I65" s="256"/>
      <c r="J65" s="256"/>
      <c r="K65" s="256"/>
    </row>
    <row r="66" spans="1:11" x14ac:dyDescent="0.3">
      <c r="A66" s="266" t="s">
        <v>0</v>
      </c>
      <c r="B66" s="266" t="s">
        <v>212</v>
      </c>
      <c r="C66" s="266" t="s">
        <v>1535</v>
      </c>
      <c r="D66" s="266" t="s">
        <v>1586</v>
      </c>
      <c r="E66" s="266" t="s">
        <v>1422</v>
      </c>
      <c r="F66" s="266" t="s">
        <v>1537</v>
      </c>
      <c r="G66" s="266" t="s">
        <v>270</v>
      </c>
      <c r="H66" s="266" t="s">
        <v>1538</v>
      </c>
      <c r="I66" s="266" t="s">
        <v>1539</v>
      </c>
      <c r="J66" s="266" t="s">
        <v>1540</v>
      </c>
      <c r="K66" s="266" t="s">
        <v>1541</v>
      </c>
    </row>
    <row r="67" spans="1:11" x14ac:dyDescent="0.3">
      <c r="A67" s="256">
        <v>1</v>
      </c>
      <c r="B67" s="257" t="s">
        <v>1200</v>
      </c>
      <c r="C67" s="276">
        <v>44470</v>
      </c>
      <c r="D67" s="257" t="s">
        <v>1352</v>
      </c>
      <c r="E67" s="256" t="s">
        <v>1571</v>
      </c>
      <c r="F67" s="256" t="s">
        <v>1623</v>
      </c>
      <c r="G67" s="258">
        <v>12345000000</v>
      </c>
      <c r="H67" s="265">
        <v>0.1</v>
      </c>
      <c r="I67" s="258">
        <v>1234500000</v>
      </c>
      <c r="J67" s="258">
        <v>13579500000</v>
      </c>
      <c r="K67" s="256" t="s">
        <v>1346</v>
      </c>
    </row>
    <row r="68" spans="1:11" x14ac:dyDescent="0.3">
      <c r="A68" s="256">
        <v>2</v>
      </c>
      <c r="B68" s="257" t="s">
        <v>1201</v>
      </c>
      <c r="C68" s="276">
        <v>44242</v>
      </c>
      <c r="D68" s="257" t="s">
        <v>1283</v>
      </c>
      <c r="E68" s="256" t="s">
        <v>1588</v>
      </c>
      <c r="F68" s="256" t="s">
        <v>1624</v>
      </c>
      <c r="G68" s="258">
        <v>18901000000</v>
      </c>
      <c r="H68" s="265">
        <v>0.1</v>
      </c>
      <c r="I68" s="258">
        <v>1890100000</v>
      </c>
      <c r="J68" s="258">
        <v>20791100000</v>
      </c>
      <c r="K68" s="256" t="s">
        <v>1346</v>
      </c>
    </row>
    <row r="69" spans="1:11" x14ac:dyDescent="0.3">
      <c r="A69" s="256">
        <v>3</v>
      </c>
      <c r="B69" s="257" t="s">
        <v>1202</v>
      </c>
      <c r="C69" s="276">
        <v>44275</v>
      </c>
      <c r="D69" s="257" t="s">
        <v>1384</v>
      </c>
      <c r="E69" s="256" t="s">
        <v>1565</v>
      </c>
      <c r="F69" s="256" t="s">
        <v>1623</v>
      </c>
      <c r="G69" s="258">
        <v>14567000000</v>
      </c>
      <c r="H69" s="265">
        <v>0.1</v>
      </c>
      <c r="I69" s="258">
        <v>1456700000</v>
      </c>
      <c r="J69" s="258">
        <v>16023700000</v>
      </c>
      <c r="K69" s="256" t="s">
        <v>1346</v>
      </c>
    </row>
    <row r="70" spans="1:11" x14ac:dyDescent="0.3">
      <c r="A70" s="256">
        <v>4</v>
      </c>
      <c r="B70" s="257" t="s">
        <v>1355</v>
      </c>
      <c r="C70" s="276">
        <v>44311</v>
      </c>
      <c r="D70" s="257" t="s">
        <v>1258</v>
      </c>
      <c r="E70" s="256" t="s">
        <v>351</v>
      </c>
      <c r="F70" s="256" t="s">
        <v>1624</v>
      </c>
      <c r="G70" s="258">
        <v>21234000000</v>
      </c>
      <c r="H70" s="265">
        <v>0.1</v>
      </c>
      <c r="I70" s="258">
        <v>2123400000</v>
      </c>
      <c r="J70" s="258">
        <v>23357400000</v>
      </c>
      <c r="K70" s="256" t="s">
        <v>1346</v>
      </c>
    </row>
    <row r="71" spans="1:11" x14ac:dyDescent="0.3">
      <c r="A71" s="256">
        <v>5</v>
      </c>
      <c r="B71" s="257" t="s">
        <v>1356</v>
      </c>
      <c r="C71" s="276">
        <v>44347</v>
      </c>
      <c r="D71" s="257" t="s">
        <v>1275</v>
      </c>
      <c r="E71" s="256" t="s">
        <v>1575</v>
      </c>
      <c r="F71" s="256" t="s">
        <v>1623</v>
      </c>
      <c r="G71" s="258">
        <v>11890000000</v>
      </c>
      <c r="H71" s="265">
        <v>0.1</v>
      </c>
      <c r="I71" s="258">
        <v>1189000000</v>
      </c>
      <c r="J71" s="258">
        <v>13079000000</v>
      </c>
      <c r="K71" s="256" t="s">
        <v>1346</v>
      </c>
    </row>
    <row r="72" spans="1:11" x14ac:dyDescent="0.3">
      <c r="A72" s="256">
        <v>6</v>
      </c>
      <c r="B72" s="257" t="s">
        <v>1358</v>
      </c>
      <c r="C72" s="276">
        <v>44476</v>
      </c>
      <c r="D72" s="257" t="s">
        <v>1428</v>
      </c>
      <c r="E72" s="256" t="s">
        <v>1557</v>
      </c>
      <c r="F72" s="256" t="s">
        <v>1624</v>
      </c>
      <c r="G72" s="258">
        <v>17234000000</v>
      </c>
      <c r="H72" s="265">
        <v>0.1</v>
      </c>
      <c r="I72" s="258">
        <v>1723400000</v>
      </c>
      <c r="J72" s="258">
        <v>18957400000</v>
      </c>
      <c r="K72" s="256" t="s">
        <v>1346</v>
      </c>
    </row>
    <row r="73" spans="1:11" x14ac:dyDescent="0.3">
      <c r="A73" s="256">
        <v>7</v>
      </c>
      <c r="B73" s="257" t="s">
        <v>1360</v>
      </c>
      <c r="C73" s="276">
        <v>44423</v>
      </c>
      <c r="D73" s="257" t="s">
        <v>1277</v>
      </c>
      <c r="E73" s="256" t="s">
        <v>1582</v>
      </c>
      <c r="F73" s="256" t="s">
        <v>1623</v>
      </c>
      <c r="G73" s="258">
        <v>13456000000</v>
      </c>
      <c r="H73" s="265">
        <v>0.1</v>
      </c>
      <c r="I73" s="258">
        <v>1345600000</v>
      </c>
      <c r="J73" s="258">
        <v>14801600000</v>
      </c>
      <c r="K73" s="256" t="s">
        <v>1346</v>
      </c>
    </row>
    <row r="74" spans="1:11" x14ac:dyDescent="0.3">
      <c r="A74" s="256">
        <v>8</v>
      </c>
      <c r="B74" s="257" t="s">
        <v>1362</v>
      </c>
      <c r="C74" s="276">
        <v>44459</v>
      </c>
      <c r="D74" s="257" t="s">
        <v>1262</v>
      </c>
      <c r="E74" s="256" t="s">
        <v>1556</v>
      </c>
      <c r="F74" s="256" t="s">
        <v>1624</v>
      </c>
      <c r="G74" s="258">
        <v>19890000000</v>
      </c>
      <c r="H74" s="265">
        <v>0.1</v>
      </c>
      <c r="I74" s="258">
        <v>1989000000</v>
      </c>
      <c r="J74" s="258">
        <v>21879000000</v>
      </c>
      <c r="K74" s="256" t="s">
        <v>1346</v>
      </c>
    </row>
    <row r="75" spans="1:11" x14ac:dyDescent="0.3">
      <c r="A75" s="256">
        <v>9</v>
      </c>
      <c r="B75" s="257" t="s">
        <v>1364</v>
      </c>
      <c r="C75" s="276">
        <v>44494</v>
      </c>
      <c r="D75" s="257" t="s">
        <v>1285</v>
      </c>
      <c r="E75" s="256" t="s">
        <v>1558</v>
      </c>
      <c r="F75" s="256" t="s">
        <v>1623</v>
      </c>
      <c r="G75" s="258">
        <v>15678000000</v>
      </c>
      <c r="H75" s="265">
        <v>0.1</v>
      </c>
      <c r="I75" s="258">
        <v>1567800000</v>
      </c>
      <c r="J75" s="258">
        <v>17245800000</v>
      </c>
      <c r="K75" s="256" t="s">
        <v>1346</v>
      </c>
    </row>
    <row r="76" spans="1:11" x14ac:dyDescent="0.3">
      <c r="A76" s="256">
        <v>10</v>
      </c>
      <c r="B76" s="257" t="s">
        <v>1366</v>
      </c>
      <c r="C76" s="276">
        <v>44531</v>
      </c>
      <c r="D76" s="257" t="s">
        <v>1435</v>
      </c>
      <c r="E76" s="256" t="s">
        <v>1577</v>
      </c>
      <c r="F76" s="256" t="s">
        <v>1624</v>
      </c>
      <c r="G76" s="258">
        <v>22345000000</v>
      </c>
      <c r="H76" s="265">
        <v>0.1</v>
      </c>
      <c r="I76" s="258">
        <v>2234500000</v>
      </c>
      <c r="J76" s="258">
        <v>24579500000</v>
      </c>
      <c r="K76" s="256" t="s">
        <v>1346</v>
      </c>
    </row>
    <row r="77" spans="1:11" x14ac:dyDescent="0.3">
      <c r="A77" s="256">
        <v>11</v>
      </c>
      <c r="B77" s="257" t="s">
        <v>1368</v>
      </c>
      <c r="C77" s="276">
        <v>44328</v>
      </c>
      <c r="D77" s="257" t="s">
        <v>1279</v>
      </c>
      <c r="E77" s="256" t="s">
        <v>1573</v>
      </c>
      <c r="F77" s="256" t="s">
        <v>1623</v>
      </c>
      <c r="G77" s="258">
        <v>12890000000</v>
      </c>
      <c r="H77" s="265">
        <v>0.1</v>
      </c>
      <c r="I77" s="258">
        <v>1289000000</v>
      </c>
      <c r="J77" s="258">
        <v>14179000000</v>
      </c>
      <c r="K77" s="256" t="s">
        <v>1346</v>
      </c>
    </row>
    <row r="78" spans="1:11" x14ac:dyDescent="0.3">
      <c r="A78" s="256">
        <v>12</v>
      </c>
      <c r="B78" s="257" t="s">
        <v>1371</v>
      </c>
      <c r="C78" s="276">
        <v>44470</v>
      </c>
      <c r="D78" s="257" t="s">
        <v>1260</v>
      </c>
      <c r="E78" s="256" t="s">
        <v>1585</v>
      </c>
      <c r="F78" s="256" t="s">
        <v>1624</v>
      </c>
      <c r="G78" s="258">
        <v>18567000000</v>
      </c>
      <c r="H78" s="265">
        <v>0.1</v>
      </c>
      <c r="I78" s="258">
        <v>1856700000</v>
      </c>
      <c r="J78" s="258">
        <v>20423700000</v>
      </c>
      <c r="K78" s="256" t="s">
        <v>1346</v>
      </c>
    </row>
    <row r="79" spans="1:11" x14ac:dyDescent="0.3">
      <c r="A79" s="256">
        <v>13</v>
      </c>
      <c r="B79" s="257" t="s">
        <v>1373</v>
      </c>
      <c r="C79" s="276">
        <v>44242</v>
      </c>
      <c r="D79" s="257" t="s">
        <v>1395</v>
      </c>
      <c r="E79" s="256" t="s">
        <v>1581</v>
      </c>
      <c r="F79" s="256" t="s">
        <v>1623</v>
      </c>
      <c r="G79" s="258">
        <v>14234000000</v>
      </c>
      <c r="H79" s="265">
        <v>0.1</v>
      </c>
      <c r="I79" s="258">
        <v>1423400000</v>
      </c>
      <c r="J79" s="258">
        <v>15657400000</v>
      </c>
      <c r="K79" s="256" t="s">
        <v>1346</v>
      </c>
    </row>
    <row r="80" spans="1:11" x14ac:dyDescent="0.3">
      <c r="A80" s="256">
        <v>14</v>
      </c>
      <c r="B80" s="257" t="s">
        <v>1374</v>
      </c>
      <c r="C80" s="276">
        <v>44275</v>
      </c>
      <c r="D80" s="257" t="s">
        <v>1281</v>
      </c>
      <c r="E80" s="256" t="s">
        <v>1559</v>
      </c>
      <c r="F80" s="256" t="s">
        <v>1624</v>
      </c>
      <c r="G80" s="258">
        <v>20890000000</v>
      </c>
      <c r="H80" s="265">
        <v>0.1</v>
      </c>
      <c r="I80" s="258">
        <v>2089000000</v>
      </c>
      <c r="J80" s="258">
        <v>22979000000</v>
      </c>
      <c r="K80" s="256" t="s">
        <v>1346</v>
      </c>
    </row>
    <row r="81" spans="1:11" x14ac:dyDescent="0.3">
      <c r="A81" s="256">
        <v>15</v>
      </c>
      <c r="B81" s="257" t="s">
        <v>1376</v>
      </c>
      <c r="C81" s="276">
        <v>44311</v>
      </c>
      <c r="D81" s="257" t="s">
        <v>1282</v>
      </c>
      <c r="E81" s="256" t="s">
        <v>1580</v>
      </c>
      <c r="F81" s="256" t="s">
        <v>1623</v>
      </c>
      <c r="G81" s="258">
        <v>16234000000</v>
      </c>
      <c r="H81" s="265">
        <v>0.1</v>
      </c>
      <c r="I81" s="258">
        <v>1623400000</v>
      </c>
      <c r="J81" s="258">
        <v>17857400000</v>
      </c>
      <c r="K81" s="256" t="s">
        <v>1346</v>
      </c>
    </row>
    <row r="82" spans="1:11" x14ac:dyDescent="0.3">
      <c r="A82" s="256">
        <v>16</v>
      </c>
      <c r="B82" s="257" t="s">
        <v>1378</v>
      </c>
      <c r="C82" s="276">
        <v>44347</v>
      </c>
      <c r="D82" s="257" t="s">
        <v>1274</v>
      </c>
      <c r="E82" s="256" t="s">
        <v>1592</v>
      </c>
      <c r="F82" s="256" t="s">
        <v>1624</v>
      </c>
      <c r="G82" s="258">
        <v>23456000000</v>
      </c>
      <c r="H82" s="265">
        <v>0.1</v>
      </c>
      <c r="I82" s="258">
        <v>2345600000</v>
      </c>
      <c r="J82" s="258">
        <v>25801600000</v>
      </c>
      <c r="K82" s="256" t="s">
        <v>1346</v>
      </c>
    </row>
    <row r="83" spans="1:11" x14ac:dyDescent="0.3">
      <c r="A83" s="256">
        <v>17</v>
      </c>
      <c r="B83" s="257" t="s">
        <v>1379</v>
      </c>
      <c r="C83" s="276">
        <v>44475</v>
      </c>
      <c r="D83" s="257" t="s">
        <v>1280</v>
      </c>
      <c r="E83" s="256" t="s">
        <v>618</v>
      </c>
      <c r="F83" s="256" t="s">
        <v>1623</v>
      </c>
      <c r="G83" s="258">
        <v>13890000000</v>
      </c>
      <c r="H83" s="265">
        <v>0.1</v>
      </c>
      <c r="I83" s="258">
        <v>1389000000</v>
      </c>
      <c r="J83" s="258">
        <v>15279000000</v>
      </c>
      <c r="K83" s="256" t="s">
        <v>1346</v>
      </c>
    </row>
    <row r="84" spans="1:11" x14ac:dyDescent="0.3">
      <c r="A84" s="256">
        <v>18</v>
      </c>
      <c r="B84" s="257" t="s">
        <v>1381</v>
      </c>
      <c r="C84" s="276">
        <v>44392</v>
      </c>
      <c r="D84" s="257" t="s">
        <v>1267</v>
      </c>
      <c r="E84" s="256" t="s">
        <v>1560</v>
      </c>
      <c r="F84" s="256" t="s">
        <v>1624</v>
      </c>
      <c r="G84" s="258">
        <v>19234000000</v>
      </c>
      <c r="H84" s="265">
        <v>0.1</v>
      </c>
      <c r="I84" s="258">
        <v>1923400000</v>
      </c>
      <c r="J84" s="258">
        <v>21157400000</v>
      </c>
      <c r="K84" s="256" t="s">
        <v>1346</v>
      </c>
    </row>
    <row r="85" spans="1:11" x14ac:dyDescent="0.3">
      <c r="A85" s="256">
        <v>19</v>
      </c>
      <c r="B85" s="257" t="s">
        <v>1382</v>
      </c>
      <c r="C85" s="276">
        <v>44428</v>
      </c>
      <c r="D85" s="257" t="s">
        <v>1416</v>
      </c>
      <c r="E85" s="256" t="s">
        <v>1562</v>
      </c>
      <c r="F85" s="256" t="s">
        <v>1623</v>
      </c>
      <c r="G85" s="258">
        <v>15678000000</v>
      </c>
      <c r="H85" s="265">
        <v>0.1</v>
      </c>
      <c r="I85" s="258">
        <v>1567800000</v>
      </c>
      <c r="J85" s="258">
        <v>17245800000</v>
      </c>
      <c r="K85" s="256" t="s">
        <v>1346</v>
      </c>
    </row>
    <row r="86" spans="1:11" x14ac:dyDescent="0.3">
      <c r="A86" s="256">
        <v>20</v>
      </c>
      <c r="B86" s="257" t="s">
        <v>1383</v>
      </c>
      <c r="C86" s="276">
        <v>44464</v>
      </c>
      <c r="D86" s="257" t="s">
        <v>1284</v>
      </c>
      <c r="E86" s="256" t="s">
        <v>1552</v>
      </c>
      <c r="F86" s="256" t="s">
        <v>1624</v>
      </c>
      <c r="G86" s="258">
        <v>22890000000</v>
      </c>
      <c r="H86" s="265">
        <v>0.1</v>
      </c>
      <c r="I86" s="258">
        <v>2289000000</v>
      </c>
      <c r="J86" s="258">
        <v>25179000000</v>
      </c>
      <c r="K86" s="256" t="s">
        <v>1346</v>
      </c>
    </row>
    <row r="87" spans="1:11" x14ac:dyDescent="0.3">
      <c r="A87" s="256">
        <v>21</v>
      </c>
      <c r="B87" s="257" t="s">
        <v>1203</v>
      </c>
      <c r="C87" s="276">
        <v>44500</v>
      </c>
      <c r="D87" s="257" t="s">
        <v>1264</v>
      </c>
      <c r="E87" s="256" t="s">
        <v>1584</v>
      </c>
      <c r="F87" s="256" t="s">
        <v>1623</v>
      </c>
      <c r="G87" s="258">
        <v>17234000000</v>
      </c>
      <c r="H87" s="265">
        <v>0.1</v>
      </c>
      <c r="I87" s="258">
        <v>1723400000</v>
      </c>
      <c r="J87" s="258">
        <v>18957400000</v>
      </c>
      <c r="K87" s="256" t="s">
        <v>1346</v>
      </c>
    </row>
    <row r="88" spans="1:11" x14ac:dyDescent="0.3">
      <c r="A88" s="256">
        <v>22</v>
      </c>
      <c r="B88" s="257" t="s">
        <v>1204</v>
      </c>
      <c r="C88" s="276">
        <v>44480</v>
      </c>
      <c r="D88" s="257" t="s">
        <v>1261</v>
      </c>
      <c r="E88" s="256" t="s">
        <v>1572</v>
      </c>
      <c r="F88" s="256" t="s">
        <v>1624</v>
      </c>
      <c r="G88" s="258">
        <v>24567000000</v>
      </c>
      <c r="H88" s="265">
        <v>0.1</v>
      </c>
      <c r="I88" s="258">
        <v>2456700000</v>
      </c>
      <c r="J88" s="258">
        <v>27023700000</v>
      </c>
      <c r="K88" s="256" t="s">
        <v>1346</v>
      </c>
    </row>
    <row r="89" spans="1:11" x14ac:dyDescent="0.3">
      <c r="A89" s="256">
        <v>23</v>
      </c>
      <c r="B89" s="257" t="s">
        <v>1205</v>
      </c>
      <c r="C89" s="276">
        <v>44545</v>
      </c>
      <c r="D89" s="257" t="s">
        <v>1352</v>
      </c>
      <c r="E89" s="256" t="s">
        <v>1571</v>
      </c>
      <c r="F89" s="256" t="s">
        <v>1623</v>
      </c>
      <c r="G89" s="258">
        <v>14890000000</v>
      </c>
      <c r="H89" s="265">
        <v>0.1</v>
      </c>
      <c r="I89" s="258">
        <v>1489000000</v>
      </c>
      <c r="J89" s="258">
        <v>16379000000</v>
      </c>
      <c r="K89" s="256" t="s">
        <v>1346</v>
      </c>
    </row>
    <row r="90" spans="1:11" x14ac:dyDescent="0.3">
      <c r="A90" s="256">
        <v>24</v>
      </c>
      <c r="B90" s="257" t="s">
        <v>1385</v>
      </c>
      <c r="C90" s="276">
        <v>44216</v>
      </c>
      <c r="D90" s="257" t="s">
        <v>1272</v>
      </c>
      <c r="E90" s="256" t="s">
        <v>540</v>
      </c>
      <c r="F90" s="256" t="s">
        <v>1624</v>
      </c>
      <c r="G90" s="258">
        <v>21234000000</v>
      </c>
      <c r="H90" s="265">
        <v>0.1</v>
      </c>
      <c r="I90" s="258">
        <v>2123400000</v>
      </c>
      <c r="J90" s="258">
        <v>23357400000</v>
      </c>
      <c r="K90" s="256" t="s">
        <v>1346</v>
      </c>
    </row>
    <row r="91" spans="1:11" x14ac:dyDescent="0.3">
      <c r="A91" s="256">
        <v>25</v>
      </c>
      <c r="B91" s="257" t="s">
        <v>1387</v>
      </c>
      <c r="C91" s="276">
        <v>44252</v>
      </c>
      <c r="D91" s="257" t="s">
        <v>1257</v>
      </c>
      <c r="E91" s="256" t="s">
        <v>1574</v>
      </c>
      <c r="F91" s="256" t="s">
        <v>1623</v>
      </c>
      <c r="G91" s="258">
        <v>16789000000</v>
      </c>
      <c r="H91" s="265">
        <v>0.1</v>
      </c>
      <c r="I91" s="258">
        <v>1678900000</v>
      </c>
      <c r="J91" s="258">
        <v>18467900000</v>
      </c>
      <c r="K91" s="256" t="s">
        <v>1346</v>
      </c>
    </row>
    <row r="92" spans="1:11" x14ac:dyDescent="0.3">
      <c r="A92" s="256">
        <v>26</v>
      </c>
      <c r="B92" s="257" t="s">
        <v>1388</v>
      </c>
      <c r="C92" s="276">
        <v>44286</v>
      </c>
      <c r="D92" s="257" t="s">
        <v>1265</v>
      </c>
      <c r="E92" s="256" t="s">
        <v>1583</v>
      </c>
      <c r="F92" s="256" t="s">
        <v>1624</v>
      </c>
      <c r="G92" s="258">
        <v>23456000000</v>
      </c>
      <c r="H92" s="265">
        <v>0.1</v>
      </c>
      <c r="I92" s="258">
        <v>2345600000</v>
      </c>
      <c r="J92" s="258">
        <v>25801600000</v>
      </c>
      <c r="K92" s="256" t="s">
        <v>1346</v>
      </c>
    </row>
    <row r="93" spans="1:11" x14ac:dyDescent="0.3">
      <c r="A93" s="256">
        <v>27</v>
      </c>
      <c r="B93" s="257" t="s">
        <v>1391</v>
      </c>
      <c r="C93" s="276">
        <v>44473</v>
      </c>
      <c r="D93" s="257" t="s">
        <v>1278</v>
      </c>
      <c r="E93" s="256" t="s">
        <v>1593</v>
      </c>
      <c r="F93" s="256" t="s">
        <v>1623</v>
      </c>
      <c r="G93" s="258">
        <v>18234000000</v>
      </c>
      <c r="H93" s="265">
        <v>0.1</v>
      </c>
      <c r="I93" s="258">
        <v>1823400000</v>
      </c>
      <c r="J93" s="258">
        <v>20057400000</v>
      </c>
      <c r="K93" s="256" t="s">
        <v>1346</v>
      </c>
    </row>
    <row r="94" spans="1:11" x14ac:dyDescent="0.3">
      <c r="A94" s="256">
        <v>28</v>
      </c>
      <c r="B94" s="257" t="s">
        <v>1392</v>
      </c>
      <c r="C94" s="276">
        <v>44331</v>
      </c>
      <c r="D94" s="257" t="s">
        <v>1263</v>
      </c>
      <c r="E94" s="256" t="s">
        <v>1579</v>
      </c>
      <c r="F94" s="256" t="s">
        <v>1624</v>
      </c>
      <c r="G94" s="258">
        <v>25678000000</v>
      </c>
      <c r="H94" s="265">
        <v>0.1</v>
      </c>
      <c r="I94" s="258">
        <v>2567800000</v>
      </c>
      <c r="J94" s="258">
        <v>28245800000</v>
      </c>
      <c r="K94" s="256" t="s">
        <v>1346</v>
      </c>
    </row>
    <row r="95" spans="1:11" x14ac:dyDescent="0.3">
      <c r="A95" s="256">
        <v>29</v>
      </c>
      <c r="B95" s="257" t="s">
        <v>1394</v>
      </c>
      <c r="C95" s="276">
        <v>44367</v>
      </c>
      <c r="D95" s="257" t="s">
        <v>1275</v>
      </c>
      <c r="E95" s="256" t="s">
        <v>1575</v>
      </c>
      <c r="F95" s="256" t="s">
        <v>1623</v>
      </c>
      <c r="G95" s="258">
        <v>15234000000</v>
      </c>
      <c r="H95" s="265">
        <v>0.1</v>
      </c>
      <c r="I95" s="258">
        <v>1523400000</v>
      </c>
      <c r="J95" s="258">
        <v>16757400000</v>
      </c>
      <c r="K95" s="256" t="s">
        <v>1346</v>
      </c>
    </row>
    <row r="96" spans="1:11" x14ac:dyDescent="0.3">
      <c r="A96" s="256">
        <v>30</v>
      </c>
      <c r="B96" s="257" t="s">
        <v>1396</v>
      </c>
      <c r="C96" s="276">
        <v>44402</v>
      </c>
      <c r="D96" s="257" t="s">
        <v>1389</v>
      </c>
      <c r="E96" s="256" t="s">
        <v>1555</v>
      </c>
      <c r="F96" s="256" t="s">
        <v>1624</v>
      </c>
      <c r="G96" s="258">
        <v>22345000000</v>
      </c>
      <c r="H96" s="265">
        <v>0.1</v>
      </c>
      <c r="I96" s="258">
        <v>2234500000</v>
      </c>
      <c r="J96" s="258">
        <v>24579500000</v>
      </c>
      <c r="K96" s="256" t="s">
        <v>1346</v>
      </c>
    </row>
    <row r="97" spans="1:11" x14ac:dyDescent="0.3">
      <c r="A97" s="256">
        <v>31</v>
      </c>
      <c r="B97" s="257" t="s">
        <v>1397</v>
      </c>
      <c r="C97" s="276">
        <v>44439</v>
      </c>
      <c r="D97" s="257" t="s">
        <v>1428</v>
      </c>
      <c r="E97" s="256" t="s">
        <v>1557</v>
      </c>
      <c r="F97" s="256" t="s">
        <v>1623</v>
      </c>
      <c r="G97" s="258">
        <v>17890000000</v>
      </c>
      <c r="H97" s="265">
        <v>0.1</v>
      </c>
      <c r="I97" s="258">
        <v>1789000000</v>
      </c>
      <c r="J97" s="258">
        <v>19679000000</v>
      </c>
      <c r="K97" s="256" t="s">
        <v>1346</v>
      </c>
    </row>
    <row r="98" spans="1:11" x14ac:dyDescent="0.3">
      <c r="A98" s="256">
        <v>32</v>
      </c>
      <c r="B98" s="257" t="s">
        <v>1398</v>
      </c>
      <c r="C98" s="276">
        <v>44478</v>
      </c>
      <c r="D98" s="257" t="s">
        <v>1285</v>
      </c>
      <c r="E98" s="256" t="s">
        <v>1558</v>
      </c>
      <c r="F98" s="256" t="s">
        <v>1624</v>
      </c>
      <c r="G98" s="258">
        <v>24890000000</v>
      </c>
      <c r="H98" s="265">
        <v>0.1</v>
      </c>
      <c r="I98" s="258">
        <v>2489000000</v>
      </c>
      <c r="J98" s="258">
        <v>27379000000</v>
      </c>
      <c r="K98" s="256" t="s">
        <v>1346</v>
      </c>
    </row>
    <row r="99" spans="1:11" x14ac:dyDescent="0.3">
      <c r="A99" s="256">
        <v>33</v>
      </c>
      <c r="B99" s="257" t="s">
        <v>1399</v>
      </c>
      <c r="C99" s="276">
        <v>44484</v>
      </c>
      <c r="D99" s="257" t="s">
        <v>1260</v>
      </c>
      <c r="E99" s="256" t="s">
        <v>1585</v>
      </c>
      <c r="F99" s="256" t="s">
        <v>1623</v>
      </c>
      <c r="G99" s="258">
        <v>19234000000</v>
      </c>
      <c r="H99" s="265">
        <v>0.1</v>
      </c>
      <c r="I99" s="258">
        <v>1923400000</v>
      </c>
      <c r="J99" s="258">
        <v>21157400000</v>
      </c>
      <c r="K99" s="256" t="s">
        <v>1346</v>
      </c>
    </row>
    <row r="100" spans="1:11" x14ac:dyDescent="0.3">
      <c r="A100" s="256">
        <v>34</v>
      </c>
      <c r="B100" s="257" t="s">
        <v>1401</v>
      </c>
      <c r="C100" s="276">
        <v>44520</v>
      </c>
      <c r="D100" s="257" t="s">
        <v>1395</v>
      </c>
      <c r="E100" s="256" t="s">
        <v>1581</v>
      </c>
      <c r="F100" s="256" t="s">
        <v>1624</v>
      </c>
      <c r="G100" s="258">
        <v>26789000000</v>
      </c>
      <c r="H100" s="265">
        <v>0.1</v>
      </c>
      <c r="I100" s="258">
        <v>2678900000</v>
      </c>
      <c r="J100" s="258">
        <v>29467900000</v>
      </c>
      <c r="K100" s="256" t="s">
        <v>1346</v>
      </c>
    </row>
    <row r="101" spans="1:11" x14ac:dyDescent="0.3">
      <c r="A101" s="256">
        <v>35</v>
      </c>
      <c r="B101" s="257" t="s">
        <v>1402</v>
      </c>
      <c r="C101" s="276">
        <v>44555</v>
      </c>
      <c r="D101" s="257" t="s">
        <v>1277</v>
      </c>
      <c r="E101" s="256" t="s">
        <v>1582</v>
      </c>
      <c r="F101" s="256" t="s">
        <v>1623</v>
      </c>
      <c r="G101" s="258">
        <v>16789000000</v>
      </c>
      <c r="H101" s="265">
        <v>0.1</v>
      </c>
      <c r="I101" s="258">
        <v>1678900000</v>
      </c>
      <c r="J101" s="258">
        <v>18467900000</v>
      </c>
      <c r="K101" s="256" t="s">
        <v>1346</v>
      </c>
    </row>
    <row r="102" spans="1:11" x14ac:dyDescent="0.3">
      <c r="A102" s="256">
        <v>36</v>
      </c>
      <c r="B102" s="257" t="s">
        <v>1403</v>
      </c>
      <c r="C102" s="276">
        <v>44227</v>
      </c>
      <c r="D102" s="257" t="s">
        <v>1266</v>
      </c>
      <c r="E102" s="256" t="s">
        <v>1570</v>
      </c>
      <c r="F102" s="256" t="s">
        <v>1624</v>
      </c>
      <c r="G102" s="258">
        <v>23890000000</v>
      </c>
      <c r="H102" s="265">
        <v>0.1</v>
      </c>
      <c r="I102" s="258">
        <v>2389000000</v>
      </c>
      <c r="J102" s="258">
        <v>26279000000</v>
      </c>
      <c r="K102" s="256" t="s">
        <v>1346</v>
      </c>
    </row>
    <row r="103" spans="1:11" x14ac:dyDescent="0.3">
      <c r="A103" s="256">
        <v>37</v>
      </c>
      <c r="B103" s="257" t="s">
        <v>1404</v>
      </c>
      <c r="C103" s="276">
        <v>44255</v>
      </c>
      <c r="D103" s="257" t="s">
        <v>1283</v>
      </c>
      <c r="E103" s="256" t="s">
        <v>1588</v>
      </c>
      <c r="F103" s="256" t="s">
        <v>1623</v>
      </c>
      <c r="G103" s="258">
        <v>18567000000</v>
      </c>
      <c r="H103" s="265">
        <v>0.1</v>
      </c>
      <c r="I103" s="258">
        <v>1856700000</v>
      </c>
      <c r="J103" s="258">
        <v>20423700000</v>
      </c>
      <c r="K103" s="256" t="s">
        <v>1346</v>
      </c>
    </row>
    <row r="104" spans="1:11" x14ac:dyDescent="0.3">
      <c r="A104" s="256">
        <v>38</v>
      </c>
      <c r="B104" s="257" t="s">
        <v>1405</v>
      </c>
      <c r="C104" s="276">
        <v>44286</v>
      </c>
      <c r="D104" s="257" t="s">
        <v>1259</v>
      </c>
      <c r="E104" s="256" t="s">
        <v>1569</v>
      </c>
      <c r="F104" s="256" t="s">
        <v>1624</v>
      </c>
      <c r="G104" s="258">
        <v>25678000000</v>
      </c>
      <c r="H104" s="265">
        <v>0.1</v>
      </c>
      <c r="I104" s="258">
        <v>2567800000</v>
      </c>
      <c r="J104" s="258">
        <v>28245800000</v>
      </c>
      <c r="K104" s="256" t="s">
        <v>1346</v>
      </c>
    </row>
    <row r="105" spans="1:11" x14ac:dyDescent="0.3">
      <c r="A105" s="256">
        <v>39</v>
      </c>
      <c r="B105" s="257" t="s">
        <v>1406</v>
      </c>
      <c r="C105" s="276">
        <v>44316</v>
      </c>
      <c r="D105" s="257" t="s">
        <v>1281</v>
      </c>
      <c r="E105" s="256" t="s">
        <v>1559</v>
      </c>
      <c r="F105" s="256" t="s">
        <v>1623</v>
      </c>
      <c r="G105" s="258">
        <v>20234000000</v>
      </c>
      <c r="H105" s="265">
        <v>0.1</v>
      </c>
      <c r="I105" s="258">
        <v>2023400000</v>
      </c>
      <c r="J105" s="258">
        <v>22257400000</v>
      </c>
      <c r="K105" s="256" t="s">
        <v>1346</v>
      </c>
    </row>
    <row r="106" spans="1:11" x14ac:dyDescent="0.3">
      <c r="A106" s="256">
        <v>40</v>
      </c>
      <c r="B106" s="257" t="s">
        <v>1408</v>
      </c>
      <c r="C106" s="276">
        <v>44347</v>
      </c>
      <c r="D106" s="257" t="s">
        <v>1273</v>
      </c>
      <c r="E106" s="256" t="s">
        <v>1567</v>
      </c>
      <c r="F106" s="256" t="s">
        <v>1624</v>
      </c>
      <c r="G106" s="258">
        <v>27890000000</v>
      </c>
      <c r="H106" s="265">
        <v>0.1</v>
      </c>
      <c r="I106" s="258">
        <v>2789000000</v>
      </c>
      <c r="J106" s="258">
        <v>30679000000</v>
      </c>
      <c r="K106" s="256" t="s">
        <v>1346</v>
      </c>
    </row>
    <row r="107" spans="1:11" x14ac:dyDescent="0.3">
      <c r="A107" s="256">
        <v>41</v>
      </c>
      <c r="B107" s="257" t="s">
        <v>1409</v>
      </c>
      <c r="C107" s="276">
        <v>44377</v>
      </c>
      <c r="D107" s="257" t="s">
        <v>1282</v>
      </c>
      <c r="E107" s="256" t="s">
        <v>1580</v>
      </c>
      <c r="F107" s="256" t="s">
        <v>1623</v>
      </c>
      <c r="G107" s="258">
        <v>17234000000</v>
      </c>
      <c r="H107" s="265">
        <v>0.1</v>
      </c>
      <c r="I107" s="258">
        <v>1723400000</v>
      </c>
      <c r="J107" s="258">
        <v>18957400000</v>
      </c>
      <c r="K107" s="256" t="s">
        <v>1346</v>
      </c>
    </row>
    <row r="108" spans="1:11" x14ac:dyDescent="0.3">
      <c r="A108" s="256">
        <v>42</v>
      </c>
      <c r="B108" s="257" t="s">
        <v>1411</v>
      </c>
      <c r="C108" s="276">
        <v>44408</v>
      </c>
      <c r="D108" s="257" t="s">
        <v>1267</v>
      </c>
      <c r="E108" s="256" t="s">
        <v>1560</v>
      </c>
      <c r="F108" s="256" t="s">
        <v>1624</v>
      </c>
      <c r="G108" s="258">
        <v>24567000000</v>
      </c>
      <c r="H108" s="265">
        <v>0.1</v>
      </c>
      <c r="I108" s="258">
        <v>2456700000</v>
      </c>
      <c r="J108" s="258">
        <v>27023700000</v>
      </c>
      <c r="K108" s="256" t="s">
        <v>1346</v>
      </c>
    </row>
    <row r="109" spans="1:11" x14ac:dyDescent="0.3">
      <c r="A109" s="256">
        <v>43</v>
      </c>
      <c r="B109" s="257" t="s">
        <v>1414</v>
      </c>
      <c r="C109" s="276">
        <v>44439</v>
      </c>
      <c r="D109" s="257" t="s">
        <v>1416</v>
      </c>
      <c r="E109" s="256" t="s">
        <v>1562</v>
      </c>
      <c r="F109" s="256" t="s">
        <v>1623</v>
      </c>
      <c r="G109" s="258">
        <v>19890000000</v>
      </c>
      <c r="H109" s="265">
        <v>0.1</v>
      </c>
      <c r="I109" s="258">
        <v>1989000000</v>
      </c>
      <c r="J109" s="258">
        <v>21879000000</v>
      </c>
      <c r="K109" s="256" t="s">
        <v>1346</v>
      </c>
    </row>
    <row r="110" spans="1:11" x14ac:dyDescent="0.3">
      <c r="A110" s="256">
        <v>44</v>
      </c>
      <c r="B110" s="257" t="s">
        <v>1415</v>
      </c>
      <c r="C110" s="276">
        <v>44469</v>
      </c>
      <c r="D110" s="257" t="s">
        <v>1279</v>
      </c>
      <c r="E110" s="256" t="s">
        <v>1573</v>
      </c>
      <c r="F110" s="256" t="s">
        <v>1624</v>
      </c>
      <c r="G110" s="258">
        <v>27234000000</v>
      </c>
      <c r="H110" s="265">
        <v>0.1</v>
      </c>
      <c r="I110" s="258">
        <v>2723400000</v>
      </c>
      <c r="J110" s="258">
        <v>29957400000</v>
      </c>
      <c r="K110" s="256" t="s">
        <v>1346</v>
      </c>
    </row>
    <row r="111" spans="1:11" x14ac:dyDescent="0.3">
      <c r="A111" s="256">
        <v>45</v>
      </c>
      <c r="B111" s="257" t="s">
        <v>1206</v>
      </c>
      <c r="C111" s="276">
        <v>44500</v>
      </c>
      <c r="D111" s="257" t="s">
        <v>1261</v>
      </c>
      <c r="E111" s="256" t="s">
        <v>1572</v>
      </c>
      <c r="F111" s="256" t="s">
        <v>1623</v>
      </c>
      <c r="G111" s="258">
        <v>21234000000</v>
      </c>
      <c r="H111" s="265">
        <v>0.1</v>
      </c>
      <c r="I111" s="258">
        <v>2123400000</v>
      </c>
      <c r="J111" s="258">
        <v>23357400000</v>
      </c>
      <c r="K111" s="256" t="s">
        <v>1346</v>
      </c>
    </row>
    <row r="112" spans="1:11" x14ac:dyDescent="0.3">
      <c r="A112" s="256">
        <v>46</v>
      </c>
      <c r="B112" s="257" t="s">
        <v>1207</v>
      </c>
      <c r="C112" s="276">
        <v>44530</v>
      </c>
      <c r="D112" s="257" t="s">
        <v>1352</v>
      </c>
      <c r="E112" s="256" t="s">
        <v>1571</v>
      </c>
      <c r="F112" s="256" t="s">
        <v>1624</v>
      </c>
      <c r="G112" s="258">
        <v>28901000000</v>
      </c>
      <c r="H112" s="265">
        <v>0.1</v>
      </c>
      <c r="I112" s="258">
        <v>2890100000</v>
      </c>
      <c r="J112" s="258">
        <v>31791100000</v>
      </c>
      <c r="K112" s="256" t="s">
        <v>1346</v>
      </c>
    </row>
    <row r="113" spans="1:11" x14ac:dyDescent="0.3">
      <c r="A113" s="256">
        <v>47</v>
      </c>
      <c r="B113" s="257" t="s">
        <v>1208</v>
      </c>
      <c r="C113" s="276">
        <v>44561</v>
      </c>
      <c r="D113" s="257" t="s">
        <v>1272</v>
      </c>
      <c r="E113" s="256" t="s">
        <v>540</v>
      </c>
      <c r="F113" s="256" t="s">
        <v>1623</v>
      </c>
      <c r="G113" s="258">
        <v>22345000000</v>
      </c>
      <c r="H113" s="265">
        <v>0.1</v>
      </c>
      <c r="I113" s="258">
        <v>2234500000</v>
      </c>
      <c r="J113" s="258">
        <v>24579500000</v>
      </c>
      <c r="K113" s="256" t="s">
        <v>1346</v>
      </c>
    </row>
    <row r="114" spans="1:11" x14ac:dyDescent="0.3">
      <c r="A114" s="256">
        <v>48</v>
      </c>
      <c r="B114" s="257" t="s">
        <v>1209</v>
      </c>
      <c r="C114" s="276">
        <v>44561</v>
      </c>
      <c r="D114" s="257" t="s">
        <v>1284</v>
      </c>
      <c r="E114" s="256" t="s">
        <v>1552</v>
      </c>
      <c r="F114" s="256" t="s">
        <v>1624</v>
      </c>
      <c r="G114" s="258">
        <v>29456000000</v>
      </c>
      <c r="H114" s="265">
        <v>0.1</v>
      </c>
      <c r="I114" s="258">
        <v>2945600000</v>
      </c>
      <c r="J114" s="258">
        <v>32401600000</v>
      </c>
      <c r="K114" s="256" t="s">
        <v>1346</v>
      </c>
    </row>
    <row r="115" spans="1:11" x14ac:dyDescent="0.3">
      <c r="A115" s="256">
        <v>49</v>
      </c>
      <c r="B115" s="257" t="s">
        <v>1418</v>
      </c>
      <c r="C115" s="276">
        <v>44561</v>
      </c>
      <c r="D115" s="257" t="s">
        <v>1280</v>
      </c>
      <c r="E115" s="256" t="s">
        <v>618</v>
      </c>
      <c r="F115" s="256" t="s">
        <v>1623</v>
      </c>
      <c r="G115" s="258">
        <v>23456000000</v>
      </c>
      <c r="H115" s="265">
        <v>0.1</v>
      </c>
      <c r="I115" s="258">
        <v>2345600000</v>
      </c>
      <c r="J115" s="258">
        <v>25801600000</v>
      </c>
      <c r="K115" s="256" t="s">
        <v>1346</v>
      </c>
    </row>
    <row r="116" spans="1:11" x14ac:dyDescent="0.3">
      <c r="A116" s="256">
        <v>50</v>
      </c>
      <c r="B116" s="257" t="s">
        <v>1419</v>
      </c>
      <c r="C116" s="276">
        <v>44561</v>
      </c>
      <c r="D116" s="257" t="s">
        <v>1264</v>
      </c>
      <c r="E116" s="256" t="s">
        <v>1584</v>
      </c>
      <c r="F116" s="256" t="s">
        <v>1624</v>
      </c>
      <c r="G116" s="258">
        <v>30234000000</v>
      </c>
      <c r="H116" s="265">
        <v>0.1</v>
      </c>
      <c r="I116" s="258">
        <v>3023400000</v>
      </c>
      <c r="J116" s="258">
        <v>33257400000</v>
      </c>
      <c r="K116" s="256" t="s">
        <v>1346</v>
      </c>
    </row>
    <row r="117" spans="1:11" x14ac:dyDescent="0.3">
      <c r="A117" s="266" t="s">
        <v>1351</v>
      </c>
      <c r="B117" s="266"/>
      <c r="C117" s="266"/>
      <c r="D117" s="266"/>
      <c r="E117" s="266"/>
      <c r="F117" s="266"/>
      <c r="G117" s="267">
        <f>SUM(G67:G116)</f>
        <v>1011566000000</v>
      </c>
      <c r="H117" s="266"/>
      <c r="I117" s="267">
        <f>SUM(I67:I116)</f>
        <v>101156600000</v>
      </c>
      <c r="J117" s="267">
        <f>SUM(J67:J116)</f>
        <v>1112722600000</v>
      </c>
      <c r="K117" s="26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sheetViews>
  <sheetFormatPr defaultRowHeight="14.4" x14ac:dyDescent="0.3"/>
  <sheetData>
    <row r="1" spans="1:11" x14ac:dyDescent="0.3">
      <c r="A1" s="256" t="s">
        <v>1340</v>
      </c>
      <c r="B1" s="256" t="s">
        <v>408</v>
      </c>
      <c r="C1" s="256"/>
      <c r="D1" s="256"/>
      <c r="E1" s="256"/>
      <c r="F1" s="256"/>
      <c r="G1" s="256"/>
      <c r="H1" s="256"/>
      <c r="I1" s="256"/>
      <c r="J1" s="256"/>
      <c r="K1" s="256"/>
    </row>
    <row r="2" spans="1:11" x14ac:dyDescent="0.3">
      <c r="A2" s="256" t="s">
        <v>1339</v>
      </c>
      <c r="B2" s="257">
        <v>100680623</v>
      </c>
      <c r="C2" s="256"/>
      <c r="D2" s="256"/>
      <c r="E2" s="256"/>
      <c r="F2" s="256"/>
      <c r="G2" s="256"/>
      <c r="H2" s="256"/>
      <c r="I2" s="256"/>
      <c r="J2" s="256"/>
      <c r="K2" s="256"/>
    </row>
    <row r="3" spans="1:11" x14ac:dyDescent="0.3">
      <c r="A3" s="256" t="s">
        <v>1343</v>
      </c>
      <c r="B3" s="258">
        <v>1198257196092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1379</v>
      </c>
      <c r="C8" s="276">
        <v>44317</v>
      </c>
      <c r="D8" s="257" t="s">
        <v>1352</v>
      </c>
      <c r="E8" s="256" t="s">
        <v>1571</v>
      </c>
      <c r="F8" s="256" t="s">
        <v>1616</v>
      </c>
      <c r="G8" s="258">
        <v>32456000000</v>
      </c>
      <c r="H8" s="265">
        <v>0.1</v>
      </c>
      <c r="I8" s="258">
        <v>3245600000</v>
      </c>
      <c r="J8" s="258">
        <v>35701600000</v>
      </c>
      <c r="K8" s="256" t="s">
        <v>1346</v>
      </c>
    </row>
    <row r="9" spans="1:11" x14ac:dyDescent="0.3">
      <c r="A9" s="256">
        <v>2</v>
      </c>
      <c r="B9" s="257" t="s">
        <v>1371</v>
      </c>
      <c r="C9" s="276">
        <v>44318</v>
      </c>
      <c r="D9" s="257" t="s">
        <v>1283</v>
      </c>
      <c r="E9" s="256" t="s">
        <v>1588</v>
      </c>
      <c r="F9" s="256" t="s">
        <v>1625</v>
      </c>
      <c r="G9" s="258">
        <v>48234000000</v>
      </c>
      <c r="H9" s="265">
        <v>0.1</v>
      </c>
      <c r="I9" s="258">
        <v>4823400000</v>
      </c>
      <c r="J9" s="258">
        <v>53057400000</v>
      </c>
      <c r="K9" s="256" t="s">
        <v>1346</v>
      </c>
    </row>
    <row r="10" spans="1:11" x14ac:dyDescent="0.3">
      <c r="A10" s="256">
        <v>3</v>
      </c>
      <c r="B10" s="257" t="s">
        <v>1378</v>
      </c>
      <c r="C10" s="276">
        <v>44319</v>
      </c>
      <c r="D10" s="257" t="s">
        <v>1272</v>
      </c>
      <c r="E10" s="256" t="s">
        <v>540</v>
      </c>
      <c r="F10" s="256" t="s">
        <v>1626</v>
      </c>
      <c r="G10" s="258">
        <v>18901000000</v>
      </c>
      <c r="H10" s="265">
        <v>0</v>
      </c>
      <c r="I10" s="258">
        <v>0</v>
      </c>
      <c r="J10" s="258">
        <v>18901000000</v>
      </c>
      <c r="K10" s="256" t="s">
        <v>1346</v>
      </c>
    </row>
    <row r="11" spans="1:11" x14ac:dyDescent="0.3">
      <c r="A11" s="256">
        <v>4</v>
      </c>
      <c r="B11" s="257" t="s">
        <v>1376</v>
      </c>
      <c r="C11" s="276">
        <v>44320</v>
      </c>
      <c r="D11" s="257" t="s">
        <v>1277</v>
      </c>
      <c r="E11" s="256" t="s">
        <v>1582</v>
      </c>
      <c r="F11" s="256" t="s">
        <v>1627</v>
      </c>
      <c r="G11" s="258">
        <v>15678000000</v>
      </c>
      <c r="H11" s="265">
        <v>0.1</v>
      </c>
      <c r="I11" s="258">
        <v>1567800000</v>
      </c>
      <c r="J11" s="258">
        <v>17245800000</v>
      </c>
      <c r="K11" s="256" t="s">
        <v>1346</v>
      </c>
    </row>
    <row r="12" spans="1:11" x14ac:dyDescent="0.3">
      <c r="A12" s="256">
        <v>5</v>
      </c>
      <c r="B12" s="257" t="s">
        <v>1374</v>
      </c>
      <c r="C12" s="276">
        <v>44321</v>
      </c>
      <c r="D12" s="257" t="s">
        <v>1389</v>
      </c>
      <c r="E12" s="256" t="s">
        <v>1555</v>
      </c>
      <c r="F12" s="256" t="s">
        <v>1616</v>
      </c>
      <c r="G12" s="258">
        <v>38901000000</v>
      </c>
      <c r="H12" s="265">
        <v>0.1</v>
      </c>
      <c r="I12" s="258">
        <v>3890100000</v>
      </c>
      <c r="J12" s="258">
        <v>42791100000</v>
      </c>
      <c r="K12" s="256" t="s">
        <v>1346</v>
      </c>
    </row>
    <row r="13" spans="1:11" x14ac:dyDescent="0.3">
      <c r="A13" s="256">
        <v>6</v>
      </c>
      <c r="B13" s="257" t="s">
        <v>1376</v>
      </c>
      <c r="C13" s="276">
        <v>44322</v>
      </c>
      <c r="D13" s="257" t="s">
        <v>1395</v>
      </c>
      <c r="E13" s="256" t="s">
        <v>1581</v>
      </c>
      <c r="F13" s="256" t="s">
        <v>1628</v>
      </c>
      <c r="G13" s="258">
        <v>0.1</v>
      </c>
      <c r="H13" s="256">
        <v>0</v>
      </c>
      <c r="I13" s="258">
        <v>0</v>
      </c>
      <c r="J13" s="258">
        <v>0</v>
      </c>
      <c r="K13" s="256" t="s">
        <v>1346</v>
      </c>
    </row>
    <row r="14" spans="1:11" x14ac:dyDescent="0.3">
      <c r="A14" s="256">
        <v>7</v>
      </c>
      <c r="B14" s="257" t="s">
        <v>1376</v>
      </c>
      <c r="C14" s="276">
        <v>44323</v>
      </c>
      <c r="D14" s="257" t="s">
        <v>1279</v>
      </c>
      <c r="E14" s="256" t="s">
        <v>1573</v>
      </c>
      <c r="F14" s="256" t="s">
        <v>1625</v>
      </c>
      <c r="G14" s="258">
        <v>52345000000</v>
      </c>
      <c r="H14" s="265">
        <v>0.1</v>
      </c>
      <c r="I14" s="258">
        <v>5234500000</v>
      </c>
      <c r="J14" s="258">
        <v>57579500000</v>
      </c>
      <c r="K14" s="256" t="s">
        <v>1346</v>
      </c>
    </row>
    <row r="15" spans="1:11" x14ac:dyDescent="0.3">
      <c r="A15" s="256">
        <v>8</v>
      </c>
      <c r="B15" s="257" t="s">
        <v>1371</v>
      </c>
      <c r="C15" s="276">
        <v>44324</v>
      </c>
      <c r="D15" s="257" t="s">
        <v>1268</v>
      </c>
      <c r="E15" s="256" t="s">
        <v>1594</v>
      </c>
      <c r="F15" s="256" t="s">
        <v>1616</v>
      </c>
      <c r="G15" s="258">
        <v>35678000000</v>
      </c>
      <c r="H15" s="265">
        <v>0.1</v>
      </c>
      <c r="I15" s="258">
        <v>3567800000</v>
      </c>
      <c r="J15" s="258">
        <v>39245800000</v>
      </c>
      <c r="K15" s="256" t="s">
        <v>1348</v>
      </c>
    </row>
    <row r="16" spans="1:11" x14ac:dyDescent="0.3">
      <c r="A16" s="256">
        <v>9</v>
      </c>
      <c r="B16" s="257" t="s">
        <v>1374</v>
      </c>
      <c r="C16" s="276">
        <v>44325</v>
      </c>
      <c r="D16" s="257" t="s">
        <v>1275</v>
      </c>
      <c r="E16" s="256" t="s">
        <v>1575</v>
      </c>
      <c r="F16" s="256" t="s">
        <v>1629</v>
      </c>
      <c r="G16" s="258">
        <v>19234000000</v>
      </c>
      <c r="H16" s="265">
        <v>0.1</v>
      </c>
      <c r="I16" s="258">
        <v>1923400000</v>
      </c>
      <c r="J16" s="258">
        <v>21157400000</v>
      </c>
      <c r="K16" s="256" t="s">
        <v>1346</v>
      </c>
    </row>
    <row r="17" spans="1:11" x14ac:dyDescent="0.3">
      <c r="A17" s="256">
        <v>10</v>
      </c>
      <c r="B17" s="257" t="s">
        <v>1371</v>
      </c>
      <c r="C17" s="276">
        <v>44326</v>
      </c>
      <c r="D17" s="257" t="s">
        <v>1416</v>
      </c>
      <c r="E17" s="256" t="s">
        <v>1562</v>
      </c>
      <c r="F17" s="256" t="s">
        <v>1625</v>
      </c>
      <c r="G17" s="258">
        <v>55678000000</v>
      </c>
      <c r="H17" s="265">
        <v>0.1</v>
      </c>
      <c r="I17" s="258">
        <v>5567800000</v>
      </c>
      <c r="J17" s="258">
        <v>61245800000</v>
      </c>
      <c r="K17" s="256" t="s">
        <v>1346</v>
      </c>
    </row>
    <row r="18" spans="1:11" x14ac:dyDescent="0.3">
      <c r="A18" s="256">
        <v>11</v>
      </c>
      <c r="B18" s="257" t="s">
        <v>1374</v>
      </c>
      <c r="C18" s="276">
        <v>44327</v>
      </c>
      <c r="D18" s="257" t="s">
        <v>1262</v>
      </c>
      <c r="E18" s="256" t="s">
        <v>1556</v>
      </c>
      <c r="F18" s="256" t="s">
        <v>1616</v>
      </c>
      <c r="G18" s="258">
        <v>32345000000</v>
      </c>
      <c r="H18" s="265">
        <v>0.1</v>
      </c>
      <c r="I18" s="258">
        <v>3234500000</v>
      </c>
      <c r="J18" s="258">
        <v>35579500000</v>
      </c>
      <c r="K18" s="256" t="s">
        <v>1346</v>
      </c>
    </row>
    <row r="19" spans="1:11" x14ac:dyDescent="0.3">
      <c r="A19" s="256">
        <v>12</v>
      </c>
      <c r="B19" s="257" t="s">
        <v>1374</v>
      </c>
      <c r="C19" s="276">
        <v>44328</v>
      </c>
      <c r="D19" s="257" t="s">
        <v>1280</v>
      </c>
      <c r="E19" s="256" t="s">
        <v>618</v>
      </c>
      <c r="F19" s="256" t="s">
        <v>1627</v>
      </c>
      <c r="G19" s="258">
        <v>14890000000</v>
      </c>
      <c r="H19" s="265">
        <v>0.1</v>
      </c>
      <c r="I19" s="258">
        <v>1489000000</v>
      </c>
      <c r="J19" s="258">
        <v>16379000000</v>
      </c>
      <c r="K19" s="256" t="s">
        <v>1346</v>
      </c>
    </row>
    <row r="20" spans="1:11" x14ac:dyDescent="0.3">
      <c r="A20" s="256">
        <v>13</v>
      </c>
      <c r="B20" s="257" t="s">
        <v>1376</v>
      </c>
      <c r="C20" s="276">
        <v>44470</v>
      </c>
      <c r="D20" s="257" t="s">
        <v>1284</v>
      </c>
      <c r="E20" s="256" t="s">
        <v>1552</v>
      </c>
      <c r="F20" s="256" t="s">
        <v>1625</v>
      </c>
      <c r="G20" s="258">
        <v>48901000000</v>
      </c>
      <c r="H20" s="265">
        <v>0.1</v>
      </c>
      <c r="I20" s="258">
        <v>4890100000</v>
      </c>
      <c r="J20" s="258">
        <v>53791100000</v>
      </c>
      <c r="K20" s="256" t="s">
        <v>1346</v>
      </c>
    </row>
    <row r="21" spans="1:11" x14ac:dyDescent="0.3">
      <c r="A21" s="256">
        <v>14</v>
      </c>
      <c r="B21" s="257" t="s">
        <v>1373</v>
      </c>
      <c r="C21" s="276">
        <v>44471</v>
      </c>
      <c r="D21" s="257" t="s">
        <v>1260</v>
      </c>
      <c r="E21" s="256" t="s">
        <v>1585</v>
      </c>
      <c r="F21" s="256" t="s">
        <v>1616</v>
      </c>
      <c r="G21" s="258">
        <v>36789000000</v>
      </c>
      <c r="H21" s="265">
        <v>0.1</v>
      </c>
      <c r="I21" s="258">
        <v>3678900000</v>
      </c>
      <c r="J21" s="258">
        <v>40467900000</v>
      </c>
      <c r="K21" s="256" t="s">
        <v>1346</v>
      </c>
    </row>
    <row r="22" spans="1:11" x14ac:dyDescent="0.3">
      <c r="A22" s="256">
        <v>15</v>
      </c>
      <c r="B22" s="257" t="s">
        <v>1373</v>
      </c>
      <c r="C22" s="276">
        <v>44472</v>
      </c>
      <c r="D22" s="257" t="s">
        <v>1384</v>
      </c>
      <c r="E22" s="256" t="s">
        <v>1565</v>
      </c>
      <c r="F22" s="256" t="s">
        <v>1630</v>
      </c>
      <c r="G22" s="258">
        <v>25678000000</v>
      </c>
      <c r="H22" s="265">
        <v>0.1</v>
      </c>
      <c r="I22" s="258">
        <v>2567800000</v>
      </c>
      <c r="J22" s="258">
        <v>28245800000</v>
      </c>
      <c r="K22" s="256" t="s">
        <v>1346</v>
      </c>
    </row>
    <row r="23" spans="1:11" x14ac:dyDescent="0.3">
      <c r="A23" s="256">
        <v>16</v>
      </c>
      <c r="B23" s="257" t="s">
        <v>1374</v>
      </c>
      <c r="C23" s="276">
        <v>44473</v>
      </c>
      <c r="D23" s="257" t="s">
        <v>1281</v>
      </c>
      <c r="E23" s="256" t="s">
        <v>1559</v>
      </c>
      <c r="F23" s="256" t="s">
        <v>1625</v>
      </c>
      <c r="G23" s="258">
        <v>51234000000</v>
      </c>
      <c r="H23" s="265">
        <v>0.1</v>
      </c>
      <c r="I23" s="258">
        <v>5123400000</v>
      </c>
      <c r="J23" s="258">
        <v>56357400000</v>
      </c>
      <c r="K23" s="256" t="s">
        <v>1346</v>
      </c>
    </row>
    <row r="24" spans="1:11" x14ac:dyDescent="0.3">
      <c r="A24" s="256">
        <v>17</v>
      </c>
      <c r="B24" s="257" t="s">
        <v>1371</v>
      </c>
      <c r="C24" s="276">
        <v>44474</v>
      </c>
      <c r="D24" s="257" t="s">
        <v>1285</v>
      </c>
      <c r="E24" s="256" t="s">
        <v>1558</v>
      </c>
      <c r="F24" s="256" t="s">
        <v>1616</v>
      </c>
      <c r="G24" s="258">
        <v>33456000000</v>
      </c>
      <c r="H24" s="265">
        <v>0.1</v>
      </c>
      <c r="I24" s="258">
        <v>3345600000</v>
      </c>
      <c r="J24" s="258">
        <v>36801600000</v>
      </c>
      <c r="K24" s="256" t="s">
        <v>1346</v>
      </c>
    </row>
    <row r="25" spans="1:11" x14ac:dyDescent="0.3">
      <c r="A25" s="256">
        <v>18</v>
      </c>
      <c r="B25" s="257" t="s">
        <v>1371</v>
      </c>
      <c r="C25" s="276">
        <v>44475</v>
      </c>
      <c r="D25" s="257" t="s">
        <v>1435</v>
      </c>
      <c r="E25" s="256" t="s">
        <v>1577</v>
      </c>
      <c r="F25" s="256" t="s">
        <v>1629</v>
      </c>
      <c r="G25" s="258">
        <v>17890000000</v>
      </c>
      <c r="H25" s="265">
        <v>0.1</v>
      </c>
      <c r="I25" s="258">
        <v>1789000000</v>
      </c>
      <c r="J25" s="258">
        <v>19679000000</v>
      </c>
      <c r="K25" s="256" t="s">
        <v>1346</v>
      </c>
    </row>
    <row r="26" spans="1:11" x14ac:dyDescent="0.3">
      <c r="A26" s="256">
        <v>19</v>
      </c>
      <c r="B26" s="257" t="s">
        <v>1371</v>
      </c>
      <c r="C26" s="276">
        <v>44476</v>
      </c>
      <c r="D26" s="257" t="s">
        <v>1259</v>
      </c>
      <c r="E26" s="256" t="s">
        <v>1569</v>
      </c>
      <c r="F26" s="256" t="s">
        <v>1625</v>
      </c>
      <c r="G26" s="258">
        <v>54567000000</v>
      </c>
      <c r="H26" s="265">
        <v>0.1</v>
      </c>
      <c r="I26" s="258">
        <v>5456700000</v>
      </c>
      <c r="J26" s="258">
        <v>60023700000</v>
      </c>
      <c r="K26" s="256" t="s">
        <v>1346</v>
      </c>
    </row>
    <row r="27" spans="1:11" x14ac:dyDescent="0.3">
      <c r="A27" s="256">
        <v>20</v>
      </c>
      <c r="B27" s="257" t="s">
        <v>1371</v>
      </c>
      <c r="C27" s="276">
        <v>44477</v>
      </c>
      <c r="D27" s="257" t="s">
        <v>1278</v>
      </c>
      <c r="E27" s="256" t="s">
        <v>1593</v>
      </c>
      <c r="F27" s="256" t="s">
        <v>1616</v>
      </c>
      <c r="G27" s="258">
        <v>29234000000</v>
      </c>
      <c r="H27" s="265">
        <v>0.1</v>
      </c>
      <c r="I27" s="258">
        <v>2923400000</v>
      </c>
      <c r="J27" s="258">
        <v>32157400000</v>
      </c>
      <c r="K27" s="256" t="s">
        <v>1346</v>
      </c>
    </row>
    <row r="28" spans="1:11" x14ac:dyDescent="0.3">
      <c r="A28" s="256">
        <v>21</v>
      </c>
      <c r="B28" s="257" t="s">
        <v>1371</v>
      </c>
      <c r="C28" s="276">
        <v>44478</v>
      </c>
      <c r="D28" s="257" t="s">
        <v>1263</v>
      </c>
      <c r="E28" s="256" t="s">
        <v>1579</v>
      </c>
      <c r="F28" s="256" t="s">
        <v>1627</v>
      </c>
      <c r="G28" s="258">
        <v>15678000000</v>
      </c>
      <c r="H28" s="265">
        <v>0.1</v>
      </c>
      <c r="I28" s="258">
        <v>1567800000</v>
      </c>
      <c r="J28" s="258">
        <v>17245800000</v>
      </c>
      <c r="K28" s="256" t="s">
        <v>1346</v>
      </c>
    </row>
    <row r="29" spans="1:11" x14ac:dyDescent="0.3">
      <c r="A29" s="256">
        <v>22</v>
      </c>
      <c r="B29" s="257" t="s">
        <v>1374</v>
      </c>
      <c r="C29" s="276">
        <v>44479</v>
      </c>
      <c r="D29" s="257" t="s">
        <v>1274</v>
      </c>
      <c r="E29" s="256" t="s">
        <v>1592</v>
      </c>
      <c r="F29" s="256" t="s">
        <v>1625</v>
      </c>
      <c r="G29" s="258">
        <v>47890000000</v>
      </c>
      <c r="H29" s="265">
        <v>0.1</v>
      </c>
      <c r="I29" s="258">
        <v>4789000000</v>
      </c>
      <c r="J29" s="258">
        <v>52679000000</v>
      </c>
      <c r="K29" s="256" t="s">
        <v>1346</v>
      </c>
    </row>
    <row r="30" spans="1:11" x14ac:dyDescent="0.3">
      <c r="A30" s="256">
        <v>23</v>
      </c>
      <c r="B30" s="257" t="s">
        <v>1368</v>
      </c>
      <c r="C30" s="276">
        <v>44480</v>
      </c>
      <c r="D30" s="257" t="s">
        <v>1282</v>
      </c>
      <c r="E30" s="256" t="s">
        <v>1580</v>
      </c>
      <c r="F30" s="256" t="s">
        <v>1616</v>
      </c>
      <c r="G30" s="258">
        <v>31234000000</v>
      </c>
      <c r="H30" s="265">
        <v>0.1</v>
      </c>
      <c r="I30" s="258">
        <v>3123400000</v>
      </c>
      <c r="J30" s="258">
        <v>34357400000</v>
      </c>
      <c r="K30" s="256" t="s">
        <v>1346</v>
      </c>
    </row>
    <row r="31" spans="1:11" x14ac:dyDescent="0.3">
      <c r="A31" s="256">
        <v>24</v>
      </c>
      <c r="B31" s="257" t="s">
        <v>1374</v>
      </c>
      <c r="C31" s="276">
        <v>44481</v>
      </c>
      <c r="D31" s="257" t="s">
        <v>1267</v>
      </c>
      <c r="E31" s="256" t="s">
        <v>1560</v>
      </c>
      <c r="F31" s="256" t="s">
        <v>1630</v>
      </c>
      <c r="G31" s="258">
        <v>24567000000</v>
      </c>
      <c r="H31" s="265">
        <v>0.1</v>
      </c>
      <c r="I31" s="258">
        <v>2456700000</v>
      </c>
      <c r="J31" s="258">
        <v>27023700000</v>
      </c>
      <c r="K31" s="256" t="s">
        <v>1346</v>
      </c>
    </row>
    <row r="32" spans="1:11" x14ac:dyDescent="0.3">
      <c r="A32" s="256">
        <v>25</v>
      </c>
      <c r="B32" s="257" t="s">
        <v>1373</v>
      </c>
      <c r="C32" s="276">
        <v>44211</v>
      </c>
      <c r="D32" s="257" t="s">
        <v>1428</v>
      </c>
      <c r="E32" s="256" t="s">
        <v>1557</v>
      </c>
      <c r="F32" s="256" t="s">
        <v>1625</v>
      </c>
      <c r="G32" s="258">
        <v>52345000000</v>
      </c>
      <c r="H32" s="265">
        <v>0.1</v>
      </c>
      <c r="I32" s="258">
        <v>5234500000</v>
      </c>
      <c r="J32" s="258">
        <v>57579500000</v>
      </c>
      <c r="K32" s="256" t="s">
        <v>1346</v>
      </c>
    </row>
    <row r="33" spans="1:11" x14ac:dyDescent="0.3">
      <c r="A33" s="256">
        <v>26</v>
      </c>
      <c r="B33" s="257" t="s">
        <v>1368</v>
      </c>
      <c r="C33" s="276">
        <v>44242</v>
      </c>
      <c r="D33" s="257" t="s">
        <v>1273</v>
      </c>
      <c r="E33" s="256" t="s">
        <v>1567</v>
      </c>
      <c r="F33" s="256" t="s">
        <v>1616</v>
      </c>
      <c r="G33" s="258">
        <v>27890000000</v>
      </c>
      <c r="H33" s="265">
        <v>0.1</v>
      </c>
      <c r="I33" s="258">
        <v>2789000000</v>
      </c>
      <c r="J33" s="258">
        <v>30679000000</v>
      </c>
      <c r="K33" s="256" t="s">
        <v>1346</v>
      </c>
    </row>
    <row r="34" spans="1:11" x14ac:dyDescent="0.3">
      <c r="A34" s="256">
        <v>27</v>
      </c>
      <c r="B34" s="257" t="s">
        <v>1371</v>
      </c>
      <c r="C34" s="276">
        <v>44270</v>
      </c>
      <c r="D34" s="257" t="s">
        <v>1264</v>
      </c>
      <c r="E34" s="256" t="s">
        <v>1584</v>
      </c>
      <c r="F34" s="256" t="s">
        <v>1626</v>
      </c>
      <c r="G34" s="258">
        <v>16789000000</v>
      </c>
      <c r="H34" s="265">
        <v>0</v>
      </c>
      <c r="I34" s="258">
        <v>0</v>
      </c>
      <c r="J34" s="258">
        <v>16789000000</v>
      </c>
      <c r="K34" s="256" t="s">
        <v>1346</v>
      </c>
    </row>
    <row r="35" spans="1:11" x14ac:dyDescent="0.3">
      <c r="A35" s="256">
        <v>28</v>
      </c>
      <c r="B35" s="257" t="s">
        <v>1381</v>
      </c>
      <c r="C35" s="276">
        <v>44301</v>
      </c>
      <c r="D35" s="257" t="s">
        <v>1352</v>
      </c>
      <c r="E35" s="256" t="s">
        <v>1571</v>
      </c>
      <c r="F35" s="256" t="s">
        <v>1625</v>
      </c>
      <c r="G35" s="258">
        <v>49234000000</v>
      </c>
      <c r="H35" s="265">
        <v>0.1</v>
      </c>
      <c r="I35" s="258">
        <v>4923400000</v>
      </c>
      <c r="J35" s="258">
        <v>54157400000</v>
      </c>
      <c r="K35" s="256" t="s">
        <v>1346</v>
      </c>
    </row>
    <row r="36" spans="1:11" x14ac:dyDescent="0.3">
      <c r="A36" s="256">
        <v>29</v>
      </c>
      <c r="B36" s="257" t="s">
        <v>1379</v>
      </c>
      <c r="C36" s="276">
        <v>44331</v>
      </c>
      <c r="D36" s="257" t="s">
        <v>1272</v>
      </c>
      <c r="E36" s="256" t="s">
        <v>540</v>
      </c>
      <c r="F36" s="256" t="s">
        <v>1616</v>
      </c>
      <c r="G36" s="258">
        <v>34567000000</v>
      </c>
      <c r="H36" s="265">
        <v>0.1</v>
      </c>
      <c r="I36" s="258">
        <v>3456700000</v>
      </c>
      <c r="J36" s="258">
        <v>38023700000</v>
      </c>
      <c r="K36" s="256" t="s">
        <v>1346</v>
      </c>
    </row>
    <row r="37" spans="1:11" x14ac:dyDescent="0.3">
      <c r="A37" s="256">
        <v>30</v>
      </c>
      <c r="B37" s="257" t="s">
        <v>1373</v>
      </c>
      <c r="C37" s="276">
        <v>44362</v>
      </c>
      <c r="D37" s="257" t="s">
        <v>1283</v>
      </c>
      <c r="E37" s="256" t="s">
        <v>1588</v>
      </c>
      <c r="F37" s="256" t="s">
        <v>1629</v>
      </c>
      <c r="G37" s="258">
        <v>18901000000</v>
      </c>
      <c r="H37" s="265">
        <v>0.1</v>
      </c>
      <c r="I37" s="258">
        <v>1890100000</v>
      </c>
      <c r="J37" s="258">
        <v>20791100000</v>
      </c>
      <c r="K37" s="256" t="s">
        <v>1346</v>
      </c>
    </row>
    <row r="38" spans="1:11" x14ac:dyDescent="0.3">
      <c r="A38" s="256">
        <v>31</v>
      </c>
      <c r="B38" s="257" t="s">
        <v>1378</v>
      </c>
      <c r="C38" s="276">
        <v>44392</v>
      </c>
      <c r="D38" s="257" t="s">
        <v>1277</v>
      </c>
      <c r="E38" s="256" t="s">
        <v>1582</v>
      </c>
      <c r="F38" s="256" t="s">
        <v>1625</v>
      </c>
      <c r="G38" s="258">
        <v>53456000000</v>
      </c>
      <c r="H38" s="265">
        <v>0.1</v>
      </c>
      <c r="I38" s="258">
        <v>5345600000</v>
      </c>
      <c r="J38" s="258">
        <v>58801600000</v>
      </c>
      <c r="K38" s="256" t="s">
        <v>1346</v>
      </c>
    </row>
    <row r="39" spans="1:11" x14ac:dyDescent="0.3">
      <c r="A39" s="256">
        <v>32</v>
      </c>
      <c r="B39" s="257" t="s">
        <v>1376</v>
      </c>
      <c r="C39" s="276">
        <v>44423</v>
      </c>
      <c r="D39" s="257" t="s">
        <v>1389</v>
      </c>
      <c r="E39" s="256" t="s">
        <v>1555</v>
      </c>
      <c r="F39" s="256" t="s">
        <v>1616</v>
      </c>
      <c r="G39" s="258">
        <v>28901000000</v>
      </c>
      <c r="H39" s="265">
        <v>0.1</v>
      </c>
      <c r="I39" s="258">
        <v>2890100000</v>
      </c>
      <c r="J39" s="258">
        <v>31791100000</v>
      </c>
      <c r="K39" s="256" t="s">
        <v>1346</v>
      </c>
    </row>
    <row r="40" spans="1:11" x14ac:dyDescent="0.3">
      <c r="A40" s="256">
        <v>33</v>
      </c>
      <c r="B40" s="257" t="s">
        <v>1378</v>
      </c>
      <c r="C40" s="276">
        <v>44454</v>
      </c>
      <c r="D40" s="257" t="s">
        <v>1395</v>
      </c>
      <c r="E40" s="256" t="s">
        <v>1581</v>
      </c>
      <c r="F40" s="256" t="s">
        <v>1627</v>
      </c>
      <c r="G40" s="258">
        <v>16234000000</v>
      </c>
      <c r="H40" s="265">
        <v>0.1</v>
      </c>
      <c r="I40" s="258">
        <v>1623400000</v>
      </c>
      <c r="J40" s="258">
        <v>17857400000</v>
      </c>
      <c r="K40" s="256" t="s">
        <v>1346</v>
      </c>
    </row>
    <row r="41" spans="1:11" x14ac:dyDescent="0.3">
      <c r="A41" s="256">
        <v>34</v>
      </c>
      <c r="B41" s="257" t="s">
        <v>1378</v>
      </c>
      <c r="C41" s="276">
        <v>44484</v>
      </c>
      <c r="D41" s="257" t="s">
        <v>1279</v>
      </c>
      <c r="E41" s="256" t="s">
        <v>1573</v>
      </c>
      <c r="F41" s="256" t="s">
        <v>1625</v>
      </c>
      <c r="G41" s="258">
        <v>51890000000</v>
      </c>
      <c r="H41" s="265">
        <v>0.1</v>
      </c>
      <c r="I41" s="258">
        <v>5189000000</v>
      </c>
      <c r="J41" s="258">
        <v>57079000000</v>
      </c>
      <c r="K41" s="256" t="s">
        <v>1346</v>
      </c>
    </row>
    <row r="42" spans="1:11" x14ac:dyDescent="0.3">
      <c r="A42" s="256">
        <v>35</v>
      </c>
      <c r="B42" s="257" t="s">
        <v>1373</v>
      </c>
      <c r="C42" s="276">
        <v>44515</v>
      </c>
      <c r="D42" s="257" t="s">
        <v>1268</v>
      </c>
      <c r="E42" s="256" t="s">
        <v>1594</v>
      </c>
      <c r="F42" s="256" t="s">
        <v>1616</v>
      </c>
      <c r="G42" s="258">
        <v>30234000000</v>
      </c>
      <c r="H42" s="265">
        <v>0.1</v>
      </c>
      <c r="I42" s="258">
        <v>3023400000</v>
      </c>
      <c r="J42" s="258">
        <v>33257400000</v>
      </c>
      <c r="K42" s="256" t="s">
        <v>1346</v>
      </c>
    </row>
    <row r="43" spans="1:11" x14ac:dyDescent="0.3">
      <c r="A43" s="256">
        <v>36</v>
      </c>
      <c r="B43" s="257" t="s">
        <v>1376</v>
      </c>
      <c r="C43" s="276">
        <v>44545</v>
      </c>
      <c r="D43" s="257" t="s">
        <v>1275</v>
      </c>
      <c r="E43" s="256" t="s">
        <v>1575</v>
      </c>
      <c r="F43" s="256" t="s">
        <v>1630</v>
      </c>
      <c r="G43" s="258">
        <v>23456000000</v>
      </c>
      <c r="H43" s="265">
        <v>0.1</v>
      </c>
      <c r="I43" s="258">
        <v>2345600000</v>
      </c>
      <c r="J43" s="258">
        <v>25801600000</v>
      </c>
      <c r="K43" s="256" t="s">
        <v>1346</v>
      </c>
    </row>
    <row r="44" spans="1:11" x14ac:dyDescent="0.3">
      <c r="A44" s="256">
        <v>37</v>
      </c>
      <c r="B44" s="257" t="s">
        <v>1373</v>
      </c>
      <c r="C44" s="276">
        <v>44216</v>
      </c>
      <c r="D44" s="257" t="s">
        <v>1416</v>
      </c>
      <c r="E44" s="256" t="s">
        <v>1562</v>
      </c>
      <c r="F44" s="256" t="s">
        <v>1625</v>
      </c>
      <c r="G44" s="258">
        <v>54890000000</v>
      </c>
      <c r="H44" s="265">
        <v>0.1</v>
      </c>
      <c r="I44" s="258">
        <v>5489000000</v>
      </c>
      <c r="J44" s="258">
        <v>60379000000</v>
      </c>
      <c r="K44" s="256" t="s">
        <v>1346</v>
      </c>
    </row>
    <row r="45" spans="1:11" x14ac:dyDescent="0.3">
      <c r="A45" s="256">
        <v>38</v>
      </c>
      <c r="B45" s="257" t="s">
        <v>1376</v>
      </c>
      <c r="C45" s="276">
        <v>44247</v>
      </c>
      <c r="D45" s="257" t="s">
        <v>1262</v>
      </c>
      <c r="E45" s="256" t="s">
        <v>1556</v>
      </c>
      <c r="F45" s="256" t="s">
        <v>1616</v>
      </c>
      <c r="G45" s="258">
        <v>29890000000</v>
      </c>
      <c r="H45" s="265">
        <v>0.1</v>
      </c>
      <c r="I45" s="258">
        <v>2989000000</v>
      </c>
      <c r="J45" s="258">
        <v>32879000000</v>
      </c>
      <c r="K45" s="256" t="s">
        <v>1346</v>
      </c>
    </row>
    <row r="46" spans="1:11" x14ac:dyDescent="0.3">
      <c r="A46" s="256">
        <v>39</v>
      </c>
      <c r="B46" s="257" t="s">
        <v>1376</v>
      </c>
      <c r="C46" s="276">
        <v>44275</v>
      </c>
      <c r="D46" s="257" t="s">
        <v>1280</v>
      </c>
      <c r="E46" s="256" t="s">
        <v>618</v>
      </c>
      <c r="F46" s="256" t="s">
        <v>1629</v>
      </c>
      <c r="G46" s="258">
        <v>17890000000</v>
      </c>
      <c r="H46" s="265">
        <v>0.1</v>
      </c>
      <c r="I46" s="258">
        <v>1789000000</v>
      </c>
      <c r="J46" s="258">
        <v>19679000000</v>
      </c>
      <c r="K46" s="256" t="s">
        <v>1346</v>
      </c>
    </row>
    <row r="47" spans="1:11" x14ac:dyDescent="0.3">
      <c r="A47" s="256">
        <v>40</v>
      </c>
      <c r="B47" s="257" t="s">
        <v>1378</v>
      </c>
      <c r="C47" s="276">
        <v>44306</v>
      </c>
      <c r="D47" s="257" t="s">
        <v>1284</v>
      </c>
      <c r="E47" s="256" t="s">
        <v>1552</v>
      </c>
      <c r="F47" s="256" t="s">
        <v>1625</v>
      </c>
      <c r="G47" s="258">
        <v>50234000000</v>
      </c>
      <c r="H47" s="265">
        <v>0.1</v>
      </c>
      <c r="I47" s="258">
        <v>5023400000</v>
      </c>
      <c r="J47" s="258">
        <v>55257400000</v>
      </c>
      <c r="K47" s="256" t="s">
        <v>1346</v>
      </c>
    </row>
    <row r="48" spans="1:11" x14ac:dyDescent="0.3">
      <c r="A48" s="256">
        <v>41</v>
      </c>
      <c r="B48" s="257" t="s">
        <v>1374</v>
      </c>
      <c r="C48" s="276">
        <v>44336</v>
      </c>
      <c r="D48" s="257" t="s">
        <v>1260</v>
      </c>
      <c r="E48" s="256" t="s">
        <v>1585</v>
      </c>
      <c r="F48" s="256" t="s">
        <v>1616</v>
      </c>
      <c r="G48" s="258">
        <v>32890000000</v>
      </c>
      <c r="H48" s="265">
        <v>0.1</v>
      </c>
      <c r="I48" s="258">
        <v>3289000000</v>
      </c>
      <c r="J48" s="258">
        <v>36179000000</v>
      </c>
      <c r="K48" s="256" t="s">
        <v>1346</v>
      </c>
    </row>
    <row r="49" spans="1:11" x14ac:dyDescent="0.3">
      <c r="A49" s="256">
        <v>42</v>
      </c>
      <c r="B49" s="257" t="s">
        <v>1374</v>
      </c>
      <c r="C49" s="276">
        <v>44367</v>
      </c>
      <c r="D49" s="257" t="s">
        <v>1384</v>
      </c>
      <c r="E49" s="256" t="s">
        <v>1565</v>
      </c>
      <c r="F49" s="256" t="s">
        <v>1627</v>
      </c>
      <c r="G49" s="258">
        <v>15678000000</v>
      </c>
      <c r="H49" s="265">
        <v>0.1</v>
      </c>
      <c r="I49" s="258">
        <v>1567800000</v>
      </c>
      <c r="J49" s="258">
        <v>17245800000</v>
      </c>
      <c r="K49" s="256" t="s">
        <v>1346</v>
      </c>
    </row>
    <row r="50" spans="1:11" x14ac:dyDescent="0.3">
      <c r="A50" s="256">
        <v>43</v>
      </c>
      <c r="B50" s="257" t="s">
        <v>1376</v>
      </c>
      <c r="C50" s="276">
        <v>44397</v>
      </c>
      <c r="D50" s="257" t="s">
        <v>1281</v>
      </c>
      <c r="E50" s="256" t="s">
        <v>1559</v>
      </c>
      <c r="F50" s="256" t="s">
        <v>1625</v>
      </c>
      <c r="G50" s="258">
        <v>52890000000</v>
      </c>
      <c r="H50" s="265">
        <v>0.1</v>
      </c>
      <c r="I50" s="258">
        <v>5289000000</v>
      </c>
      <c r="J50" s="258">
        <v>58179000000</v>
      </c>
      <c r="K50" s="256" t="s">
        <v>1346</v>
      </c>
    </row>
    <row r="51" spans="1:11" x14ac:dyDescent="0.3">
      <c r="A51" s="256">
        <v>44</v>
      </c>
      <c r="B51" s="257" t="s">
        <v>1373</v>
      </c>
      <c r="C51" s="276">
        <v>44428</v>
      </c>
      <c r="D51" s="257" t="s">
        <v>1285</v>
      </c>
      <c r="E51" s="256" t="s">
        <v>1558</v>
      </c>
      <c r="F51" s="256" t="s">
        <v>1616</v>
      </c>
      <c r="G51" s="258">
        <v>27234000000</v>
      </c>
      <c r="H51" s="265">
        <v>0.1</v>
      </c>
      <c r="I51" s="258">
        <v>2723400000</v>
      </c>
      <c r="J51" s="258">
        <v>29957400000</v>
      </c>
      <c r="K51" s="256" t="s">
        <v>1346</v>
      </c>
    </row>
    <row r="52" spans="1:11" x14ac:dyDescent="0.3">
      <c r="A52" s="256">
        <v>45</v>
      </c>
      <c r="B52" s="257" t="s">
        <v>1373</v>
      </c>
      <c r="C52" s="276">
        <v>44459</v>
      </c>
      <c r="D52" s="257" t="s">
        <v>1435</v>
      </c>
      <c r="E52" s="256" t="s">
        <v>1577</v>
      </c>
      <c r="F52" s="256" t="s">
        <v>1626</v>
      </c>
      <c r="G52" s="258">
        <v>17890000000</v>
      </c>
      <c r="H52" s="265">
        <v>0</v>
      </c>
      <c r="I52" s="258">
        <v>0</v>
      </c>
      <c r="J52" s="258">
        <v>17890000000</v>
      </c>
      <c r="K52" s="256" t="s">
        <v>1346</v>
      </c>
    </row>
    <row r="53" spans="1:11" x14ac:dyDescent="0.3">
      <c r="A53" s="256">
        <v>46</v>
      </c>
      <c r="B53" s="257" t="s">
        <v>1373</v>
      </c>
      <c r="C53" s="276">
        <v>44489</v>
      </c>
      <c r="D53" s="257" t="s">
        <v>1259</v>
      </c>
      <c r="E53" s="256" t="s">
        <v>1569</v>
      </c>
      <c r="F53" s="256" t="s">
        <v>1625</v>
      </c>
      <c r="G53" s="258">
        <v>49890000000</v>
      </c>
      <c r="H53" s="265">
        <v>0.1</v>
      </c>
      <c r="I53" s="258">
        <v>4989000000</v>
      </c>
      <c r="J53" s="258">
        <v>54879000000</v>
      </c>
      <c r="K53" s="256" t="s">
        <v>1346</v>
      </c>
    </row>
    <row r="54" spans="1:11" x14ac:dyDescent="0.3">
      <c r="A54" s="256">
        <v>47</v>
      </c>
      <c r="B54" s="257" t="s">
        <v>1373</v>
      </c>
      <c r="C54" s="276">
        <v>44520</v>
      </c>
      <c r="D54" s="257" t="s">
        <v>1278</v>
      </c>
      <c r="E54" s="256" t="s">
        <v>1593</v>
      </c>
      <c r="F54" s="256" t="s">
        <v>1616</v>
      </c>
      <c r="G54" s="258">
        <v>33456000000</v>
      </c>
      <c r="H54" s="265">
        <v>0.1</v>
      </c>
      <c r="I54" s="258">
        <v>3345600000</v>
      </c>
      <c r="J54" s="258">
        <v>36801600000</v>
      </c>
      <c r="K54" s="256" t="s">
        <v>1346</v>
      </c>
    </row>
    <row r="55" spans="1:11" x14ac:dyDescent="0.3">
      <c r="A55" s="256">
        <v>48</v>
      </c>
      <c r="B55" s="257" t="s">
        <v>1373</v>
      </c>
      <c r="C55" s="276">
        <v>44550</v>
      </c>
      <c r="D55" s="257" t="s">
        <v>1263</v>
      </c>
      <c r="E55" s="256" t="s">
        <v>1579</v>
      </c>
      <c r="F55" s="256" t="s">
        <v>1630</v>
      </c>
      <c r="G55" s="258">
        <v>24890000000</v>
      </c>
      <c r="H55" s="265">
        <v>0.1</v>
      </c>
      <c r="I55" s="258">
        <v>2489000000</v>
      </c>
      <c r="J55" s="258">
        <v>27379000000</v>
      </c>
      <c r="K55" s="256" t="s">
        <v>1346</v>
      </c>
    </row>
    <row r="56" spans="1:11" x14ac:dyDescent="0.3">
      <c r="A56" s="256">
        <v>49</v>
      </c>
      <c r="B56" s="257" t="s">
        <v>1376</v>
      </c>
      <c r="C56" s="276">
        <v>44221</v>
      </c>
      <c r="D56" s="257" t="s">
        <v>1274</v>
      </c>
      <c r="E56" s="256" t="s">
        <v>1592</v>
      </c>
      <c r="F56" s="256" t="s">
        <v>1625</v>
      </c>
      <c r="G56" s="258">
        <v>51234000000</v>
      </c>
      <c r="H56" s="265">
        <v>0.1</v>
      </c>
      <c r="I56" s="258">
        <v>5123400000</v>
      </c>
      <c r="J56" s="258">
        <v>56357400000</v>
      </c>
      <c r="K56" s="256" t="s">
        <v>1346</v>
      </c>
    </row>
    <row r="57" spans="1:11" x14ac:dyDescent="0.3">
      <c r="A57" s="256">
        <v>50</v>
      </c>
      <c r="B57" s="257" t="s">
        <v>1371</v>
      </c>
      <c r="C57" s="276">
        <v>44252</v>
      </c>
      <c r="D57" s="257" t="s">
        <v>1282</v>
      </c>
      <c r="E57" s="256" t="s">
        <v>1580</v>
      </c>
      <c r="F57" s="256" t="s">
        <v>1616</v>
      </c>
      <c r="G57" s="258">
        <v>28456000000</v>
      </c>
      <c r="H57" s="265">
        <v>0.1</v>
      </c>
      <c r="I57" s="258">
        <v>2845600000</v>
      </c>
      <c r="J57" s="258">
        <v>31301600000</v>
      </c>
      <c r="K57" s="256" t="s">
        <v>1346</v>
      </c>
    </row>
    <row r="58" spans="1:11" x14ac:dyDescent="0.3">
      <c r="A58" s="256">
        <v>51</v>
      </c>
      <c r="B58" s="257" t="s">
        <v>1376</v>
      </c>
      <c r="C58" s="276">
        <v>44280</v>
      </c>
      <c r="D58" s="257" t="s">
        <v>1267</v>
      </c>
      <c r="E58" s="256" t="s">
        <v>1560</v>
      </c>
      <c r="F58" s="256" t="s">
        <v>1629</v>
      </c>
      <c r="G58" s="258">
        <v>18234000000</v>
      </c>
      <c r="H58" s="265">
        <v>0.1</v>
      </c>
      <c r="I58" s="258">
        <v>1823400000</v>
      </c>
      <c r="J58" s="258">
        <v>20057400000</v>
      </c>
      <c r="K58" s="256" t="s">
        <v>1346</v>
      </c>
    </row>
    <row r="59" spans="1:11" x14ac:dyDescent="0.3">
      <c r="A59" s="256">
        <v>52</v>
      </c>
      <c r="B59" s="257" t="s">
        <v>1374</v>
      </c>
      <c r="C59" s="276">
        <v>44311</v>
      </c>
      <c r="D59" s="257" t="s">
        <v>1428</v>
      </c>
      <c r="E59" s="256" t="s">
        <v>1557</v>
      </c>
      <c r="F59" s="256" t="s">
        <v>1625</v>
      </c>
      <c r="G59" s="258">
        <v>53890000000</v>
      </c>
      <c r="H59" s="265">
        <v>0.1</v>
      </c>
      <c r="I59" s="258">
        <v>5389000000</v>
      </c>
      <c r="J59" s="258">
        <v>59279000000</v>
      </c>
      <c r="K59" s="256" t="s">
        <v>1346</v>
      </c>
    </row>
    <row r="60" spans="1:11" x14ac:dyDescent="0.3">
      <c r="A60" s="256">
        <v>53</v>
      </c>
      <c r="B60" s="257" t="s">
        <v>1371</v>
      </c>
      <c r="C60" s="276">
        <v>44341</v>
      </c>
      <c r="D60" s="257" t="s">
        <v>1273</v>
      </c>
      <c r="E60" s="256" t="s">
        <v>1567</v>
      </c>
      <c r="F60" s="256" t="s">
        <v>1616</v>
      </c>
      <c r="G60" s="258">
        <v>31234000000</v>
      </c>
      <c r="H60" s="265">
        <v>0.1</v>
      </c>
      <c r="I60" s="258">
        <v>3123400000</v>
      </c>
      <c r="J60" s="258">
        <v>34357400000</v>
      </c>
      <c r="K60" s="256" t="s">
        <v>1346</v>
      </c>
    </row>
    <row r="61" spans="1:11" x14ac:dyDescent="0.3">
      <c r="A61" s="256">
        <v>54</v>
      </c>
      <c r="B61" s="257" t="s">
        <v>1373</v>
      </c>
      <c r="C61" s="276">
        <v>44372</v>
      </c>
      <c r="D61" s="257" t="s">
        <v>1264</v>
      </c>
      <c r="E61" s="256" t="s">
        <v>1584</v>
      </c>
      <c r="F61" s="256" t="s">
        <v>1627</v>
      </c>
      <c r="G61" s="258">
        <v>16890000000</v>
      </c>
      <c r="H61" s="265">
        <v>0.1</v>
      </c>
      <c r="I61" s="258">
        <v>1689000000</v>
      </c>
      <c r="J61" s="258">
        <v>18579000000</v>
      </c>
      <c r="K61" s="256" t="s">
        <v>1346</v>
      </c>
    </row>
    <row r="62" spans="1:11" x14ac:dyDescent="0.3">
      <c r="A62" s="256">
        <v>55</v>
      </c>
      <c r="B62" s="257" t="s">
        <v>1382</v>
      </c>
      <c r="C62" s="276">
        <v>44402</v>
      </c>
      <c r="D62" s="257" t="s">
        <v>1352</v>
      </c>
      <c r="E62" s="256" t="s">
        <v>1571</v>
      </c>
      <c r="F62" s="256" t="s">
        <v>1625</v>
      </c>
      <c r="G62" s="258">
        <v>50890000000</v>
      </c>
      <c r="H62" s="265">
        <v>0.1</v>
      </c>
      <c r="I62" s="258">
        <v>5089000000</v>
      </c>
      <c r="J62" s="258">
        <v>55979000000</v>
      </c>
      <c r="K62" s="256" t="s">
        <v>1346</v>
      </c>
    </row>
    <row r="63" spans="1:11" x14ac:dyDescent="0.3">
      <c r="A63" s="256">
        <v>56</v>
      </c>
      <c r="B63" s="257" t="s">
        <v>1381</v>
      </c>
      <c r="C63" s="276">
        <v>44433</v>
      </c>
      <c r="D63" s="257" t="s">
        <v>1272</v>
      </c>
      <c r="E63" s="256" t="s">
        <v>540</v>
      </c>
      <c r="F63" s="256" t="s">
        <v>1616</v>
      </c>
      <c r="G63" s="258">
        <v>29234000000</v>
      </c>
      <c r="H63" s="265">
        <v>0.1</v>
      </c>
      <c r="I63" s="258">
        <v>2923400000</v>
      </c>
      <c r="J63" s="258">
        <v>32157400000</v>
      </c>
      <c r="K63" s="256" t="s">
        <v>1346</v>
      </c>
    </row>
    <row r="64" spans="1:11" x14ac:dyDescent="0.3">
      <c r="A64" s="256">
        <v>57</v>
      </c>
      <c r="B64" s="257" t="s">
        <v>1374</v>
      </c>
      <c r="C64" s="276">
        <v>44464</v>
      </c>
      <c r="D64" s="257" t="s">
        <v>1283</v>
      </c>
      <c r="E64" s="256" t="s">
        <v>1588</v>
      </c>
      <c r="F64" s="256" t="s">
        <v>1630</v>
      </c>
      <c r="G64" s="258">
        <v>22890000000</v>
      </c>
      <c r="H64" s="265">
        <v>0.1</v>
      </c>
      <c r="I64" s="258">
        <v>2289000000</v>
      </c>
      <c r="J64" s="258">
        <v>25179000000</v>
      </c>
      <c r="K64" s="256" t="s">
        <v>1346</v>
      </c>
    </row>
    <row r="65" spans="1:11" x14ac:dyDescent="0.3">
      <c r="A65" s="256">
        <v>58</v>
      </c>
      <c r="B65" s="257" t="s">
        <v>1379</v>
      </c>
      <c r="C65" s="276">
        <v>44494</v>
      </c>
      <c r="D65" s="257" t="s">
        <v>1277</v>
      </c>
      <c r="E65" s="256" t="s">
        <v>1582</v>
      </c>
      <c r="F65" s="256" t="s">
        <v>1625</v>
      </c>
      <c r="G65" s="258">
        <v>48234000000</v>
      </c>
      <c r="H65" s="265">
        <v>0.1</v>
      </c>
      <c r="I65" s="258">
        <v>4823400000</v>
      </c>
      <c r="J65" s="258">
        <v>53057400000</v>
      </c>
      <c r="K65" s="256" t="s">
        <v>1346</v>
      </c>
    </row>
    <row r="66" spans="1:11" x14ac:dyDescent="0.3">
      <c r="A66" s="256">
        <v>59</v>
      </c>
      <c r="B66" s="257" t="s">
        <v>1378</v>
      </c>
      <c r="C66" s="276">
        <v>44525</v>
      </c>
      <c r="D66" s="257" t="s">
        <v>1389</v>
      </c>
      <c r="E66" s="256" t="s">
        <v>1555</v>
      </c>
      <c r="F66" s="256" t="s">
        <v>1616</v>
      </c>
      <c r="G66" s="258">
        <v>30890000000</v>
      </c>
      <c r="H66" s="265">
        <v>0.1</v>
      </c>
      <c r="I66" s="258">
        <v>3089000000</v>
      </c>
      <c r="J66" s="258">
        <v>33979000000</v>
      </c>
      <c r="K66" s="256" t="s">
        <v>1346</v>
      </c>
    </row>
    <row r="67" spans="1:11" x14ac:dyDescent="0.3">
      <c r="A67" s="256">
        <v>60</v>
      </c>
      <c r="B67" s="257" t="s">
        <v>1379</v>
      </c>
      <c r="C67" s="276">
        <v>44555</v>
      </c>
      <c r="D67" s="257" t="s">
        <v>1395</v>
      </c>
      <c r="E67" s="256" t="s">
        <v>1581</v>
      </c>
      <c r="F67" s="256" t="s">
        <v>1629</v>
      </c>
      <c r="G67" s="258">
        <v>19234000000</v>
      </c>
      <c r="H67" s="265">
        <v>0.1</v>
      </c>
      <c r="I67" s="258">
        <v>1923400000</v>
      </c>
      <c r="J67" s="258">
        <v>21157400000</v>
      </c>
      <c r="K67" s="256" t="s">
        <v>1346</v>
      </c>
    </row>
    <row r="68" spans="1:11" x14ac:dyDescent="0.3">
      <c r="A68" s="256">
        <v>61</v>
      </c>
      <c r="B68" s="257" t="s">
        <v>1379</v>
      </c>
      <c r="C68" s="276">
        <v>44227</v>
      </c>
      <c r="D68" s="257" t="s">
        <v>1279</v>
      </c>
      <c r="E68" s="256" t="s">
        <v>1573</v>
      </c>
      <c r="F68" s="256" t="s">
        <v>1625</v>
      </c>
      <c r="G68" s="258">
        <v>55234000000</v>
      </c>
      <c r="H68" s="265">
        <v>0.1</v>
      </c>
      <c r="I68" s="258">
        <v>5523400000</v>
      </c>
      <c r="J68" s="258">
        <v>60757400000</v>
      </c>
      <c r="K68" s="256" t="s">
        <v>1346</v>
      </c>
    </row>
    <row r="69" spans="1:11" x14ac:dyDescent="0.3">
      <c r="A69" s="256">
        <v>62</v>
      </c>
      <c r="B69" s="257" t="s">
        <v>1374</v>
      </c>
      <c r="C69" s="276">
        <v>44255</v>
      </c>
      <c r="D69" s="257" t="s">
        <v>1268</v>
      </c>
      <c r="E69" s="256" t="s">
        <v>1594</v>
      </c>
      <c r="F69" s="256" t="s">
        <v>1616</v>
      </c>
      <c r="G69" s="258">
        <v>27890000000</v>
      </c>
      <c r="H69" s="265">
        <v>0.1</v>
      </c>
      <c r="I69" s="258">
        <v>2789000000</v>
      </c>
      <c r="J69" s="258">
        <v>30679000000</v>
      </c>
      <c r="K69" s="256" t="s">
        <v>1346</v>
      </c>
    </row>
    <row r="70" spans="1:11" x14ac:dyDescent="0.3">
      <c r="A70" s="256">
        <v>63</v>
      </c>
      <c r="B70" s="257" t="s">
        <v>1378</v>
      </c>
      <c r="C70" s="276">
        <v>44286</v>
      </c>
      <c r="D70" s="257" t="s">
        <v>1275</v>
      </c>
      <c r="E70" s="256" t="s">
        <v>1575</v>
      </c>
      <c r="F70" s="256" t="s">
        <v>1627</v>
      </c>
      <c r="G70" s="258">
        <v>17234000000</v>
      </c>
      <c r="H70" s="265">
        <v>0.1</v>
      </c>
      <c r="I70" s="258">
        <v>1723400000</v>
      </c>
      <c r="J70" s="258">
        <v>18957400000</v>
      </c>
      <c r="K70" s="256" t="s">
        <v>1346</v>
      </c>
    </row>
    <row r="71" spans="1:11" x14ac:dyDescent="0.3">
      <c r="A71" s="256">
        <v>64</v>
      </c>
      <c r="B71" s="257" t="s">
        <v>1374</v>
      </c>
      <c r="C71" s="276">
        <v>44316</v>
      </c>
      <c r="D71" s="257" t="s">
        <v>1416</v>
      </c>
      <c r="E71" s="256" t="s">
        <v>1562</v>
      </c>
      <c r="F71" s="256" t="s">
        <v>1625</v>
      </c>
      <c r="G71" s="258">
        <v>52890000000</v>
      </c>
      <c r="H71" s="265">
        <v>0.1</v>
      </c>
      <c r="I71" s="258">
        <v>5289000000</v>
      </c>
      <c r="J71" s="258">
        <v>58179000000</v>
      </c>
      <c r="K71" s="256" t="s">
        <v>1346</v>
      </c>
    </row>
    <row r="72" spans="1:11" x14ac:dyDescent="0.3">
      <c r="A72" s="256">
        <v>65</v>
      </c>
      <c r="B72" s="257" t="s">
        <v>1378</v>
      </c>
      <c r="C72" s="276">
        <v>44347</v>
      </c>
      <c r="D72" s="257" t="s">
        <v>1262</v>
      </c>
      <c r="E72" s="256" t="s">
        <v>1556</v>
      </c>
      <c r="F72" s="256" t="s">
        <v>1616</v>
      </c>
      <c r="G72" s="258">
        <v>28901000000</v>
      </c>
      <c r="H72" s="265">
        <v>0.1</v>
      </c>
      <c r="I72" s="258">
        <v>2890100000</v>
      </c>
      <c r="J72" s="258">
        <v>31791100000</v>
      </c>
      <c r="K72" s="256" t="s">
        <v>1346</v>
      </c>
    </row>
    <row r="73" spans="1:11" x14ac:dyDescent="0.3">
      <c r="A73" s="256">
        <v>66</v>
      </c>
      <c r="B73" s="257" t="s">
        <v>1378</v>
      </c>
      <c r="C73" s="276">
        <v>44377</v>
      </c>
      <c r="D73" s="257" t="s">
        <v>1280</v>
      </c>
      <c r="E73" s="256" t="s">
        <v>618</v>
      </c>
      <c r="F73" s="256" t="s">
        <v>1630</v>
      </c>
      <c r="G73" s="258">
        <v>21890000000</v>
      </c>
      <c r="H73" s="265">
        <v>0.1</v>
      </c>
      <c r="I73" s="258">
        <v>2189000000</v>
      </c>
      <c r="J73" s="258">
        <v>24079000000</v>
      </c>
      <c r="K73" s="256" t="s">
        <v>1346</v>
      </c>
    </row>
    <row r="74" spans="1:11" x14ac:dyDescent="0.3">
      <c r="A74" s="256">
        <v>67</v>
      </c>
      <c r="B74" s="257" t="s">
        <v>1379</v>
      </c>
      <c r="C74" s="276">
        <v>44408</v>
      </c>
      <c r="D74" s="257" t="s">
        <v>1284</v>
      </c>
      <c r="E74" s="256" t="s">
        <v>1552</v>
      </c>
      <c r="F74" s="256" t="s">
        <v>1625</v>
      </c>
      <c r="G74" s="258">
        <v>49234000000</v>
      </c>
      <c r="H74" s="265">
        <v>0.1</v>
      </c>
      <c r="I74" s="258">
        <v>4923400000</v>
      </c>
      <c r="J74" s="258">
        <v>54157400000</v>
      </c>
      <c r="K74" s="256" t="s">
        <v>1346</v>
      </c>
    </row>
    <row r="75" spans="1:11" x14ac:dyDescent="0.3">
      <c r="A75" s="256">
        <v>68</v>
      </c>
      <c r="B75" s="257" t="s">
        <v>1376</v>
      </c>
      <c r="C75" s="276">
        <v>44439</v>
      </c>
      <c r="D75" s="257" t="s">
        <v>1260</v>
      </c>
      <c r="E75" s="256" t="s">
        <v>1585</v>
      </c>
      <c r="F75" s="256" t="s">
        <v>1616</v>
      </c>
      <c r="G75" s="258">
        <v>33456000000</v>
      </c>
      <c r="H75" s="265">
        <v>0.1</v>
      </c>
      <c r="I75" s="258">
        <v>3345600000</v>
      </c>
      <c r="J75" s="258">
        <v>36801600000</v>
      </c>
      <c r="K75" s="256" t="s">
        <v>1346</v>
      </c>
    </row>
    <row r="76" spans="1:11" x14ac:dyDescent="0.3">
      <c r="A76" s="256">
        <v>69</v>
      </c>
      <c r="B76" s="257" t="s">
        <v>1376</v>
      </c>
      <c r="C76" s="276">
        <v>44469</v>
      </c>
      <c r="D76" s="257" t="s">
        <v>1384</v>
      </c>
      <c r="E76" s="256" t="s">
        <v>1565</v>
      </c>
      <c r="F76" s="256" t="s">
        <v>1626</v>
      </c>
      <c r="G76" s="258">
        <v>18234000000</v>
      </c>
      <c r="H76" s="265">
        <v>0</v>
      </c>
      <c r="I76" s="258">
        <v>0</v>
      </c>
      <c r="J76" s="258">
        <v>18234000000</v>
      </c>
      <c r="K76" s="256" t="s">
        <v>1346</v>
      </c>
    </row>
    <row r="77" spans="1:11" x14ac:dyDescent="0.3">
      <c r="A77" s="256">
        <v>70</v>
      </c>
      <c r="B77" s="257" t="s">
        <v>1378</v>
      </c>
      <c r="C77" s="276">
        <v>44561</v>
      </c>
      <c r="D77" s="257" t="s">
        <v>1281</v>
      </c>
      <c r="E77" s="256" t="s">
        <v>1559</v>
      </c>
      <c r="F77" s="256" t="s">
        <v>1625</v>
      </c>
      <c r="G77" s="258">
        <v>55678000000</v>
      </c>
      <c r="H77" s="265">
        <v>0.1</v>
      </c>
      <c r="I77" s="258">
        <v>5567800000</v>
      </c>
      <c r="J77" s="258">
        <v>61245800000</v>
      </c>
      <c r="K77" s="256" t="s">
        <v>1346</v>
      </c>
    </row>
    <row r="78" spans="1:11" x14ac:dyDescent="0.3">
      <c r="A78" s="266" t="s">
        <v>1351</v>
      </c>
      <c r="B78" s="266"/>
      <c r="C78" s="266"/>
      <c r="D78" s="266"/>
      <c r="E78" s="266"/>
      <c r="F78" s="266"/>
      <c r="G78" s="267">
        <f>SUM(G8:G77)</f>
        <v>2355028000000.1001</v>
      </c>
      <c r="H78" s="266"/>
      <c r="I78" s="267">
        <f>SUM(I8:I77)</f>
        <v>228321400000</v>
      </c>
      <c r="J78" s="267">
        <f>SUM(J8:J77)</f>
        <v>2583349400000</v>
      </c>
      <c r="K78" s="266"/>
    </row>
    <row r="79" spans="1:11" x14ac:dyDescent="0.3">
      <c r="A79" s="256"/>
      <c r="B79" s="256"/>
      <c r="C79" s="256"/>
      <c r="D79" s="256"/>
      <c r="E79" s="256"/>
      <c r="F79" s="256"/>
      <c r="G79" s="256"/>
      <c r="H79" s="256"/>
      <c r="I79" s="256"/>
      <c r="J79" s="256"/>
      <c r="K79" s="256"/>
    </row>
    <row r="80" spans="1:11" x14ac:dyDescent="0.3">
      <c r="A80" s="256" t="s">
        <v>1420</v>
      </c>
      <c r="B80" s="256"/>
      <c r="C80" s="256"/>
      <c r="D80" s="256"/>
      <c r="E80" s="256"/>
      <c r="F80" s="256"/>
      <c r="G80" s="256"/>
      <c r="H80" s="256"/>
      <c r="I80" s="256"/>
      <c r="J80" s="256"/>
      <c r="K80" s="256"/>
    </row>
    <row r="81" spans="1:11" x14ac:dyDescent="0.3">
      <c r="A81" s="266" t="s">
        <v>0</v>
      </c>
      <c r="B81" s="266" t="s">
        <v>212</v>
      </c>
      <c r="C81" s="266" t="s">
        <v>1535</v>
      </c>
      <c r="D81" s="266" t="s">
        <v>1586</v>
      </c>
      <c r="E81" s="266" t="s">
        <v>1422</v>
      </c>
      <c r="F81" s="266" t="s">
        <v>1537</v>
      </c>
      <c r="G81" s="266" t="s">
        <v>270</v>
      </c>
      <c r="H81" s="266" t="s">
        <v>1538</v>
      </c>
      <c r="I81" s="266" t="s">
        <v>1539</v>
      </c>
      <c r="J81" s="266" t="s">
        <v>1540</v>
      </c>
      <c r="K81" s="266" t="s">
        <v>1541</v>
      </c>
    </row>
    <row r="82" spans="1:11" x14ac:dyDescent="0.3">
      <c r="A82" s="256">
        <v>1</v>
      </c>
      <c r="B82" s="257" t="s">
        <v>1200</v>
      </c>
      <c r="C82" s="276">
        <v>44470</v>
      </c>
      <c r="D82" s="257" t="s">
        <v>1352</v>
      </c>
      <c r="E82" s="256" t="s">
        <v>1571</v>
      </c>
      <c r="F82" s="256" t="s">
        <v>1631</v>
      </c>
      <c r="G82" s="258">
        <v>68234000000</v>
      </c>
      <c r="H82" s="265">
        <v>0.1</v>
      </c>
      <c r="I82" s="258">
        <v>6823400000</v>
      </c>
      <c r="J82" s="258">
        <v>75057400000</v>
      </c>
      <c r="K82" s="256" t="s">
        <v>1346</v>
      </c>
    </row>
    <row r="83" spans="1:11" x14ac:dyDescent="0.3">
      <c r="A83" s="256">
        <v>2</v>
      </c>
      <c r="B83" s="257" t="s">
        <v>1201</v>
      </c>
      <c r="C83" s="276">
        <v>44242</v>
      </c>
      <c r="D83" s="257" t="s">
        <v>1283</v>
      </c>
      <c r="E83" s="256" t="s">
        <v>1588</v>
      </c>
      <c r="F83" s="256" t="s">
        <v>1632</v>
      </c>
      <c r="G83" s="258">
        <v>45678000000</v>
      </c>
      <c r="H83" s="265">
        <v>0.1</v>
      </c>
      <c r="I83" s="258">
        <v>4567800000</v>
      </c>
      <c r="J83" s="258">
        <v>50245800000</v>
      </c>
      <c r="K83" s="256" t="s">
        <v>1346</v>
      </c>
    </row>
    <row r="84" spans="1:11" x14ac:dyDescent="0.3">
      <c r="A84" s="256">
        <v>3</v>
      </c>
      <c r="B84" s="257" t="s">
        <v>1202</v>
      </c>
      <c r="C84" s="276">
        <v>44275</v>
      </c>
      <c r="D84" s="257" t="s">
        <v>1384</v>
      </c>
      <c r="E84" s="256" t="s">
        <v>1565</v>
      </c>
      <c r="F84" s="256" t="s">
        <v>1631</v>
      </c>
      <c r="G84" s="258">
        <v>72345000000</v>
      </c>
      <c r="H84" s="265">
        <v>0.1</v>
      </c>
      <c r="I84" s="258">
        <v>7234500000</v>
      </c>
      <c r="J84" s="258">
        <v>79579500000</v>
      </c>
      <c r="K84" s="256" t="s">
        <v>1346</v>
      </c>
    </row>
    <row r="85" spans="1:11" x14ac:dyDescent="0.3">
      <c r="A85" s="256">
        <v>4</v>
      </c>
      <c r="B85" s="257" t="s">
        <v>1355</v>
      </c>
      <c r="C85" s="276">
        <v>44311</v>
      </c>
      <c r="D85" s="257" t="s">
        <v>1258</v>
      </c>
      <c r="E85" s="256" t="s">
        <v>351</v>
      </c>
      <c r="F85" s="256" t="s">
        <v>1632</v>
      </c>
      <c r="G85" s="258">
        <v>51234000000</v>
      </c>
      <c r="H85" s="265">
        <v>0.1</v>
      </c>
      <c r="I85" s="258">
        <v>5123400000</v>
      </c>
      <c r="J85" s="258">
        <v>56357400000</v>
      </c>
      <c r="K85" s="256" t="s">
        <v>1346</v>
      </c>
    </row>
    <row r="86" spans="1:11" x14ac:dyDescent="0.3">
      <c r="A86" s="256">
        <v>5</v>
      </c>
      <c r="B86" s="257" t="s">
        <v>1356</v>
      </c>
      <c r="C86" s="276">
        <v>44347</v>
      </c>
      <c r="D86" s="257" t="s">
        <v>1275</v>
      </c>
      <c r="E86" s="256" t="s">
        <v>1575</v>
      </c>
      <c r="F86" s="256" t="s">
        <v>1631</v>
      </c>
      <c r="G86" s="258">
        <v>65890000000</v>
      </c>
      <c r="H86" s="265">
        <v>0.1</v>
      </c>
      <c r="I86" s="258">
        <v>6589000000</v>
      </c>
      <c r="J86" s="258">
        <v>72479000000</v>
      </c>
      <c r="K86" s="256" t="s">
        <v>1346</v>
      </c>
    </row>
    <row r="87" spans="1:11" x14ac:dyDescent="0.3">
      <c r="A87" s="256">
        <v>6</v>
      </c>
      <c r="B87" s="257" t="s">
        <v>1358</v>
      </c>
      <c r="C87" s="276">
        <v>44476</v>
      </c>
      <c r="D87" s="257" t="s">
        <v>1428</v>
      </c>
      <c r="E87" s="256" t="s">
        <v>1557</v>
      </c>
      <c r="F87" s="256" t="s">
        <v>1632</v>
      </c>
      <c r="G87" s="258">
        <v>44567000000</v>
      </c>
      <c r="H87" s="265">
        <v>0.1</v>
      </c>
      <c r="I87" s="258">
        <v>4456700000</v>
      </c>
      <c r="J87" s="258">
        <v>49023700000</v>
      </c>
      <c r="K87" s="256" t="s">
        <v>1346</v>
      </c>
    </row>
    <row r="88" spans="1:11" x14ac:dyDescent="0.3">
      <c r="A88" s="256">
        <v>7</v>
      </c>
      <c r="B88" s="257" t="s">
        <v>1360</v>
      </c>
      <c r="C88" s="276">
        <v>44423</v>
      </c>
      <c r="D88" s="257" t="s">
        <v>1277</v>
      </c>
      <c r="E88" s="256" t="s">
        <v>1582</v>
      </c>
      <c r="F88" s="256" t="s">
        <v>1631</v>
      </c>
      <c r="G88" s="258">
        <v>78901000000</v>
      </c>
      <c r="H88" s="265">
        <v>0.1</v>
      </c>
      <c r="I88" s="258">
        <v>7890100000</v>
      </c>
      <c r="J88" s="258">
        <v>86791100000</v>
      </c>
      <c r="K88" s="256" t="s">
        <v>1346</v>
      </c>
    </row>
    <row r="89" spans="1:11" x14ac:dyDescent="0.3">
      <c r="A89" s="256">
        <v>8</v>
      </c>
      <c r="B89" s="257" t="s">
        <v>1362</v>
      </c>
      <c r="C89" s="276">
        <v>44459</v>
      </c>
      <c r="D89" s="257" t="s">
        <v>1262</v>
      </c>
      <c r="E89" s="256" t="s">
        <v>1556</v>
      </c>
      <c r="F89" s="256" t="s">
        <v>1633</v>
      </c>
      <c r="G89" s="258">
        <v>55678000000</v>
      </c>
      <c r="H89" s="265">
        <v>0.1</v>
      </c>
      <c r="I89" s="258">
        <v>5567800000</v>
      </c>
      <c r="J89" s="258">
        <v>61245800000</v>
      </c>
      <c r="K89" s="256" t="s">
        <v>1346</v>
      </c>
    </row>
    <row r="90" spans="1:11" x14ac:dyDescent="0.3">
      <c r="A90" s="256">
        <v>9</v>
      </c>
      <c r="B90" s="257" t="s">
        <v>1364</v>
      </c>
      <c r="C90" s="276">
        <v>44494</v>
      </c>
      <c r="D90" s="257" t="s">
        <v>1285</v>
      </c>
      <c r="E90" s="256" t="s">
        <v>1558</v>
      </c>
      <c r="F90" s="256" t="s">
        <v>1631</v>
      </c>
      <c r="G90" s="258">
        <v>70234000000</v>
      </c>
      <c r="H90" s="265">
        <v>0.1</v>
      </c>
      <c r="I90" s="258">
        <v>7023400000</v>
      </c>
      <c r="J90" s="258">
        <v>77257400000</v>
      </c>
      <c r="K90" s="256" t="s">
        <v>1346</v>
      </c>
    </row>
    <row r="91" spans="1:11" x14ac:dyDescent="0.3">
      <c r="A91" s="256">
        <v>10</v>
      </c>
      <c r="B91" s="257" t="s">
        <v>1366</v>
      </c>
      <c r="C91" s="276">
        <v>44531</v>
      </c>
      <c r="D91" s="257" t="s">
        <v>1435</v>
      </c>
      <c r="E91" s="256" t="s">
        <v>1577</v>
      </c>
      <c r="F91" s="256" t="s">
        <v>1632</v>
      </c>
      <c r="G91" s="258">
        <v>48901000000</v>
      </c>
      <c r="H91" s="265">
        <v>0.1</v>
      </c>
      <c r="I91" s="258">
        <v>4890100000</v>
      </c>
      <c r="J91" s="258">
        <v>53791100000</v>
      </c>
      <c r="K91" s="256" t="s">
        <v>1346</v>
      </c>
    </row>
    <row r="92" spans="1:11" x14ac:dyDescent="0.3">
      <c r="A92" s="256">
        <v>11</v>
      </c>
      <c r="B92" s="257" t="s">
        <v>1368</v>
      </c>
      <c r="C92" s="276">
        <v>44328</v>
      </c>
      <c r="D92" s="257" t="s">
        <v>1279</v>
      </c>
      <c r="E92" s="256" t="s">
        <v>1573</v>
      </c>
      <c r="F92" s="256" t="s">
        <v>1631</v>
      </c>
      <c r="G92" s="258">
        <v>68890000000</v>
      </c>
      <c r="H92" s="265">
        <v>0.1</v>
      </c>
      <c r="I92" s="258">
        <v>6889000000</v>
      </c>
      <c r="J92" s="258">
        <v>75779000000</v>
      </c>
      <c r="K92" s="256" t="s">
        <v>1346</v>
      </c>
    </row>
    <row r="93" spans="1:11" x14ac:dyDescent="0.3">
      <c r="A93" s="256">
        <v>12</v>
      </c>
      <c r="B93" s="257" t="s">
        <v>1371</v>
      </c>
      <c r="C93" s="276">
        <v>44470</v>
      </c>
      <c r="D93" s="257" t="s">
        <v>1260</v>
      </c>
      <c r="E93" s="256" t="s">
        <v>1585</v>
      </c>
      <c r="F93" s="256" t="s">
        <v>1633</v>
      </c>
      <c r="G93" s="258">
        <v>52345000000</v>
      </c>
      <c r="H93" s="265">
        <v>0.1</v>
      </c>
      <c r="I93" s="258">
        <v>5234500000</v>
      </c>
      <c r="J93" s="258">
        <v>57579500000</v>
      </c>
      <c r="K93" s="256" t="s">
        <v>1346</v>
      </c>
    </row>
    <row r="94" spans="1:11" x14ac:dyDescent="0.3">
      <c r="A94" s="256">
        <v>13</v>
      </c>
      <c r="B94" s="257" t="s">
        <v>1373</v>
      </c>
      <c r="C94" s="276">
        <v>44242</v>
      </c>
      <c r="D94" s="257" t="s">
        <v>1395</v>
      </c>
      <c r="E94" s="256" t="s">
        <v>1581</v>
      </c>
      <c r="F94" s="256" t="s">
        <v>1631</v>
      </c>
      <c r="G94" s="258">
        <v>74567000000</v>
      </c>
      <c r="H94" s="265">
        <v>0.1</v>
      </c>
      <c r="I94" s="258">
        <v>7456700000</v>
      </c>
      <c r="J94" s="258">
        <v>82023700000</v>
      </c>
      <c r="K94" s="256" t="s">
        <v>1346</v>
      </c>
    </row>
    <row r="95" spans="1:11" x14ac:dyDescent="0.3">
      <c r="A95" s="256">
        <v>14</v>
      </c>
      <c r="B95" s="257" t="s">
        <v>1374</v>
      </c>
      <c r="C95" s="276">
        <v>44275</v>
      </c>
      <c r="D95" s="257" t="s">
        <v>1281</v>
      </c>
      <c r="E95" s="256" t="s">
        <v>1559</v>
      </c>
      <c r="F95" s="256" t="s">
        <v>1632</v>
      </c>
      <c r="G95" s="258">
        <v>53456000000</v>
      </c>
      <c r="H95" s="265">
        <v>0.1</v>
      </c>
      <c r="I95" s="258">
        <v>5345600000</v>
      </c>
      <c r="J95" s="258">
        <v>58801600000</v>
      </c>
      <c r="K95" s="256" t="s">
        <v>1346</v>
      </c>
    </row>
    <row r="96" spans="1:11" x14ac:dyDescent="0.3">
      <c r="A96" s="256">
        <v>15</v>
      </c>
      <c r="B96" s="257" t="s">
        <v>1376</v>
      </c>
      <c r="C96" s="276">
        <v>44311</v>
      </c>
      <c r="D96" s="257" t="s">
        <v>1282</v>
      </c>
      <c r="E96" s="256" t="s">
        <v>1580</v>
      </c>
      <c r="F96" s="256" t="s">
        <v>1631</v>
      </c>
      <c r="G96" s="258">
        <v>67890000000</v>
      </c>
      <c r="H96" s="265">
        <v>0.1</v>
      </c>
      <c r="I96" s="258">
        <v>6789000000</v>
      </c>
      <c r="J96" s="258">
        <v>74679000000</v>
      </c>
      <c r="K96" s="256" t="s">
        <v>1346</v>
      </c>
    </row>
    <row r="97" spans="1:11" x14ac:dyDescent="0.3">
      <c r="A97" s="256">
        <v>16</v>
      </c>
      <c r="B97" s="257" t="s">
        <v>1378</v>
      </c>
      <c r="C97" s="276">
        <v>44347</v>
      </c>
      <c r="D97" s="257" t="s">
        <v>1274</v>
      </c>
      <c r="E97" s="256" t="s">
        <v>1592</v>
      </c>
      <c r="F97" s="256" t="s">
        <v>1633</v>
      </c>
      <c r="G97" s="258">
        <v>58901000000</v>
      </c>
      <c r="H97" s="265">
        <v>0.1</v>
      </c>
      <c r="I97" s="258">
        <v>5890100000</v>
      </c>
      <c r="J97" s="258">
        <v>64791100000</v>
      </c>
      <c r="K97" s="256" t="s">
        <v>1346</v>
      </c>
    </row>
    <row r="98" spans="1:11" x14ac:dyDescent="0.3">
      <c r="A98" s="256">
        <v>17</v>
      </c>
      <c r="B98" s="257" t="s">
        <v>1379</v>
      </c>
      <c r="C98" s="276">
        <v>44475</v>
      </c>
      <c r="D98" s="257" t="s">
        <v>1280</v>
      </c>
      <c r="E98" s="256" t="s">
        <v>618</v>
      </c>
      <c r="F98" s="256" t="s">
        <v>1631</v>
      </c>
      <c r="G98" s="258">
        <v>71234000000</v>
      </c>
      <c r="H98" s="265">
        <v>0.1</v>
      </c>
      <c r="I98" s="258">
        <v>7123400000</v>
      </c>
      <c r="J98" s="258">
        <v>78357400000</v>
      </c>
      <c r="K98" s="256" t="s">
        <v>1346</v>
      </c>
    </row>
    <row r="99" spans="1:11" x14ac:dyDescent="0.3">
      <c r="A99" s="256">
        <v>18</v>
      </c>
      <c r="B99" s="257" t="s">
        <v>1381</v>
      </c>
      <c r="C99" s="276">
        <v>44392</v>
      </c>
      <c r="D99" s="257" t="s">
        <v>1267</v>
      </c>
      <c r="E99" s="256" t="s">
        <v>1560</v>
      </c>
      <c r="F99" s="256" t="s">
        <v>1632</v>
      </c>
      <c r="G99" s="258">
        <v>50234000000</v>
      </c>
      <c r="H99" s="265">
        <v>0.1</v>
      </c>
      <c r="I99" s="258">
        <v>5023400000</v>
      </c>
      <c r="J99" s="258">
        <v>55257400000</v>
      </c>
      <c r="K99" s="256" t="s">
        <v>1346</v>
      </c>
    </row>
    <row r="100" spans="1:11" x14ac:dyDescent="0.3">
      <c r="A100" s="256">
        <v>19</v>
      </c>
      <c r="B100" s="257" t="s">
        <v>1382</v>
      </c>
      <c r="C100" s="276">
        <v>44428</v>
      </c>
      <c r="D100" s="257" t="s">
        <v>1416</v>
      </c>
      <c r="E100" s="256" t="s">
        <v>1562</v>
      </c>
      <c r="F100" s="256" t="s">
        <v>1631</v>
      </c>
      <c r="G100" s="258">
        <v>69890000000</v>
      </c>
      <c r="H100" s="265">
        <v>0.1</v>
      </c>
      <c r="I100" s="258">
        <v>6989000000</v>
      </c>
      <c r="J100" s="258">
        <v>76879000000</v>
      </c>
      <c r="K100" s="256" t="s">
        <v>1346</v>
      </c>
    </row>
    <row r="101" spans="1:11" x14ac:dyDescent="0.3">
      <c r="A101" s="256">
        <v>20</v>
      </c>
      <c r="B101" s="257" t="s">
        <v>1383</v>
      </c>
      <c r="C101" s="276">
        <v>44464</v>
      </c>
      <c r="D101" s="257" t="s">
        <v>1284</v>
      </c>
      <c r="E101" s="256" t="s">
        <v>1552</v>
      </c>
      <c r="F101" s="256" t="s">
        <v>1633</v>
      </c>
      <c r="G101" s="258">
        <v>54567000000</v>
      </c>
      <c r="H101" s="265">
        <v>0.1</v>
      </c>
      <c r="I101" s="258">
        <v>5456700000</v>
      </c>
      <c r="J101" s="258">
        <v>60023700000</v>
      </c>
      <c r="K101" s="256" t="s">
        <v>1346</v>
      </c>
    </row>
    <row r="102" spans="1:11" x14ac:dyDescent="0.3">
      <c r="A102" s="256">
        <v>21</v>
      </c>
      <c r="B102" s="257" t="s">
        <v>1203</v>
      </c>
      <c r="C102" s="276">
        <v>44500</v>
      </c>
      <c r="D102" s="257" t="s">
        <v>1264</v>
      </c>
      <c r="E102" s="256" t="s">
        <v>1584</v>
      </c>
      <c r="F102" s="256" t="s">
        <v>1631</v>
      </c>
      <c r="G102" s="258">
        <v>73456000000</v>
      </c>
      <c r="H102" s="265">
        <v>0.1</v>
      </c>
      <c r="I102" s="258">
        <v>7345600000</v>
      </c>
      <c r="J102" s="258">
        <v>80801600000</v>
      </c>
      <c r="K102" s="256" t="s">
        <v>1346</v>
      </c>
    </row>
    <row r="103" spans="1:11" x14ac:dyDescent="0.3">
      <c r="A103" s="256">
        <v>22</v>
      </c>
      <c r="B103" s="257" t="s">
        <v>1204</v>
      </c>
      <c r="C103" s="276">
        <v>44480</v>
      </c>
      <c r="D103" s="257" t="s">
        <v>1261</v>
      </c>
      <c r="E103" s="256" t="s">
        <v>1572</v>
      </c>
      <c r="F103" s="256" t="s">
        <v>1632</v>
      </c>
      <c r="G103" s="258">
        <v>52890000000</v>
      </c>
      <c r="H103" s="265">
        <v>0.1</v>
      </c>
      <c r="I103" s="258">
        <v>5289000000</v>
      </c>
      <c r="J103" s="258">
        <v>58179000000</v>
      </c>
      <c r="K103" s="256" t="s">
        <v>1346</v>
      </c>
    </row>
    <row r="104" spans="1:11" x14ac:dyDescent="0.3">
      <c r="A104" s="256">
        <v>23</v>
      </c>
      <c r="B104" s="257" t="s">
        <v>1205</v>
      </c>
      <c r="C104" s="276">
        <v>44545</v>
      </c>
      <c r="D104" s="257" t="s">
        <v>1352</v>
      </c>
      <c r="E104" s="256" t="s">
        <v>1571</v>
      </c>
      <c r="F104" s="256" t="s">
        <v>1631</v>
      </c>
      <c r="G104" s="258">
        <v>68234000000</v>
      </c>
      <c r="H104" s="265">
        <v>0.1</v>
      </c>
      <c r="I104" s="258">
        <v>6823400000</v>
      </c>
      <c r="J104" s="258">
        <v>75057400000</v>
      </c>
      <c r="K104" s="256" t="s">
        <v>1346</v>
      </c>
    </row>
    <row r="105" spans="1:11" x14ac:dyDescent="0.3">
      <c r="A105" s="256">
        <v>24</v>
      </c>
      <c r="B105" s="257" t="s">
        <v>1385</v>
      </c>
      <c r="C105" s="276">
        <v>44216</v>
      </c>
      <c r="D105" s="257" t="s">
        <v>1272</v>
      </c>
      <c r="E105" s="256" t="s">
        <v>540</v>
      </c>
      <c r="F105" s="256" t="s">
        <v>1633</v>
      </c>
      <c r="G105" s="258">
        <v>57234000000</v>
      </c>
      <c r="H105" s="265">
        <v>0.1</v>
      </c>
      <c r="I105" s="258">
        <v>5723400000</v>
      </c>
      <c r="J105" s="258">
        <v>62957400000</v>
      </c>
      <c r="K105" s="256" t="s">
        <v>1346</v>
      </c>
    </row>
    <row r="106" spans="1:11" x14ac:dyDescent="0.3">
      <c r="A106" s="256">
        <v>25</v>
      </c>
      <c r="B106" s="257" t="s">
        <v>1387</v>
      </c>
      <c r="C106" s="276">
        <v>44252</v>
      </c>
      <c r="D106" s="257" t="s">
        <v>1257</v>
      </c>
      <c r="E106" s="256" t="s">
        <v>1574</v>
      </c>
      <c r="F106" s="256" t="s">
        <v>1631</v>
      </c>
      <c r="G106" s="258">
        <v>70890000000</v>
      </c>
      <c r="H106" s="265">
        <v>0.1</v>
      </c>
      <c r="I106" s="258">
        <v>7089000000</v>
      </c>
      <c r="J106" s="258">
        <v>77979000000</v>
      </c>
      <c r="K106" s="256" t="s">
        <v>1346</v>
      </c>
    </row>
    <row r="107" spans="1:11" x14ac:dyDescent="0.3">
      <c r="A107" s="256">
        <v>26</v>
      </c>
      <c r="B107" s="257" t="s">
        <v>1388</v>
      </c>
      <c r="C107" s="276">
        <v>44286</v>
      </c>
      <c r="D107" s="257" t="s">
        <v>1265</v>
      </c>
      <c r="E107" s="256" t="s">
        <v>1583</v>
      </c>
      <c r="F107" s="256" t="s">
        <v>1632</v>
      </c>
      <c r="G107" s="258">
        <v>55678000000</v>
      </c>
      <c r="H107" s="265">
        <v>0.1</v>
      </c>
      <c r="I107" s="258">
        <v>5567800000</v>
      </c>
      <c r="J107" s="258">
        <v>61245800000</v>
      </c>
      <c r="K107" s="256" t="s">
        <v>1346</v>
      </c>
    </row>
    <row r="108" spans="1:11" x14ac:dyDescent="0.3">
      <c r="A108" s="256">
        <v>27</v>
      </c>
      <c r="B108" s="257" t="s">
        <v>1391</v>
      </c>
      <c r="C108" s="276">
        <v>44473</v>
      </c>
      <c r="D108" s="257" t="s">
        <v>1278</v>
      </c>
      <c r="E108" s="256" t="s">
        <v>1593</v>
      </c>
      <c r="F108" s="256" t="s">
        <v>1631</v>
      </c>
      <c r="G108" s="258">
        <v>75234000000</v>
      </c>
      <c r="H108" s="265">
        <v>0.1</v>
      </c>
      <c r="I108" s="258">
        <v>7523400000</v>
      </c>
      <c r="J108" s="258">
        <v>82757400000</v>
      </c>
      <c r="K108" s="256" t="s">
        <v>1346</v>
      </c>
    </row>
    <row r="109" spans="1:11" x14ac:dyDescent="0.3">
      <c r="A109" s="256">
        <v>28</v>
      </c>
      <c r="B109" s="257" t="s">
        <v>1392</v>
      </c>
      <c r="C109" s="276">
        <v>44331</v>
      </c>
      <c r="D109" s="257" t="s">
        <v>1263</v>
      </c>
      <c r="E109" s="256" t="s">
        <v>1579</v>
      </c>
      <c r="F109" s="256" t="s">
        <v>1633</v>
      </c>
      <c r="G109" s="258">
        <v>60234000000</v>
      </c>
      <c r="H109" s="265">
        <v>0.1</v>
      </c>
      <c r="I109" s="258">
        <v>6023400000</v>
      </c>
      <c r="J109" s="258">
        <v>66257400000</v>
      </c>
      <c r="K109" s="256" t="s">
        <v>1346</v>
      </c>
    </row>
    <row r="110" spans="1:11" x14ac:dyDescent="0.3">
      <c r="A110" s="256">
        <v>29</v>
      </c>
      <c r="B110" s="257" t="s">
        <v>1394</v>
      </c>
      <c r="C110" s="276">
        <v>44367</v>
      </c>
      <c r="D110" s="257" t="s">
        <v>1275</v>
      </c>
      <c r="E110" s="256" t="s">
        <v>1575</v>
      </c>
      <c r="F110" s="256" t="s">
        <v>1631</v>
      </c>
      <c r="G110" s="258">
        <v>72890000000</v>
      </c>
      <c r="H110" s="265">
        <v>0.1</v>
      </c>
      <c r="I110" s="258">
        <v>7289000000</v>
      </c>
      <c r="J110" s="258">
        <v>80179000000</v>
      </c>
      <c r="K110" s="256" t="s">
        <v>1346</v>
      </c>
    </row>
    <row r="111" spans="1:11" x14ac:dyDescent="0.3">
      <c r="A111" s="256">
        <v>30</v>
      </c>
      <c r="B111" s="257" t="s">
        <v>1396</v>
      </c>
      <c r="C111" s="276">
        <v>44402</v>
      </c>
      <c r="D111" s="257" t="s">
        <v>1389</v>
      </c>
      <c r="E111" s="256" t="s">
        <v>1555</v>
      </c>
      <c r="F111" s="256" t="s">
        <v>1632</v>
      </c>
      <c r="G111" s="258">
        <v>54234000000</v>
      </c>
      <c r="H111" s="265">
        <v>0.1</v>
      </c>
      <c r="I111" s="258">
        <v>5423400000</v>
      </c>
      <c r="J111" s="258">
        <v>59657400000</v>
      </c>
      <c r="K111" s="256" t="s">
        <v>1346</v>
      </c>
    </row>
    <row r="112" spans="1:11" x14ac:dyDescent="0.3">
      <c r="A112" s="256">
        <v>31</v>
      </c>
      <c r="B112" s="257" t="s">
        <v>1397</v>
      </c>
      <c r="C112" s="276">
        <v>44439</v>
      </c>
      <c r="D112" s="257" t="s">
        <v>1428</v>
      </c>
      <c r="E112" s="256" t="s">
        <v>1557</v>
      </c>
      <c r="F112" s="256" t="s">
        <v>1631</v>
      </c>
      <c r="G112" s="258">
        <v>71234000000</v>
      </c>
      <c r="H112" s="265">
        <v>0.1</v>
      </c>
      <c r="I112" s="258">
        <v>7123400000</v>
      </c>
      <c r="J112" s="258">
        <v>78357400000</v>
      </c>
      <c r="K112" s="256" t="s">
        <v>1346</v>
      </c>
    </row>
    <row r="113" spans="1:11" x14ac:dyDescent="0.3">
      <c r="A113" s="256">
        <v>32</v>
      </c>
      <c r="B113" s="257" t="s">
        <v>1398</v>
      </c>
      <c r="C113" s="276">
        <v>44478</v>
      </c>
      <c r="D113" s="257" t="s">
        <v>1285</v>
      </c>
      <c r="E113" s="256" t="s">
        <v>1558</v>
      </c>
      <c r="F113" s="256" t="s">
        <v>1633</v>
      </c>
      <c r="G113" s="258">
        <v>58901000000</v>
      </c>
      <c r="H113" s="265">
        <v>0.1</v>
      </c>
      <c r="I113" s="258">
        <v>5890100000</v>
      </c>
      <c r="J113" s="258">
        <v>64791100000</v>
      </c>
      <c r="K113" s="256" t="s">
        <v>1346</v>
      </c>
    </row>
    <row r="114" spans="1:11" x14ac:dyDescent="0.3">
      <c r="A114" s="256">
        <v>33</v>
      </c>
      <c r="B114" s="257" t="s">
        <v>1399</v>
      </c>
      <c r="C114" s="276">
        <v>44484</v>
      </c>
      <c r="D114" s="257" t="s">
        <v>1260</v>
      </c>
      <c r="E114" s="256" t="s">
        <v>1585</v>
      </c>
      <c r="F114" s="256" t="s">
        <v>1631</v>
      </c>
      <c r="G114" s="258">
        <v>69890000000</v>
      </c>
      <c r="H114" s="265">
        <v>0.1</v>
      </c>
      <c r="I114" s="258">
        <v>6989000000</v>
      </c>
      <c r="J114" s="258">
        <v>76879000000</v>
      </c>
      <c r="K114" s="256" t="s">
        <v>1346</v>
      </c>
    </row>
    <row r="115" spans="1:11" x14ac:dyDescent="0.3">
      <c r="A115" s="256">
        <v>34</v>
      </c>
      <c r="B115" s="257" t="s">
        <v>1401</v>
      </c>
      <c r="C115" s="276">
        <v>44520</v>
      </c>
      <c r="D115" s="257" t="s">
        <v>1395</v>
      </c>
      <c r="E115" s="256" t="s">
        <v>1581</v>
      </c>
      <c r="F115" s="256" t="s">
        <v>1632</v>
      </c>
      <c r="G115" s="258">
        <v>51890000000</v>
      </c>
      <c r="H115" s="265">
        <v>0.1</v>
      </c>
      <c r="I115" s="258">
        <v>5189000000</v>
      </c>
      <c r="J115" s="258">
        <v>57079000000</v>
      </c>
      <c r="K115" s="256" t="s">
        <v>1346</v>
      </c>
    </row>
    <row r="116" spans="1:11" x14ac:dyDescent="0.3">
      <c r="A116" s="256">
        <v>35</v>
      </c>
      <c r="B116" s="257" t="s">
        <v>1402</v>
      </c>
      <c r="C116" s="276">
        <v>44555</v>
      </c>
      <c r="D116" s="257" t="s">
        <v>1277</v>
      </c>
      <c r="E116" s="256" t="s">
        <v>1582</v>
      </c>
      <c r="F116" s="256" t="s">
        <v>1631</v>
      </c>
      <c r="G116" s="258">
        <v>74890000000</v>
      </c>
      <c r="H116" s="265">
        <v>0.1</v>
      </c>
      <c r="I116" s="258">
        <v>7489000000</v>
      </c>
      <c r="J116" s="258">
        <v>82379000000</v>
      </c>
      <c r="K116" s="256" t="s">
        <v>1346</v>
      </c>
    </row>
    <row r="117" spans="1:11" x14ac:dyDescent="0.3">
      <c r="A117" s="256">
        <v>36</v>
      </c>
      <c r="B117" s="257" t="s">
        <v>1403</v>
      </c>
      <c r="C117" s="276">
        <v>44227</v>
      </c>
      <c r="D117" s="257" t="s">
        <v>1266</v>
      </c>
      <c r="E117" s="256" t="s">
        <v>1570</v>
      </c>
      <c r="F117" s="256" t="s">
        <v>1633</v>
      </c>
      <c r="G117" s="258">
        <v>62345000000</v>
      </c>
      <c r="H117" s="265">
        <v>0.1</v>
      </c>
      <c r="I117" s="258">
        <v>6234500000</v>
      </c>
      <c r="J117" s="258">
        <v>68579500000</v>
      </c>
      <c r="K117" s="256" t="s">
        <v>1346</v>
      </c>
    </row>
    <row r="118" spans="1:11" x14ac:dyDescent="0.3">
      <c r="A118" s="256">
        <v>37</v>
      </c>
      <c r="B118" s="257" t="s">
        <v>1404</v>
      </c>
      <c r="C118" s="276">
        <v>44255</v>
      </c>
      <c r="D118" s="257" t="s">
        <v>1283</v>
      </c>
      <c r="E118" s="256" t="s">
        <v>1588</v>
      </c>
      <c r="F118" s="256" t="s">
        <v>1631</v>
      </c>
      <c r="G118" s="258">
        <v>76234000000</v>
      </c>
      <c r="H118" s="265">
        <v>0.1</v>
      </c>
      <c r="I118" s="258">
        <v>7623400000</v>
      </c>
      <c r="J118" s="258">
        <v>83857400000</v>
      </c>
      <c r="K118" s="256" t="s">
        <v>1346</v>
      </c>
    </row>
    <row r="119" spans="1:11" x14ac:dyDescent="0.3">
      <c r="A119" s="256">
        <v>38</v>
      </c>
      <c r="B119" s="257" t="s">
        <v>1405</v>
      </c>
      <c r="C119" s="276">
        <v>44286</v>
      </c>
      <c r="D119" s="257" t="s">
        <v>1259</v>
      </c>
      <c r="E119" s="256" t="s">
        <v>1569</v>
      </c>
      <c r="F119" s="256" t="s">
        <v>1632</v>
      </c>
      <c r="G119" s="258">
        <v>55234000000</v>
      </c>
      <c r="H119" s="265">
        <v>0.1</v>
      </c>
      <c r="I119" s="258">
        <v>5523400000</v>
      </c>
      <c r="J119" s="258">
        <v>60757400000</v>
      </c>
      <c r="K119" s="256" t="s">
        <v>1346</v>
      </c>
    </row>
    <row r="120" spans="1:11" x14ac:dyDescent="0.3">
      <c r="A120" s="256">
        <v>39</v>
      </c>
      <c r="B120" s="257" t="s">
        <v>1406</v>
      </c>
      <c r="C120" s="276">
        <v>44316</v>
      </c>
      <c r="D120" s="257" t="s">
        <v>1281</v>
      </c>
      <c r="E120" s="256" t="s">
        <v>1559</v>
      </c>
      <c r="F120" s="256" t="s">
        <v>1631</v>
      </c>
      <c r="G120" s="258">
        <v>72234000000</v>
      </c>
      <c r="H120" s="265">
        <v>0.1</v>
      </c>
      <c r="I120" s="258">
        <v>7223400000</v>
      </c>
      <c r="J120" s="258">
        <v>79457400000</v>
      </c>
      <c r="K120" s="256" t="s">
        <v>1346</v>
      </c>
    </row>
    <row r="121" spans="1:11" x14ac:dyDescent="0.3">
      <c r="A121" s="256">
        <v>40</v>
      </c>
      <c r="B121" s="257" t="s">
        <v>1408</v>
      </c>
      <c r="C121" s="276">
        <v>44347</v>
      </c>
      <c r="D121" s="257" t="s">
        <v>1273</v>
      </c>
      <c r="E121" s="256" t="s">
        <v>1567</v>
      </c>
      <c r="F121" s="256" t="s">
        <v>1633</v>
      </c>
      <c r="G121" s="258">
        <v>65234000000</v>
      </c>
      <c r="H121" s="265">
        <v>0.1</v>
      </c>
      <c r="I121" s="258">
        <v>6523400000</v>
      </c>
      <c r="J121" s="258">
        <v>71757400000</v>
      </c>
      <c r="K121" s="256" t="s">
        <v>1346</v>
      </c>
    </row>
    <row r="122" spans="1:11" x14ac:dyDescent="0.3">
      <c r="A122" s="256">
        <v>41</v>
      </c>
      <c r="B122" s="257" t="s">
        <v>1409</v>
      </c>
      <c r="C122" s="276">
        <v>44377</v>
      </c>
      <c r="D122" s="257" t="s">
        <v>1282</v>
      </c>
      <c r="E122" s="256" t="s">
        <v>1580</v>
      </c>
      <c r="F122" s="256" t="s">
        <v>1631</v>
      </c>
      <c r="G122" s="258">
        <v>71890000000</v>
      </c>
      <c r="H122" s="265">
        <v>0.1</v>
      </c>
      <c r="I122" s="258">
        <v>7189000000</v>
      </c>
      <c r="J122" s="258">
        <v>79079000000</v>
      </c>
      <c r="K122" s="256" t="s">
        <v>1346</v>
      </c>
    </row>
    <row r="123" spans="1:11" x14ac:dyDescent="0.3">
      <c r="A123" s="256">
        <v>42</v>
      </c>
      <c r="B123" s="257" t="s">
        <v>1411</v>
      </c>
      <c r="C123" s="276">
        <v>44408</v>
      </c>
      <c r="D123" s="257" t="s">
        <v>1267</v>
      </c>
      <c r="E123" s="256" t="s">
        <v>1560</v>
      </c>
      <c r="F123" s="256" t="s">
        <v>1632</v>
      </c>
      <c r="G123" s="258">
        <v>52345000000</v>
      </c>
      <c r="H123" s="265">
        <v>0.1</v>
      </c>
      <c r="I123" s="258">
        <v>5234500000</v>
      </c>
      <c r="J123" s="258">
        <v>57579500000</v>
      </c>
      <c r="K123" s="256" t="s">
        <v>1346</v>
      </c>
    </row>
    <row r="124" spans="1:11" x14ac:dyDescent="0.3">
      <c r="A124" s="256">
        <v>43</v>
      </c>
      <c r="B124" s="257" t="s">
        <v>1414</v>
      </c>
      <c r="C124" s="276">
        <v>44439</v>
      </c>
      <c r="D124" s="257" t="s">
        <v>1416</v>
      </c>
      <c r="E124" s="256" t="s">
        <v>1562</v>
      </c>
      <c r="F124" s="256" t="s">
        <v>1631</v>
      </c>
      <c r="G124" s="258">
        <v>75678000000</v>
      </c>
      <c r="H124" s="265">
        <v>0.1</v>
      </c>
      <c r="I124" s="258">
        <v>7567800000</v>
      </c>
      <c r="J124" s="258">
        <v>83245800000</v>
      </c>
      <c r="K124" s="256" t="s">
        <v>1346</v>
      </c>
    </row>
    <row r="125" spans="1:11" x14ac:dyDescent="0.3">
      <c r="A125" s="256">
        <v>44</v>
      </c>
      <c r="B125" s="257" t="s">
        <v>1415</v>
      </c>
      <c r="C125" s="276">
        <v>44469</v>
      </c>
      <c r="D125" s="257" t="s">
        <v>1279</v>
      </c>
      <c r="E125" s="256" t="s">
        <v>1573</v>
      </c>
      <c r="F125" s="256" t="s">
        <v>1633</v>
      </c>
      <c r="G125" s="258">
        <v>63456000000</v>
      </c>
      <c r="H125" s="265">
        <v>0.1</v>
      </c>
      <c r="I125" s="258">
        <v>6345600000</v>
      </c>
      <c r="J125" s="258">
        <v>69801600000</v>
      </c>
      <c r="K125" s="256" t="s">
        <v>1346</v>
      </c>
    </row>
    <row r="126" spans="1:11" x14ac:dyDescent="0.3">
      <c r="A126" s="256">
        <v>45</v>
      </c>
      <c r="B126" s="257" t="s">
        <v>1206</v>
      </c>
      <c r="C126" s="276">
        <v>44500</v>
      </c>
      <c r="D126" s="257" t="s">
        <v>1261</v>
      </c>
      <c r="E126" s="256" t="s">
        <v>1572</v>
      </c>
      <c r="F126" s="256" t="s">
        <v>1631</v>
      </c>
      <c r="G126" s="258">
        <v>72890000000</v>
      </c>
      <c r="H126" s="265">
        <v>0.1</v>
      </c>
      <c r="I126" s="258">
        <v>7289000000</v>
      </c>
      <c r="J126" s="258">
        <v>80179000000</v>
      </c>
      <c r="K126" s="256" t="s">
        <v>1346</v>
      </c>
    </row>
    <row r="127" spans="1:11" x14ac:dyDescent="0.3">
      <c r="A127" s="256">
        <v>46</v>
      </c>
      <c r="B127" s="257" t="s">
        <v>1207</v>
      </c>
      <c r="C127" s="276">
        <v>44530</v>
      </c>
      <c r="D127" s="257" t="s">
        <v>1352</v>
      </c>
      <c r="E127" s="256" t="s">
        <v>1571</v>
      </c>
      <c r="F127" s="256" t="s">
        <v>1632</v>
      </c>
      <c r="G127" s="258">
        <v>54890000000</v>
      </c>
      <c r="H127" s="265">
        <v>0.1</v>
      </c>
      <c r="I127" s="258">
        <v>5489000000</v>
      </c>
      <c r="J127" s="258">
        <v>60379000000</v>
      </c>
      <c r="K127" s="256" t="s">
        <v>1346</v>
      </c>
    </row>
    <row r="128" spans="1:11" x14ac:dyDescent="0.3">
      <c r="A128" s="256">
        <v>47</v>
      </c>
      <c r="B128" s="257" t="s">
        <v>1208</v>
      </c>
      <c r="C128" s="276">
        <v>44561</v>
      </c>
      <c r="D128" s="257" t="s">
        <v>1272</v>
      </c>
      <c r="E128" s="256" t="s">
        <v>540</v>
      </c>
      <c r="F128" s="256" t="s">
        <v>1631</v>
      </c>
      <c r="G128" s="258">
        <v>77234000000</v>
      </c>
      <c r="H128" s="265">
        <v>0.1</v>
      </c>
      <c r="I128" s="258">
        <v>7723400000</v>
      </c>
      <c r="J128" s="258">
        <v>84957400000</v>
      </c>
      <c r="K128" s="256" t="s">
        <v>1346</v>
      </c>
    </row>
    <row r="129" spans="1:11" x14ac:dyDescent="0.3">
      <c r="A129" s="256">
        <v>48</v>
      </c>
      <c r="B129" s="257" t="s">
        <v>1209</v>
      </c>
      <c r="C129" s="276">
        <v>44561</v>
      </c>
      <c r="D129" s="257" t="s">
        <v>1284</v>
      </c>
      <c r="E129" s="256" t="s">
        <v>1552</v>
      </c>
      <c r="F129" s="256" t="s">
        <v>1633</v>
      </c>
      <c r="G129" s="258">
        <v>66789000000</v>
      </c>
      <c r="H129" s="265">
        <v>0.1</v>
      </c>
      <c r="I129" s="258">
        <v>6678900000</v>
      </c>
      <c r="J129" s="258">
        <v>73467900000</v>
      </c>
      <c r="K129" s="256" t="s">
        <v>1346</v>
      </c>
    </row>
    <row r="130" spans="1:11" x14ac:dyDescent="0.3">
      <c r="A130" s="256">
        <v>49</v>
      </c>
      <c r="B130" s="257" t="s">
        <v>1418</v>
      </c>
      <c r="C130" s="276">
        <v>44561</v>
      </c>
      <c r="D130" s="257" t="s">
        <v>1280</v>
      </c>
      <c r="E130" s="256" t="s">
        <v>618</v>
      </c>
      <c r="F130" s="256" t="s">
        <v>1631</v>
      </c>
      <c r="G130" s="258">
        <v>74234000000</v>
      </c>
      <c r="H130" s="265">
        <v>0.1</v>
      </c>
      <c r="I130" s="258">
        <v>7423400000</v>
      </c>
      <c r="J130" s="258">
        <v>81657400000</v>
      </c>
      <c r="K130" s="256" t="s">
        <v>1346</v>
      </c>
    </row>
    <row r="131" spans="1:11" x14ac:dyDescent="0.3">
      <c r="A131" s="256">
        <v>50</v>
      </c>
      <c r="B131" s="257" t="s">
        <v>1419</v>
      </c>
      <c r="C131" s="276">
        <v>44561</v>
      </c>
      <c r="D131" s="257" t="s">
        <v>1264</v>
      </c>
      <c r="E131" s="256" t="s">
        <v>1584</v>
      </c>
      <c r="F131" s="256" t="s">
        <v>1632</v>
      </c>
      <c r="G131" s="258">
        <v>56789000000</v>
      </c>
      <c r="H131" s="265">
        <v>0.1</v>
      </c>
      <c r="I131" s="258">
        <v>5678900000</v>
      </c>
      <c r="J131" s="258">
        <v>62467900000</v>
      </c>
      <c r="K131" s="256" t="s">
        <v>1346</v>
      </c>
    </row>
    <row r="132" spans="1:11" x14ac:dyDescent="0.3">
      <c r="A132" s="266" t="s">
        <v>1351</v>
      </c>
      <c r="B132" s="266"/>
      <c r="C132" s="266"/>
      <c r="D132" s="266"/>
      <c r="E132" s="266"/>
      <c r="F132" s="266"/>
      <c r="G132" s="267">
        <f>SUM(G82:G131)</f>
        <v>3188891000000</v>
      </c>
      <c r="H132" s="266"/>
      <c r="I132" s="267">
        <f>SUM(I82:I131)</f>
        <v>318889100000</v>
      </c>
      <c r="J132" s="267">
        <f>SUM(J82:J131)</f>
        <v>3507780100000</v>
      </c>
      <c r="K132" s="26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417</v>
      </c>
      <c r="C1" s="256"/>
      <c r="D1" s="256"/>
      <c r="E1" s="256"/>
      <c r="F1" s="256"/>
      <c r="G1" s="256"/>
      <c r="H1" s="256"/>
      <c r="I1" s="256"/>
      <c r="J1" s="256"/>
      <c r="K1" s="256"/>
    </row>
    <row r="2" spans="1:11" x14ac:dyDescent="0.3">
      <c r="A2" s="256" t="s">
        <v>1339</v>
      </c>
      <c r="B2" s="257">
        <v>100902202</v>
      </c>
      <c r="C2" s="256"/>
      <c r="D2" s="256"/>
      <c r="E2" s="256"/>
      <c r="F2" s="256"/>
      <c r="G2" s="256"/>
      <c r="H2" s="256"/>
      <c r="I2" s="256"/>
      <c r="J2" s="256"/>
      <c r="K2" s="256"/>
    </row>
    <row r="3" spans="1:11" x14ac:dyDescent="0.3">
      <c r="A3" s="256" t="s">
        <v>1343</v>
      </c>
      <c r="B3" s="258">
        <v>678637161237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1200</v>
      </c>
      <c r="C8" s="276">
        <v>44470</v>
      </c>
      <c r="D8" s="257" t="s">
        <v>1276</v>
      </c>
      <c r="E8" s="256" t="s">
        <v>578</v>
      </c>
      <c r="F8" s="256" t="s">
        <v>1616</v>
      </c>
      <c r="G8" s="258">
        <v>8219000000</v>
      </c>
      <c r="H8" s="265">
        <v>0.1</v>
      </c>
      <c r="I8" s="258">
        <v>821900000</v>
      </c>
      <c r="J8" s="258">
        <v>9040900000</v>
      </c>
      <c r="K8" s="256" t="s">
        <v>1346</v>
      </c>
    </row>
    <row r="9" spans="1:11" x14ac:dyDescent="0.3">
      <c r="A9" s="256">
        <v>2</v>
      </c>
      <c r="B9" s="257" t="s">
        <v>1200</v>
      </c>
      <c r="C9" s="276">
        <v>44470</v>
      </c>
      <c r="D9" s="257" t="s">
        <v>1333</v>
      </c>
      <c r="E9" s="256" t="s">
        <v>1134</v>
      </c>
      <c r="F9" s="256" t="s">
        <v>1548</v>
      </c>
      <c r="G9" s="258">
        <v>6174000000</v>
      </c>
      <c r="H9" s="265">
        <v>0.1</v>
      </c>
      <c r="I9" s="258">
        <v>617400000</v>
      </c>
      <c r="J9" s="258">
        <v>6791400000</v>
      </c>
      <c r="K9" s="256" t="s">
        <v>1346</v>
      </c>
    </row>
    <row r="10" spans="1:11" x14ac:dyDescent="0.3">
      <c r="A10" s="256">
        <v>3</v>
      </c>
      <c r="B10" s="257" t="s">
        <v>1200</v>
      </c>
      <c r="C10" s="276">
        <v>44471</v>
      </c>
      <c r="D10" s="257" t="s">
        <v>1255</v>
      </c>
      <c r="E10" s="256" t="s">
        <v>323</v>
      </c>
      <c r="F10" s="256" t="s">
        <v>1618</v>
      </c>
      <c r="G10" s="258">
        <v>9846000000</v>
      </c>
      <c r="H10" s="265">
        <v>0.1</v>
      </c>
      <c r="I10" s="258">
        <v>984600000</v>
      </c>
      <c r="J10" s="258">
        <v>10830600000</v>
      </c>
      <c r="K10" s="256" t="s">
        <v>1346</v>
      </c>
    </row>
    <row r="11" spans="1:11" x14ac:dyDescent="0.3">
      <c r="A11" s="256">
        <v>4</v>
      </c>
      <c r="B11" s="257" t="s">
        <v>1200</v>
      </c>
      <c r="C11" s="276">
        <v>44473</v>
      </c>
      <c r="D11" s="257" t="s">
        <v>1271</v>
      </c>
      <c r="E11" s="256" t="s">
        <v>1634</v>
      </c>
      <c r="F11" s="256" t="s">
        <v>1546</v>
      </c>
      <c r="G11" s="258">
        <v>7532000000</v>
      </c>
      <c r="H11" s="265">
        <v>0</v>
      </c>
      <c r="I11" s="258">
        <v>0</v>
      </c>
      <c r="J11" s="258">
        <v>7532000000</v>
      </c>
      <c r="K11" s="256" t="s">
        <v>1346</v>
      </c>
    </row>
    <row r="12" spans="1:11" x14ac:dyDescent="0.3">
      <c r="A12" s="256">
        <v>5</v>
      </c>
      <c r="B12" s="257" t="s">
        <v>1379</v>
      </c>
      <c r="C12" s="276">
        <v>44473</v>
      </c>
      <c r="D12" s="257" t="s">
        <v>1281</v>
      </c>
      <c r="E12" s="256" t="s">
        <v>1559</v>
      </c>
      <c r="F12" s="256" t="s">
        <v>1619</v>
      </c>
      <c r="G12" s="258">
        <v>11245000000</v>
      </c>
      <c r="H12" s="265">
        <v>0.1</v>
      </c>
      <c r="I12" s="258">
        <v>1124500000</v>
      </c>
      <c r="J12" s="258">
        <v>12369500000</v>
      </c>
      <c r="K12" s="256" t="s">
        <v>1346</v>
      </c>
    </row>
    <row r="13" spans="1:11" x14ac:dyDescent="0.3">
      <c r="A13" s="256">
        <v>6</v>
      </c>
      <c r="B13" s="257" t="s">
        <v>1358</v>
      </c>
      <c r="C13" s="276">
        <v>44474</v>
      </c>
      <c r="D13" s="257" t="s">
        <v>1266</v>
      </c>
      <c r="E13" s="256" t="s">
        <v>469</v>
      </c>
      <c r="F13" s="256" t="s">
        <v>1616</v>
      </c>
      <c r="G13" s="258">
        <v>8967000000</v>
      </c>
      <c r="H13" s="265">
        <v>0.1</v>
      </c>
      <c r="I13" s="258">
        <v>896700000</v>
      </c>
      <c r="J13" s="258">
        <v>9863700000</v>
      </c>
      <c r="K13" s="256" t="s">
        <v>1346</v>
      </c>
    </row>
    <row r="14" spans="1:11" x14ac:dyDescent="0.3">
      <c r="A14" s="256">
        <v>7</v>
      </c>
      <c r="B14" s="257" t="s">
        <v>1200</v>
      </c>
      <c r="C14" s="276">
        <v>44475</v>
      </c>
      <c r="D14" s="257" t="s">
        <v>1256</v>
      </c>
      <c r="E14" s="256" t="s">
        <v>331</v>
      </c>
      <c r="F14" s="256" t="s">
        <v>1347</v>
      </c>
      <c r="G14" s="258">
        <v>5678000000</v>
      </c>
      <c r="H14" s="265">
        <v>0.1</v>
      </c>
      <c r="I14" s="258">
        <v>567800000</v>
      </c>
      <c r="J14" s="258">
        <v>6245800000</v>
      </c>
      <c r="K14" s="256" t="s">
        <v>1346</v>
      </c>
    </row>
    <row r="15" spans="1:11" x14ac:dyDescent="0.3">
      <c r="A15" s="256">
        <v>8</v>
      </c>
      <c r="B15" s="257" t="s">
        <v>1383</v>
      </c>
      <c r="C15" s="276">
        <v>44476</v>
      </c>
      <c r="D15" s="257" t="s">
        <v>1352</v>
      </c>
      <c r="E15" s="256" t="s">
        <v>1571</v>
      </c>
      <c r="F15" s="256" t="s">
        <v>1616</v>
      </c>
      <c r="G15" s="258">
        <v>12345000000</v>
      </c>
      <c r="H15" s="265">
        <v>0.1</v>
      </c>
      <c r="I15" s="258">
        <v>1234500000</v>
      </c>
      <c r="J15" s="258">
        <v>13579500000</v>
      </c>
      <c r="K15" s="256" t="s">
        <v>1348</v>
      </c>
    </row>
    <row r="16" spans="1:11" x14ac:dyDescent="0.3">
      <c r="A16" s="256">
        <v>9</v>
      </c>
      <c r="B16" s="257" t="s">
        <v>1200</v>
      </c>
      <c r="C16" s="276">
        <v>44476</v>
      </c>
      <c r="D16" s="257" t="s">
        <v>1314</v>
      </c>
      <c r="E16" s="256" t="s">
        <v>948</v>
      </c>
      <c r="F16" s="256" t="s">
        <v>1621</v>
      </c>
      <c r="G16" s="258">
        <v>7234000000</v>
      </c>
      <c r="H16" s="265">
        <v>0.1</v>
      </c>
      <c r="I16" s="258">
        <v>723400000</v>
      </c>
      <c r="J16" s="258">
        <v>7957400000</v>
      </c>
      <c r="K16" s="256" t="s">
        <v>1346</v>
      </c>
    </row>
    <row r="17" spans="1:11" x14ac:dyDescent="0.3">
      <c r="A17" s="256">
        <v>10</v>
      </c>
      <c r="B17" s="257" t="s">
        <v>1200</v>
      </c>
      <c r="C17" s="276">
        <v>44477</v>
      </c>
      <c r="D17" s="257" t="s">
        <v>1287</v>
      </c>
      <c r="E17" s="256" t="s">
        <v>691</v>
      </c>
      <c r="F17" s="256" t="s">
        <v>1546</v>
      </c>
      <c r="G17" s="258">
        <v>9123000000</v>
      </c>
      <c r="H17" s="265">
        <v>0</v>
      </c>
      <c r="I17" s="258">
        <v>0</v>
      </c>
      <c r="J17" s="258">
        <v>9123000000</v>
      </c>
      <c r="K17" s="256" t="s">
        <v>1346</v>
      </c>
    </row>
    <row r="18" spans="1:11" x14ac:dyDescent="0.3">
      <c r="A18" s="256">
        <v>11</v>
      </c>
      <c r="B18" s="257" t="s">
        <v>1200</v>
      </c>
      <c r="C18" s="276">
        <v>44477</v>
      </c>
      <c r="D18" s="257" t="s">
        <v>1270</v>
      </c>
      <c r="E18" s="256" t="s">
        <v>1393</v>
      </c>
      <c r="F18" s="256" t="s">
        <v>1616</v>
      </c>
      <c r="G18" s="258">
        <v>10567000000</v>
      </c>
      <c r="H18" s="265">
        <v>0.1</v>
      </c>
      <c r="I18" s="258">
        <v>1056700000</v>
      </c>
      <c r="J18" s="258">
        <v>11623700000</v>
      </c>
      <c r="K18" s="256" t="s">
        <v>1346</v>
      </c>
    </row>
    <row r="19" spans="1:11" x14ac:dyDescent="0.3">
      <c r="A19" s="256">
        <v>12</v>
      </c>
      <c r="B19" s="257" t="s">
        <v>1379</v>
      </c>
      <c r="C19" s="276">
        <v>44478</v>
      </c>
      <c r="D19" s="257" t="s">
        <v>1280</v>
      </c>
      <c r="E19" s="256" t="s">
        <v>618</v>
      </c>
      <c r="F19" s="256" t="s">
        <v>1622</v>
      </c>
      <c r="G19" s="258">
        <v>6789000000</v>
      </c>
      <c r="H19" s="265">
        <v>0.1</v>
      </c>
      <c r="I19" s="258">
        <v>678900000</v>
      </c>
      <c r="J19" s="258">
        <v>7467900000</v>
      </c>
      <c r="K19" s="256" t="s">
        <v>1346</v>
      </c>
    </row>
    <row r="20" spans="1:11" x14ac:dyDescent="0.3">
      <c r="A20" s="256">
        <v>13</v>
      </c>
      <c r="B20" s="257" t="s">
        <v>1202</v>
      </c>
      <c r="C20" s="276">
        <v>44479</v>
      </c>
      <c r="D20" s="257" t="s">
        <v>1258</v>
      </c>
      <c r="E20" s="256" t="s">
        <v>351</v>
      </c>
      <c r="F20" s="256" t="s">
        <v>1616</v>
      </c>
      <c r="G20" s="258">
        <v>11234000000</v>
      </c>
      <c r="H20" s="265">
        <v>0.1</v>
      </c>
      <c r="I20" s="258">
        <v>1123400000</v>
      </c>
      <c r="J20" s="258">
        <v>12357400000</v>
      </c>
      <c r="K20" s="256" t="s">
        <v>1346</v>
      </c>
    </row>
    <row r="21" spans="1:11" x14ac:dyDescent="0.3">
      <c r="A21" s="256">
        <v>14</v>
      </c>
      <c r="B21" s="257" t="s">
        <v>1200</v>
      </c>
      <c r="C21" s="276">
        <v>44480</v>
      </c>
      <c r="D21" s="257" t="s">
        <v>1326</v>
      </c>
      <c r="E21" s="256" t="s">
        <v>1065</v>
      </c>
      <c r="F21" s="256" t="s">
        <v>1347</v>
      </c>
      <c r="G21" s="258">
        <v>5234000000</v>
      </c>
      <c r="H21" s="265">
        <v>0.1</v>
      </c>
      <c r="I21" s="258">
        <v>523400000</v>
      </c>
      <c r="J21" s="258">
        <v>5757400000</v>
      </c>
      <c r="K21" s="256" t="s">
        <v>1346</v>
      </c>
    </row>
    <row r="22" spans="1:11" x14ac:dyDescent="0.3">
      <c r="A22" s="256">
        <v>15</v>
      </c>
      <c r="B22" s="257" t="s">
        <v>1200</v>
      </c>
      <c r="C22" s="276">
        <v>44481</v>
      </c>
      <c r="D22" s="257" t="s">
        <v>1310</v>
      </c>
      <c r="E22" s="256" t="s">
        <v>1635</v>
      </c>
      <c r="F22" s="256" t="s">
        <v>1616</v>
      </c>
      <c r="G22" s="258">
        <v>9876000000</v>
      </c>
      <c r="H22" s="265">
        <v>0.1</v>
      </c>
      <c r="I22" s="258">
        <v>987600000</v>
      </c>
      <c r="J22" s="258">
        <v>10863600000</v>
      </c>
      <c r="K22" s="256" t="s">
        <v>1346</v>
      </c>
    </row>
    <row r="23" spans="1:11" x14ac:dyDescent="0.3">
      <c r="A23" s="256">
        <v>16</v>
      </c>
      <c r="B23" s="257" t="s">
        <v>1381</v>
      </c>
      <c r="C23" s="276">
        <v>44211</v>
      </c>
      <c r="D23" s="257" t="s">
        <v>1284</v>
      </c>
      <c r="E23" s="256" t="s">
        <v>1552</v>
      </c>
      <c r="F23" s="256" t="s">
        <v>1619</v>
      </c>
      <c r="G23" s="258">
        <v>7654000000</v>
      </c>
      <c r="H23" s="265">
        <v>0.1</v>
      </c>
      <c r="I23" s="258">
        <v>765400000</v>
      </c>
      <c r="J23" s="258">
        <v>8419400000</v>
      </c>
      <c r="K23" s="256" t="s">
        <v>1346</v>
      </c>
    </row>
    <row r="24" spans="1:11" x14ac:dyDescent="0.3">
      <c r="A24" s="256">
        <v>17</v>
      </c>
      <c r="B24" s="257" t="s">
        <v>1376</v>
      </c>
      <c r="C24" s="276">
        <v>44242</v>
      </c>
      <c r="D24" s="257" t="s">
        <v>1268</v>
      </c>
      <c r="E24" s="256" t="s">
        <v>1594</v>
      </c>
      <c r="F24" s="256" t="s">
        <v>1546</v>
      </c>
      <c r="G24" s="258">
        <v>10234000000</v>
      </c>
      <c r="H24" s="265">
        <v>0</v>
      </c>
      <c r="I24" s="258">
        <v>0</v>
      </c>
      <c r="J24" s="258">
        <v>10234000000</v>
      </c>
      <c r="K24" s="256" t="s">
        <v>1346</v>
      </c>
    </row>
    <row r="25" spans="1:11" x14ac:dyDescent="0.3">
      <c r="A25" s="256">
        <v>18</v>
      </c>
      <c r="B25" s="257" t="s">
        <v>1200</v>
      </c>
      <c r="C25" s="276">
        <v>44270</v>
      </c>
      <c r="D25" s="257" t="s">
        <v>1295</v>
      </c>
      <c r="E25" s="256" t="s">
        <v>1636</v>
      </c>
      <c r="F25" s="256" t="s">
        <v>1616</v>
      </c>
      <c r="G25" s="258">
        <v>12678000000</v>
      </c>
      <c r="H25" s="265">
        <v>0.1</v>
      </c>
      <c r="I25" s="258">
        <v>1267800000</v>
      </c>
      <c r="J25" s="258">
        <v>13945800000</v>
      </c>
      <c r="K25" s="256" t="s">
        <v>1346</v>
      </c>
    </row>
    <row r="26" spans="1:11" x14ac:dyDescent="0.3">
      <c r="A26" s="256">
        <v>19</v>
      </c>
      <c r="B26" s="257" t="s">
        <v>1381</v>
      </c>
      <c r="C26" s="276">
        <v>44301</v>
      </c>
      <c r="D26" s="257" t="s">
        <v>1279</v>
      </c>
      <c r="E26" s="256" t="s">
        <v>611</v>
      </c>
      <c r="F26" s="256" t="s">
        <v>1621</v>
      </c>
      <c r="G26" s="258">
        <v>6543000000</v>
      </c>
      <c r="H26" s="265">
        <v>0.1</v>
      </c>
      <c r="I26" s="258">
        <v>654300000</v>
      </c>
      <c r="J26" s="258">
        <v>7197300000</v>
      </c>
      <c r="K26" s="256" t="s">
        <v>1346</v>
      </c>
    </row>
    <row r="27" spans="1:11" x14ac:dyDescent="0.3">
      <c r="A27" s="256">
        <v>20</v>
      </c>
      <c r="B27" s="257" t="s">
        <v>1381</v>
      </c>
      <c r="C27" s="276">
        <v>44331</v>
      </c>
      <c r="D27" s="257" t="s">
        <v>1395</v>
      </c>
      <c r="E27" s="256" t="s">
        <v>1581</v>
      </c>
      <c r="F27" s="256" t="s">
        <v>1616</v>
      </c>
      <c r="G27" s="258">
        <v>11567000000</v>
      </c>
      <c r="H27" s="265">
        <v>0.1</v>
      </c>
      <c r="I27" s="258">
        <v>1156700000</v>
      </c>
      <c r="J27" s="258">
        <v>12723700000</v>
      </c>
      <c r="K27" s="256" t="s">
        <v>1346</v>
      </c>
    </row>
    <row r="28" spans="1:11" x14ac:dyDescent="0.3">
      <c r="A28" s="256">
        <v>21</v>
      </c>
      <c r="B28" s="257" t="s">
        <v>1378</v>
      </c>
      <c r="C28" s="276">
        <v>44362</v>
      </c>
      <c r="D28" s="257" t="s">
        <v>1260</v>
      </c>
      <c r="E28" s="256" t="s">
        <v>1585</v>
      </c>
      <c r="F28" s="256" t="s">
        <v>1618</v>
      </c>
      <c r="G28" s="258">
        <v>8901000000</v>
      </c>
      <c r="H28" s="265">
        <v>0.1</v>
      </c>
      <c r="I28" s="258">
        <v>890100000</v>
      </c>
      <c r="J28" s="258">
        <v>9791100000</v>
      </c>
      <c r="K28" s="256" t="s">
        <v>1346</v>
      </c>
    </row>
    <row r="29" spans="1:11" x14ac:dyDescent="0.3">
      <c r="A29" s="256">
        <v>22</v>
      </c>
      <c r="B29" s="257" t="s">
        <v>1374</v>
      </c>
      <c r="C29" s="276">
        <v>44392</v>
      </c>
      <c r="D29" s="257" t="s">
        <v>1285</v>
      </c>
      <c r="E29" s="256" t="s">
        <v>1558</v>
      </c>
      <c r="F29" s="256" t="s">
        <v>1616</v>
      </c>
      <c r="G29" s="258">
        <v>10123000000</v>
      </c>
      <c r="H29" s="265">
        <v>0.1</v>
      </c>
      <c r="I29" s="258">
        <v>1012300000</v>
      </c>
      <c r="J29" s="258">
        <v>11135300000</v>
      </c>
      <c r="K29" s="256" t="s">
        <v>1346</v>
      </c>
    </row>
    <row r="30" spans="1:11" x14ac:dyDescent="0.3">
      <c r="A30" s="256">
        <v>23</v>
      </c>
      <c r="B30" s="257" t="s">
        <v>1200</v>
      </c>
      <c r="C30" s="276">
        <v>44423</v>
      </c>
      <c r="D30" s="257" t="s">
        <v>1302</v>
      </c>
      <c r="E30" s="256" t="s">
        <v>835</v>
      </c>
      <c r="F30" s="256" t="s">
        <v>1622</v>
      </c>
      <c r="G30" s="258">
        <v>7345000000</v>
      </c>
      <c r="H30" s="265">
        <v>0.1</v>
      </c>
      <c r="I30" s="258">
        <v>734500000</v>
      </c>
      <c r="J30" s="258">
        <v>8079500000</v>
      </c>
      <c r="K30" s="256" t="s">
        <v>1346</v>
      </c>
    </row>
    <row r="31" spans="1:11" x14ac:dyDescent="0.3">
      <c r="A31" s="256">
        <v>24</v>
      </c>
      <c r="B31" s="257" t="s">
        <v>1374</v>
      </c>
      <c r="C31" s="276">
        <v>44454</v>
      </c>
      <c r="D31" s="257" t="s">
        <v>1435</v>
      </c>
      <c r="E31" s="256" t="s">
        <v>1577</v>
      </c>
      <c r="F31" s="256" t="s">
        <v>1616</v>
      </c>
      <c r="G31" s="258">
        <v>9345000000</v>
      </c>
      <c r="H31" s="265">
        <v>0.1</v>
      </c>
      <c r="I31" s="258">
        <v>934500000</v>
      </c>
      <c r="J31" s="258">
        <v>10279500000</v>
      </c>
      <c r="K31" s="256" t="s">
        <v>1346</v>
      </c>
    </row>
    <row r="32" spans="1:11" x14ac:dyDescent="0.3">
      <c r="A32" s="256">
        <v>25</v>
      </c>
      <c r="B32" s="257" t="s">
        <v>1200</v>
      </c>
      <c r="C32" s="276">
        <v>44484</v>
      </c>
      <c r="D32" s="257" t="s">
        <v>1315</v>
      </c>
      <c r="E32" s="256" t="s">
        <v>1637</v>
      </c>
      <c r="F32" s="256" t="s">
        <v>1347</v>
      </c>
      <c r="G32" s="258">
        <v>5789000000</v>
      </c>
      <c r="H32" s="265">
        <v>0.1</v>
      </c>
      <c r="I32" s="258">
        <v>578900000</v>
      </c>
      <c r="J32" s="258">
        <v>6367900000</v>
      </c>
      <c r="K32" s="256" t="s">
        <v>1346</v>
      </c>
    </row>
    <row r="33" spans="1:11" x14ac:dyDescent="0.3">
      <c r="A33" s="256">
        <v>26</v>
      </c>
      <c r="B33" s="257" t="s">
        <v>1381</v>
      </c>
      <c r="C33" s="276">
        <v>44515</v>
      </c>
      <c r="D33" s="257" t="s">
        <v>1277</v>
      </c>
      <c r="E33" s="256" t="s">
        <v>1582</v>
      </c>
      <c r="F33" s="256" t="s">
        <v>1546</v>
      </c>
      <c r="G33" s="258">
        <v>8456000000</v>
      </c>
      <c r="H33" s="265">
        <v>0</v>
      </c>
      <c r="I33" s="258">
        <v>0</v>
      </c>
      <c r="J33" s="258">
        <v>8456000000</v>
      </c>
      <c r="K33" s="256" t="s">
        <v>1346</v>
      </c>
    </row>
    <row r="34" spans="1:11" x14ac:dyDescent="0.3">
      <c r="A34" s="256">
        <v>27</v>
      </c>
      <c r="B34" s="257" t="s">
        <v>1374</v>
      </c>
      <c r="C34" s="276">
        <v>44545</v>
      </c>
      <c r="D34" s="257" t="s">
        <v>1264</v>
      </c>
      <c r="E34" s="256" t="s">
        <v>1584</v>
      </c>
      <c r="F34" s="256" t="s">
        <v>1616</v>
      </c>
      <c r="G34" s="258">
        <v>11890000000</v>
      </c>
      <c r="H34" s="265">
        <v>0.1</v>
      </c>
      <c r="I34" s="258">
        <v>1189000000</v>
      </c>
      <c r="J34" s="258">
        <v>13079000000</v>
      </c>
      <c r="K34" s="256" t="s">
        <v>1346</v>
      </c>
    </row>
    <row r="35" spans="1:11" x14ac:dyDescent="0.3">
      <c r="A35" s="256">
        <v>28</v>
      </c>
      <c r="B35" s="257" t="s">
        <v>1379</v>
      </c>
      <c r="C35" s="276">
        <v>44216</v>
      </c>
      <c r="D35" s="257" t="s">
        <v>1275</v>
      </c>
      <c r="E35" s="256" t="s">
        <v>1575</v>
      </c>
      <c r="F35" s="256" t="s">
        <v>1619</v>
      </c>
      <c r="G35" s="258">
        <v>7123000000</v>
      </c>
      <c r="H35" s="265">
        <v>0.1</v>
      </c>
      <c r="I35" s="258">
        <v>712300000</v>
      </c>
      <c r="J35" s="258">
        <v>7835300000</v>
      </c>
      <c r="K35" s="256" t="s">
        <v>1346</v>
      </c>
    </row>
    <row r="36" spans="1:11" x14ac:dyDescent="0.3">
      <c r="A36" s="256">
        <v>29</v>
      </c>
      <c r="B36" s="257" t="s">
        <v>1200</v>
      </c>
      <c r="C36" s="276">
        <v>44247</v>
      </c>
      <c r="D36" s="257" t="s">
        <v>1322</v>
      </c>
      <c r="E36" s="256" t="s">
        <v>1638</v>
      </c>
      <c r="F36" s="256" t="s">
        <v>1616</v>
      </c>
      <c r="G36" s="258">
        <v>12234000000</v>
      </c>
      <c r="H36" s="265">
        <v>0.1</v>
      </c>
      <c r="I36" s="258">
        <v>1223400000</v>
      </c>
      <c r="J36" s="258">
        <v>13457400000</v>
      </c>
      <c r="K36" s="256" t="s">
        <v>1346</v>
      </c>
    </row>
    <row r="37" spans="1:11" x14ac:dyDescent="0.3">
      <c r="A37" s="256">
        <v>30</v>
      </c>
      <c r="B37" s="257" t="s">
        <v>1356</v>
      </c>
      <c r="C37" s="276">
        <v>44275</v>
      </c>
      <c r="D37" s="257" t="s">
        <v>1257</v>
      </c>
      <c r="E37" s="256" t="s">
        <v>1574</v>
      </c>
      <c r="F37" s="256" t="s">
        <v>1621</v>
      </c>
      <c r="G37" s="258">
        <v>6234000000</v>
      </c>
      <c r="H37" s="265">
        <v>0.1</v>
      </c>
      <c r="I37" s="258">
        <v>623400000</v>
      </c>
      <c r="J37" s="258">
        <v>6857400000</v>
      </c>
      <c r="K37" s="256" t="s">
        <v>1346</v>
      </c>
    </row>
    <row r="38" spans="1:11" x14ac:dyDescent="0.3">
      <c r="A38" s="256">
        <v>31</v>
      </c>
      <c r="B38" s="257" t="s">
        <v>1374</v>
      </c>
      <c r="C38" s="276">
        <v>44306</v>
      </c>
      <c r="D38" s="257" t="s">
        <v>1278</v>
      </c>
      <c r="E38" s="256" t="s">
        <v>1593</v>
      </c>
      <c r="F38" s="256" t="s">
        <v>1616</v>
      </c>
      <c r="G38" s="258">
        <v>9678000000</v>
      </c>
      <c r="H38" s="265">
        <v>0.1</v>
      </c>
      <c r="I38" s="258">
        <v>967800000</v>
      </c>
      <c r="J38" s="258">
        <v>10645800000</v>
      </c>
      <c r="K38" s="256" t="s">
        <v>1346</v>
      </c>
    </row>
    <row r="39" spans="1:11" x14ac:dyDescent="0.3">
      <c r="A39" s="256">
        <v>32</v>
      </c>
      <c r="B39" s="257" t="s">
        <v>1374</v>
      </c>
      <c r="C39" s="276">
        <v>44336</v>
      </c>
      <c r="D39" s="257" t="s">
        <v>1263</v>
      </c>
      <c r="E39" s="256" t="s">
        <v>1579</v>
      </c>
      <c r="F39" s="256" t="s">
        <v>1618</v>
      </c>
      <c r="G39" s="258">
        <v>8234000000</v>
      </c>
      <c r="H39" s="265">
        <v>0.1</v>
      </c>
      <c r="I39" s="258">
        <v>823400000</v>
      </c>
      <c r="J39" s="258">
        <v>9057400000</v>
      </c>
      <c r="K39" s="256" t="s">
        <v>1346</v>
      </c>
    </row>
    <row r="40" spans="1:11" x14ac:dyDescent="0.3">
      <c r="A40" s="256">
        <v>33</v>
      </c>
      <c r="B40" s="257" t="s">
        <v>1379</v>
      </c>
      <c r="C40" s="276">
        <v>44367</v>
      </c>
      <c r="D40" s="257" t="s">
        <v>1262</v>
      </c>
      <c r="E40" s="256" t="s">
        <v>1556</v>
      </c>
      <c r="F40" s="256" t="s">
        <v>1616</v>
      </c>
      <c r="G40" s="258">
        <v>10890000000</v>
      </c>
      <c r="H40" s="265">
        <v>0.1</v>
      </c>
      <c r="I40" s="258">
        <v>1089000000</v>
      </c>
      <c r="J40" s="258">
        <v>11979000000</v>
      </c>
      <c r="K40" s="256" t="s">
        <v>1346</v>
      </c>
    </row>
    <row r="41" spans="1:11" x14ac:dyDescent="0.3">
      <c r="A41" s="256">
        <v>34</v>
      </c>
      <c r="B41" s="257" t="s">
        <v>1378</v>
      </c>
      <c r="C41" s="276">
        <v>44397</v>
      </c>
      <c r="D41" s="257" t="s">
        <v>1384</v>
      </c>
      <c r="E41" s="256" t="s">
        <v>1565</v>
      </c>
      <c r="F41" s="256" t="s">
        <v>1622</v>
      </c>
      <c r="G41" s="258">
        <v>6789000000</v>
      </c>
      <c r="H41" s="265">
        <v>0.1</v>
      </c>
      <c r="I41" s="258">
        <v>678900000</v>
      </c>
      <c r="J41" s="258">
        <v>7467900000</v>
      </c>
      <c r="K41" s="256" t="s">
        <v>1346</v>
      </c>
    </row>
    <row r="42" spans="1:11" x14ac:dyDescent="0.3">
      <c r="A42" s="256">
        <v>35</v>
      </c>
      <c r="B42" s="257" t="s">
        <v>1200</v>
      </c>
      <c r="C42" s="276">
        <v>44428</v>
      </c>
      <c r="D42" s="257" t="s">
        <v>1308</v>
      </c>
      <c r="E42" s="256" t="s">
        <v>1639</v>
      </c>
      <c r="F42" s="256" t="s">
        <v>1616</v>
      </c>
      <c r="G42" s="258">
        <v>9234000000</v>
      </c>
      <c r="H42" s="265">
        <v>0.1</v>
      </c>
      <c r="I42" s="258">
        <v>923400000</v>
      </c>
      <c r="J42" s="258">
        <v>10157400000</v>
      </c>
      <c r="K42" s="256" t="s">
        <v>1346</v>
      </c>
    </row>
    <row r="43" spans="1:11" x14ac:dyDescent="0.3">
      <c r="A43" s="256">
        <v>36</v>
      </c>
      <c r="B43" s="257" t="s">
        <v>1374</v>
      </c>
      <c r="C43" s="276">
        <v>44459</v>
      </c>
      <c r="D43" s="257" t="s">
        <v>1259</v>
      </c>
      <c r="E43" s="256" t="s">
        <v>1569</v>
      </c>
      <c r="F43" s="256" t="s">
        <v>1347</v>
      </c>
      <c r="G43" s="258">
        <v>5456000000</v>
      </c>
      <c r="H43" s="265">
        <v>0.1</v>
      </c>
      <c r="I43" s="258">
        <v>545600000</v>
      </c>
      <c r="J43" s="258">
        <v>6001600000</v>
      </c>
      <c r="K43" s="256" t="s">
        <v>1346</v>
      </c>
    </row>
    <row r="44" spans="1:11" x14ac:dyDescent="0.3">
      <c r="A44" s="256">
        <v>37</v>
      </c>
      <c r="B44" s="257" t="s">
        <v>1378</v>
      </c>
      <c r="C44" s="276">
        <v>44489</v>
      </c>
      <c r="D44" s="257" t="s">
        <v>1274</v>
      </c>
      <c r="E44" s="256" t="s">
        <v>1592</v>
      </c>
      <c r="F44" s="256" t="s">
        <v>1546</v>
      </c>
      <c r="G44" s="258">
        <v>8678000000</v>
      </c>
      <c r="H44" s="265">
        <v>0</v>
      </c>
      <c r="I44" s="258">
        <v>0</v>
      </c>
      <c r="J44" s="258">
        <v>8678000000</v>
      </c>
      <c r="K44" s="256" t="s">
        <v>1346</v>
      </c>
    </row>
    <row r="45" spans="1:11" x14ac:dyDescent="0.3">
      <c r="A45" s="256">
        <v>38</v>
      </c>
      <c r="B45" s="257" t="s">
        <v>1376</v>
      </c>
      <c r="C45" s="276">
        <v>44520</v>
      </c>
      <c r="D45" s="257" t="s">
        <v>1283</v>
      </c>
      <c r="E45" s="256" t="s">
        <v>1588</v>
      </c>
      <c r="F45" s="256" t="s">
        <v>1616</v>
      </c>
      <c r="G45" s="258">
        <v>11234000000</v>
      </c>
      <c r="H45" s="265">
        <v>0.1</v>
      </c>
      <c r="I45" s="258">
        <v>1123400000</v>
      </c>
      <c r="J45" s="258">
        <v>12357400000</v>
      </c>
      <c r="K45" s="256" t="s">
        <v>1346</v>
      </c>
    </row>
    <row r="46" spans="1:11" x14ac:dyDescent="0.3">
      <c r="A46" s="256">
        <v>39</v>
      </c>
      <c r="B46" s="257" t="s">
        <v>1373</v>
      </c>
      <c r="C46" s="276">
        <v>44550</v>
      </c>
      <c r="D46" s="257" t="s">
        <v>1273</v>
      </c>
      <c r="E46" s="256" t="s">
        <v>1567</v>
      </c>
      <c r="F46" s="256" t="s">
        <v>1619</v>
      </c>
      <c r="G46" s="258">
        <v>7890000000</v>
      </c>
      <c r="H46" s="265">
        <v>0.1</v>
      </c>
      <c r="I46" s="258">
        <v>789000000</v>
      </c>
      <c r="J46" s="258">
        <v>8679000000</v>
      </c>
      <c r="K46" s="256" t="s">
        <v>1346</v>
      </c>
    </row>
    <row r="47" spans="1:11" x14ac:dyDescent="0.3">
      <c r="A47" s="256">
        <v>40</v>
      </c>
      <c r="B47" s="257" t="s">
        <v>1376</v>
      </c>
      <c r="C47" s="276">
        <v>44221</v>
      </c>
      <c r="D47" s="257" t="s">
        <v>1416</v>
      </c>
      <c r="E47" s="256" t="s">
        <v>1562</v>
      </c>
      <c r="F47" s="256" t="s">
        <v>1616</v>
      </c>
      <c r="G47" s="258">
        <v>10456000000</v>
      </c>
      <c r="H47" s="265">
        <v>0.1</v>
      </c>
      <c r="I47" s="258">
        <v>1045600000</v>
      </c>
      <c r="J47" s="258">
        <v>11501600000</v>
      </c>
      <c r="K47" s="256" t="s">
        <v>1346</v>
      </c>
    </row>
    <row r="48" spans="1:11" x14ac:dyDescent="0.3">
      <c r="A48" s="256">
        <v>41</v>
      </c>
      <c r="B48" s="257" t="s">
        <v>1381</v>
      </c>
      <c r="C48" s="276">
        <v>44252</v>
      </c>
      <c r="D48" s="257" t="s">
        <v>1281</v>
      </c>
      <c r="E48" s="256" t="s">
        <v>1559</v>
      </c>
      <c r="F48" s="256" t="s">
        <v>1621</v>
      </c>
      <c r="G48" s="258">
        <v>6345000000</v>
      </c>
      <c r="H48" s="265">
        <v>0.1</v>
      </c>
      <c r="I48" s="258">
        <v>634500000</v>
      </c>
      <c r="J48" s="258">
        <v>6979500000</v>
      </c>
      <c r="K48" s="256" t="s">
        <v>1346</v>
      </c>
    </row>
    <row r="49" spans="1:11" x14ac:dyDescent="0.3">
      <c r="A49" s="256">
        <v>42</v>
      </c>
      <c r="B49" s="257" t="s">
        <v>1200</v>
      </c>
      <c r="C49" s="276">
        <v>44280</v>
      </c>
      <c r="D49" s="257" t="s">
        <v>1289</v>
      </c>
      <c r="E49" s="256" t="s">
        <v>1640</v>
      </c>
      <c r="F49" s="256" t="s">
        <v>1616</v>
      </c>
      <c r="G49" s="258">
        <v>9789000000</v>
      </c>
      <c r="H49" s="265">
        <v>0.1</v>
      </c>
      <c r="I49" s="258">
        <v>978900000</v>
      </c>
      <c r="J49" s="258">
        <v>10767900000</v>
      </c>
      <c r="K49" s="256" t="s">
        <v>1346</v>
      </c>
    </row>
    <row r="50" spans="1:11" x14ac:dyDescent="0.3">
      <c r="A50" s="256">
        <v>43</v>
      </c>
      <c r="B50" s="257" t="s">
        <v>1200</v>
      </c>
      <c r="C50" s="276">
        <v>44311</v>
      </c>
      <c r="D50" s="257" t="s">
        <v>1269</v>
      </c>
      <c r="E50" s="256" t="s">
        <v>1641</v>
      </c>
      <c r="F50" s="256" t="s">
        <v>1618</v>
      </c>
      <c r="G50" s="258">
        <v>8123000000</v>
      </c>
      <c r="H50" s="265">
        <v>0.1</v>
      </c>
      <c r="I50" s="258">
        <v>812300000</v>
      </c>
      <c r="J50" s="258">
        <v>8935300000</v>
      </c>
      <c r="K50" s="256" t="s">
        <v>1346</v>
      </c>
    </row>
    <row r="51" spans="1:11" x14ac:dyDescent="0.3">
      <c r="A51" s="256">
        <v>44</v>
      </c>
      <c r="B51" s="257" t="s">
        <v>1376</v>
      </c>
      <c r="C51" s="276">
        <v>44341</v>
      </c>
      <c r="D51" s="257" t="s">
        <v>1428</v>
      </c>
      <c r="E51" s="256" t="s">
        <v>1557</v>
      </c>
      <c r="F51" s="256" t="s">
        <v>1616</v>
      </c>
      <c r="G51" s="258">
        <v>10678000000</v>
      </c>
      <c r="H51" s="265">
        <v>0.1</v>
      </c>
      <c r="I51" s="258">
        <v>1067800000</v>
      </c>
      <c r="J51" s="258">
        <v>11745800000</v>
      </c>
      <c r="K51" s="256" t="s">
        <v>1346</v>
      </c>
    </row>
    <row r="52" spans="1:11" x14ac:dyDescent="0.3">
      <c r="A52" s="256">
        <v>45</v>
      </c>
      <c r="B52" s="257" t="s">
        <v>1200</v>
      </c>
      <c r="C52" s="276">
        <v>44372</v>
      </c>
      <c r="D52" s="257" t="s">
        <v>1313</v>
      </c>
      <c r="E52" s="256" t="s">
        <v>1642</v>
      </c>
      <c r="F52" s="256" t="s">
        <v>1622</v>
      </c>
      <c r="G52" s="258">
        <v>6789000000</v>
      </c>
      <c r="H52" s="265">
        <v>0.1</v>
      </c>
      <c r="I52" s="258">
        <v>678900000</v>
      </c>
      <c r="J52" s="258">
        <v>7467900000</v>
      </c>
      <c r="K52" s="256" t="s">
        <v>1346</v>
      </c>
    </row>
    <row r="53" spans="1:11" x14ac:dyDescent="0.3">
      <c r="A53" s="256">
        <v>46</v>
      </c>
      <c r="B53" s="257" t="s">
        <v>1200</v>
      </c>
      <c r="C53" s="276">
        <v>44402</v>
      </c>
      <c r="D53" s="257" t="s">
        <v>1297</v>
      </c>
      <c r="E53" s="256" t="s">
        <v>1643</v>
      </c>
      <c r="F53" s="256" t="s">
        <v>1616</v>
      </c>
      <c r="G53" s="258">
        <v>9345000000</v>
      </c>
      <c r="H53" s="265">
        <v>0.1</v>
      </c>
      <c r="I53" s="258">
        <v>934500000</v>
      </c>
      <c r="J53" s="258">
        <v>10279500000</v>
      </c>
      <c r="K53" s="256" t="s">
        <v>1346</v>
      </c>
    </row>
    <row r="54" spans="1:11" x14ac:dyDescent="0.3">
      <c r="A54" s="256">
        <v>47</v>
      </c>
      <c r="B54" s="257" t="s">
        <v>1200</v>
      </c>
      <c r="C54" s="276">
        <v>44433</v>
      </c>
      <c r="D54" s="257" t="s">
        <v>1254</v>
      </c>
      <c r="E54" s="256" t="s">
        <v>1644</v>
      </c>
      <c r="F54" s="256" t="s">
        <v>1546</v>
      </c>
      <c r="G54" s="258">
        <v>8234000000</v>
      </c>
      <c r="H54" s="265">
        <v>0</v>
      </c>
      <c r="I54" s="258">
        <v>0</v>
      </c>
      <c r="J54" s="258">
        <v>8234000000</v>
      </c>
      <c r="K54" s="256" t="s">
        <v>1346</v>
      </c>
    </row>
    <row r="55" spans="1:11" x14ac:dyDescent="0.3">
      <c r="A55" s="256">
        <v>48</v>
      </c>
      <c r="B55" s="257" t="s">
        <v>1200</v>
      </c>
      <c r="C55" s="276">
        <v>44464</v>
      </c>
      <c r="D55" s="257" t="s">
        <v>1327</v>
      </c>
      <c r="E55" s="256" t="s">
        <v>1645</v>
      </c>
      <c r="F55" s="256" t="s">
        <v>1616</v>
      </c>
      <c r="G55" s="258">
        <v>11123000000</v>
      </c>
      <c r="H55" s="265">
        <v>0.1</v>
      </c>
      <c r="I55" s="258">
        <v>1112300000</v>
      </c>
      <c r="J55" s="258">
        <v>12235300000</v>
      </c>
      <c r="K55" s="256" t="s">
        <v>1346</v>
      </c>
    </row>
    <row r="56" spans="1:11" x14ac:dyDescent="0.3">
      <c r="A56" s="256">
        <v>49</v>
      </c>
      <c r="B56" s="257" t="s">
        <v>1200</v>
      </c>
      <c r="C56" s="276">
        <v>44494</v>
      </c>
      <c r="D56" s="257" t="s">
        <v>1309</v>
      </c>
      <c r="E56" s="256" t="s">
        <v>1646</v>
      </c>
      <c r="F56" s="256" t="s">
        <v>1347</v>
      </c>
      <c r="G56" s="258">
        <v>5234000000</v>
      </c>
      <c r="H56" s="265">
        <v>0.1</v>
      </c>
      <c r="I56" s="258">
        <v>523400000</v>
      </c>
      <c r="J56" s="258">
        <v>5757400000</v>
      </c>
      <c r="K56" s="256" t="s">
        <v>1346</v>
      </c>
    </row>
    <row r="57" spans="1:11" x14ac:dyDescent="0.3">
      <c r="A57" s="256">
        <v>50</v>
      </c>
      <c r="B57" s="257" t="s">
        <v>1360</v>
      </c>
      <c r="C57" s="276">
        <v>44525</v>
      </c>
      <c r="D57" s="257" t="s">
        <v>1266</v>
      </c>
      <c r="E57" s="256" t="s">
        <v>1570</v>
      </c>
      <c r="F57" s="256" t="s">
        <v>1616</v>
      </c>
      <c r="G57" s="258">
        <v>9890000000</v>
      </c>
      <c r="H57" s="265">
        <v>0.1</v>
      </c>
      <c r="I57" s="258">
        <v>989000000</v>
      </c>
      <c r="J57" s="258">
        <v>10879000000</v>
      </c>
      <c r="K57" s="256" t="s">
        <v>1346</v>
      </c>
    </row>
    <row r="58" spans="1:11" x14ac:dyDescent="0.3">
      <c r="A58" s="266" t="s">
        <v>1351</v>
      </c>
      <c r="B58" s="266"/>
      <c r="C58" s="266"/>
      <c r="D58" s="266"/>
      <c r="E58" s="266"/>
      <c r="F58" s="266"/>
      <c r="G58" s="267">
        <f>SUM(G8:G57)</f>
        <v>440268000000</v>
      </c>
      <c r="H58" s="266"/>
      <c r="I58" s="267">
        <f>SUM(I8:I57)</f>
        <v>38801100000</v>
      </c>
      <c r="J58" s="267">
        <f>SUM(J8:J57)</f>
        <v>479069100000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1422</v>
      </c>
      <c r="F61" s="266" t="s">
        <v>1537</v>
      </c>
      <c r="G61" s="266" t="s">
        <v>270</v>
      </c>
      <c r="H61" s="266" t="s">
        <v>1538</v>
      </c>
      <c r="I61" s="266" t="s">
        <v>1539</v>
      </c>
      <c r="J61" s="266" t="s">
        <v>1540</v>
      </c>
      <c r="K61" s="266" t="s">
        <v>1541</v>
      </c>
    </row>
    <row r="62" spans="1:11" x14ac:dyDescent="0.3">
      <c r="A62" s="256">
        <v>1</v>
      </c>
      <c r="B62" s="257" t="s">
        <v>1200</v>
      </c>
      <c r="C62" s="276">
        <v>44470</v>
      </c>
      <c r="D62" s="257" t="s">
        <v>1333</v>
      </c>
      <c r="E62" s="256" t="s">
        <v>1134</v>
      </c>
      <c r="F62" s="256" t="s">
        <v>1623</v>
      </c>
      <c r="G62" s="258">
        <v>16518000000</v>
      </c>
      <c r="H62" s="265">
        <v>0.1</v>
      </c>
      <c r="I62" s="258">
        <v>1651800000</v>
      </c>
      <c r="J62" s="258">
        <v>18169800000</v>
      </c>
      <c r="K62" s="256" t="s">
        <v>1346</v>
      </c>
    </row>
    <row r="63" spans="1:11" x14ac:dyDescent="0.3">
      <c r="A63" s="256">
        <v>2</v>
      </c>
      <c r="B63" s="257" t="s">
        <v>1201</v>
      </c>
      <c r="C63" s="276">
        <v>44471</v>
      </c>
      <c r="D63" s="257" t="s">
        <v>1352</v>
      </c>
      <c r="E63" s="256" t="s">
        <v>1571</v>
      </c>
      <c r="F63" s="256" t="s">
        <v>1647</v>
      </c>
      <c r="G63" s="258">
        <v>14234000000</v>
      </c>
      <c r="H63" s="265">
        <v>0.1</v>
      </c>
      <c r="I63" s="258">
        <v>1423400000</v>
      </c>
      <c r="J63" s="258">
        <v>15657400000</v>
      </c>
      <c r="K63" s="256" t="s">
        <v>1346</v>
      </c>
    </row>
    <row r="64" spans="1:11" x14ac:dyDescent="0.3">
      <c r="A64" s="256">
        <v>3</v>
      </c>
      <c r="B64" s="257" t="s">
        <v>1202</v>
      </c>
      <c r="C64" s="276">
        <v>44472</v>
      </c>
      <c r="D64" s="257" t="s">
        <v>1272</v>
      </c>
      <c r="E64" s="256" t="s">
        <v>540</v>
      </c>
      <c r="F64" s="256" t="s">
        <v>1623</v>
      </c>
      <c r="G64" s="258">
        <v>18901000000</v>
      </c>
      <c r="H64" s="265">
        <v>0.1</v>
      </c>
      <c r="I64" s="258">
        <v>1890100000</v>
      </c>
      <c r="J64" s="258">
        <v>20791100000</v>
      </c>
      <c r="K64" s="256" t="s">
        <v>1346</v>
      </c>
    </row>
    <row r="65" spans="1:11" x14ac:dyDescent="0.3">
      <c r="A65" s="256">
        <v>4</v>
      </c>
      <c r="B65" s="257" t="s">
        <v>1355</v>
      </c>
      <c r="C65" s="276">
        <v>44473</v>
      </c>
      <c r="D65" s="257" t="s">
        <v>1254</v>
      </c>
      <c r="E65" s="256" t="s">
        <v>1644</v>
      </c>
      <c r="F65" s="256" t="s">
        <v>1648</v>
      </c>
      <c r="G65" s="258">
        <v>12345000000</v>
      </c>
      <c r="H65" s="265">
        <v>0</v>
      </c>
      <c r="I65" s="258">
        <v>0</v>
      </c>
      <c r="J65" s="258">
        <v>12345000000</v>
      </c>
      <c r="K65" s="256" t="s">
        <v>1346</v>
      </c>
    </row>
    <row r="66" spans="1:11" x14ac:dyDescent="0.3">
      <c r="A66" s="256">
        <v>5</v>
      </c>
      <c r="B66" s="257" t="s">
        <v>1356</v>
      </c>
      <c r="C66" s="276">
        <v>44474</v>
      </c>
      <c r="D66" s="257" t="s">
        <v>1255</v>
      </c>
      <c r="E66" s="256" t="s">
        <v>1649</v>
      </c>
      <c r="F66" s="256" t="s">
        <v>1623</v>
      </c>
      <c r="G66" s="258">
        <v>15678000000</v>
      </c>
      <c r="H66" s="265">
        <v>0.1</v>
      </c>
      <c r="I66" s="258">
        <v>1567800000</v>
      </c>
      <c r="J66" s="258">
        <v>17245800000</v>
      </c>
      <c r="K66" s="256" t="s">
        <v>1346</v>
      </c>
    </row>
    <row r="67" spans="1:11" x14ac:dyDescent="0.3">
      <c r="A67" s="256">
        <v>6</v>
      </c>
      <c r="B67" s="257" t="s">
        <v>1358</v>
      </c>
      <c r="C67" s="276">
        <v>44475</v>
      </c>
      <c r="D67" s="257" t="s">
        <v>1282</v>
      </c>
      <c r="E67" s="256" t="s">
        <v>1580</v>
      </c>
      <c r="F67" s="256" t="s">
        <v>1647</v>
      </c>
      <c r="G67" s="258">
        <v>11234000000</v>
      </c>
      <c r="H67" s="265">
        <v>0.1</v>
      </c>
      <c r="I67" s="258">
        <v>1123400000</v>
      </c>
      <c r="J67" s="258">
        <v>12357400000</v>
      </c>
      <c r="K67" s="256" t="s">
        <v>1346</v>
      </c>
    </row>
    <row r="68" spans="1:11" x14ac:dyDescent="0.3">
      <c r="A68" s="256">
        <v>7</v>
      </c>
      <c r="B68" s="257" t="s">
        <v>1360</v>
      </c>
      <c r="C68" s="276">
        <v>44476</v>
      </c>
      <c r="D68" s="257" t="s">
        <v>1285</v>
      </c>
      <c r="E68" s="256" t="s">
        <v>1558</v>
      </c>
      <c r="F68" s="256" t="s">
        <v>1623</v>
      </c>
      <c r="G68" s="258">
        <v>17890000000</v>
      </c>
      <c r="H68" s="265">
        <v>0.1</v>
      </c>
      <c r="I68" s="258">
        <v>1789000000</v>
      </c>
      <c r="J68" s="258">
        <v>19679000000</v>
      </c>
      <c r="K68" s="256" t="s">
        <v>1346</v>
      </c>
    </row>
    <row r="69" spans="1:11" x14ac:dyDescent="0.3">
      <c r="A69" s="256">
        <v>8</v>
      </c>
      <c r="B69" s="257" t="s">
        <v>1362</v>
      </c>
      <c r="C69" s="276">
        <v>44477</v>
      </c>
      <c r="D69" s="257" t="s">
        <v>1279</v>
      </c>
      <c r="E69" s="256" t="s">
        <v>611</v>
      </c>
      <c r="F69" s="256" t="s">
        <v>1647</v>
      </c>
      <c r="G69" s="258">
        <v>13456000000</v>
      </c>
      <c r="H69" s="265">
        <v>0.1</v>
      </c>
      <c r="I69" s="258">
        <v>1345600000</v>
      </c>
      <c r="J69" s="258">
        <v>14801600000</v>
      </c>
      <c r="K69" s="256" t="s">
        <v>1346</v>
      </c>
    </row>
    <row r="70" spans="1:11" x14ac:dyDescent="0.3">
      <c r="A70" s="256">
        <v>9</v>
      </c>
      <c r="B70" s="257" t="s">
        <v>1364</v>
      </c>
      <c r="C70" s="276">
        <v>44478</v>
      </c>
      <c r="D70" s="257" t="s">
        <v>1291</v>
      </c>
      <c r="E70" s="256" t="s">
        <v>1650</v>
      </c>
      <c r="F70" s="256" t="s">
        <v>1623</v>
      </c>
      <c r="G70" s="258">
        <v>19234000000</v>
      </c>
      <c r="H70" s="265">
        <v>0.1</v>
      </c>
      <c r="I70" s="258">
        <v>1923400000</v>
      </c>
      <c r="J70" s="258">
        <v>21157400000</v>
      </c>
      <c r="K70" s="256" t="s">
        <v>1346</v>
      </c>
    </row>
    <row r="71" spans="1:11" x14ac:dyDescent="0.3">
      <c r="A71" s="256">
        <v>10</v>
      </c>
      <c r="B71" s="257" t="s">
        <v>1366</v>
      </c>
      <c r="C71" s="276">
        <v>44479</v>
      </c>
      <c r="D71" s="257" t="s">
        <v>1435</v>
      </c>
      <c r="E71" s="256" t="s">
        <v>1577</v>
      </c>
      <c r="F71" s="256" t="s">
        <v>1648</v>
      </c>
      <c r="G71" s="258">
        <v>11890000000</v>
      </c>
      <c r="H71" s="265">
        <v>0</v>
      </c>
      <c r="I71" s="258">
        <v>0</v>
      </c>
      <c r="J71" s="258">
        <v>11890000000</v>
      </c>
      <c r="K71" s="256" t="s">
        <v>1346</v>
      </c>
    </row>
    <row r="72" spans="1:11" x14ac:dyDescent="0.3">
      <c r="A72" s="256">
        <v>11</v>
      </c>
      <c r="B72" s="257" t="s">
        <v>1368</v>
      </c>
      <c r="C72" s="276">
        <v>44480</v>
      </c>
      <c r="D72" s="257" t="s">
        <v>1257</v>
      </c>
      <c r="E72" s="256" t="s">
        <v>1574</v>
      </c>
      <c r="F72" s="256" t="s">
        <v>1623</v>
      </c>
      <c r="G72" s="258">
        <v>16234000000</v>
      </c>
      <c r="H72" s="265">
        <v>0.1</v>
      </c>
      <c r="I72" s="258">
        <v>1623400000</v>
      </c>
      <c r="J72" s="258">
        <v>17857400000</v>
      </c>
      <c r="K72" s="256" t="s">
        <v>1346</v>
      </c>
    </row>
    <row r="73" spans="1:11" x14ac:dyDescent="0.3">
      <c r="A73" s="256">
        <v>12</v>
      </c>
      <c r="B73" s="257" t="s">
        <v>1371</v>
      </c>
      <c r="C73" s="276">
        <v>44481</v>
      </c>
      <c r="D73" s="257" t="s">
        <v>1277</v>
      </c>
      <c r="E73" s="256" t="s">
        <v>1582</v>
      </c>
      <c r="F73" s="256" t="s">
        <v>1647</v>
      </c>
      <c r="G73" s="258">
        <v>14678000000</v>
      </c>
      <c r="H73" s="265">
        <v>0.1</v>
      </c>
      <c r="I73" s="258">
        <v>1467800000</v>
      </c>
      <c r="J73" s="258">
        <v>16145800000</v>
      </c>
      <c r="K73" s="256" t="s">
        <v>1346</v>
      </c>
    </row>
    <row r="74" spans="1:11" x14ac:dyDescent="0.3">
      <c r="A74" s="256">
        <v>13</v>
      </c>
      <c r="B74" s="257" t="s">
        <v>1373</v>
      </c>
      <c r="C74" s="276">
        <v>44211</v>
      </c>
      <c r="D74" s="257" t="s">
        <v>1267</v>
      </c>
      <c r="E74" s="256" t="s">
        <v>1560</v>
      </c>
      <c r="F74" s="256" t="s">
        <v>1623</v>
      </c>
      <c r="G74" s="258">
        <v>20234000000</v>
      </c>
      <c r="H74" s="265">
        <v>0.1</v>
      </c>
      <c r="I74" s="258">
        <v>2023400000</v>
      </c>
      <c r="J74" s="258">
        <v>22257400000</v>
      </c>
      <c r="K74" s="256" t="s">
        <v>1346</v>
      </c>
    </row>
    <row r="75" spans="1:11" x14ac:dyDescent="0.3">
      <c r="A75" s="256">
        <v>14</v>
      </c>
      <c r="B75" s="257" t="s">
        <v>1374</v>
      </c>
      <c r="C75" s="276">
        <v>44242</v>
      </c>
      <c r="D75" s="257" t="s">
        <v>1287</v>
      </c>
      <c r="E75" s="256" t="s">
        <v>691</v>
      </c>
      <c r="F75" s="256" t="s">
        <v>1647</v>
      </c>
      <c r="G75" s="258">
        <v>15234000000</v>
      </c>
      <c r="H75" s="265">
        <v>0.1</v>
      </c>
      <c r="I75" s="258">
        <v>1523400000</v>
      </c>
      <c r="J75" s="258">
        <v>16757400000</v>
      </c>
      <c r="K75" s="256" t="s">
        <v>1346</v>
      </c>
    </row>
    <row r="76" spans="1:11" x14ac:dyDescent="0.3">
      <c r="A76" s="256">
        <v>15</v>
      </c>
      <c r="B76" s="257" t="s">
        <v>1376</v>
      </c>
      <c r="C76" s="276">
        <v>44270</v>
      </c>
      <c r="D76" s="257" t="s">
        <v>1395</v>
      </c>
      <c r="E76" s="256" t="s">
        <v>1581</v>
      </c>
      <c r="F76" s="256" t="s">
        <v>1623</v>
      </c>
      <c r="G76" s="258">
        <v>17456000000</v>
      </c>
      <c r="H76" s="265">
        <v>0.1</v>
      </c>
      <c r="I76" s="258">
        <v>1745600000</v>
      </c>
      <c r="J76" s="258">
        <v>19201600000</v>
      </c>
      <c r="K76" s="256" t="s">
        <v>1346</v>
      </c>
    </row>
    <row r="77" spans="1:11" x14ac:dyDescent="0.3">
      <c r="A77" s="256">
        <v>16</v>
      </c>
      <c r="B77" s="257" t="s">
        <v>1378</v>
      </c>
      <c r="C77" s="276">
        <v>44301</v>
      </c>
      <c r="D77" s="257" t="s">
        <v>1259</v>
      </c>
      <c r="E77" s="256" t="s">
        <v>1569</v>
      </c>
      <c r="F77" s="256" t="s">
        <v>1648</v>
      </c>
      <c r="G77" s="258">
        <v>12678000000</v>
      </c>
      <c r="H77" s="265">
        <v>0</v>
      </c>
      <c r="I77" s="258">
        <v>0</v>
      </c>
      <c r="J77" s="258">
        <v>12678000000</v>
      </c>
      <c r="K77" s="256" t="s">
        <v>1346</v>
      </c>
    </row>
    <row r="78" spans="1:11" x14ac:dyDescent="0.3">
      <c r="A78" s="256">
        <v>17</v>
      </c>
      <c r="B78" s="257" t="s">
        <v>1379</v>
      </c>
      <c r="C78" s="276">
        <v>44331</v>
      </c>
      <c r="D78" s="257" t="s">
        <v>1281</v>
      </c>
      <c r="E78" s="256" t="s">
        <v>1559</v>
      </c>
      <c r="F78" s="256" t="s">
        <v>1623</v>
      </c>
      <c r="G78" s="258">
        <v>18901000000</v>
      </c>
      <c r="H78" s="265">
        <v>0.1</v>
      </c>
      <c r="I78" s="258">
        <v>1890100000</v>
      </c>
      <c r="J78" s="258">
        <v>20791100000</v>
      </c>
      <c r="K78" s="256" t="s">
        <v>1346</v>
      </c>
    </row>
    <row r="79" spans="1:11" x14ac:dyDescent="0.3">
      <c r="A79" s="256">
        <v>18</v>
      </c>
      <c r="B79" s="257" t="s">
        <v>1381</v>
      </c>
      <c r="C79" s="276">
        <v>44362</v>
      </c>
      <c r="D79" s="257" t="s">
        <v>1322</v>
      </c>
      <c r="E79" s="256" t="s">
        <v>1638</v>
      </c>
      <c r="F79" s="256" t="s">
        <v>1647</v>
      </c>
      <c r="G79" s="258">
        <v>13890000000</v>
      </c>
      <c r="H79" s="265">
        <v>0.1</v>
      </c>
      <c r="I79" s="258">
        <v>1389000000</v>
      </c>
      <c r="J79" s="258">
        <v>15279000000</v>
      </c>
      <c r="K79" s="256" t="s">
        <v>1346</v>
      </c>
    </row>
    <row r="80" spans="1:11" x14ac:dyDescent="0.3">
      <c r="A80" s="256">
        <v>19</v>
      </c>
      <c r="B80" s="257" t="s">
        <v>1382</v>
      </c>
      <c r="C80" s="276">
        <v>44392</v>
      </c>
      <c r="D80" s="257" t="s">
        <v>1263</v>
      </c>
      <c r="E80" s="256" t="s">
        <v>1579</v>
      </c>
      <c r="F80" s="256" t="s">
        <v>1623</v>
      </c>
      <c r="G80" s="258">
        <v>19678000000</v>
      </c>
      <c r="H80" s="265">
        <v>0.1</v>
      </c>
      <c r="I80" s="258">
        <v>1967800000</v>
      </c>
      <c r="J80" s="258">
        <v>21645800000</v>
      </c>
      <c r="K80" s="256" t="s">
        <v>1346</v>
      </c>
    </row>
    <row r="81" spans="1:11" x14ac:dyDescent="0.3">
      <c r="A81" s="256">
        <v>20</v>
      </c>
      <c r="B81" s="257" t="s">
        <v>1383</v>
      </c>
      <c r="C81" s="276">
        <v>44423</v>
      </c>
      <c r="D81" s="257" t="s">
        <v>1284</v>
      </c>
      <c r="E81" s="256" t="s">
        <v>1552</v>
      </c>
      <c r="F81" s="256" t="s">
        <v>1647</v>
      </c>
      <c r="G81" s="258">
        <v>15890000000</v>
      </c>
      <c r="H81" s="265">
        <v>0.1</v>
      </c>
      <c r="I81" s="258">
        <v>1589000000</v>
      </c>
      <c r="J81" s="258">
        <v>17479000000</v>
      </c>
      <c r="K81" s="256" t="s">
        <v>1346</v>
      </c>
    </row>
    <row r="82" spans="1:11" x14ac:dyDescent="0.3">
      <c r="A82" s="256">
        <v>21</v>
      </c>
      <c r="B82" s="257" t="s">
        <v>1203</v>
      </c>
      <c r="C82" s="276">
        <v>44454</v>
      </c>
      <c r="D82" s="257" t="s">
        <v>1314</v>
      </c>
      <c r="E82" s="256" t="s">
        <v>948</v>
      </c>
      <c r="F82" s="256" t="s">
        <v>1623</v>
      </c>
      <c r="G82" s="258">
        <v>17890000000</v>
      </c>
      <c r="H82" s="265">
        <v>0.1</v>
      </c>
      <c r="I82" s="258">
        <v>1789000000</v>
      </c>
      <c r="J82" s="258">
        <v>19679000000</v>
      </c>
      <c r="K82" s="256" t="s">
        <v>1346</v>
      </c>
    </row>
    <row r="83" spans="1:11" x14ac:dyDescent="0.3">
      <c r="A83" s="256">
        <v>22</v>
      </c>
      <c r="B83" s="257" t="s">
        <v>1204</v>
      </c>
      <c r="C83" s="276">
        <v>44484</v>
      </c>
      <c r="D83" s="257" t="s">
        <v>1304</v>
      </c>
      <c r="E83" s="256" t="s">
        <v>1651</v>
      </c>
      <c r="F83" s="256" t="s">
        <v>1648</v>
      </c>
      <c r="G83" s="258">
        <v>13234000000</v>
      </c>
      <c r="H83" s="265">
        <v>0</v>
      </c>
      <c r="I83" s="258">
        <v>0</v>
      </c>
      <c r="J83" s="258">
        <v>13234000000</v>
      </c>
      <c r="K83" s="256" t="s">
        <v>1346</v>
      </c>
    </row>
    <row r="84" spans="1:11" x14ac:dyDescent="0.3">
      <c r="A84" s="256">
        <v>23</v>
      </c>
      <c r="B84" s="257" t="s">
        <v>1205</v>
      </c>
      <c r="C84" s="276">
        <v>44515</v>
      </c>
      <c r="D84" s="257" t="s">
        <v>1264</v>
      </c>
      <c r="E84" s="256" t="s">
        <v>1584</v>
      </c>
      <c r="F84" s="256" t="s">
        <v>1623</v>
      </c>
      <c r="G84" s="258">
        <v>21234000000</v>
      </c>
      <c r="H84" s="265">
        <v>0.1</v>
      </c>
      <c r="I84" s="258">
        <v>2123400000</v>
      </c>
      <c r="J84" s="258">
        <v>23357400000</v>
      </c>
      <c r="K84" s="256" t="s">
        <v>1346</v>
      </c>
    </row>
    <row r="85" spans="1:11" x14ac:dyDescent="0.3">
      <c r="A85" s="256">
        <v>24</v>
      </c>
      <c r="B85" s="257" t="s">
        <v>1385</v>
      </c>
      <c r="C85" s="276">
        <v>44545</v>
      </c>
      <c r="D85" s="257" t="s">
        <v>1260</v>
      </c>
      <c r="E85" s="256" t="s">
        <v>1585</v>
      </c>
      <c r="F85" s="256" t="s">
        <v>1647</v>
      </c>
      <c r="G85" s="258">
        <v>16234000000</v>
      </c>
      <c r="H85" s="265">
        <v>0.1</v>
      </c>
      <c r="I85" s="258">
        <v>1623400000</v>
      </c>
      <c r="J85" s="258">
        <v>17857400000</v>
      </c>
      <c r="K85" s="256" t="s">
        <v>1346</v>
      </c>
    </row>
    <row r="86" spans="1:11" x14ac:dyDescent="0.3">
      <c r="A86" s="256">
        <v>25</v>
      </c>
      <c r="B86" s="257" t="s">
        <v>1387</v>
      </c>
      <c r="C86" s="276">
        <v>44216</v>
      </c>
      <c r="D86" s="257" t="s">
        <v>1262</v>
      </c>
      <c r="E86" s="256" t="s">
        <v>1556</v>
      </c>
      <c r="F86" s="256" t="s">
        <v>1623</v>
      </c>
      <c r="G86" s="258">
        <v>19123000000</v>
      </c>
      <c r="H86" s="265">
        <v>0.1</v>
      </c>
      <c r="I86" s="258">
        <v>1912300000</v>
      </c>
      <c r="J86" s="258">
        <v>21035300000</v>
      </c>
      <c r="K86" s="256" t="s">
        <v>1346</v>
      </c>
    </row>
    <row r="87" spans="1:11" x14ac:dyDescent="0.3">
      <c r="A87" s="256">
        <v>26</v>
      </c>
      <c r="B87" s="257" t="s">
        <v>1388</v>
      </c>
      <c r="C87" s="276">
        <v>44247</v>
      </c>
      <c r="D87" s="257" t="s">
        <v>1275</v>
      </c>
      <c r="E87" s="256" t="s">
        <v>1575</v>
      </c>
      <c r="F87" s="256" t="s">
        <v>1647</v>
      </c>
      <c r="G87" s="258">
        <v>14567000000</v>
      </c>
      <c r="H87" s="265">
        <v>0.1</v>
      </c>
      <c r="I87" s="258">
        <v>1456700000</v>
      </c>
      <c r="J87" s="258">
        <v>16023700000</v>
      </c>
      <c r="K87" s="256" t="s">
        <v>1346</v>
      </c>
    </row>
    <row r="88" spans="1:11" x14ac:dyDescent="0.3">
      <c r="A88" s="256">
        <v>27</v>
      </c>
      <c r="B88" s="257" t="s">
        <v>1391</v>
      </c>
      <c r="C88" s="276">
        <v>44275</v>
      </c>
      <c r="D88" s="257" t="s">
        <v>1268</v>
      </c>
      <c r="E88" s="256" t="s">
        <v>1594</v>
      </c>
      <c r="F88" s="256" t="s">
        <v>1623</v>
      </c>
      <c r="G88" s="258">
        <v>20890000000</v>
      </c>
      <c r="H88" s="265">
        <v>0.1</v>
      </c>
      <c r="I88" s="258">
        <v>2089000000</v>
      </c>
      <c r="J88" s="258">
        <v>22979000000</v>
      </c>
      <c r="K88" s="256" t="s">
        <v>1346</v>
      </c>
    </row>
    <row r="89" spans="1:11" x14ac:dyDescent="0.3">
      <c r="A89" s="256">
        <v>28</v>
      </c>
      <c r="B89" s="257" t="s">
        <v>1392</v>
      </c>
      <c r="C89" s="276">
        <v>44306</v>
      </c>
      <c r="D89" s="257" t="s">
        <v>1416</v>
      </c>
      <c r="E89" s="256" t="s">
        <v>1562</v>
      </c>
      <c r="F89" s="256" t="s">
        <v>1648</v>
      </c>
      <c r="G89" s="258">
        <v>14234000000</v>
      </c>
      <c r="H89" s="265">
        <v>0</v>
      </c>
      <c r="I89" s="258">
        <v>0</v>
      </c>
      <c r="J89" s="258">
        <v>14234000000</v>
      </c>
      <c r="K89" s="256" t="s">
        <v>1346</v>
      </c>
    </row>
    <row r="90" spans="1:11" x14ac:dyDescent="0.3">
      <c r="A90" s="256">
        <v>29</v>
      </c>
      <c r="B90" s="257" t="s">
        <v>1394</v>
      </c>
      <c r="C90" s="276">
        <v>44336</v>
      </c>
      <c r="D90" s="257" t="s">
        <v>1280</v>
      </c>
      <c r="E90" s="256" t="s">
        <v>618</v>
      </c>
      <c r="F90" s="256" t="s">
        <v>1623</v>
      </c>
      <c r="G90" s="258">
        <v>18234000000</v>
      </c>
      <c r="H90" s="265">
        <v>0.1</v>
      </c>
      <c r="I90" s="258">
        <v>1823400000</v>
      </c>
      <c r="J90" s="258">
        <v>20057400000</v>
      </c>
      <c r="K90" s="256" t="s">
        <v>1346</v>
      </c>
    </row>
    <row r="91" spans="1:11" x14ac:dyDescent="0.3">
      <c r="A91" s="256">
        <v>30</v>
      </c>
      <c r="B91" s="257" t="s">
        <v>1396</v>
      </c>
      <c r="C91" s="276">
        <v>44367</v>
      </c>
      <c r="D91" s="257" t="s">
        <v>1306</v>
      </c>
      <c r="E91" s="256" t="s">
        <v>878</v>
      </c>
      <c r="F91" s="256" t="s">
        <v>1647</v>
      </c>
      <c r="G91" s="258">
        <v>15678000000</v>
      </c>
      <c r="H91" s="265">
        <v>0.1</v>
      </c>
      <c r="I91" s="258">
        <v>1567800000</v>
      </c>
      <c r="J91" s="258">
        <v>17245800000</v>
      </c>
      <c r="K91" s="256" t="s">
        <v>1346</v>
      </c>
    </row>
    <row r="92" spans="1:11" x14ac:dyDescent="0.3">
      <c r="A92" s="256">
        <v>31</v>
      </c>
      <c r="B92" s="257" t="s">
        <v>1397</v>
      </c>
      <c r="C92" s="276">
        <v>44397</v>
      </c>
      <c r="D92" s="257" t="s">
        <v>1266</v>
      </c>
      <c r="E92" s="256" t="s">
        <v>1570</v>
      </c>
      <c r="F92" s="256" t="s">
        <v>1623</v>
      </c>
      <c r="G92" s="258">
        <v>21890000000</v>
      </c>
      <c r="H92" s="265">
        <v>0.1</v>
      </c>
      <c r="I92" s="258">
        <v>2189000000</v>
      </c>
      <c r="J92" s="258">
        <v>24079000000</v>
      </c>
      <c r="K92" s="256" t="s">
        <v>1346</v>
      </c>
    </row>
    <row r="93" spans="1:11" x14ac:dyDescent="0.3">
      <c r="A93" s="256">
        <v>32</v>
      </c>
      <c r="B93" s="257" t="s">
        <v>1398</v>
      </c>
      <c r="C93" s="276">
        <v>44428</v>
      </c>
      <c r="D93" s="257" t="s">
        <v>1283</v>
      </c>
      <c r="E93" s="256" t="s">
        <v>1588</v>
      </c>
      <c r="F93" s="256" t="s">
        <v>1647</v>
      </c>
      <c r="G93" s="258">
        <v>16789000000</v>
      </c>
      <c r="H93" s="265">
        <v>0.1</v>
      </c>
      <c r="I93" s="258">
        <v>1678900000</v>
      </c>
      <c r="J93" s="258">
        <v>18467900000</v>
      </c>
      <c r="K93" s="256" t="s">
        <v>1346</v>
      </c>
    </row>
    <row r="94" spans="1:11" x14ac:dyDescent="0.3">
      <c r="A94" s="256">
        <v>33</v>
      </c>
      <c r="B94" s="257" t="s">
        <v>1399</v>
      </c>
      <c r="C94" s="276">
        <v>44459</v>
      </c>
      <c r="D94" s="257" t="s">
        <v>1384</v>
      </c>
      <c r="E94" s="256" t="s">
        <v>1565</v>
      </c>
      <c r="F94" s="256" t="s">
        <v>1623</v>
      </c>
      <c r="G94" s="258">
        <v>22345000000</v>
      </c>
      <c r="H94" s="265">
        <v>0.1</v>
      </c>
      <c r="I94" s="258">
        <v>2234500000</v>
      </c>
      <c r="J94" s="258">
        <v>24579500000</v>
      </c>
      <c r="K94" s="256" t="s">
        <v>1346</v>
      </c>
    </row>
    <row r="95" spans="1:11" x14ac:dyDescent="0.3">
      <c r="A95" s="256">
        <v>34</v>
      </c>
      <c r="B95" s="257" t="s">
        <v>1401</v>
      </c>
      <c r="C95" s="276">
        <v>44489</v>
      </c>
      <c r="D95" s="257" t="s">
        <v>1261</v>
      </c>
      <c r="E95" s="256" t="s">
        <v>1572</v>
      </c>
      <c r="F95" s="256" t="s">
        <v>1648</v>
      </c>
      <c r="G95" s="258">
        <v>15234000000</v>
      </c>
      <c r="H95" s="265">
        <v>0</v>
      </c>
      <c r="I95" s="258">
        <v>0</v>
      </c>
      <c r="J95" s="258">
        <v>15234000000</v>
      </c>
      <c r="K95" s="256" t="s">
        <v>1346</v>
      </c>
    </row>
    <row r="96" spans="1:11" x14ac:dyDescent="0.3">
      <c r="A96" s="256">
        <v>35</v>
      </c>
      <c r="B96" s="257" t="s">
        <v>1402</v>
      </c>
      <c r="C96" s="276">
        <v>44520</v>
      </c>
      <c r="D96" s="257" t="s">
        <v>1272</v>
      </c>
      <c r="E96" s="256" t="s">
        <v>540</v>
      </c>
      <c r="F96" s="256" t="s">
        <v>1623</v>
      </c>
      <c r="G96" s="258">
        <v>19890000000</v>
      </c>
      <c r="H96" s="265">
        <v>0.1</v>
      </c>
      <c r="I96" s="258">
        <v>1989000000</v>
      </c>
      <c r="J96" s="258">
        <v>21879000000</v>
      </c>
      <c r="K96" s="256" t="s">
        <v>1346</v>
      </c>
    </row>
    <row r="97" spans="1:11" x14ac:dyDescent="0.3">
      <c r="A97" s="256">
        <v>36</v>
      </c>
      <c r="B97" s="257" t="s">
        <v>1403</v>
      </c>
      <c r="C97" s="276">
        <v>44550</v>
      </c>
      <c r="D97" s="257" t="s">
        <v>1295</v>
      </c>
      <c r="E97" s="256" t="s">
        <v>1636</v>
      </c>
      <c r="F97" s="256" t="s">
        <v>1647</v>
      </c>
      <c r="G97" s="258">
        <v>17234000000</v>
      </c>
      <c r="H97" s="265">
        <v>0.1</v>
      </c>
      <c r="I97" s="258">
        <v>1723400000</v>
      </c>
      <c r="J97" s="258">
        <v>18957400000</v>
      </c>
      <c r="K97" s="256" t="s">
        <v>1346</v>
      </c>
    </row>
    <row r="98" spans="1:11" x14ac:dyDescent="0.3">
      <c r="A98" s="256">
        <v>37</v>
      </c>
      <c r="B98" s="257" t="s">
        <v>1404</v>
      </c>
      <c r="C98" s="276">
        <v>44221</v>
      </c>
      <c r="D98" s="257" t="s">
        <v>1300</v>
      </c>
      <c r="E98" s="256" t="s">
        <v>1652</v>
      </c>
      <c r="F98" s="256" t="s">
        <v>1623</v>
      </c>
      <c r="G98" s="258">
        <v>20234000000</v>
      </c>
      <c r="H98" s="265">
        <v>0.1</v>
      </c>
      <c r="I98" s="258">
        <v>2023400000</v>
      </c>
      <c r="J98" s="258">
        <v>22257400000</v>
      </c>
      <c r="K98" s="256" t="s">
        <v>1346</v>
      </c>
    </row>
    <row r="99" spans="1:11" x14ac:dyDescent="0.3">
      <c r="A99" s="256">
        <v>38</v>
      </c>
      <c r="B99" s="257" t="s">
        <v>1405</v>
      </c>
      <c r="C99" s="276">
        <v>44252</v>
      </c>
      <c r="D99" s="257" t="s">
        <v>1274</v>
      </c>
      <c r="E99" s="256" t="s">
        <v>1592</v>
      </c>
      <c r="F99" s="256" t="s">
        <v>1647</v>
      </c>
      <c r="G99" s="258">
        <v>16890000000</v>
      </c>
      <c r="H99" s="265">
        <v>0.1</v>
      </c>
      <c r="I99" s="258">
        <v>1689000000</v>
      </c>
      <c r="J99" s="258">
        <v>18579000000</v>
      </c>
      <c r="K99" s="256" t="s">
        <v>1346</v>
      </c>
    </row>
    <row r="100" spans="1:11" x14ac:dyDescent="0.3">
      <c r="A100" s="256">
        <v>39</v>
      </c>
      <c r="B100" s="257" t="s">
        <v>1406</v>
      </c>
      <c r="C100" s="276">
        <v>44280</v>
      </c>
      <c r="D100" s="257" t="s">
        <v>1318</v>
      </c>
      <c r="E100" s="256" t="s">
        <v>982</v>
      </c>
      <c r="F100" s="256" t="s">
        <v>1623</v>
      </c>
      <c r="G100" s="258">
        <v>22890000000</v>
      </c>
      <c r="H100" s="265">
        <v>0.1</v>
      </c>
      <c r="I100" s="258">
        <v>2289000000</v>
      </c>
      <c r="J100" s="258">
        <v>25179000000</v>
      </c>
      <c r="K100" s="256" t="s">
        <v>1346</v>
      </c>
    </row>
    <row r="101" spans="1:11" x14ac:dyDescent="0.3">
      <c r="A101" s="256">
        <v>40</v>
      </c>
      <c r="B101" s="257" t="s">
        <v>1408</v>
      </c>
      <c r="C101" s="276">
        <v>44311</v>
      </c>
      <c r="D101" s="257" t="s">
        <v>1326</v>
      </c>
      <c r="E101" s="256" t="s">
        <v>1065</v>
      </c>
      <c r="F101" s="256" t="s">
        <v>1648</v>
      </c>
      <c r="G101" s="258">
        <v>15678000000</v>
      </c>
      <c r="H101" s="265">
        <v>0</v>
      </c>
      <c r="I101" s="258">
        <v>0</v>
      </c>
      <c r="J101" s="258">
        <v>15678000000</v>
      </c>
      <c r="K101" s="256" t="s">
        <v>1346</v>
      </c>
    </row>
    <row r="102" spans="1:11" x14ac:dyDescent="0.3">
      <c r="A102" s="256">
        <v>41</v>
      </c>
      <c r="B102" s="257" t="s">
        <v>1409</v>
      </c>
      <c r="C102" s="276">
        <v>44341</v>
      </c>
      <c r="D102" s="257" t="s">
        <v>1278</v>
      </c>
      <c r="E102" s="256" t="s">
        <v>1593</v>
      </c>
      <c r="F102" s="256" t="s">
        <v>1623</v>
      </c>
      <c r="G102" s="258">
        <v>20890000000</v>
      </c>
      <c r="H102" s="265">
        <v>0.1</v>
      </c>
      <c r="I102" s="258">
        <v>2089000000</v>
      </c>
      <c r="J102" s="258">
        <v>22979000000</v>
      </c>
      <c r="K102" s="256" t="s">
        <v>1346</v>
      </c>
    </row>
    <row r="103" spans="1:11" x14ac:dyDescent="0.3">
      <c r="A103" s="256">
        <v>42</v>
      </c>
      <c r="B103" s="257" t="s">
        <v>1411</v>
      </c>
      <c r="C103" s="276">
        <v>44372</v>
      </c>
      <c r="D103" s="257" t="s">
        <v>1286</v>
      </c>
      <c r="E103" s="256" t="s">
        <v>1653</v>
      </c>
      <c r="F103" s="256" t="s">
        <v>1647</v>
      </c>
      <c r="G103" s="258">
        <v>17890000000</v>
      </c>
      <c r="H103" s="265">
        <v>0.1</v>
      </c>
      <c r="I103" s="258">
        <v>1789000000</v>
      </c>
      <c r="J103" s="258">
        <v>19679000000</v>
      </c>
      <c r="K103" s="256" t="s">
        <v>1346</v>
      </c>
    </row>
    <row r="104" spans="1:11" x14ac:dyDescent="0.3">
      <c r="A104" s="256">
        <v>43</v>
      </c>
      <c r="B104" s="257" t="s">
        <v>1414</v>
      </c>
      <c r="C104" s="276">
        <v>44402</v>
      </c>
      <c r="D104" s="257" t="s">
        <v>1269</v>
      </c>
      <c r="E104" s="256" t="s">
        <v>1641</v>
      </c>
      <c r="F104" s="256" t="s">
        <v>1623</v>
      </c>
      <c r="G104" s="258">
        <v>23456000000</v>
      </c>
      <c r="H104" s="265">
        <v>0.1</v>
      </c>
      <c r="I104" s="258">
        <v>2345600000</v>
      </c>
      <c r="J104" s="258">
        <v>25801600000</v>
      </c>
      <c r="K104" s="256" t="s">
        <v>1346</v>
      </c>
    </row>
    <row r="105" spans="1:11" x14ac:dyDescent="0.3">
      <c r="A105" s="256">
        <v>44</v>
      </c>
      <c r="B105" s="257" t="s">
        <v>1415</v>
      </c>
      <c r="C105" s="276">
        <v>44433</v>
      </c>
      <c r="D105" s="257" t="s">
        <v>1289</v>
      </c>
      <c r="E105" s="256" t="s">
        <v>1640</v>
      </c>
      <c r="F105" s="256" t="s">
        <v>1647</v>
      </c>
      <c r="G105" s="258">
        <v>18234000000</v>
      </c>
      <c r="H105" s="265">
        <v>0.1</v>
      </c>
      <c r="I105" s="258">
        <v>1823400000</v>
      </c>
      <c r="J105" s="258">
        <v>20057400000</v>
      </c>
      <c r="K105" s="256" t="s">
        <v>1346</v>
      </c>
    </row>
    <row r="106" spans="1:11" x14ac:dyDescent="0.3">
      <c r="A106" s="256">
        <v>45</v>
      </c>
      <c r="B106" s="257" t="s">
        <v>1206</v>
      </c>
      <c r="C106" s="276">
        <v>44464</v>
      </c>
      <c r="D106" s="257" t="s">
        <v>1428</v>
      </c>
      <c r="E106" s="256" t="s">
        <v>1557</v>
      </c>
      <c r="F106" s="256" t="s">
        <v>1623</v>
      </c>
      <c r="G106" s="258">
        <v>24234000000</v>
      </c>
      <c r="H106" s="265">
        <v>0.1</v>
      </c>
      <c r="I106" s="258">
        <v>2423400000</v>
      </c>
      <c r="J106" s="258">
        <v>26657400000</v>
      </c>
      <c r="K106" s="256" t="s">
        <v>1346</v>
      </c>
    </row>
    <row r="107" spans="1:11" x14ac:dyDescent="0.3">
      <c r="A107" s="256">
        <v>46</v>
      </c>
      <c r="B107" s="257" t="s">
        <v>1207</v>
      </c>
      <c r="C107" s="276">
        <v>44494</v>
      </c>
      <c r="D107" s="257" t="s">
        <v>1297</v>
      </c>
      <c r="E107" s="256" t="s">
        <v>1643</v>
      </c>
      <c r="F107" s="256" t="s">
        <v>1648</v>
      </c>
      <c r="G107" s="258">
        <v>16234000000</v>
      </c>
      <c r="H107" s="265">
        <v>0</v>
      </c>
      <c r="I107" s="258">
        <v>0</v>
      </c>
      <c r="J107" s="258">
        <v>16234000000</v>
      </c>
      <c r="K107" s="256" t="s">
        <v>1346</v>
      </c>
    </row>
    <row r="108" spans="1:11" x14ac:dyDescent="0.3">
      <c r="A108" s="256">
        <v>47</v>
      </c>
      <c r="B108" s="257" t="s">
        <v>1208</v>
      </c>
      <c r="C108" s="276">
        <v>44525</v>
      </c>
      <c r="D108" s="257" t="s">
        <v>1310</v>
      </c>
      <c r="E108" s="256" t="s">
        <v>1635</v>
      </c>
      <c r="F108" s="256" t="s">
        <v>1623</v>
      </c>
      <c r="G108" s="258">
        <v>21234000000</v>
      </c>
      <c r="H108" s="265">
        <v>0.1</v>
      </c>
      <c r="I108" s="258">
        <v>2123400000</v>
      </c>
      <c r="J108" s="258">
        <v>23357400000</v>
      </c>
      <c r="K108" s="256" t="s">
        <v>1346</v>
      </c>
    </row>
    <row r="109" spans="1:11" x14ac:dyDescent="0.3">
      <c r="A109" s="256">
        <v>48</v>
      </c>
      <c r="B109" s="257" t="s">
        <v>1209</v>
      </c>
      <c r="C109" s="276">
        <v>44555</v>
      </c>
      <c r="D109" s="257" t="s">
        <v>1290</v>
      </c>
      <c r="E109" s="256" t="s">
        <v>715</v>
      </c>
      <c r="F109" s="256" t="s">
        <v>1647</v>
      </c>
      <c r="G109" s="258">
        <v>18901000000</v>
      </c>
      <c r="H109" s="265">
        <v>0.1</v>
      </c>
      <c r="I109" s="258">
        <v>1890100000</v>
      </c>
      <c r="J109" s="258">
        <v>20791100000</v>
      </c>
      <c r="K109" s="256" t="s">
        <v>1346</v>
      </c>
    </row>
    <row r="110" spans="1:11" x14ac:dyDescent="0.3">
      <c r="A110" s="256">
        <v>49</v>
      </c>
      <c r="B110" s="257" t="s">
        <v>1418</v>
      </c>
      <c r="C110" s="276">
        <v>44255</v>
      </c>
      <c r="D110" s="257" t="s">
        <v>1273</v>
      </c>
      <c r="E110" s="256" t="s">
        <v>1567</v>
      </c>
      <c r="F110" s="256" t="s">
        <v>1623</v>
      </c>
      <c r="G110" s="258">
        <v>25234000000</v>
      </c>
      <c r="H110" s="265">
        <v>0.1</v>
      </c>
      <c r="I110" s="258">
        <v>2523400000</v>
      </c>
      <c r="J110" s="258">
        <v>27757400000</v>
      </c>
      <c r="K110" s="256" t="s">
        <v>1346</v>
      </c>
    </row>
    <row r="111" spans="1:11" x14ac:dyDescent="0.3">
      <c r="A111" s="256">
        <v>50</v>
      </c>
      <c r="B111" s="257" t="s">
        <v>1419</v>
      </c>
      <c r="C111" s="276">
        <v>44497</v>
      </c>
      <c r="D111" s="257" t="s">
        <v>1395</v>
      </c>
      <c r="E111" s="256" t="s">
        <v>1581</v>
      </c>
      <c r="F111" s="256" t="s">
        <v>1647</v>
      </c>
      <c r="G111" s="258">
        <v>19890000000</v>
      </c>
      <c r="H111" s="265">
        <v>0.1</v>
      </c>
      <c r="I111" s="258">
        <v>1989000000</v>
      </c>
      <c r="J111" s="258">
        <v>21879000000</v>
      </c>
      <c r="K111" s="256" t="s">
        <v>1346</v>
      </c>
    </row>
    <row r="112" spans="1:11" x14ac:dyDescent="0.3">
      <c r="A112" s="266" t="s">
        <v>1351</v>
      </c>
      <c r="B112" s="266"/>
      <c r="C112" s="266"/>
      <c r="D112" s="266"/>
      <c r="E112" s="266"/>
      <c r="F112" s="266"/>
      <c r="G112" s="267">
        <f>SUM(G62:G111)</f>
        <v>882842000000</v>
      </c>
      <c r="H112" s="266"/>
      <c r="I112" s="267">
        <f>SUM(I62:I111)</f>
        <v>77131500000</v>
      </c>
      <c r="J112" s="267">
        <f>SUM(J62:J111)</f>
        <v>959973500000</v>
      </c>
      <c r="K112" s="26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2"/>
  <sheetViews>
    <sheetView workbookViewId="0"/>
  </sheetViews>
  <sheetFormatPr defaultRowHeight="14.4" x14ac:dyDescent="0.3"/>
  <sheetData>
    <row r="1" spans="1:11" x14ac:dyDescent="0.3">
      <c r="A1" s="256" t="s">
        <v>1340</v>
      </c>
      <c r="B1" s="256" t="s">
        <v>425</v>
      </c>
      <c r="C1" s="256"/>
      <c r="D1" s="256"/>
      <c r="E1" s="256"/>
      <c r="F1" s="256"/>
      <c r="G1" s="256"/>
      <c r="H1" s="256"/>
      <c r="I1" s="256"/>
      <c r="J1" s="256"/>
      <c r="K1" s="256"/>
    </row>
    <row r="2" spans="1:11" x14ac:dyDescent="0.3">
      <c r="A2" s="256" t="s">
        <v>1339</v>
      </c>
      <c r="B2" s="257">
        <v>101056111</v>
      </c>
      <c r="C2" s="256"/>
      <c r="D2" s="256"/>
      <c r="E2" s="256"/>
      <c r="F2" s="256"/>
      <c r="G2" s="256"/>
      <c r="H2" s="256"/>
      <c r="I2" s="256"/>
      <c r="J2" s="256"/>
      <c r="K2" s="256"/>
    </row>
    <row r="3" spans="1:11" x14ac:dyDescent="0.3">
      <c r="A3" s="256" t="s">
        <v>1343</v>
      </c>
      <c r="B3" s="258">
        <v>790012673309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1200</v>
      </c>
      <c r="C8" s="276">
        <v>44470</v>
      </c>
      <c r="D8" s="257" t="s">
        <v>1995</v>
      </c>
      <c r="E8" s="256" t="s">
        <v>1594</v>
      </c>
      <c r="F8" s="256" t="s">
        <v>1606</v>
      </c>
      <c r="G8" s="258">
        <v>17234000000</v>
      </c>
      <c r="H8" s="265">
        <v>0.1</v>
      </c>
      <c r="I8" s="258">
        <v>1723400000</v>
      </c>
      <c r="J8" s="258">
        <v>18957400000</v>
      </c>
      <c r="K8" s="256" t="s">
        <v>1346</v>
      </c>
    </row>
    <row r="9" spans="1:11" x14ac:dyDescent="0.3">
      <c r="A9" s="256">
        <v>2</v>
      </c>
      <c r="B9" s="257" t="s">
        <v>1201</v>
      </c>
      <c r="C9" s="276">
        <v>44471</v>
      </c>
      <c r="D9" s="257" t="s">
        <v>1276</v>
      </c>
      <c r="E9" s="256" t="s">
        <v>1654</v>
      </c>
      <c r="F9" s="256" t="s">
        <v>1655</v>
      </c>
      <c r="G9" s="258">
        <v>9678000000</v>
      </c>
      <c r="H9" s="265">
        <v>0.1</v>
      </c>
      <c r="I9" s="258">
        <v>967800000</v>
      </c>
      <c r="J9" s="258">
        <v>10645800000</v>
      </c>
      <c r="K9" s="256" t="s">
        <v>1346</v>
      </c>
    </row>
    <row r="10" spans="1:11" x14ac:dyDescent="0.3">
      <c r="A10" s="256">
        <v>3</v>
      </c>
      <c r="B10" s="257" t="s">
        <v>1201</v>
      </c>
      <c r="C10" s="276">
        <v>44472</v>
      </c>
      <c r="D10" s="257" t="s">
        <v>1255</v>
      </c>
      <c r="E10" s="256" t="s">
        <v>1649</v>
      </c>
      <c r="F10" s="256" t="s">
        <v>1656</v>
      </c>
      <c r="G10" s="258">
        <v>7234000000</v>
      </c>
      <c r="H10" s="265">
        <v>0.1</v>
      </c>
      <c r="I10" s="258">
        <v>723400000</v>
      </c>
      <c r="J10" s="258">
        <v>7957400000</v>
      </c>
      <c r="K10" s="256" t="s">
        <v>1346</v>
      </c>
    </row>
    <row r="11" spans="1:11" x14ac:dyDescent="0.3">
      <c r="A11" s="256">
        <v>4</v>
      </c>
      <c r="B11" s="257" t="s">
        <v>1378</v>
      </c>
      <c r="C11" s="276">
        <v>44473</v>
      </c>
      <c r="D11" s="257" t="s">
        <v>1283</v>
      </c>
      <c r="E11" s="256" t="s">
        <v>1588</v>
      </c>
      <c r="F11" s="256" t="s">
        <v>1608</v>
      </c>
      <c r="G11" s="258">
        <v>19890000000</v>
      </c>
      <c r="H11" s="265">
        <v>0.1</v>
      </c>
      <c r="I11" s="258">
        <v>1989000000</v>
      </c>
      <c r="J11" s="258">
        <v>21879000000</v>
      </c>
      <c r="K11" s="256" t="s">
        <v>1346</v>
      </c>
    </row>
    <row r="12" spans="1:11" x14ac:dyDescent="0.3">
      <c r="A12" s="256">
        <v>5</v>
      </c>
      <c r="B12" s="257" t="s">
        <v>1382</v>
      </c>
      <c r="C12" s="276">
        <v>44474</v>
      </c>
      <c r="D12" s="257" t="s">
        <v>1281</v>
      </c>
      <c r="E12" s="256" t="s">
        <v>1559</v>
      </c>
      <c r="F12" s="256" t="s">
        <v>1657</v>
      </c>
      <c r="G12" s="258">
        <v>8456000000</v>
      </c>
      <c r="H12" s="265">
        <v>0.1</v>
      </c>
      <c r="I12" s="258">
        <v>845600000</v>
      </c>
      <c r="J12" s="258">
        <v>9301600000</v>
      </c>
      <c r="K12" s="256" t="s">
        <v>1346</v>
      </c>
    </row>
    <row r="13" spans="1:11" x14ac:dyDescent="0.3">
      <c r="A13" s="256">
        <v>6</v>
      </c>
      <c r="B13" s="257" t="s">
        <v>1382</v>
      </c>
      <c r="C13" s="276">
        <v>44475</v>
      </c>
      <c r="D13" s="257" t="s">
        <v>1272</v>
      </c>
      <c r="E13" s="256" t="s">
        <v>540</v>
      </c>
      <c r="F13" s="256" t="s">
        <v>1606</v>
      </c>
      <c r="G13" s="258">
        <v>18567000000</v>
      </c>
      <c r="H13" s="265">
        <v>0.1</v>
      </c>
      <c r="I13" s="258">
        <v>1856700000</v>
      </c>
      <c r="J13" s="258">
        <v>20423700000</v>
      </c>
      <c r="K13" s="256" t="s">
        <v>1346</v>
      </c>
    </row>
    <row r="14" spans="1:11" x14ac:dyDescent="0.3">
      <c r="A14" s="256">
        <v>7</v>
      </c>
      <c r="B14" s="257" t="s">
        <v>1376</v>
      </c>
      <c r="C14" s="276">
        <v>44476</v>
      </c>
      <c r="D14" s="257" t="s">
        <v>1285</v>
      </c>
      <c r="E14" s="256" t="s">
        <v>1558</v>
      </c>
      <c r="F14" s="256" t="s">
        <v>1655</v>
      </c>
      <c r="G14" s="258">
        <v>10234000000</v>
      </c>
      <c r="H14" s="265">
        <v>0.1</v>
      </c>
      <c r="I14" s="258">
        <v>1023400000</v>
      </c>
      <c r="J14" s="258">
        <v>11257400000</v>
      </c>
      <c r="K14" s="256" t="s">
        <v>1346</v>
      </c>
    </row>
    <row r="15" spans="1:11" x14ac:dyDescent="0.3">
      <c r="A15" s="256">
        <v>8</v>
      </c>
      <c r="B15" s="257" t="s">
        <v>1200</v>
      </c>
      <c r="C15" s="276">
        <v>44477</v>
      </c>
      <c r="D15" s="257" t="s">
        <v>1291</v>
      </c>
      <c r="E15" s="256" t="s">
        <v>1650</v>
      </c>
      <c r="F15" s="256" t="s">
        <v>1608</v>
      </c>
      <c r="G15" s="258">
        <v>20234000000</v>
      </c>
      <c r="H15" s="265">
        <v>0.1</v>
      </c>
      <c r="I15" s="258">
        <v>2023400000</v>
      </c>
      <c r="J15" s="258">
        <v>22257400000</v>
      </c>
      <c r="K15" s="256" t="s">
        <v>1346</v>
      </c>
    </row>
    <row r="16" spans="1:11" x14ac:dyDescent="0.3">
      <c r="A16" s="256">
        <v>9</v>
      </c>
      <c r="B16" s="257" t="s">
        <v>1358</v>
      </c>
      <c r="C16" s="276">
        <v>44478</v>
      </c>
      <c r="D16" s="257" t="s">
        <v>1257</v>
      </c>
      <c r="E16" s="256" t="s">
        <v>1574</v>
      </c>
      <c r="F16" s="256" t="s">
        <v>1657</v>
      </c>
      <c r="G16" s="258">
        <v>8901000000</v>
      </c>
      <c r="H16" s="265">
        <v>0.1</v>
      </c>
      <c r="I16" s="258">
        <v>890100000</v>
      </c>
      <c r="J16" s="258">
        <v>9791100000</v>
      </c>
      <c r="K16" s="256" t="s">
        <v>1348</v>
      </c>
    </row>
    <row r="17" spans="1:11" x14ac:dyDescent="0.3">
      <c r="A17" s="256">
        <v>10</v>
      </c>
      <c r="B17" s="257" t="s">
        <v>1203</v>
      </c>
      <c r="C17" s="276">
        <v>44479</v>
      </c>
      <c r="D17" s="257" t="s">
        <v>1352</v>
      </c>
      <c r="E17" s="256" t="s">
        <v>1571</v>
      </c>
      <c r="F17" s="256" t="s">
        <v>1606</v>
      </c>
      <c r="G17" s="258">
        <v>17890000000</v>
      </c>
      <c r="H17" s="265">
        <v>0.1</v>
      </c>
      <c r="I17" s="258">
        <v>1789000000</v>
      </c>
      <c r="J17" s="258">
        <v>19679000000</v>
      </c>
      <c r="K17" s="256" t="s">
        <v>1346</v>
      </c>
    </row>
    <row r="18" spans="1:11" x14ac:dyDescent="0.3">
      <c r="A18" s="256">
        <v>11</v>
      </c>
      <c r="B18" s="257" t="s">
        <v>1201</v>
      </c>
      <c r="C18" s="276">
        <v>44480</v>
      </c>
      <c r="D18" s="257" t="s">
        <v>1308</v>
      </c>
      <c r="E18" s="256" t="s">
        <v>1639</v>
      </c>
      <c r="F18" s="256" t="s">
        <v>1656</v>
      </c>
      <c r="G18" s="258">
        <v>7678000000</v>
      </c>
      <c r="H18" s="265">
        <v>0.1</v>
      </c>
      <c r="I18" s="258">
        <v>767800000</v>
      </c>
      <c r="J18" s="258">
        <v>8445800000</v>
      </c>
      <c r="K18" s="256" t="s">
        <v>1346</v>
      </c>
    </row>
    <row r="19" spans="1:11" x14ac:dyDescent="0.3">
      <c r="A19" s="256">
        <v>12</v>
      </c>
      <c r="B19" s="257" t="s">
        <v>1379</v>
      </c>
      <c r="C19" s="276">
        <v>44481</v>
      </c>
      <c r="D19" s="257" t="s">
        <v>1389</v>
      </c>
      <c r="E19" s="256" t="s">
        <v>1555</v>
      </c>
      <c r="F19" s="256" t="s">
        <v>1608</v>
      </c>
      <c r="G19" s="258">
        <v>19234000000</v>
      </c>
      <c r="H19" s="265">
        <v>0.1</v>
      </c>
      <c r="I19" s="258">
        <v>1923400000</v>
      </c>
      <c r="J19" s="258">
        <v>21157400000</v>
      </c>
      <c r="K19" s="256" t="s">
        <v>1346</v>
      </c>
    </row>
    <row r="20" spans="1:11" x14ac:dyDescent="0.3">
      <c r="A20" s="256">
        <v>13</v>
      </c>
      <c r="B20" s="257" t="s">
        <v>1382</v>
      </c>
      <c r="C20" s="276">
        <v>44211</v>
      </c>
      <c r="D20" s="257" t="s">
        <v>1395</v>
      </c>
      <c r="E20" s="256" t="s">
        <v>1581</v>
      </c>
      <c r="F20" s="256" t="s">
        <v>1655</v>
      </c>
      <c r="G20" s="258">
        <v>9234000000</v>
      </c>
      <c r="H20" s="265">
        <v>0.1</v>
      </c>
      <c r="I20" s="258">
        <v>923400000</v>
      </c>
      <c r="J20" s="258">
        <v>10157400000</v>
      </c>
      <c r="K20" s="256" t="s">
        <v>1346</v>
      </c>
    </row>
    <row r="21" spans="1:11" x14ac:dyDescent="0.3">
      <c r="A21" s="256">
        <v>14</v>
      </c>
      <c r="B21" s="257" t="s">
        <v>1201</v>
      </c>
      <c r="C21" s="276">
        <v>44242</v>
      </c>
      <c r="D21" s="257" t="s">
        <v>1322</v>
      </c>
      <c r="E21" s="256" t="s">
        <v>1638</v>
      </c>
      <c r="F21" s="256" t="s">
        <v>1606</v>
      </c>
      <c r="G21" s="258">
        <v>18234000000</v>
      </c>
      <c r="H21" s="265">
        <v>0.1</v>
      </c>
      <c r="I21" s="258">
        <v>1823400000</v>
      </c>
      <c r="J21" s="258">
        <v>20057400000</v>
      </c>
      <c r="K21" s="256" t="s">
        <v>1346</v>
      </c>
    </row>
    <row r="22" spans="1:11" x14ac:dyDescent="0.3">
      <c r="A22" s="256">
        <v>15</v>
      </c>
      <c r="B22" s="257" t="s">
        <v>1379</v>
      </c>
      <c r="C22" s="276">
        <v>44270</v>
      </c>
      <c r="D22" s="257" t="s">
        <v>1384</v>
      </c>
      <c r="E22" s="256" t="s">
        <v>1565</v>
      </c>
      <c r="F22" s="256" t="s">
        <v>1657</v>
      </c>
      <c r="G22" s="258">
        <v>8678000000</v>
      </c>
      <c r="H22" s="265">
        <v>0.1</v>
      </c>
      <c r="I22" s="258">
        <v>867800000</v>
      </c>
      <c r="J22" s="258">
        <v>9545800000</v>
      </c>
      <c r="K22" s="256" t="s">
        <v>1346</v>
      </c>
    </row>
    <row r="23" spans="1:11" x14ac:dyDescent="0.3">
      <c r="A23" s="256">
        <v>16</v>
      </c>
      <c r="B23" s="257" t="s">
        <v>1200</v>
      </c>
      <c r="C23" s="276">
        <v>44301</v>
      </c>
      <c r="D23" s="257" t="s">
        <v>1300</v>
      </c>
      <c r="E23" s="256" t="s">
        <v>1652</v>
      </c>
      <c r="F23" s="256" t="s">
        <v>1608</v>
      </c>
      <c r="G23" s="258">
        <v>20890000000</v>
      </c>
      <c r="H23" s="265">
        <v>0.1</v>
      </c>
      <c r="I23" s="258">
        <v>2089000000</v>
      </c>
      <c r="J23" s="258">
        <v>22979000000</v>
      </c>
      <c r="K23" s="256" t="s">
        <v>1346</v>
      </c>
    </row>
    <row r="24" spans="1:11" x14ac:dyDescent="0.3">
      <c r="A24" s="256">
        <v>17</v>
      </c>
      <c r="B24" s="257" t="s">
        <v>1376</v>
      </c>
      <c r="C24" s="276">
        <v>44331</v>
      </c>
      <c r="D24" s="257" t="s">
        <v>1278</v>
      </c>
      <c r="E24" s="256" t="s">
        <v>1593</v>
      </c>
      <c r="F24" s="256" t="s">
        <v>1611</v>
      </c>
      <c r="G24" s="258">
        <v>9890000000</v>
      </c>
      <c r="H24" s="265">
        <v>0.1</v>
      </c>
      <c r="I24" s="258">
        <v>989000000</v>
      </c>
      <c r="J24" s="258">
        <v>10879000000</v>
      </c>
      <c r="K24" s="256" t="s">
        <v>1346</v>
      </c>
    </row>
    <row r="25" spans="1:11" x14ac:dyDescent="0.3">
      <c r="A25" s="256">
        <v>18</v>
      </c>
      <c r="B25" s="257" t="s">
        <v>1201</v>
      </c>
      <c r="C25" s="276">
        <v>44362</v>
      </c>
      <c r="D25" s="257" t="s">
        <v>1315</v>
      </c>
      <c r="E25" s="256" t="s">
        <v>1637</v>
      </c>
      <c r="F25" s="256" t="s">
        <v>1606</v>
      </c>
      <c r="G25" s="258">
        <v>17456000000</v>
      </c>
      <c r="H25" s="265">
        <v>0.1</v>
      </c>
      <c r="I25" s="258">
        <v>1745600000</v>
      </c>
      <c r="J25" s="258">
        <v>19201600000</v>
      </c>
      <c r="K25" s="256" t="s">
        <v>1346</v>
      </c>
    </row>
    <row r="26" spans="1:11" x14ac:dyDescent="0.3">
      <c r="A26" s="256">
        <v>19</v>
      </c>
      <c r="B26" s="257" t="s">
        <v>1376</v>
      </c>
      <c r="C26" s="276">
        <v>44392</v>
      </c>
      <c r="D26" s="257" t="s">
        <v>1263</v>
      </c>
      <c r="E26" s="256" t="s">
        <v>1579</v>
      </c>
      <c r="F26" s="256" t="s">
        <v>1656</v>
      </c>
      <c r="G26" s="258">
        <v>7890000000</v>
      </c>
      <c r="H26" s="265">
        <v>0.1</v>
      </c>
      <c r="I26" s="258">
        <v>789000000</v>
      </c>
      <c r="J26" s="258">
        <v>8679000000</v>
      </c>
      <c r="K26" s="256" t="s">
        <v>1346</v>
      </c>
    </row>
    <row r="27" spans="1:11" x14ac:dyDescent="0.3">
      <c r="A27" s="256">
        <v>20</v>
      </c>
      <c r="B27" s="257" t="s">
        <v>1382</v>
      </c>
      <c r="C27" s="276">
        <v>44423</v>
      </c>
      <c r="D27" s="257" t="s">
        <v>1277</v>
      </c>
      <c r="E27" s="256" t="s">
        <v>1582</v>
      </c>
      <c r="F27" s="256" t="s">
        <v>1608</v>
      </c>
      <c r="G27" s="258">
        <v>19678000000</v>
      </c>
      <c r="H27" s="265">
        <v>0.1</v>
      </c>
      <c r="I27" s="258">
        <v>1967800000</v>
      </c>
      <c r="J27" s="258">
        <v>21645800000</v>
      </c>
      <c r="K27" s="256" t="s">
        <v>1346</v>
      </c>
    </row>
    <row r="28" spans="1:11" x14ac:dyDescent="0.3">
      <c r="A28" s="256">
        <v>21</v>
      </c>
      <c r="B28" s="257" t="s">
        <v>1201</v>
      </c>
      <c r="C28" s="276">
        <v>44454</v>
      </c>
      <c r="D28" s="257" t="s">
        <v>1289</v>
      </c>
      <c r="E28" s="256" t="s">
        <v>1640</v>
      </c>
      <c r="F28" s="256" t="s">
        <v>1657</v>
      </c>
      <c r="G28" s="258">
        <v>9123000000</v>
      </c>
      <c r="H28" s="265">
        <v>0.1</v>
      </c>
      <c r="I28" s="258">
        <v>912300000</v>
      </c>
      <c r="J28" s="258">
        <v>10035300000</v>
      </c>
      <c r="K28" s="256" t="s">
        <v>1346</v>
      </c>
    </row>
    <row r="29" spans="1:11" x14ac:dyDescent="0.3">
      <c r="A29" s="256">
        <v>22</v>
      </c>
      <c r="B29" s="257" t="s">
        <v>1355</v>
      </c>
      <c r="C29" s="276">
        <v>44484</v>
      </c>
      <c r="D29" s="257" t="s">
        <v>1258</v>
      </c>
      <c r="E29" s="256" t="s">
        <v>351</v>
      </c>
      <c r="F29" s="256" t="s">
        <v>1606</v>
      </c>
      <c r="G29" s="258">
        <v>18901000000</v>
      </c>
      <c r="H29" s="265">
        <v>0.1</v>
      </c>
      <c r="I29" s="258">
        <v>1890100000</v>
      </c>
      <c r="J29" s="258">
        <v>20791100000</v>
      </c>
      <c r="K29" s="256" t="s">
        <v>1346</v>
      </c>
    </row>
    <row r="30" spans="1:11" x14ac:dyDescent="0.3">
      <c r="A30" s="256">
        <v>23</v>
      </c>
      <c r="B30" s="257" t="s">
        <v>1381</v>
      </c>
      <c r="C30" s="276">
        <v>44515</v>
      </c>
      <c r="D30" s="257" t="s">
        <v>1280</v>
      </c>
      <c r="E30" s="256" t="s">
        <v>618</v>
      </c>
      <c r="F30" s="256" t="s">
        <v>1655</v>
      </c>
      <c r="G30" s="258">
        <v>10456000000</v>
      </c>
      <c r="H30" s="265">
        <v>0.1</v>
      </c>
      <c r="I30" s="258">
        <v>1045600000</v>
      </c>
      <c r="J30" s="258">
        <v>11501600000</v>
      </c>
      <c r="K30" s="256" t="s">
        <v>1346</v>
      </c>
    </row>
    <row r="31" spans="1:11" x14ac:dyDescent="0.3">
      <c r="A31" s="256">
        <v>24</v>
      </c>
      <c r="B31" s="257" t="s">
        <v>1382</v>
      </c>
      <c r="C31" s="276">
        <v>44545</v>
      </c>
      <c r="D31" s="257" t="s">
        <v>1284</v>
      </c>
      <c r="E31" s="256" t="s">
        <v>1552</v>
      </c>
      <c r="F31" s="256" t="s">
        <v>1608</v>
      </c>
      <c r="G31" s="258">
        <v>20234000000</v>
      </c>
      <c r="H31" s="265">
        <v>0.1</v>
      </c>
      <c r="I31" s="258">
        <v>2023400000</v>
      </c>
      <c r="J31" s="258">
        <v>22257400000</v>
      </c>
      <c r="K31" s="256" t="s">
        <v>1346</v>
      </c>
    </row>
    <row r="32" spans="1:11" x14ac:dyDescent="0.3">
      <c r="A32" s="256">
        <v>25</v>
      </c>
      <c r="B32" s="257" t="s">
        <v>1376</v>
      </c>
      <c r="C32" s="276">
        <v>44216</v>
      </c>
      <c r="D32" s="257" t="s">
        <v>1264</v>
      </c>
      <c r="E32" s="256" t="s">
        <v>1584</v>
      </c>
      <c r="F32" s="256" t="s">
        <v>1657</v>
      </c>
      <c r="G32" s="258">
        <v>9345000000</v>
      </c>
      <c r="H32" s="265">
        <v>0.1</v>
      </c>
      <c r="I32" s="258">
        <v>934500000</v>
      </c>
      <c r="J32" s="258">
        <v>10279500000</v>
      </c>
      <c r="K32" s="256" t="s">
        <v>1346</v>
      </c>
    </row>
    <row r="33" spans="1:11" x14ac:dyDescent="0.3">
      <c r="A33" s="256">
        <v>26</v>
      </c>
      <c r="B33" s="257" t="s">
        <v>1200</v>
      </c>
      <c r="C33" s="276">
        <v>44247</v>
      </c>
      <c r="D33" s="257" t="s">
        <v>1286</v>
      </c>
      <c r="E33" s="256" t="s">
        <v>1653</v>
      </c>
      <c r="F33" s="256" t="s">
        <v>1606</v>
      </c>
      <c r="G33" s="258">
        <v>17890000000</v>
      </c>
      <c r="H33" s="265">
        <v>0.1</v>
      </c>
      <c r="I33" s="258">
        <v>1789000000</v>
      </c>
      <c r="J33" s="258">
        <v>19679000000</v>
      </c>
      <c r="K33" s="256" t="s">
        <v>1346</v>
      </c>
    </row>
    <row r="34" spans="1:11" x14ac:dyDescent="0.3">
      <c r="A34" s="256">
        <v>27</v>
      </c>
      <c r="B34" s="257" t="s">
        <v>1376</v>
      </c>
      <c r="C34" s="276">
        <v>44275</v>
      </c>
      <c r="D34" s="257" t="s">
        <v>1435</v>
      </c>
      <c r="E34" s="256" t="s">
        <v>1577</v>
      </c>
      <c r="F34" s="256" t="s">
        <v>1611</v>
      </c>
      <c r="G34" s="258">
        <v>10234000000</v>
      </c>
      <c r="H34" s="265">
        <v>0.1</v>
      </c>
      <c r="I34" s="258">
        <v>1023400000</v>
      </c>
      <c r="J34" s="258">
        <v>11257400000</v>
      </c>
      <c r="K34" s="256" t="s">
        <v>1346</v>
      </c>
    </row>
    <row r="35" spans="1:11" x14ac:dyDescent="0.3">
      <c r="A35" s="256">
        <v>28</v>
      </c>
      <c r="B35" s="257" t="s">
        <v>1376</v>
      </c>
      <c r="C35" s="276">
        <v>44306</v>
      </c>
      <c r="D35" s="257" t="s">
        <v>1259</v>
      </c>
      <c r="E35" s="256" t="s">
        <v>1569</v>
      </c>
      <c r="F35" s="256" t="s">
        <v>1608</v>
      </c>
      <c r="G35" s="258">
        <v>20890000000</v>
      </c>
      <c r="H35" s="265">
        <v>0.1</v>
      </c>
      <c r="I35" s="258">
        <v>2089000000</v>
      </c>
      <c r="J35" s="258">
        <v>22979000000</v>
      </c>
      <c r="K35" s="256" t="s">
        <v>1346</v>
      </c>
    </row>
    <row r="36" spans="1:11" x14ac:dyDescent="0.3">
      <c r="A36" s="256">
        <v>29</v>
      </c>
      <c r="B36" s="257" t="s">
        <v>1200</v>
      </c>
      <c r="C36" s="276">
        <v>44336</v>
      </c>
      <c r="D36" s="257" t="s">
        <v>1317</v>
      </c>
      <c r="E36" s="256" t="s">
        <v>1658</v>
      </c>
      <c r="F36" s="256" t="s">
        <v>1656</v>
      </c>
      <c r="G36" s="258">
        <v>8234000000</v>
      </c>
      <c r="H36" s="265">
        <v>0.1</v>
      </c>
      <c r="I36" s="258">
        <v>823400000</v>
      </c>
      <c r="J36" s="258">
        <v>9057400000</v>
      </c>
      <c r="K36" s="256" t="s">
        <v>1346</v>
      </c>
    </row>
    <row r="37" spans="1:11" x14ac:dyDescent="0.3">
      <c r="A37" s="256">
        <v>30</v>
      </c>
      <c r="B37" s="257" t="s">
        <v>1378</v>
      </c>
      <c r="C37" s="276">
        <v>44367</v>
      </c>
      <c r="D37" s="257" t="s">
        <v>1268</v>
      </c>
      <c r="E37" s="256" t="s">
        <v>1594</v>
      </c>
      <c r="F37" s="256" t="s">
        <v>1606</v>
      </c>
      <c r="G37" s="258">
        <v>18456000000</v>
      </c>
      <c r="H37" s="265">
        <v>0.1</v>
      </c>
      <c r="I37" s="258">
        <v>1845600000</v>
      </c>
      <c r="J37" s="258">
        <v>20301600000</v>
      </c>
      <c r="K37" s="256" t="s">
        <v>1346</v>
      </c>
    </row>
    <row r="38" spans="1:11" x14ac:dyDescent="0.3">
      <c r="A38" s="256">
        <v>31</v>
      </c>
      <c r="B38" s="257" t="s">
        <v>1379</v>
      </c>
      <c r="C38" s="276">
        <v>44397</v>
      </c>
      <c r="D38" s="257" t="s">
        <v>1274</v>
      </c>
      <c r="E38" s="256" t="s">
        <v>1592</v>
      </c>
      <c r="F38" s="256" t="s">
        <v>1657</v>
      </c>
      <c r="G38" s="258">
        <v>9678000000</v>
      </c>
      <c r="H38" s="265">
        <v>0.1</v>
      </c>
      <c r="I38" s="258">
        <v>967800000</v>
      </c>
      <c r="J38" s="258">
        <v>10645800000</v>
      </c>
      <c r="K38" s="256" t="s">
        <v>1346</v>
      </c>
    </row>
    <row r="39" spans="1:11" x14ac:dyDescent="0.3">
      <c r="A39" s="256">
        <v>32</v>
      </c>
      <c r="B39" s="257" t="s">
        <v>1381</v>
      </c>
      <c r="C39" s="276">
        <v>44428</v>
      </c>
      <c r="D39" s="257" t="s">
        <v>1275</v>
      </c>
      <c r="E39" s="256" t="s">
        <v>1575</v>
      </c>
      <c r="F39" s="256" t="s">
        <v>1608</v>
      </c>
      <c r="G39" s="258">
        <v>21234000000</v>
      </c>
      <c r="H39" s="265">
        <v>0.1</v>
      </c>
      <c r="I39" s="258">
        <v>2123400000</v>
      </c>
      <c r="J39" s="258">
        <v>23357400000</v>
      </c>
      <c r="K39" s="256" t="s">
        <v>1346</v>
      </c>
    </row>
    <row r="40" spans="1:11" x14ac:dyDescent="0.3">
      <c r="A40" s="256">
        <v>33</v>
      </c>
      <c r="B40" s="257" t="s">
        <v>1379</v>
      </c>
      <c r="C40" s="276">
        <v>44459</v>
      </c>
      <c r="D40" s="257" t="s">
        <v>1260</v>
      </c>
      <c r="E40" s="256" t="s">
        <v>1585</v>
      </c>
      <c r="F40" s="256" t="s">
        <v>1655</v>
      </c>
      <c r="G40" s="258">
        <v>11234000000</v>
      </c>
      <c r="H40" s="265">
        <v>0.1</v>
      </c>
      <c r="I40" s="258">
        <v>1123400000</v>
      </c>
      <c r="J40" s="258">
        <v>12357400000</v>
      </c>
      <c r="K40" s="256" t="s">
        <v>1346</v>
      </c>
    </row>
    <row r="41" spans="1:11" x14ac:dyDescent="0.3">
      <c r="A41" s="256">
        <v>34</v>
      </c>
      <c r="B41" s="257" t="s">
        <v>1200</v>
      </c>
      <c r="C41" s="276">
        <v>44489</v>
      </c>
      <c r="D41" s="257" t="s">
        <v>1307</v>
      </c>
      <c r="E41" s="256" t="s">
        <v>1659</v>
      </c>
      <c r="F41" s="256" t="s">
        <v>1606</v>
      </c>
      <c r="G41" s="258">
        <v>18234000000</v>
      </c>
      <c r="H41" s="265">
        <v>0.1</v>
      </c>
      <c r="I41" s="258">
        <v>1823400000</v>
      </c>
      <c r="J41" s="258">
        <v>20057400000</v>
      </c>
      <c r="K41" s="256" t="s">
        <v>1346</v>
      </c>
    </row>
    <row r="42" spans="1:11" x14ac:dyDescent="0.3">
      <c r="A42" s="256">
        <v>35</v>
      </c>
      <c r="B42" s="257" t="s">
        <v>1362</v>
      </c>
      <c r="C42" s="276">
        <v>44520</v>
      </c>
      <c r="D42" s="257" t="s">
        <v>1266</v>
      </c>
      <c r="E42" s="256" t="s">
        <v>1570</v>
      </c>
      <c r="F42" s="256" t="s">
        <v>1656</v>
      </c>
      <c r="G42" s="258">
        <v>8456000000</v>
      </c>
      <c r="H42" s="265">
        <v>0.1</v>
      </c>
      <c r="I42" s="258">
        <v>845600000</v>
      </c>
      <c r="J42" s="258">
        <v>9301600000</v>
      </c>
      <c r="K42" s="256" t="s">
        <v>1346</v>
      </c>
    </row>
    <row r="43" spans="1:11" x14ac:dyDescent="0.3">
      <c r="A43" s="256">
        <v>36</v>
      </c>
      <c r="B43" s="257" t="s">
        <v>1200</v>
      </c>
      <c r="C43" s="276">
        <v>44550</v>
      </c>
      <c r="D43" s="257" t="s">
        <v>1296</v>
      </c>
      <c r="E43" s="256" t="s">
        <v>1660</v>
      </c>
      <c r="F43" s="256" t="s">
        <v>1608</v>
      </c>
      <c r="G43" s="258">
        <v>21890000000</v>
      </c>
      <c r="H43" s="265">
        <v>0.1</v>
      </c>
      <c r="I43" s="258">
        <v>2189000000</v>
      </c>
      <c r="J43" s="258">
        <v>24079000000</v>
      </c>
      <c r="K43" s="256" t="s">
        <v>1346</v>
      </c>
    </row>
    <row r="44" spans="1:11" x14ac:dyDescent="0.3">
      <c r="A44" s="256">
        <v>37</v>
      </c>
      <c r="B44" s="257" t="s">
        <v>1200</v>
      </c>
      <c r="C44" s="276">
        <v>44221</v>
      </c>
      <c r="D44" s="257" t="s">
        <v>1290</v>
      </c>
      <c r="E44" s="256" t="s">
        <v>715</v>
      </c>
      <c r="F44" s="256" t="s">
        <v>1657</v>
      </c>
      <c r="G44" s="258">
        <v>10234000000</v>
      </c>
      <c r="H44" s="265">
        <v>0.1</v>
      </c>
      <c r="I44" s="258">
        <v>1023400000</v>
      </c>
      <c r="J44" s="258">
        <v>11257400000</v>
      </c>
      <c r="K44" s="256" t="s">
        <v>1346</v>
      </c>
    </row>
    <row r="45" spans="1:11" x14ac:dyDescent="0.3">
      <c r="A45" s="256">
        <v>38</v>
      </c>
      <c r="B45" s="257" t="s">
        <v>1201</v>
      </c>
      <c r="C45" s="276">
        <v>44252</v>
      </c>
      <c r="D45" s="257" t="s">
        <v>1269</v>
      </c>
      <c r="E45" s="256" t="s">
        <v>1641</v>
      </c>
      <c r="F45" s="256" t="s">
        <v>1606</v>
      </c>
      <c r="G45" s="258">
        <v>18901000000</v>
      </c>
      <c r="H45" s="265">
        <v>0.1</v>
      </c>
      <c r="I45" s="258">
        <v>1890100000</v>
      </c>
      <c r="J45" s="258">
        <v>20791100000</v>
      </c>
      <c r="K45" s="256" t="s">
        <v>1346</v>
      </c>
    </row>
    <row r="46" spans="1:11" x14ac:dyDescent="0.3">
      <c r="A46" s="256">
        <v>39</v>
      </c>
      <c r="B46" s="257" t="s">
        <v>1201</v>
      </c>
      <c r="C46" s="276">
        <v>44280</v>
      </c>
      <c r="D46" s="257" t="s">
        <v>1287</v>
      </c>
      <c r="E46" s="256" t="s">
        <v>691</v>
      </c>
      <c r="F46" s="256" t="s">
        <v>1611</v>
      </c>
      <c r="G46" s="258">
        <v>11234000000</v>
      </c>
      <c r="H46" s="265">
        <v>0.1</v>
      </c>
      <c r="I46" s="258">
        <v>1123400000</v>
      </c>
      <c r="J46" s="258">
        <v>12357400000</v>
      </c>
      <c r="K46" s="256" t="s">
        <v>1346</v>
      </c>
    </row>
    <row r="47" spans="1:11" x14ac:dyDescent="0.3">
      <c r="A47" s="256">
        <v>40</v>
      </c>
      <c r="B47" s="257" t="s">
        <v>1378</v>
      </c>
      <c r="C47" s="276">
        <v>44311</v>
      </c>
      <c r="D47" s="257" t="s">
        <v>1428</v>
      </c>
      <c r="E47" s="256" t="s">
        <v>1557</v>
      </c>
      <c r="F47" s="256" t="s">
        <v>1608</v>
      </c>
      <c r="G47" s="258">
        <v>22345000000</v>
      </c>
      <c r="H47" s="265">
        <v>0.1</v>
      </c>
      <c r="I47" s="258">
        <v>2234500000</v>
      </c>
      <c r="J47" s="258">
        <v>24579500000</v>
      </c>
      <c r="K47" s="256" t="s">
        <v>1346</v>
      </c>
    </row>
    <row r="48" spans="1:11" x14ac:dyDescent="0.3">
      <c r="A48" s="256">
        <v>41</v>
      </c>
      <c r="B48" s="257" t="s">
        <v>1200</v>
      </c>
      <c r="C48" s="276">
        <v>44341</v>
      </c>
      <c r="D48" s="257" t="s">
        <v>1299</v>
      </c>
      <c r="E48" s="256" t="s">
        <v>1661</v>
      </c>
      <c r="F48" s="256" t="s">
        <v>1656</v>
      </c>
      <c r="G48" s="258">
        <v>8789000000</v>
      </c>
      <c r="H48" s="265">
        <v>0.1</v>
      </c>
      <c r="I48" s="258">
        <v>878900000</v>
      </c>
      <c r="J48" s="258">
        <v>9667900000</v>
      </c>
      <c r="K48" s="256" t="s">
        <v>1346</v>
      </c>
    </row>
    <row r="49" spans="1:11" x14ac:dyDescent="0.3">
      <c r="A49" s="256">
        <v>42</v>
      </c>
      <c r="B49" s="257" t="s">
        <v>1374</v>
      </c>
      <c r="C49" s="276">
        <v>44372</v>
      </c>
      <c r="D49" s="257" t="s">
        <v>1273</v>
      </c>
      <c r="E49" s="256" t="s">
        <v>1567</v>
      </c>
      <c r="F49" s="256" t="s">
        <v>1606</v>
      </c>
      <c r="G49" s="258">
        <v>19234000000</v>
      </c>
      <c r="H49" s="265">
        <v>0.1</v>
      </c>
      <c r="I49" s="258">
        <v>1923400000</v>
      </c>
      <c r="J49" s="258">
        <v>21157400000</v>
      </c>
      <c r="K49" s="256" t="s">
        <v>1346</v>
      </c>
    </row>
    <row r="50" spans="1:11" x14ac:dyDescent="0.3">
      <c r="A50" s="256">
        <v>43</v>
      </c>
      <c r="B50" s="257" t="s">
        <v>1200</v>
      </c>
      <c r="C50" s="276">
        <v>44402</v>
      </c>
      <c r="D50" s="257" t="s">
        <v>1292</v>
      </c>
      <c r="E50" s="256" t="s">
        <v>1662</v>
      </c>
      <c r="F50" s="256" t="s">
        <v>1657</v>
      </c>
      <c r="G50" s="258">
        <v>10678000000</v>
      </c>
      <c r="H50" s="265">
        <v>0.1</v>
      </c>
      <c r="I50" s="258">
        <v>1067800000</v>
      </c>
      <c r="J50" s="258">
        <v>11745800000</v>
      </c>
      <c r="K50" s="256" t="s">
        <v>1346</v>
      </c>
    </row>
    <row r="51" spans="1:11" x14ac:dyDescent="0.3">
      <c r="A51" s="256">
        <v>44</v>
      </c>
      <c r="B51" s="257" t="s">
        <v>1383</v>
      </c>
      <c r="C51" s="276">
        <v>44433</v>
      </c>
      <c r="D51" s="257" t="s">
        <v>1395</v>
      </c>
      <c r="E51" s="256" t="s">
        <v>1581</v>
      </c>
      <c r="F51" s="256" t="s">
        <v>1608</v>
      </c>
      <c r="G51" s="258">
        <v>22890000000</v>
      </c>
      <c r="H51" s="265">
        <v>0.1</v>
      </c>
      <c r="I51" s="258">
        <v>2289000000</v>
      </c>
      <c r="J51" s="258">
        <v>25179000000</v>
      </c>
      <c r="K51" s="256" t="s">
        <v>1346</v>
      </c>
    </row>
    <row r="52" spans="1:11" x14ac:dyDescent="0.3">
      <c r="A52" s="256">
        <v>45</v>
      </c>
      <c r="B52" s="257" t="s">
        <v>1202</v>
      </c>
      <c r="C52" s="276">
        <v>44464</v>
      </c>
      <c r="D52" s="257" t="s">
        <v>1322</v>
      </c>
      <c r="E52" s="256" t="s">
        <v>1638</v>
      </c>
      <c r="F52" s="256" t="s">
        <v>1655</v>
      </c>
      <c r="G52" s="258">
        <v>12234000000</v>
      </c>
      <c r="H52" s="265">
        <v>0.1</v>
      </c>
      <c r="I52" s="258">
        <v>1223400000</v>
      </c>
      <c r="J52" s="258">
        <v>13457400000</v>
      </c>
      <c r="K52" s="256" t="s">
        <v>1346</v>
      </c>
    </row>
    <row r="53" spans="1:11" x14ac:dyDescent="0.3">
      <c r="A53" s="256">
        <v>46</v>
      </c>
      <c r="B53" s="257" t="s">
        <v>1383</v>
      </c>
      <c r="C53" s="276">
        <v>44494</v>
      </c>
      <c r="D53" s="257" t="s">
        <v>1281</v>
      </c>
      <c r="E53" s="256" t="s">
        <v>1559</v>
      </c>
      <c r="F53" s="256" t="s">
        <v>1606</v>
      </c>
      <c r="G53" s="258">
        <v>19678000000</v>
      </c>
      <c r="H53" s="265">
        <v>0.1</v>
      </c>
      <c r="I53" s="258">
        <v>1967800000</v>
      </c>
      <c r="J53" s="258">
        <v>21645800000</v>
      </c>
      <c r="K53" s="256" t="s">
        <v>1346</v>
      </c>
    </row>
    <row r="54" spans="1:11" x14ac:dyDescent="0.3">
      <c r="A54" s="256">
        <v>47</v>
      </c>
      <c r="B54" s="257" t="s">
        <v>1200</v>
      </c>
      <c r="C54" s="276">
        <v>44525</v>
      </c>
      <c r="D54" s="257" t="s">
        <v>1312</v>
      </c>
      <c r="E54" s="256" t="s">
        <v>1663</v>
      </c>
      <c r="F54" s="256" t="s">
        <v>1656</v>
      </c>
      <c r="G54" s="258">
        <v>9234000000</v>
      </c>
      <c r="H54" s="265">
        <v>0.1</v>
      </c>
      <c r="I54" s="258">
        <v>923400000</v>
      </c>
      <c r="J54" s="258">
        <v>10157400000</v>
      </c>
      <c r="K54" s="256" t="s">
        <v>1346</v>
      </c>
    </row>
    <row r="55" spans="1:11" x14ac:dyDescent="0.3">
      <c r="A55" s="256">
        <v>48</v>
      </c>
      <c r="B55" s="257" t="s">
        <v>1378</v>
      </c>
      <c r="C55" s="276">
        <v>44555</v>
      </c>
      <c r="D55" s="257" t="s">
        <v>1416</v>
      </c>
      <c r="E55" s="256" t="s">
        <v>1562</v>
      </c>
      <c r="F55" s="256" t="s">
        <v>1608</v>
      </c>
      <c r="G55" s="258">
        <v>23456000000</v>
      </c>
      <c r="H55" s="265">
        <v>0.1</v>
      </c>
      <c r="I55" s="258">
        <v>2345600000</v>
      </c>
      <c r="J55" s="258">
        <v>25801600000</v>
      </c>
      <c r="K55" s="256" t="s">
        <v>1346</v>
      </c>
    </row>
    <row r="56" spans="1:11" x14ac:dyDescent="0.3">
      <c r="A56" s="256">
        <v>49</v>
      </c>
      <c r="B56" s="257" t="s">
        <v>1378</v>
      </c>
      <c r="C56" s="276">
        <v>44224</v>
      </c>
      <c r="D56" s="257" t="s">
        <v>1278</v>
      </c>
      <c r="E56" s="256" t="s">
        <v>1593</v>
      </c>
      <c r="F56" s="256" t="s">
        <v>1657</v>
      </c>
      <c r="G56" s="258">
        <v>11234000000</v>
      </c>
      <c r="H56" s="265">
        <v>0.1</v>
      </c>
      <c r="I56" s="258">
        <v>1123400000</v>
      </c>
      <c r="J56" s="258">
        <v>12357400000</v>
      </c>
      <c r="K56" s="256" t="s">
        <v>1346</v>
      </c>
    </row>
    <row r="57" spans="1:11" x14ac:dyDescent="0.3">
      <c r="A57" s="256">
        <v>50</v>
      </c>
      <c r="B57" s="257" t="s">
        <v>1200</v>
      </c>
      <c r="C57" s="276">
        <v>44255</v>
      </c>
      <c r="D57" s="257" t="s">
        <v>1305</v>
      </c>
      <c r="E57" s="256" t="s">
        <v>1664</v>
      </c>
      <c r="F57" s="256" t="s">
        <v>1606</v>
      </c>
      <c r="G57" s="258">
        <v>20234000000</v>
      </c>
      <c r="H57" s="265">
        <v>0.1</v>
      </c>
      <c r="I57" s="258">
        <v>2023400000</v>
      </c>
      <c r="J57" s="258">
        <v>22257400000</v>
      </c>
      <c r="K57" s="256" t="s">
        <v>1346</v>
      </c>
    </row>
    <row r="58" spans="1:11" x14ac:dyDescent="0.3">
      <c r="A58" s="256">
        <v>51</v>
      </c>
      <c r="B58" s="257" t="s">
        <v>1379</v>
      </c>
      <c r="C58" s="276">
        <v>44283</v>
      </c>
      <c r="D58" s="257" t="s">
        <v>1283</v>
      </c>
      <c r="E58" s="256" t="s">
        <v>1588</v>
      </c>
      <c r="F58" s="256" t="s">
        <v>1655</v>
      </c>
      <c r="G58" s="258">
        <v>13234000000</v>
      </c>
      <c r="H58" s="265">
        <v>0.1</v>
      </c>
      <c r="I58" s="258">
        <v>1323400000</v>
      </c>
      <c r="J58" s="258">
        <v>14557400000</v>
      </c>
      <c r="K58" s="256" t="s">
        <v>1346</v>
      </c>
    </row>
    <row r="59" spans="1:11" x14ac:dyDescent="0.3">
      <c r="A59" s="256">
        <v>52</v>
      </c>
      <c r="B59" s="257" t="s">
        <v>1201</v>
      </c>
      <c r="C59" s="276">
        <v>44314</v>
      </c>
      <c r="D59" s="257" t="s">
        <v>1256</v>
      </c>
      <c r="E59" s="256" t="s">
        <v>1665</v>
      </c>
      <c r="F59" s="256" t="s">
        <v>1608</v>
      </c>
      <c r="G59" s="258">
        <v>23890000000</v>
      </c>
      <c r="H59" s="265">
        <v>0.1</v>
      </c>
      <c r="I59" s="258">
        <v>2389000000</v>
      </c>
      <c r="J59" s="258">
        <v>26279000000</v>
      </c>
      <c r="K59" s="256" t="s">
        <v>1346</v>
      </c>
    </row>
    <row r="60" spans="1:11" x14ac:dyDescent="0.3">
      <c r="A60" s="256">
        <v>53</v>
      </c>
      <c r="B60" s="257" t="s">
        <v>1200</v>
      </c>
      <c r="C60" s="276">
        <v>44344</v>
      </c>
      <c r="D60" s="257" t="s">
        <v>1288</v>
      </c>
      <c r="E60" s="256" t="s">
        <v>1666</v>
      </c>
      <c r="F60" s="256" t="s">
        <v>1656</v>
      </c>
      <c r="G60" s="258">
        <v>9678000000</v>
      </c>
      <c r="H60" s="265">
        <v>0.1</v>
      </c>
      <c r="I60" s="258">
        <v>967800000</v>
      </c>
      <c r="J60" s="258">
        <v>10645800000</v>
      </c>
      <c r="K60" s="256" t="s">
        <v>1346</v>
      </c>
    </row>
    <row r="61" spans="1:11" x14ac:dyDescent="0.3">
      <c r="A61" s="256">
        <v>54</v>
      </c>
      <c r="B61" s="257" t="s">
        <v>1355</v>
      </c>
      <c r="C61" s="276">
        <v>44405</v>
      </c>
      <c r="D61" s="257" t="s">
        <v>1265</v>
      </c>
      <c r="E61" s="256" t="s">
        <v>1583</v>
      </c>
      <c r="F61" s="256" t="s">
        <v>1606</v>
      </c>
      <c r="G61" s="258">
        <v>20234000000</v>
      </c>
      <c r="H61" s="265">
        <v>0.1</v>
      </c>
      <c r="I61" s="258">
        <v>2023400000</v>
      </c>
      <c r="J61" s="258">
        <v>22257400000</v>
      </c>
      <c r="K61" s="256" t="s">
        <v>1346</v>
      </c>
    </row>
    <row r="62" spans="1:11" x14ac:dyDescent="0.3">
      <c r="A62" s="256">
        <v>55</v>
      </c>
      <c r="B62" s="257" t="s">
        <v>1200</v>
      </c>
      <c r="C62" s="276">
        <v>44436</v>
      </c>
      <c r="D62" s="257" t="s">
        <v>1293</v>
      </c>
      <c r="E62" s="256" t="s">
        <v>754</v>
      </c>
      <c r="F62" s="256" t="s">
        <v>1657</v>
      </c>
      <c r="G62" s="258">
        <v>11890000000</v>
      </c>
      <c r="H62" s="265">
        <v>0.1</v>
      </c>
      <c r="I62" s="258">
        <v>1189000000</v>
      </c>
      <c r="J62" s="258">
        <v>13079000000</v>
      </c>
      <c r="K62" s="256" t="s">
        <v>1346</v>
      </c>
    </row>
    <row r="63" spans="1:11" x14ac:dyDescent="0.3">
      <c r="A63" s="256">
        <v>56</v>
      </c>
      <c r="B63" s="257" t="s">
        <v>1201</v>
      </c>
      <c r="C63" s="276">
        <v>44497</v>
      </c>
      <c r="D63" s="257" t="s">
        <v>1271</v>
      </c>
      <c r="E63" s="256" t="s">
        <v>1634</v>
      </c>
      <c r="F63" s="256" t="s">
        <v>1608</v>
      </c>
      <c r="G63" s="258">
        <v>24567000000</v>
      </c>
      <c r="H63" s="265">
        <v>0.1</v>
      </c>
      <c r="I63" s="258">
        <v>2456700000</v>
      </c>
      <c r="J63" s="258">
        <v>27023700000</v>
      </c>
      <c r="K63" s="256" t="s">
        <v>1346</v>
      </c>
    </row>
    <row r="64" spans="1:11" x14ac:dyDescent="0.3">
      <c r="A64" s="256">
        <v>57</v>
      </c>
      <c r="B64" s="257" t="s">
        <v>1383</v>
      </c>
      <c r="C64" s="276">
        <v>44227</v>
      </c>
      <c r="D64" s="257" t="s">
        <v>1277</v>
      </c>
      <c r="E64" s="256" t="s">
        <v>1582</v>
      </c>
      <c r="F64" s="256" t="s">
        <v>1655</v>
      </c>
      <c r="G64" s="258">
        <v>13890000000</v>
      </c>
      <c r="H64" s="265">
        <v>0.1</v>
      </c>
      <c r="I64" s="258">
        <v>1389000000</v>
      </c>
      <c r="J64" s="258">
        <v>15279000000</v>
      </c>
      <c r="K64" s="256" t="s">
        <v>1346</v>
      </c>
    </row>
    <row r="65" spans="1:11" x14ac:dyDescent="0.3">
      <c r="A65" s="256">
        <v>58</v>
      </c>
      <c r="B65" s="257" t="s">
        <v>1378</v>
      </c>
      <c r="C65" s="276">
        <v>44286</v>
      </c>
      <c r="D65" s="257" t="s">
        <v>1263</v>
      </c>
      <c r="E65" s="256" t="s">
        <v>1579</v>
      </c>
      <c r="F65" s="256" t="s">
        <v>1606</v>
      </c>
      <c r="G65" s="258">
        <v>21234000000</v>
      </c>
      <c r="H65" s="265">
        <v>0.1</v>
      </c>
      <c r="I65" s="258">
        <v>2123400000</v>
      </c>
      <c r="J65" s="258">
        <v>23357400000</v>
      </c>
      <c r="K65" s="256" t="s">
        <v>1346</v>
      </c>
    </row>
    <row r="66" spans="1:11" x14ac:dyDescent="0.3">
      <c r="A66" s="256">
        <v>59</v>
      </c>
      <c r="B66" s="257" t="s">
        <v>1201</v>
      </c>
      <c r="C66" s="276">
        <v>44347</v>
      </c>
      <c r="D66" s="257" t="s">
        <v>1314</v>
      </c>
      <c r="E66" s="256" t="s">
        <v>948</v>
      </c>
      <c r="F66" s="256" t="s">
        <v>1656</v>
      </c>
      <c r="G66" s="258">
        <v>10234000000</v>
      </c>
      <c r="H66" s="265">
        <v>0.1</v>
      </c>
      <c r="I66" s="258">
        <v>1023400000</v>
      </c>
      <c r="J66" s="258">
        <v>11257400000</v>
      </c>
      <c r="K66" s="256" t="s">
        <v>1346</v>
      </c>
    </row>
    <row r="67" spans="1:11" x14ac:dyDescent="0.3">
      <c r="A67" s="256">
        <v>60</v>
      </c>
      <c r="B67" s="257" t="s">
        <v>1382</v>
      </c>
      <c r="C67" s="276">
        <v>44561</v>
      </c>
      <c r="D67" s="257" t="s">
        <v>1280</v>
      </c>
      <c r="E67" s="256" t="s">
        <v>618</v>
      </c>
      <c r="F67" s="256" t="s">
        <v>1608</v>
      </c>
      <c r="G67" s="258">
        <v>25234000000</v>
      </c>
      <c r="H67" s="265">
        <v>0.1</v>
      </c>
      <c r="I67" s="258">
        <v>2523400000</v>
      </c>
      <c r="J67" s="258">
        <v>27757400000</v>
      </c>
      <c r="K67" s="256" t="s">
        <v>1346</v>
      </c>
    </row>
    <row r="68" spans="1:11" x14ac:dyDescent="0.3">
      <c r="A68" s="266" t="s">
        <v>1351</v>
      </c>
      <c r="B68" s="266"/>
      <c r="C68" s="266"/>
      <c r="D68" s="266"/>
      <c r="E68" s="266"/>
      <c r="F68" s="266"/>
      <c r="G68" s="267">
        <f>SUM(G8:G67)</f>
        <v>906129000000</v>
      </c>
      <c r="H68" s="266"/>
      <c r="I68" s="267">
        <f>SUM(I8:I67)</f>
        <v>90612900000</v>
      </c>
      <c r="J68" s="267">
        <f>SUM(J8:J67)</f>
        <v>996741900000</v>
      </c>
      <c r="K68" s="266"/>
    </row>
    <row r="69" spans="1:11" x14ac:dyDescent="0.3">
      <c r="A69" s="256"/>
      <c r="B69" s="256"/>
      <c r="C69" s="256"/>
      <c r="D69" s="256"/>
      <c r="E69" s="256"/>
      <c r="F69" s="256"/>
      <c r="G69" s="256"/>
      <c r="H69" s="256"/>
      <c r="I69" s="256"/>
      <c r="J69" s="256"/>
      <c r="K69" s="256"/>
    </row>
    <row r="70" spans="1:11" x14ac:dyDescent="0.3">
      <c r="A70" s="256" t="s">
        <v>1420</v>
      </c>
      <c r="B70" s="256"/>
      <c r="C70" s="256"/>
      <c r="D70" s="256"/>
      <c r="E70" s="256"/>
      <c r="F70" s="256"/>
      <c r="G70" s="256"/>
      <c r="H70" s="256"/>
      <c r="I70" s="256"/>
      <c r="J70" s="256"/>
      <c r="K70" s="256"/>
    </row>
    <row r="71" spans="1:11" x14ac:dyDescent="0.3">
      <c r="A71" s="266" t="s">
        <v>0</v>
      </c>
      <c r="B71" s="266" t="s">
        <v>212</v>
      </c>
      <c r="C71" s="266" t="s">
        <v>1535</v>
      </c>
      <c r="D71" s="266" t="s">
        <v>1586</v>
      </c>
      <c r="E71" s="266" t="s">
        <v>1422</v>
      </c>
      <c r="F71" s="266" t="s">
        <v>1537</v>
      </c>
      <c r="G71" s="266" t="s">
        <v>270</v>
      </c>
      <c r="H71" s="266" t="s">
        <v>1538</v>
      </c>
      <c r="I71" s="266" t="s">
        <v>1539</v>
      </c>
      <c r="J71" s="266" t="s">
        <v>1540</v>
      </c>
      <c r="K71" s="266" t="s">
        <v>1541</v>
      </c>
    </row>
    <row r="72" spans="1:11" x14ac:dyDescent="0.3">
      <c r="A72" s="256">
        <v>1</v>
      </c>
      <c r="B72" s="257" t="s">
        <v>1200</v>
      </c>
      <c r="C72" s="276">
        <v>44470</v>
      </c>
      <c r="D72" s="257" t="s">
        <v>1333</v>
      </c>
      <c r="E72" s="256" t="s">
        <v>1134</v>
      </c>
      <c r="F72" s="256" t="s">
        <v>1612</v>
      </c>
      <c r="G72" s="258">
        <v>19234000000</v>
      </c>
      <c r="H72" s="265">
        <v>0.1</v>
      </c>
      <c r="I72" s="258">
        <v>1923400000</v>
      </c>
      <c r="J72" s="258">
        <v>21157400000</v>
      </c>
      <c r="K72" s="256" t="s">
        <v>1346</v>
      </c>
    </row>
    <row r="73" spans="1:11" x14ac:dyDescent="0.3">
      <c r="A73" s="256">
        <v>2</v>
      </c>
      <c r="B73" s="257" t="s">
        <v>1201</v>
      </c>
      <c r="C73" s="276">
        <v>44471</v>
      </c>
      <c r="D73" s="257" t="s">
        <v>1352</v>
      </c>
      <c r="E73" s="256" t="s">
        <v>1571</v>
      </c>
      <c r="F73" s="256" t="s">
        <v>1613</v>
      </c>
      <c r="G73" s="258">
        <v>14567000000</v>
      </c>
      <c r="H73" s="265">
        <v>0</v>
      </c>
      <c r="I73" s="258">
        <v>0</v>
      </c>
      <c r="J73" s="258">
        <v>14567000000</v>
      </c>
      <c r="K73" s="256" t="s">
        <v>1346</v>
      </c>
    </row>
    <row r="74" spans="1:11" x14ac:dyDescent="0.3">
      <c r="A74" s="256">
        <v>3</v>
      </c>
      <c r="B74" s="257" t="s">
        <v>1202</v>
      </c>
      <c r="C74" s="276">
        <v>44472</v>
      </c>
      <c r="D74" s="257" t="s">
        <v>1272</v>
      </c>
      <c r="E74" s="256" t="s">
        <v>540</v>
      </c>
      <c r="F74" s="256" t="s">
        <v>1614</v>
      </c>
      <c r="G74" s="258">
        <v>22345000000</v>
      </c>
      <c r="H74" s="265">
        <v>0.1</v>
      </c>
      <c r="I74" s="258">
        <v>2234500000</v>
      </c>
      <c r="J74" s="258">
        <v>24579500000</v>
      </c>
      <c r="K74" s="256" t="s">
        <v>1346</v>
      </c>
    </row>
    <row r="75" spans="1:11" x14ac:dyDescent="0.3">
      <c r="A75" s="256">
        <v>4</v>
      </c>
      <c r="B75" s="257" t="s">
        <v>1355</v>
      </c>
      <c r="C75" s="276">
        <v>44473</v>
      </c>
      <c r="D75" s="257" t="s">
        <v>1254</v>
      </c>
      <c r="E75" s="256" t="s">
        <v>1644</v>
      </c>
      <c r="F75" s="256" t="s">
        <v>1612</v>
      </c>
      <c r="G75" s="258">
        <v>18901000000</v>
      </c>
      <c r="H75" s="265">
        <v>0.1</v>
      </c>
      <c r="I75" s="258">
        <v>1890100000</v>
      </c>
      <c r="J75" s="258">
        <v>20791100000</v>
      </c>
      <c r="K75" s="256" t="s">
        <v>1346</v>
      </c>
    </row>
    <row r="76" spans="1:11" x14ac:dyDescent="0.3">
      <c r="A76" s="256">
        <v>5</v>
      </c>
      <c r="B76" s="257" t="s">
        <v>1356</v>
      </c>
      <c r="C76" s="276">
        <v>44474</v>
      </c>
      <c r="D76" s="257" t="s">
        <v>1255</v>
      </c>
      <c r="E76" s="256" t="s">
        <v>1649</v>
      </c>
      <c r="F76" s="256" t="s">
        <v>1613</v>
      </c>
      <c r="G76" s="258">
        <v>16234000000</v>
      </c>
      <c r="H76" s="265">
        <v>0</v>
      </c>
      <c r="I76" s="258">
        <v>0</v>
      </c>
      <c r="J76" s="258">
        <v>16234000000</v>
      </c>
      <c r="K76" s="256" t="s">
        <v>1346</v>
      </c>
    </row>
    <row r="77" spans="1:11" x14ac:dyDescent="0.3">
      <c r="A77" s="256">
        <v>6</v>
      </c>
      <c r="B77" s="257" t="s">
        <v>1358</v>
      </c>
      <c r="C77" s="276">
        <v>44475</v>
      </c>
      <c r="D77" s="257" t="s">
        <v>1282</v>
      </c>
      <c r="E77" s="256" t="s">
        <v>1580</v>
      </c>
      <c r="F77" s="256" t="s">
        <v>1614</v>
      </c>
      <c r="G77" s="258">
        <v>21234000000</v>
      </c>
      <c r="H77" s="265">
        <v>0.1</v>
      </c>
      <c r="I77" s="258">
        <v>2123400000</v>
      </c>
      <c r="J77" s="258">
        <v>23357400000</v>
      </c>
      <c r="K77" s="256" t="s">
        <v>1346</v>
      </c>
    </row>
    <row r="78" spans="1:11" x14ac:dyDescent="0.3">
      <c r="A78" s="256">
        <v>7</v>
      </c>
      <c r="B78" s="257" t="s">
        <v>1360</v>
      </c>
      <c r="C78" s="276">
        <v>44476</v>
      </c>
      <c r="D78" s="257" t="s">
        <v>1285</v>
      </c>
      <c r="E78" s="256" t="s">
        <v>1558</v>
      </c>
      <c r="F78" s="256" t="s">
        <v>1612</v>
      </c>
      <c r="G78" s="258">
        <v>19890000000</v>
      </c>
      <c r="H78" s="265">
        <v>0.1</v>
      </c>
      <c r="I78" s="258">
        <v>1989000000</v>
      </c>
      <c r="J78" s="258">
        <v>21879000000</v>
      </c>
      <c r="K78" s="256" t="s">
        <v>1346</v>
      </c>
    </row>
    <row r="79" spans="1:11" x14ac:dyDescent="0.3">
      <c r="A79" s="256">
        <v>8</v>
      </c>
      <c r="B79" s="257" t="s">
        <v>1362</v>
      </c>
      <c r="C79" s="276">
        <v>44477</v>
      </c>
      <c r="D79" s="257" t="s">
        <v>1279</v>
      </c>
      <c r="E79" s="256" t="s">
        <v>611</v>
      </c>
      <c r="F79" s="256" t="s">
        <v>1613</v>
      </c>
      <c r="G79" s="258">
        <v>15678000000</v>
      </c>
      <c r="H79" s="265">
        <v>0</v>
      </c>
      <c r="I79" s="258">
        <v>0</v>
      </c>
      <c r="J79" s="258">
        <v>15678000000</v>
      </c>
      <c r="K79" s="256" t="s">
        <v>1346</v>
      </c>
    </row>
    <row r="80" spans="1:11" x14ac:dyDescent="0.3">
      <c r="A80" s="256">
        <v>9</v>
      </c>
      <c r="B80" s="257" t="s">
        <v>1364</v>
      </c>
      <c r="C80" s="276">
        <v>44478</v>
      </c>
      <c r="D80" s="257" t="s">
        <v>1291</v>
      </c>
      <c r="E80" s="256" t="s">
        <v>1650</v>
      </c>
      <c r="F80" s="256" t="s">
        <v>1614</v>
      </c>
      <c r="G80" s="258">
        <v>22890000000</v>
      </c>
      <c r="H80" s="265">
        <v>0.1</v>
      </c>
      <c r="I80" s="258">
        <v>2289000000</v>
      </c>
      <c r="J80" s="258">
        <v>25179000000</v>
      </c>
      <c r="K80" s="256" t="s">
        <v>1346</v>
      </c>
    </row>
    <row r="81" spans="1:11" x14ac:dyDescent="0.3">
      <c r="A81" s="256">
        <v>10</v>
      </c>
      <c r="B81" s="257" t="s">
        <v>1366</v>
      </c>
      <c r="C81" s="276">
        <v>44479</v>
      </c>
      <c r="D81" s="257" t="s">
        <v>1435</v>
      </c>
      <c r="E81" s="256" t="s">
        <v>1577</v>
      </c>
      <c r="F81" s="256" t="s">
        <v>1612</v>
      </c>
      <c r="G81" s="258">
        <v>20234000000</v>
      </c>
      <c r="H81" s="265">
        <v>0.1</v>
      </c>
      <c r="I81" s="258">
        <v>2023400000</v>
      </c>
      <c r="J81" s="258">
        <v>22257400000</v>
      </c>
      <c r="K81" s="256" t="s">
        <v>1346</v>
      </c>
    </row>
    <row r="82" spans="1:11" x14ac:dyDescent="0.3">
      <c r="A82" s="256">
        <v>11</v>
      </c>
      <c r="B82" s="257" t="s">
        <v>1368</v>
      </c>
      <c r="C82" s="276">
        <v>44480</v>
      </c>
      <c r="D82" s="257" t="s">
        <v>1257</v>
      </c>
      <c r="E82" s="256" t="s">
        <v>1574</v>
      </c>
      <c r="F82" s="256" t="s">
        <v>1613</v>
      </c>
      <c r="G82" s="258">
        <v>16789000000</v>
      </c>
      <c r="H82" s="265">
        <v>0</v>
      </c>
      <c r="I82" s="258">
        <v>0</v>
      </c>
      <c r="J82" s="258">
        <v>16789000000</v>
      </c>
      <c r="K82" s="256" t="s">
        <v>1346</v>
      </c>
    </row>
    <row r="83" spans="1:11" x14ac:dyDescent="0.3">
      <c r="A83" s="256">
        <v>12</v>
      </c>
      <c r="B83" s="257" t="s">
        <v>1371</v>
      </c>
      <c r="C83" s="276">
        <v>44481</v>
      </c>
      <c r="D83" s="257" t="s">
        <v>1277</v>
      </c>
      <c r="E83" s="256" t="s">
        <v>1582</v>
      </c>
      <c r="F83" s="256" t="s">
        <v>1615</v>
      </c>
      <c r="G83" s="258">
        <v>23456000000</v>
      </c>
      <c r="H83" s="265">
        <v>0.1</v>
      </c>
      <c r="I83" s="258">
        <v>2345600000</v>
      </c>
      <c r="J83" s="258">
        <v>25801600000</v>
      </c>
      <c r="K83" s="256" t="s">
        <v>1346</v>
      </c>
    </row>
    <row r="84" spans="1:11" x14ac:dyDescent="0.3">
      <c r="A84" s="256">
        <v>13</v>
      </c>
      <c r="B84" s="257" t="s">
        <v>1373</v>
      </c>
      <c r="C84" s="276">
        <v>44211</v>
      </c>
      <c r="D84" s="257" t="s">
        <v>1267</v>
      </c>
      <c r="E84" s="256" t="s">
        <v>1560</v>
      </c>
      <c r="F84" s="256" t="s">
        <v>1612</v>
      </c>
      <c r="G84" s="258">
        <v>21234000000</v>
      </c>
      <c r="H84" s="265">
        <v>0.1</v>
      </c>
      <c r="I84" s="258">
        <v>2123400000</v>
      </c>
      <c r="J84" s="258">
        <v>23357400000</v>
      </c>
      <c r="K84" s="256" t="s">
        <v>1346</v>
      </c>
    </row>
    <row r="85" spans="1:11" x14ac:dyDescent="0.3">
      <c r="A85" s="256">
        <v>14</v>
      </c>
      <c r="B85" s="257" t="s">
        <v>1374</v>
      </c>
      <c r="C85" s="276">
        <v>44242</v>
      </c>
      <c r="D85" s="257" t="s">
        <v>1287</v>
      </c>
      <c r="E85" s="256" t="s">
        <v>691</v>
      </c>
      <c r="F85" s="256" t="s">
        <v>1613</v>
      </c>
      <c r="G85" s="258">
        <v>17234000000</v>
      </c>
      <c r="H85" s="265">
        <v>0</v>
      </c>
      <c r="I85" s="258">
        <v>0</v>
      </c>
      <c r="J85" s="258">
        <v>17234000000</v>
      </c>
      <c r="K85" s="256" t="s">
        <v>1346</v>
      </c>
    </row>
    <row r="86" spans="1:11" x14ac:dyDescent="0.3">
      <c r="A86" s="256">
        <v>15</v>
      </c>
      <c r="B86" s="257" t="s">
        <v>1376</v>
      </c>
      <c r="C86" s="276">
        <v>44270</v>
      </c>
      <c r="D86" s="257" t="s">
        <v>1395</v>
      </c>
      <c r="E86" s="256" t="s">
        <v>1581</v>
      </c>
      <c r="F86" s="256" t="s">
        <v>1614</v>
      </c>
      <c r="G86" s="258">
        <v>24234000000</v>
      </c>
      <c r="H86" s="265">
        <v>0.1</v>
      </c>
      <c r="I86" s="258">
        <v>2423400000</v>
      </c>
      <c r="J86" s="258">
        <v>26657400000</v>
      </c>
      <c r="K86" s="256" t="s">
        <v>1346</v>
      </c>
    </row>
    <row r="87" spans="1:11" x14ac:dyDescent="0.3">
      <c r="A87" s="256">
        <v>16</v>
      </c>
      <c r="B87" s="257" t="s">
        <v>1378</v>
      </c>
      <c r="C87" s="276">
        <v>44301</v>
      </c>
      <c r="D87" s="257" t="s">
        <v>1259</v>
      </c>
      <c r="E87" s="256" t="s">
        <v>1569</v>
      </c>
      <c r="F87" s="256" t="s">
        <v>1612</v>
      </c>
      <c r="G87" s="258">
        <v>21890000000</v>
      </c>
      <c r="H87" s="265">
        <v>0.1</v>
      </c>
      <c r="I87" s="258">
        <v>2189000000</v>
      </c>
      <c r="J87" s="258">
        <v>24079000000</v>
      </c>
      <c r="K87" s="256" t="s">
        <v>1346</v>
      </c>
    </row>
    <row r="88" spans="1:11" x14ac:dyDescent="0.3">
      <c r="A88" s="256">
        <v>17</v>
      </c>
      <c r="B88" s="257" t="s">
        <v>1379</v>
      </c>
      <c r="C88" s="276">
        <v>44331</v>
      </c>
      <c r="D88" s="257" t="s">
        <v>1281</v>
      </c>
      <c r="E88" s="256" t="s">
        <v>1559</v>
      </c>
      <c r="F88" s="256" t="s">
        <v>1613</v>
      </c>
      <c r="G88" s="258">
        <v>17890000000</v>
      </c>
      <c r="H88" s="265">
        <v>0</v>
      </c>
      <c r="I88" s="258">
        <v>0</v>
      </c>
      <c r="J88" s="258">
        <v>17890000000</v>
      </c>
      <c r="K88" s="256" t="s">
        <v>1346</v>
      </c>
    </row>
    <row r="89" spans="1:11" x14ac:dyDescent="0.3">
      <c r="A89" s="256">
        <v>18</v>
      </c>
      <c r="B89" s="257" t="s">
        <v>1381</v>
      </c>
      <c r="C89" s="276">
        <v>44362</v>
      </c>
      <c r="D89" s="257" t="s">
        <v>1322</v>
      </c>
      <c r="E89" s="256" t="s">
        <v>1638</v>
      </c>
      <c r="F89" s="256" t="s">
        <v>1615</v>
      </c>
      <c r="G89" s="258">
        <v>25234000000</v>
      </c>
      <c r="H89" s="265">
        <v>0.1</v>
      </c>
      <c r="I89" s="258">
        <v>2523400000</v>
      </c>
      <c r="J89" s="258">
        <v>27757400000</v>
      </c>
      <c r="K89" s="256" t="s">
        <v>1346</v>
      </c>
    </row>
    <row r="90" spans="1:11" x14ac:dyDescent="0.3">
      <c r="A90" s="256">
        <v>19</v>
      </c>
      <c r="B90" s="257" t="s">
        <v>1382</v>
      </c>
      <c r="C90" s="276">
        <v>44392</v>
      </c>
      <c r="D90" s="257" t="s">
        <v>1263</v>
      </c>
      <c r="E90" s="256" t="s">
        <v>1579</v>
      </c>
      <c r="F90" s="256" t="s">
        <v>1612</v>
      </c>
      <c r="G90" s="258">
        <v>22345000000</v>
      </c>
      <c r="H90" s="265">
        <v>0.1</v>
      </c>
      <c r="I90" s="258">
        <v>2234500000</v>
      </c>
      <c r="J90" s="258">
        <v>24579500000</v>
      </c>
      <c r="K90" s="256" t="s">
        <v>1346</v>
      </c>
    </row>
    <row r="91" spans="1:11" x14ac:dyDescent="0.3">
      <c r="A91" s="256">
        <v>20</v>
      </c>
      <c r="B91" s="257" t="s">
        <v>1383</v>
      </c>
      <c r="C91" s="276">
        <v>44423</v>
      </c>
      <c r="D91" s="257" t="s">
        <v>1284</v>
      </c>
      <c r="E91" s="256" t="s">
        <v>1552</v>
      </c>
      <c r="F91" s="256" t="s">
        <v>1613</v>
      </c>
      <c r="G91" s="258">
        <v>18234000000</v>
      </c>
      <c r="H91" s="265">
        <v>0</v>
      </c>
      <c r="I91" s="258">
        <v>0</v>
      </c>
      <c r="J91" s="258">
        <v>18234000000</v>
      </c>
      <c r="K91" s="256" t="s">
        <v>1346</v>
      </c>
    </row>
    <row r="92" spans="1:11" x14ac:dyDescent="0.3">
      <c r="A92" s="256">
        <v>21</v>
      </c>
      <c r="B92" s="257" t="s">
        <v>1203</v>
      </c>
      <c r="C92" s="276">
        <v>44454</v>
      </c>
      <c r="D92" s="257" t="s">
        <v>1314</v>
      </c>
      <c r="E92" s="256" t="s">
        <v>948</v>
      </c>
      <c r="F92" s="256" t="s">
        <v>1614</v>
      </c>
      <c r="G92" s="258">
        <v>24890000000</v>
      </c>
      <c r="H92" s="265">
        <v>0.1</v>
      </c>
      <c r="I92" s="258">
        <v>2489000000</v>
      </c>
      <c r="J92" s="258">
        <v>27379000000</v>
      </c>
      <c r="K92" s="256" t="s">
        <v>1346</v>
      </c>
    </row>
    <row r="93" spans="1:11" x14ac:dyDescent="0.3">
      <c r="A93" s="256">
        <v>22</v>
      </c>
      <c r="B93" s="257" t="s">
        <v>1204</v>
      </c>
      <c r="C93" s="276">
        <v>44484</v>
      </c>
      <c r="D93" s="257" t="s">
        <v>1304</v>
      </c>
      <c r="E93" s="256" t="s">
        <v>1651</v>
      </c>
      <c r="F93" s="256" t="s">
        <v>1612</v>
      </c>
      <c r="G93" s="258">
        <v>22890000000</v>
      </c>
      <c r="H93" s="265">
        <v>0.1</v>
      </c>
      <c r="I93" s="258">
        <v>2289000000</v>
      </c>
      <c r="J93" s="258">
        <v>25179000000</v>
      </c>
      <c r="K93" s="256" t="s">
        <v>1346</v>
      </c>
    </row>
    <row r="94" spans="1:11" x14ac:dyDescent="0.3">
      <c r="A94" s="256">
        <v>23</v>
      </c>
      <c r="B94" s="257" t="s">
        <v>1205</v>
      </c>
      <c r="C94" s="276">
        <v>44515</v>
      </c>
      <c r="D94" s="257" t="s">
        <v>1264</v>
      </c>
      <c r="E94" s="256" t="s">
        <v>1584</v>
      </c>
      <c r="F94" s="256" t="s">
        <v>1613</v>
      </c>
      <c r="G94" s="258">
        <v>18901000000</v>
      </c>
      <c r="H94" s="265">
        <v>0</v>
      </c>
      <c r="I94" s="258">
        <v>0</v>
      </c>
      <c r="J94" s="258">
        <v>18901000000</v>
      </c>
      <c r="K94" s="256" t="s">
        <v>1346</v>
      </c>
    </row>
    <row r="95" spans="1:11" x14ac:dyDescent="0.3">
      <c r="A95" s="256">
        <v>24</v>
      </c>
      <c r="B95" s="257" t="s">
        <v>1385</v>
      </c>
      <c r="C95" s="276">
        <v>44545</v>
      </c>
      <c r="D95" s="257" t="s">
        <v>1260</v>
      </c>
      <c r="E95" s="256" t="s">
        <v>1585</v>
      </c>
      <c r="F95" s="256" t="s">
        <v>1615</v>
      </c>
      <c r="G95" s="258">
        <v>25890000000</v>
      </c>
      <c r="H95" s="265">
        <v>0.1</v>
      </c>
      <c r="I95" s="258">
        <v>2589000000</v>
      </c>
      <c r="J95" s="258">
        <v>28479000000</v>
      </c>
      <c r="K95" s="256" t="s">
        <v>1346</v>
      </c>
    </row>
    <row r="96" spans="1:11" x14ac:dyDescent="0.3">
      <c r="A96" s="256">
        <v>25</v>
      </c>
      <c r="B96" s="257" t="s">
        <v>1387</v>
      </c>
      <c r="C96" s="276">
        <v>44216</v>
      </c>
      <c r="D96" s="257" t="s">
        <v>1262</v>
      </c>
      <c r="E96" s="256" t="s">
        <v>1556</v>
      </c>
      <c r="F96" s="256" t="s">
        <v>1612</v>
      </c>
      <c r="G96" s="258">
        <v>23456000000</v>
      </c>
      <c r="H96" s="265">
        <v>0.1</v>
      </c>
      <c r="I96" s="258">
        <v>2345600000</v>
      </c>
      <c r="J96" s="258">
        <v>25801600000</v>
      </c>
      <c r="K96" s="256" t="s">
        <v>1346</v>
      </c>
    </row>
    <row r="97" spans="1:11" x14ac:dyDescent="0.3">
      <c r="A97" s="256">
        <v>26</v>
      </c>
      <c r="B97" s="257" t="s">
        <v>1388</v>
      </c>
      <c r="C97" s="276">
        <v>44247</v>
      </c>
      <c r="D97" s="257" t="s">
        <v>1275</v>
      </c>
      <c r="E97" s="256" t="s">
        <v>1575</v>
      </c>
      <c r="F97" s="256" t="s">
        <v>1613</v>
      </c>
      <c r="G97" s="258">
        <v>19234000000</v>
      </c>
      <c r="H97" s="265">
        <v>0</v>
      </c>
      <c r="I97" s="258">
        <v>0</v>
      </c>
      <c r="J97" s="258">
        <v>19234000000</v>
      </c>
      <c r="K97" s="256" t="s">
        <v>1346</v>
      </c>
    </row>
    <row r="98" spans="1:11" x14ac:dyDescent="0.3">
      <c r="A98" s="256">
        <v>27</v>
      </c>
      <c r="B98" s="257" t="s">
        <v>1391</v>
      </c>
      <c r="C98" s="276">
        <v>44275</v>
      </c>
      <c r="D98" s="257" t="s">
        <v>1268</v>
      </c>
      <c r="E98" s="256" t="s">
        <v>1594</v>
      </c>
      <c r="F98" s="256" t="s">
        <v>1614</v>
      </c>
      <c r="G98" s="258">
        <v>26234000000</v>
      </c>
      <c r="H98" s="265">
        <v>0.1</v>
      </c>
      <c r="I98" s="258">
        <v>2623400000</v>
      </c>
      <c r="J98" s="258">
        <v>28857400000</v>
      </c>
      <c r="K98" s="256" t="s">
        <v>1346</v>
      </c>
    </row>
    <row r="99" spans="1:11" x14ac:dyDescent="0.3">
      <c r="A99" s="256">
        <v>28</v>
      </c>
      <c r="B99" s="257" t="s">
        <v>1392</v>
      </c>
      <c r="C99" s="276">
        <v>44306</v>
      </c>
      <c r="D99" s="257" t="s">
        <v>1416</v>
      </c>
      <c r="E99" s="256" t="s">
        <v>1562</v>
      </c>
      <c r="F99" s="256" t="s">
        <v>1612</v>
      </c>
      <c r="G99" s="258">
        <v>23890000000</v>
      </c>
      <c r="H99" s="265">
        <v>0.1</v>
      </c>
      <c r="I99" s="258">
        <v>2389000000</v>
      </c>
      <c r="J99" s="258">
        <v>26279000000</v>
      </c>
      <c r="K99" s="256" t="s">
        <v>1346</v>
      </c>
    </row>
    <row r="100" spans="1:11" x14ac:dyDescent="0.3">
      <c r="A100" s="256">
        <v>29</v>
      </c>
      <c r="B100" s="257" t="s">
        <v>1394</v>
      </c>
      <c r="C100" s="276">
        <v>44336</v>
      </c>
      <c r="D100" s="257" t="s">
        <v>1280</v>
      </c>
      <c r="E100" s="256" t="s">
        <v>618</v>
      </c>
      <c r="F100" s="256" t="s">
        <v>1613</v>
      </c>
      <c r="G100" s="258">
        <v>19890000000</v>
      </c>
      <c r="H100" s="265">
        <v>0</v>
      </c>
      <c r="I100" s="258">
        <v>0</v>
      </c>
      <c r="J100" s="258">
        <v>19890000000</v>
      </c>
      <c r="K100" s="256" t="s">
        <v>1346</v>
      </c>
    </row>
    <row r="101" spans="1:11" x14ac:dyDescent="0.3">
      <c r="A101" s="256">
        <v>30</v>
      </c>
      <c r="B101" s="257" t="s">
        <v>1396</v>
      </c>
      <c r="C101" s="276">
        <v>44367</v>
      </c>
      <c r="D101" s="257" t="s">
        <v>1306</v>
      </c>
      <c r="E101" s="256" t="s">
        <v>878</v>
      </c>
      <c r="F101" s="256" t="s">
        <v>1615</v>
      </c>
      <c r="G101" s="258">
        <v>27234000000</v>
      </c>
      <c r="H101" s="265">
        <v>0.1</v>
      </c>
      <c r="I101" s="258">
        <v>2723400000</v>
      </c>
      <c r="J101" s="258">
        <v>29957400000</v>
      </c>
      <c r="K101" s="256" t="s">
        <v>1346</v>
      </c>
    </row>
    <row r="102" spans="1:11" x14ac:dyDescent="0.3">
      <c r="A102" s="256">
        <v>31</v>
      </c>
      <c r="B102" s="257" t="s">
        <v>1397</v>
      </c>
      <c r="C102" s="276">
        <v>44397</v>
      </c>
      <c r="D102" s="257" t="s">
        <v>1266</v>
      </c>
      <c r="E102" s="256" t="s">
        <v>1570</v>
      </c>
      <c r="F102" s="256" t="s">
        <v>1612</v>
      </c>
      <c r="G102" s="258">
        <v>24890000000</v>
      </c>
      <c r="H102" s="265">
        <v>0.1</v>
      </c>
      <c r="I102" s="258">
        <v>2489000000</v>
      </c>
      <c r="J102" s="258">
        <v>27379000000</v>
      </c>
      <c r="K102" s="256" t="s">
        <v>1346</v>
      </c>
    </row>
    <row r="103" spans="1:11" x14ac:dyDescent="0.3">
      <c r="A103" s="256">
        <v>32</v>
      </c>
      <c r="B103" s="257" t="s">
        <v>1398</v>
      </c>
      <c r="C103" s="276">
        <v>44428</v>
      </c>
      <c r="D103" s="257" t="s">
        <v>1283</v>
      </c>
      <c r="E103" s="256" t="s">
        <v>1588</v>
      </c>
      <c r="F103" s="256" t="s">
        <v>1613</v>
      </c>
      <c r="G103" s="258">
        <v>20234000000</v>
      </c>
      <c r="H103" s="265">
        <v>0</v>
      </c>
      <c r="I103" s="258">
        <v>0</v>
      </c>
      <c r="J103" s="258">
        <v>20234000000</v>
      </c>
      <c r="K103" s="256" t="s">
        <v>1346</v>
      </c>
    </row>
    <row r="104" spans="1:11" x14ac:dyDescent="0.3">
      <c r="A104" s="256">
        <v>33</v>
      </c>
      <c r="B104" s="257" t="s">
        <v>1399</v>
      </c>
      <c r="C104" s="276">
        <v>44459</v>
      </c>
      <c r="D104" s="257" t="s">
        <v>1384</v>
      </c>
      <c r="E104" s="256" t="s">
        <v>1565</v>
      </c>
      <c r="F104" s="256" t="s">
        <v>1614</v>
      </c>
      <c r="G104" s="258">
        <v>27890000000</v>
      </c>
      <c r="H104" s="265">
        <v>0.1</v>
      </c>
      <c r="I104" s="258">
        <v>2789000000</v>
      </c>
      <c r="J104" s="258">
        <v>30679000000</v>
      </c>
      <c r="K104" s="256" t="s">
        <v>1346</v>
      </c>
    </row>
    <row r="105" spans="1:11" x14ac:dyDescent="0.3">
      <c r="A105" s="256">
        <v>34</v>
      </c>
      <c r="B105" s="257" t="s">
        <v>1401</v>
      </c>
      <c r="C105" s="276">
        <v>44489</v>
      </c>
      <c r="D105" s="257" t="s">
        <v>1261</v>
      </c>
      <c r="E105" s="256" t="s">
        <v>1572</v>
      </c>
      <c r="F105" s="256" t="s">
        <v>1612</v>
      </c>
      <c r="G105" s="258">
        <v>25234000000</v>
      </c>
      <c r="H105" s="265">
        <v>0.1</v>
      </c>
      <c r="I105" s="258">
        <v>2523400000</v>
      </c>
      <c r="J105" s="258">
        <v>27757400000</v>
      </c>
      <c r="K105" s="256" t="s">
        <v>1346</v>
      </c>
    </row>
    <row r="106" spans="1:11" x14ac:dyDescent="0.3">
      <c r="A106" s="256">
        <v>35</v>
      </c>
      <c r="B106" s="257" t="s">
        <v>1402</v>
      </c>
      <c r="C106" s="276">
        <v>44520</v>
      </c>
      <c r="D106" s="257" t="s">
        <v>1272</v>
      </c>
      <c r="E106" s="256" t="s">
        <v>540</v>
      </c>
      <c r="F106" s="256" t="s">
        <v>1613</v>
      </c>
      <c r="G106" s="258">
        <v>20890000000</v>
      </c>
      <c r="H106" s="265">
        <v>0</v>
      </c>
      <c r="I106" s="258">
        <v>0</v>
      </c>
      <c r="J106" s="258">
        <v>20890000000</v>
      </c>
      <c r="K106" s="256" t="s">
        <v>1346</v>
      </c>
    </row>
    <row r="107" spans="1:11" x14ac:dyDescent="0.3">
      <c r="A107" s="256">
        <v>36</v>
      </c>
      <c r="B107" s="257" t="s">
        <v>1403</v>
      </c>
      <c r="C107" s="276">
        <v>44550</v>
      </c>
      <c r="D107" s="257" t="s">
        <v>1295</v>
      </c>
      <c r="E107" s="256" t="s">
        <v>1636</v>
      </c>
      <c r="F107" s="256" t="s">
        <v>1615</v>
      </c>
      <c r="G107" s="258">
        <v>28234000000</v>
      </c>
      <c r="H107" s="265">
        <v>0.1</v>
      </c>
      <c r="I107" s="258">
        <v>2823400000</v>
      </c>
      <c r="J107" s="258">
        <v>31057400000</v>
      </c>
      <c r="K107" s="256" t="s">
        <v>1346</v>
      </c>
    </row>
    <row r="108" spans="1:11" x14ac:dyDescent="0.3">
      <c r="A108" s="256">
        <v>37</v>
      </c>
      <c r="B108" s="257" t="s">
        <v>1404</v>
      </c>
      <c r="C108" s="276">
        <v>44221</v>
      </c>
      <c r="D108" s="257" t="s">
        <v>1300</v>
      </c>
      <c r="E108" s="256" t="s">
        <v>1652</v>
      </c>
      <c r="F108" s="256" t="s">
        <v>1612</v>
      </c>
      <c r="G108" s="258">
        <v>25890000000</v>
      </c>
      <c r="H108" s="265">
        <v>0.1</v>
      </c>
      <c r="I108" s="258">
        <v>2589000000</v>
      </c>
      <c r="J108" s="258">
        <v>28479000000</v>
      </c>
      <c r="K108" s="256" t="s">
        <v>1346</v>
      </c>
    </row>
    <row r="109" spans="1:11" x14ac:dyDescent="0.3">
      <c r="A109" s="256">
        <v>38</v>
      </c>
      <c r="B109" s="257" t="s">
        <v>1405</v>
      </c>
      <c r="C109" s="276">
        <v>44252</v>
      </c>
      <c r="D109" s="257" t="s">
        <v>1274</v>
      </c>
      <c r="E109" s="256" t="s">
        <v>1592</v>
      </c>
      <c r="F109" s="256" t="s">
        <v>1613</v>
      </c>
      <c r="G109" s="258">
        <v>21234000000</v>
      </c>
      <c r="H109" s="265">
        <v>0</v>
      </c>
      <c r="I109" s="258">
        <v>0</v>
      </c>
      <c r="J109" s="258">
        <v>21234000000</v>
      </c>
      <c r="K109" s="256" t="s">
        <v>1346</v>
      </c>
    </row>
    <row r="110" spans="1:11" x14ac:dyDescent="0.3">
      <c r="A110" s="256">
        <v>39</v>
      </c>
      <c r="B110" s="257" t="s">
        <v>1406</v>
      </c>
      <c r="C110" s="276">
        <v>44280</v>
      </c>
      <c r="D110" s="257" t="s">
        <v>1318</v>
      </c>
      <c r="E110" s="256" t="s">
        <v>982</v>
      </c>
      <c r="F110" s="256" t="s">
        <v>1614</v>
      </c>
      <c r="G110" s="258">
        <v>28890000000</v>
      </c>
      <c r="H110" s="265">
        <v>0.1</v>
      </c>
      <c r="I110" s="258">
        <v>2889000000</v>
      </c>
      <c r="J110" s="258">
        <v>31779000000</v>
      </c>
      <c r="K110" s="256" t="s">
        <v>1346</v>
      </c>
    </row>
    <row r="111" spans="1:11" x14ac:dyDescent="0.3">
      <c r="A111" s="256">
        <v>40</v>
      </c>
      <c r="B111" s="257" t="s">
        <v>1408</v>
      </c>
      <c r="C111" s="276">
        <v>44311</v>
      </c>
      <c r="D111" s="257" t="s">
        <v>1326</v>
      </c>
      <c r="E111" s="256" t="s">
        <v>1065</v>
      </c>
      <c r="F111" s="256" t="s">
        <v>1612</v>
      </c>
      <c r="G111" s="258">
        <v>26234000000</v>
      </c>
      <c r="H111" s="265">
        <v>0.1</v>
      </c>
      <c r="I111" s="258">
        <v>2623400000</v>
      </c>
      <c r="J111" s="258">
        <v>28857400000</v>
      </c>
      <c r="K111" s="256" t="s">
        <v>1346</v>
      </c>
    </row>
    <row r="112" spans="1:11" x14ac:dyDescent="0.3">
      <c r="A112" s="256">
        <v>41</v>
      </c>
      <c r="B112" s="257" t="s">
        <v>1409</v>
      </c>
      <c r="C112" s="276">
        <v>44341</v>
      </c>
      <c r="D112" s="257" t="s">
        <v>1278</v>
      </c>
      <c r="E112" s="256" t="s">
        <v>1593</v>
      </c>
      <c r="F112" s="256" t="s">
        <v>1613</v>
      </c>
      <c r="G112" s="258">
        <v>21890000000</v>
      </c>
      <c r="H112" s="265">
        <v>0</v>
      </c>
      <c r="I112" s="258">
        <v>0</v>
      </c>
      <c r="J112" s="258">
        <v>21890000000</v>
      </c>
      <c r="K112" s="256" t="s">
        <v>1346</v>
      </c>
    </row>
    <row r="113" spans="1:11" x14ac:dyDescent="0.3">
      <c r="A113" s="256">
        <v>42</v>
      </c>
      <c r="B113" s="257" t="s">
        <v>1411</v>
      </c>
      <c r="C113" s="276">
        <v>44372</v>
      </c>
      <c r="D113" s="257" t="s">
        <v>1286</v>
      </c>
      <c r="E113" s="256" t="s">
        <v>1653</v>
      </c>
      <c r="F113" s="256" t="s">
        <v>1615</v>
      </c>
      <c r="G113" s="258">
        <v>29234000000</v>
      </c>
      <c r="H113" s="265">
        <v>0.1</v>
      </c>
      <c r="I113" s="258">
        <v>2923400000</v>
      </c>
      <c r="J113" s="258">
        <v>32157400000</v>
      </c>
      <c r="K113" s="256" t="s">
        <v>1346</v>
      </c>
    </row>
    <row r="114" spans="1:11" x14ac:dyDescent="0.3">
      <c r="A114" s="256">
        <v>43</v>
      </c>
      <c r="B114" s="257" t="s">
        <v>1414</v>
      </c>
      <c r="C114" s="276">
        <v>44402</v>
      </c>
      <c r="D114" s="257" t="s">
        <v>1269</v>
      </c>
      <c r="E114" s="256" t="s">
        <v>1641</v>
      </c>
      <c r="F114" s="256" t="s">
        <v>1612</v>
      </c>
      <c r="G114" s="258">
        <v>26890000000</v>
      </c>
      <c r="H114" s="265">
        <v>0.1</v>
      </c>
      <c r="I114" s="258">
        <v>2689000000</v>
      </c>
      <c r="J114" s="258">
        <v>29579000000</v>
      </c>
      <c r="K114" s="256" t="s">
        <v>1346</v>
      </c>
    </row>
    <row r="115" spans="1:11" x14ac:dyDescent="0.3">
      <c r="A115" s="256">
        <v>44</v>
      </c>
      <c r="B115" s="257" t="s">
        <v>1415</v>
      </c>
      <c r="C115" s="276">
        <v>44433</v>
      </c>
      <c r="D115" s="257" t="s">
        <v>1289</v>
      </c>
      <c r="E115" s="256" t="s">
        <v>1640</v>
      </c>
      <c r="F115" s="256" t="s">
        <v>1613</v>
      </c>
      <c r="G115" s="258">
        <v>22234000000</v>
      </c>
      <c r="H115" s="265">
        <v>0</v>
      </c>
      <c r="I115" s="258">
        <v>0</v>
      </c>
      <c r="J115" s="258">
        <v>22234000000</v>
      </c>
      <c r="K115" s="256" t="s">
        <v>1346</v>
      </c>
    </row>
    <row r="116" spans="1:11" x14ac:dyDescent="0.3">
      <c r="A116" s="256">
        <v>45</v>
      </c>
      <c r="B116" s="257" t="s">
        <v>1206</v>
      </c>
      <c r="C116" s="276">
        <v>44464</v>
      </c>
      <c r="D116" s="257" t="s">
        <v>1428</v>
      </c>
      <c r="E116" s="256" t="s">
        <v>1557</v>
      </c>
      <c r="F116" s="256" t="s">
        <v>1614</v>
      </c>
      <c r="G116" s="258">
        <v>29890000000</v>
      </c>
      <c r="H116" s="265">
        <v>0.1</v>
      </c>
      <c r="I116" s="258">
        <v>2989000000</v>
      </c>
      <c r="J116" s="258">
        <v>32879000000</v>
      </c>
      <c r="K116" s="256" t="s">
        <v>1346</v>
      </c>
    </row>
    <row r="117" spans="1:11" x14ac:dyDescent="0.3">
      <c r="A117" s="256">
        <v>46</v>
      </c>
      <c r="B117" s="257" t="s">
        <v>1207</v>
      </c>
      <c r="C117" s="276">
        <v>44494</v>
      </c>
      <c r="D117" s="257" t="s">
        <v>1297</v>
      </c>
      <c r="E117" s="256" t="s">
        <v>1643</v>
      </c>
      <c r="F117" s="256" t="s">
        <v>1612</v>
      </c>
      <c r="G117" s="258">
        <v>27234000000</v>
      </c>
      <c r="H117" s="265">
        <v>0.1</v>
      </c>
      <c r="I117" s="258">
        <v>2723400000</v>
      </c>
      <c r="J117" s="258">
        <v>29957400000</v>
      </c>
      <c r="K117" s="256" t="s">
        <v>1346</v>
      </c>
    </row>
    <row r="118" spans="1:11" x14ac:dyDescent="0.3">
      <c r="A118" s="256">
        <v>47</v>
      </c>
      <c r="B118" s="257" t="s">
        <v>1208</v>
      </c>
      <c r="C118" s="276">
        <v>44525</v>
      </c>
      <c r="D118" s="257" t="s">
        <v>1310</v>
      </c>
      <c r="E118" s="256" t="s">
        <v>1635</v>
      </c>
      <c r="F118" s="256" t="s">
        <v>1613</v>
      </c>
      <c r="G118" s="258">
        <v>22890000000</v>
      </c>
      <c r="H118" s="265">
        <v>0</v>
      </c>
      <c r="I118" s="258">
        <v>0</v>
      </c>
      <c r="J118" s="258">
        <v>22890000000</v>
      </c>
      <c r="K118" s="256" t="s">
        <v>1346</v>
      </c>
    </row>
    <row r="119" spans="1:11" x14ac:dyDescent="0.3">
      <c r="A119" s="256">
        <v>48</v>
      </c>
      <c r="B119" s="257" t="s">
        <v>1209</v>
      </c>
      <c r="C119" s="276">
        <v>44555</v>
      </c>
      <c r="D119" s="257" t="s">
        <v>1290</v>
      </c>
      <c r="E119" s="256" t="s">
        <v>715</v>
      </c>
      <c r="F119" s="256" t="s">
        <v>1615</v>
      </c>
      <c r="G119" s="258">
        <v>30234000000</v>
      </c>
      <c r="H119" s="265">
        <v>0.1</v>
      </c>
      <c r="I119" s="258">
        <v>3023400000</v>
      </c>
      <c r="J119" s="258">
        <v>33257400000</v>
      </c>
      <c r="K119" s="256" t="s">
        <v>1346</v>
      </c>
    </row>
    <row r="120" spans="1:11" x14ac:dyDescent="0.3">
      <c r="A120" s="256">
        <v>49</v>
      </c>
      <c r="B120" s="257" t="s">
        <v>1418</v>
      </c>
      <c r="C120" s="276">
        <v>44255</v>
      </c>
      <c r="D120" s="257" t="s">
        <v>1273</v>
      </c>
      <c r="E120" s="256" t="s">
        <v>1567</v>
      </c>
      <c r="F120" s="256" t="s">
        <v>1612</v>
      </c>
      <c r="G120" s="258">
        <v>27890000000</v>
      </c>
      <c r="H120" s="265">
        <v>0.1</v>
      </c>
      <c r="I120" s="258">
        <v>2789000000</v>
      </c>
      <c r="J120" s="258">
        <v>30679000000</v>
      </c>
      <c r="K120" s="256" t="s">
        <v>1346</v>
      </c>
    </row>
    <row r="121" spans="1:11" x14ac:dyDescent="0.3">
      <c r="A121" s="256">
        <v>50</v>
      </c>
      <c r="B121" s="257" t="s">
        <v>1419</v>
      </c>
      <c r="C121" s="276">
        <v>44561</v>
      </c>
      <c r="D121" s="257" t="s">
        <v>1395</v>
      </c>
      <c r="E121" s="256" t="s">
        <v>1581</v>
      </c>
      <c r="F121" s="256" t="s">
        <v>1613</v>
      </c>
      <c r="G121" s="258">
        <v>23456000000</v>
      </c>
      <c r="H121" s="265">
        <v>0</v>
      </c>
      <c r="I121" s="258">
        <v>0</v>
      </c>
      <c r="J121" s="258">
        <v>23456000000</v>
      </c>
      <c r="K121" s="256" t="s">
        <v>1346</v>
      </c>
    </row>
    <row r="122" spans="1:11" x14ac:dyDescent="0.3">
      <c r="A122" s="266" t="s">
        <v>1351</v>
      </c>
      <c r="B122" s="266"/>
      <c r="C122" s="266"/>
      <c r="D122" s="266"/>
      <c r="E122" s="266"/>
      <c r="F122" s="266"/>
      <c r="G122" s="267">
        <f>SUM(G72:G121)</f>
        <v>1143718000000</v>
      </c>
      <c r="H122" s="266"/>
      <c r="I122" s="267">
        <f>SUM(I72:I121)</f>
        <v>81623900000</v>
      </c>
      <c r="J122" s="267">
        <f>SUM(J72:J121)</f>
        <v>1225341900000</v>
      </c>
      <c r="K122" s="26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2"/>
  <sheetViews>
    <sheetView workbookViewId="0"/>
  </sheetViews>
  <sheetFormatPr defaultRowHeight="14.4" x14ac:dyDescent="0.3"/>
  <sheetData>
    <row r="1" spans="1:11" x14ac:dyDescent="0.3">
      <c r="A1" s="256" t="s">
        <v>1340</v>
      </c>
      <c r="B1" s="256" t="s">
        <v>444</v>
      </c>
      <c r="C1" s="256"/>
      <c r="D1" s="256"/>
      <c r="E1" s="256"/>
      <c r="F1" s="256"/>
      <c r="G1" s="256"/>
      <c r="H1" s="256"/>
      <c r="I1" s="256"/>
      <c r="J1" s="256"/>
      <c r="K1" s="256"/>
    </row>
    <row r="2" spans="1:11" x14ac:dyDescent="0.3">
      <c r="A2" s="256" t="s">
        <v>1339</v>
      </c>
      <c r="B2" s="257">
        <v>101225306</v>
      </c>
      <c r="C2" s="256"/>
      <c r="D2" s="256"/>
      <c r="E2" s="256"/>
      <c r="F2" s="256"/>
      <c r="G2" s="256"/>
      <c r="H2" s="256"/>
      <c r="I2" s="256"/>
      <c r="J2" s="256"/>
      <c r="K2" s="256"/>
    </row>
    <row r="3" spans="1:11" x14ac:dyDescent="0.3">
      <c r="A3" s="256" t="s">
        <v>1343</v>
      </c>
      <c r="B3" s="258">
        <v>4254804824809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1202</v>
      </c>
      <c r="C8" s="276">
        <v>44470</v>
      </c>
      <c r="D8" s="257" t="s">
        <v>1276</v>
      </c>
      <c r="E8" s="256" t="s">
        <v>1654</v>
      </c>
      <c r="F8" s="256" t="s">
        <v>1616</v>
      </c>
      <c r="G8" s="258">
        <v>68234000000</v>
      </c>
      <c r="H8" s="265">
        <v>0.1</v>
      </c>
      <c r="I8" s="258">
        <v>6823400000</v>
      </c>
      <c r="J8" s="258">
        <v>75057400000</v>
      </c>
      <c r="K8" s="256" t="s">
        <v>1346</v>
      </c>
    </row>
    <row r="9" spans="1:11" x14ac:dyDescent="0.3">
      <c r="A9" s="256">
        <v>2</v>
      </c>
      <c r="B9" s="257" t="s">
        <v>1201</v>
      </c>
      <c r="C9" s="276">
        <v>44470</v>
      </c>
      <c r="D9" s="257" t="s">
        <v>1333</v>
      </c>
      <c r="E9" s="256" t="s">
        <v>1134</v>
      </c>
      <c r="F9" s="256" t="s">
        <v>1617</v>
      </c>
      <c r="G9" s="258">
        <v>23456000000</v>
      </c>
      <c r="H9" s="265">
        <v>0.1</v>
      </c>
      <c r="I9" s="258">
        <v>2345600000</v>
      </c>
      <c r="J9" s="258">
        <v>25801600000</v>
      </c>
      <c r="K9" s="256" t="s">
        <v>1346</v>
      </c>
    </row>
    <row r="10" spans="1:11" x14ac:dyDescent="0.3">
      <c r="A10" s="256">
        <v>3</v>
      </c>
      <c r="B10" s="257" t="s">
        <v>1202</v>
      </c>
      <c r="C10" s="276">
        <v>44471</v>
      </c>
      <c r="D10" s="257" t="s">
        <v>1255</v>
      </c>
      <c r="E10" s="256" t="s">
        <v>1649</v>
      </c>
      <c r="F10" s="256" t="s">
        <v>1618</v>
      </c>
      <c r="G10" s="258">
        <v>45678000000</v>
      </c>
      <c r="H10" s="265">
        <v>0.1</v>
      </c>
      <c r="I10" s="258">
        <v>4567800000</v>
      </c>
      <c r="J10" s="258">
        <v>50245800000</v>
      </c>
      <c r="K10" s="256" t="s">
        <v>1346</v>
      </c>
    </row>
    <row r="11" spans="1:11" x14ac:dyDescent="0.3">
      <c r="A11" s="256">
        <v>4</v>
      </c>
      <c r="B11" s="257" t="s">
        <v>1202</v>
      </c>
      <c r="C11" s="276">
        <v>44473</v>
      </c>
      <c r="D11" s="257" t="s">
        <v>1271</v>
      </c>
      <c r="E11" s="256" t="s">
        <v>1634</v>
      </c>
      <c r="F11" s="256" t="s">
        <v>1546</v>
      </c>
      <c r="G11" s="258">
        <v>34567000000</v>
      </c>
      <c r="H11" s="265">
        <v>0</v>
      </c>
      <c r="I11" s="258">
        <v>0</v>
      </c>
      <c r="J11" s="258">
        <v>34567000000</v>
      </c>
      <c r="K11" s="256" t="s">
        <v>1346</v>
      </c>
    </row>
    <row r="12" spans="1:11" x14ac:dyDescent="0.3">
      <c r="A12" s="256">
        <v>5</v>
      </c>
      <c r="B12" s="257" t="s">
        <v>1203</v>
      </c>
      <c r="C12" s="276">
        <v>44473</v>
      </c>
      <c r="D12" s="257" t="s">
        <v>1281</v>
      </c>
      <c r="E12" s="256" t="s">
        <v>1559</v>
      </c>
      <c r="F12" s="256" t="s">
        <v>1619</v>
      </c>
      <c r="G12" s="258">
        <v>28901000000</v>
      </c>
      <c r="H12" s="265">
        <v>0.1</v>
      </c>
      <c r="I12" s="258">
        <v>2890100000</v>
      </c>
      <c r="J12" s="258">
        <v>31791100000</v>
      </c>
      <c r="K12" s="256" t="s">
        <v>1346</v>
      </c>
    </row>
    <row r="13" spans="1:11" x14ac:dyDescent="0.3">
      <c r="A13" s="256">
        <v>6</v>
      </c>
      <c r="B13" s="257" t="s">
        <v>1364</v>
      </c>
      <c r="C13" s="276">
        <v>44474</v>
      </c>
      <c r="D13" s="257" t="s">
        <v>1266</v>
      </c>
      <c r="E13" s="256" t="s">
        <v>469</v>
      </c>
      <c r="F13" s="256" t="s">
        <v>1616</v>
      </c>
      <c r="G13" s="258">
        <v>56789000000</v>
      </c>
      <c r="H13" s="265">
        <v>0.1</v>
      </c>
      <c r="I13" s="258">
        <v>5678900000</v>
      </c>
      <c r="J13" s="258">
        <v>62467900000</v>
      </c>
      <c r="K13" s="256" t="s">
        <v>1346</v>
      </c>
    </row>
    <row r="14" spans="1:11" x14ac:dyDescent="0.3">
      <c r="A14" s="256">
        <v>7</v>
      </c>
      <c r="B14" s="257" t="s">
        <v>1202</v>
      </c>
      <c r="C14" s="276">
        <v>44475</v>
      </c>
      <c r="D14" s="257" t="s">
        <v>1256</v>
      </c>
      <c r="E14" s="256" t="s">
        <v>1665</v>
      </c>
      <c r="F14" s="256" t="s">
        <v>1347</v>
      </c>
      <c r="G14" s="258">
        <v>19234000000</v>
      </c>
      <c r="H14" s="265">
        <v>0.1</v>
      </c>
      <c r="I14" s="258">
        <v>1923400000</v>
      </c>
      <c r="J14" s="258">
        <v>21157400000</v>
      </c>
      <c r="K14" s="256" t="s">
        <v>1346</v>
      </c>
    </row>
    <row r="15" spans="1:11" x14ac:dyDescent="0.3">
      <c r="A15" s="256">
        <v>8</v>
      </c>
      <c r="B15" s="257" t="s">
        <v>1204</v>
      </c>
      <c r="C15" s="276">
        <v>44476</v>
      </c>
      <c r="D15" s="257" t="s">
        <v>1352</v>
      </c>
      <c r="E15" s="256" t="s">
        <v>1571</v>
      </c>
      <c r="F15" s="256" t="s">
        <v>1616</v>
      </c>
      <c r="G15" s="258">
        <v>72345000000</v>
      </c>
      <c r="H15" s="265">
        <v>0.1</v>
      </c>
      <c r="I15" s="258">
        <v>7234500000</v>
      </c>
      <c r="J15" s="258">
        <v>79579500000</v>
      </c>
      <c r="K15" s="256" t="s">
        <v>1348</v>
      </c>
    </row>
    <row r="16" spans="1:11" x14ac:dyDescent="0.3">
      <c r="A16" s="256">
        <v>9</v>
      </c>
      <c r="B16" s="257" t="s">
        <v>1202</v>
      </c>
      <c r="C16" s="276">
        <v>44476</v>
      </c>
      <c r="D16" s="257" t="s">
        <v>1314</v>
      </c>
      <c r="E16" s="256" t="s">
        <v>948</v>
      </c>
      <c r="F16" s="256" t="s">
        <v>1621</v>
      </c>
      <c r="G16" s="258">
        <v>24567000000</v>
      </c>
      <c r="H16" s="265">
        <v>0.1</v>
      </c>
      <c r="I16" s="258">
        <v>2456700000</v>
      </c>
      <c r="J16" s="258">
        <v>27023700000</v>
      </c>
      <c r="K16" s="256" t="s">
        <v>1346</v>
      </c>
    </row>
    <row r="17" spans="1:11" x14ac:dyDescent="0.3">
      <c r="A17" s="256">
        <v>10</v>
      </c>
      <c r="B17" s="257" t="s">
        <v>1202</v>
      </c>
      <c r="C17" s="276">
        <v>44477</v>
      </c>
      <c r="D17" s="257" t="s">
        <v>1287</v>
      </c>
      <c r="E17" s="256" t="s">
        <v>691</v>
      </c>
      <c r="F17" s="256" t="s">
        <v>1546</v>
      </c>
      <c r="G17" s="258">
        <v>35678000000</v>
      </c>
      <c r="H17" s="265">
        <v>0</v>
      </c>
      <c r="I17" s="258">
        <v>0</v>
      </c>
      <c r="J17" s="258">
        <v>35678000000</v>
      </c>
      <c r="K17" s="256" t="s">
        <v>1346</v>
      </c>
    </row>
    <row r="18" spans="1:11" x14ac:dyDescent="0.3">
      <c r="A18" s="256">
        <v>11</v>
      </c>
      <c r="B18" s="257" t="s">
        <v>1201</v>
      </c>
      <c r="C18" s="276">
        <v>44477</v>
      </c>
      <c r="D18" s="257" t="s">
        <v>1270</v>
      </c>
      <c r="E18" s="256" t="s">
        <v>1393</v>
      </c>
      <c r="F18" s="256" t="s">
        <v>1616</v>
      </c>
      <c r="G18" s="258">
        <v>61234000000</v>
      </c>
      <c r="H18" s="265">
        <v>0.1</v>
      </c>
      <c r="I18" s="258">
        <v>6123400000</v>
      </c>
      <c r="J18" s="258">
        <v>67357400000</v>
      </c>
      <c r="K18" s="256" t="s">
        <v>1346</v>
      </c>
    </row>
    <row r="19" spans="1:11" x14ac:dyDescent="0.3">
      <c r="A19" s="256">
        <v>12</v>
      </c>
      <c r="B19" s="257" t="s">
        <v>1383</v>
      </c>
      <c r="C19" s="276">
        <v>44478</v>
      </c>
      <c r="D19" s="257" t="s">
        <v>1280</v>
      </c>
      <c r="E19" s="256" t="s">
        <v>618</v>
      </c>
      <c r="F19" s="256" t="s">
        <v>1622</v>
      </c>
      <c r="G19" s="258">
        <v>22345000000</v>
      </c>
      <c r="H19" s="265">
        <v>0.1</v>
      </c>
      <c r="I19" s="258">
        <v>2234500000</v>
      </c>
      <c r="J19" s="258">
        <v>24579500000</v>
      </c>
      <c r="K19" s="256" t="s">
        <v>1346</v>
      </c>
    </row>
    <row r="20" spans="1:11" x14ac:dyDescent="0.3">
      <c r="A20" s="256">
        <v>13</v>
      </c>
      <c r="B20" s="257" t="s">
        <v>1356</v>
      </c>
      <c r="C20" s="276">
        <v>44479</v>
      </c>
      <c r="D20" s="257" t="s">
        <v>1258</v>
      </c>
      <c r="E20" s="256" t="s">
        <v>351</v>
      </c>
      <c r="F20" s="256" t="s">
        <v>1616</v>
      </c>
      <c r="G20" s="258">
        <v>58901000000</v>
      </c>
      <c r="H20" s="265">
        <v>0.1</v>
      </c>
      <c r="I20" s="258">
        <v>5890100000</v>
      </c>
      <c r="J20" s="258">
        <v>64791100000</v>
      </c>
      <c r="K20" s="256" t="s">
        <v>1346</v>
      </c>
    </row>
    <row r="21" spans="1:11" x14ac:dyDescent="0.3">
      <c r="A21" s="256">
        <v>14</v>
      </c>
      <c r="B21" s="257" t="s">
        <v>1201</v>
      </c>
      <c r="C21" s="276">
        <v>44480</v>
      </c>
      <c r="D21" s="257" t="s">
        <v>1326</v>
      </c>
      <c r="E21" s="256" t="s">
        <v>1065</v>
      </c>
      <c r="F21" s="256" t="s">
        <v>1347</v>
      </c>
      <c r="G21" s="258">
        <v>18901000000</v>
      </c>
      <c r="H21" s="265">
        <v>0.1</v>
      </c>
      <c r="I21" s="258">
        <v>1890100000</v>
      </c>
      <c r="J21" s="258">
        <v>20791100000</v>
      </c>
      <c r="K21" s="256" t="s">
        <v>1346</v>
      </c>
    </row>
    <row r="22" spans="1:11" x14ac:dyDescent="0.3">
      <c r="A22" s="256">
        <v>15</v>
      </c>
      <c r="B22" s="257" t="s">
        <v>1201</v>
      </c>
      <c r="C22" s="276">
        <v>44481</v>
      </c>
      <c r="D22" s="257" t="s">
        <v>1310</v>
      </c>
      <c r="E22" s="256" t="s">
        <v>1635</v>
      </c>
      <c r="F22" s="256" t="s">
        <v>1616</v>
      </c>
      <c r="G22" s="258">
        <v>64567000000</v>
      </c>
      <c r="H22" s="265">
        <v>0.1</v>
      </c>
      <c r="I22" s="258">
        <v>6456700000</v>
      </c>
      <c r="J22" s="258">
        <v>71023700000</v>
      </c>
      <c r="K22" s="256" t="s">
        <v>1346</v>
      </c>
    </row>
    <row r="23" spans="1:11" x14ac:dyDescent="0.3">
      <c r="A23" s="256">
        <v>16</v>
      </c>
      <c r="B23" s="257" t="s">
        <v>1383</v>
      </c>
      <c r="C23" s="276">
        <v>44211</v>
      </c>
      <c r="D23" s="257" t="s">
        <v>1284</v>
      </c>
      <c r="E23" s="256" t="s">
        <v>1552</v>
      </c>
      <c r="F23" s="256" t="s">
        <v>1619</v>
      </c>
      <c r="G23" s="258">
        <v>26789000000</v>
      </c>
      <c r="H23" s="265">
        <v>0.1</v>
      </c>
      <c r="I23" s="258">
        <v>2678900000</v>
      </c>
      <c r="J23" s="258">
        <v>29467900000</v>
      </c>
      <c r="K23" s="256" t="s">
        <v>1346</v>
      </c>
    </row>
    <row r="24" spans="1:11" x14ac:dyDescent="0.3">
      <c r="A24" s="256">
        <v>17</v>
      </c>
      <c r="B24" s="257" t="s">
        <v>1379</v>
      </c>
      <c r="C24" s="276">
        <v>44242</v>
      </c>
      <c r="D24" s="257" t="s">
        <v>1268</v>
      </c>
      <c r="E24" s="256" t="s">
        <v>1594</v>
      </c>
      <c r="F24" s="256" t="s">
        <v>1546</v>
      </c>
      <c r="G24" s="258">
        <v>33456000000</v>
      </c>
      <c r="H24" s="265">
        <v>0</v>
      </c>
      <c r="I24" s="258">
        <v>0</v>
      </c>
      <c r="J24" s="258">
        <v>33456000000</v>
      </c>
      <c r="K24" s="256" t="s">
        <v>1346</v>
      </c>
    </row>
    <row r="25" spans="1:11" x14ac:dyDescent="0.3">
      <c r="A25" s="256">
        <v>18</v>
      </c>
      <c r="B25" s="257" t="s">
        <v>1201</v>
      </c>
      <c r="C25" s="276">
        <v>44270</v>
      </c>
      <c r="D25" s="257" t="s">
        <v>1295</v>
      </c>
      <c r="E25" s="256" t="s">
        <v>1636</v>
      </c>
      <c r="F25" s="256" t="s">
        <v>1616</v>
      </c>
      <c r="G25" s="258">
        <v>67890000000</v>
      </c>
      <c r="H25" s="265">
        <v>0.1</v>
      </c>
      <c r="I25" s="258">
        <v>6789000000</v>
      </c>
      <c r="J25" s="258">
        <v>74679000000</v>
      </c>
      <c r="K25" s="256" t="s">
        <v>1346</v>
      </c>
    </row>
    <row r="26" spans="1:11" x14ac:dyDescent="0.3">
      <c r="A26" s="256">
        <v>19</v>
      </c>
      <c r="B26" s="257" t="s">
        <v>1382</v>
      </c>
      <c r="C26" s="276">
        <v>44301</v>
      </c>
      <c r="D26" s="257" t="s">
        <v>1279</v>
      </c>
      <c r="E26" s="256" t="s">
        <v>611</v>
      </c>
      <c r="F26" s="256" t="s">
        <v>1621</v>
      </c>
      <c r="G26" s="258">
        <v>22456000000</v>
      </c>
      <c r="H26" s="265">
        <v>0.1</v>
      </c>
      <c r="I26" s="258">
        <v>2245600000</v>
      </c>
      <c r="J26" s="258">
        <v>24701600000</v>
      </c>
      <c r="K26" s="256" t="s">
        <v>1346</v>
      </c>
    </row>
    <row r="27" spans="1:11" x14ac:dyDescent="0.3">
      <c r="A27" s="256">
        <v>20</v>
      </c>
      <c r="B27" s="257" t="s">
        <v>1203</v>
      </c>
      <c r="C27" s="276">
        <v>44331</v>
      </c>
      <c r="D27" s="257" t="s">
        <v>1395</v>
      </c>
      <c r="E27" s="256" t="s">
        <v>1581</v>
      </c>
      <c r="F27" s="256" t="s">
        <v>1616</v>
      </c>
      <c r="G27" s="258">
        <v>59234000000</v>
      </c>
      <c r="H27" s="265">
        <v>0.1</v>
      </c>
      <c r="I27" s="258">
        <v>5923400000</v>
      </c>
      <c r="J27" s="258">
        <v>65157400000</v>
      </c>
      <c r="K27" s="256" t="s">
        <v>1346</v>
      </c>
    </row>
    <row r="28" spans="1:11" x14ac:dyDescent="0.3">
      <c r="A28" s="256">
        <v>21</v>
      </c>
      <c r="B28" s="257" t="s">
        <v>1381</v>
      </c>
      <c r="C28" s="276">
        <v>44362</v>
      </c>
      <c r="D28" s="257" t="s">
        <v>1260</v>
      </c>
      <c r="E28" s="256" t="s">
        <v>1585</v>
      </c>
      <c r="F28" s="256" t="s">
        <v>1618</v>
      </c>
      <c r="G28" s="258">
        <v>34567000000</v>
      </c>
      <c r="H28" s="265">
        <v>0.1</v>
      </c>
      <c r="I28" s="258">
        <v>3456700000</v>
      </c>
      <c r="J28" s="258">
        <v>38023700000</v>
      </c>
      <c r="K28" s="256" t="s">
        <v>1346</v>
      </c>
    </row>
    <row r="29" spans="1:11" x14ac:dyDescent="0.3">
      <c r="A29" s="256">
        <v>22</v>
      </c>
      <c r="B29" s="257" t="s">
        <v>1378</v>
      </c>
      <c r="C29" s="276">
        <v>44392</v>
      </c>
      <c r="D29" s="257" t="s">
        <v>1285</v>
      </c>
      <c r="E29" s="256" t="s">
        <v>1558</v>
      </c>
      <c r="F29" s="256" t="s">
        <v>1616</v>
      </c>
      <c r="G29" s="258">
        <v>63456000000</v>
      </c>
      <c r="H29" s="265">
        <v>0.1</v>
      </c>
      <c r="I29" s="258">
        <v>6345600000</v>
      </c>
      <c r="J29" s="258">
        <v>69801600000</v>
      </c>
      <c r="K29" s="256" t="s">
        <v>1346</v>
      </c>
    </row>
    <row r="30" spans="1:11" x14ac:dyDescent="0.3">
      <c r="A30" s="256">
        <v>23</v>
      </c>
      <c r="B30" s="257" t="s">
        <v>1201</v>
      </c>
      <c r="C30" s="276">
        <v>44423</v>
      </c>
      <c r="D30" s="257" t="s">
        <v>1302</v>
      </c>
      <c r="E30" s="256" t="s">
        <v>835</v>
      </c>
      <c r="F30" s="256" t="s">
        <v>1622</v>
      </c>
      <c r="G30" s="258">
        <v>23456000000</v>
      </c>
      <c r="H30" s="265">
        <v>0.1</v>
      </c>
      <c r="I30" s="258">
        <v>2345600000</v>
      </c>
      <c r="J30" s="258">
        <v>25801600000</v>
      </c>
      <c r="K30" s="256" t="s">
        <v>1346</v>
      </c>
    </row>
    <row r="31" spans="1:11" x14ac:dyDescent="0.3">
      <c r="A31" s="256">
        <v>24</v>
      </c>
      <c r="B31" s="257" t="s">
        <v>1378</v>
      </c>
      <c r="C31" s="276">
        <v>44454</v>
      </c>
      <c r="D31" s="257" t="s">
        <v>1435</v>
      </c>
      <c r="E31" s="256" t="s">
        <v>1577</v>
      </c>
      <c r="F31" s="256" t="s">
        <v>1616</v>
      </c>
      <c r="G31" s="258">
        <v>57890000000</v>
      </c>
      <c r="H31" s="265">
        <v>0.1</v>
      </c>
      <c r="I31" s="258">
        <v>5789000000</v>
      </c>
      <c r="J31" s="258">
        <v>63679000000</v>
      </c>
      <c r="K31" s="256" t="s">
        <v>1346</v>
      </c>
    </row>
    <row r="32" spans="1:11" x14ac:dyDescent="0.3">
      <c r="A32" s="256">
        <v>25</v>
      </c>
      <c r="B32" s="257" t="s">
        <v>1202</v>
      </c>
      <c r="C32" s="276">
        <v>44484</v>
      </c>
      <c r="D32" s="257" t="s">
        <v>1315</v>
      </c>
      <c r="E32" s="256" t="s">
        <v>1637</v>
      </c>
      <c r="F32" s="256" t="s">
        <v>1347</v>
      </c>
      <c r="G32" s="258">
        <v>19890000000</v>
      </c>
      <c r="H32" s="265">
        <v>0.1</v>
      </c>
      <c r="I32" s="258">
        <v>1989000000</v>
      </c>
      <c r="J32" s="258">
        <v>21879000000</v>
      </c>
      <c r="K32" s="256" t="s">
        <v>1346</v>
      </c>
    </row>
    <row r="33" spans="1:11" x14ac:dyDescent="0.3">
      <c r="A33" s="256">
        <v>26</v>
      </c>
      <c r="B33" s="257" t="s">
        <v>1203</v>
      </c>
      <c r="C33" s="276">
        <v>44515</v>
      </c>
      <c r="D33" s="257" t="s">
        <v>1277</v>
      </c>
      <c r="E33" s="256" t="s">
        <v>1582</v>
      </c>
      <c r="F33" s="256" t="s">
        <v>1546</v>
      </c>
      <c r="G33" s="258">
        <v>32345000000</v>
      </c>
      <c r="H33" s="265">
        <v>0</v>
      </c>
      <c r="I33" s="258">
        <v>0</v>
      </c>
      <c r="J33" s="258">
        <v>32345000000</v>
      </c>
      <c r="K33" s="256" t="s">
        <v>1346</v>
      </c>
    </row>
    <row r="34" spans="1:11" x14ac:dyDescent="0.3">
      <c r="A34" s="256">
        <v>27</v>
      </c>
      <c r="B34" s="257" t="s">
        <v>1378</v>
      </c>
      <c r="C34" s="276">
        <v>44545</v>
      </c>
      <c r="D34" s="257" t="s">
        <v>1264</v>
      </c>
      <c r="E34" s="256" t="s">
        <v>1584</v>
      </c>
      <c r="F34" s="256" t="s">
        <v>1616</v>
      </c>
      <c r="G34" s="258">
        <v>65678000000</v>
      </c>
      <c r="H34" s="265">
        <v>0.1</v>
      </c>
      <c r="I34" s="258">
        <v>6567800000</v>
      </c>
      <c r="J34" s="258">
        <v>72245800000</v>
      </c>
      <c r="K34" s="256" t="s">
        <v>1346</v>
      </c>
    </row>
    <row r="35" spans="1:11" x14ac:dyDescent="0.3">
      <c r="A35" s="256">
        <v>28</v>
      </c>
      <c r="B35" s="257" t="s">
        <v>1382</v>
      </c>
      <c r="C35" s="276">
        <v>44216</v>
      </c>
      <c r="D35" s="257" t="s">
        <v>1275</v>
      </c>
      <c r="E35" s="256" t="s">
        <v>1575</v>
      </c>
      <c r="F35" s="256" t="s">
        <v>1619</v>
      </c>
      <c r="G35" s="258">
        <v>27890000000</v>
      </c>
      <c r="H35" s="265">
        <v>0.1</v>
      </c>
      <c r="I35" s="258">
        <v>2789000000</v>
      </c>
      <c r="J35" s="258">
        <v>30679000000</v>
      </c>
      <c r="K35" s="256" t="s">
        <v>1346</v>
      </c>
    </row>
    <row r="36" spans="1:11" x14ac:dyDescent="0.3">
      <c r="A36" s="256">
        <v>29</v>
      </c>
      <c r="B36" s="257" t="s">
        <v>1355</v>
      </c>
      <c r="C36" s="276">
        <v>44247</v>
      </c>
      <c r="D36" s="257" t="s">
        <v>1322</v>
      </c>
      <c r="E36" s="256" t="s">
        <v>1638</v>
      </c>
      <c r="F36" s="256" t="s">
        <v>1616</v>
      </c>
      <c r="G36" s="258">
        <v>71234000000</v>
      </c>
      <c r="H36" s="265">
        <v>0.1</v>
      </c>
      <c r="I36" s="258">
        <v>7123400000</v>
      </c>
      <c r="J36" s="258">
        <v>78357400000</v>
      </c>
      <c r="K36" s="256" t="s">
        <v>1346</v>
      </c>
    </row>
    <row r="37" spans="1:11" x14ac:dyDescent="0.3">
      <c r="A37" s="256">
        <v>30</v>
      </c>
      <c r="B37" s="257" t="s">
        <v>1360</v>
      </c>
      <c r="C37" s="276">
        <v>44275</v>
      </c>
      <c r="D37" s="257" t="s">
        <v>1257</v>
      </c>
      <c r="E37" s="256" t="s">
        <v>1574</v>
      </c>
      <c r="F37" s="256" t="s">
        <v>1621</v>
      </c>
      <c r="G37" s="258">
        <v>24567000000</v>
      </c>
      <c r="H37" s="265">
        <v>0.1</v>
      </c>
      <c r="I37" s="258">
        <v>2456700000</v>
      </c>
      <c r="J37" s="258">
        <v>27023700000</v>
      </c>
      <c r="K37" s="256" t="s">
        <v>1346</v>
      </c>
    </row>
    <row r="38" spans="1:11" x14ac:dyDescent="0.3">
      <c r="A38" s="256">
        <v>31</v>
      </c>
      <c r="B38" s="257" t="s">
        <v>1379</v>
      </c>
      <c r="C38" s="276">
        <v>44306</v>
      </c>
      <c r="D38" s="257" t="s">
        <v>1278</v>
      </c>
      <c r="E38" s="256" t="s">
        <v>1593</v>
      </c>
      <c r="F38" s="256" t="s">
        <v>1616</v>
      </c>
      <c r="G38" s="258">
        <v>62345000000</v>
      </c>
      <c r="H38" s="265">
        <v>0.1</v>
      </c>
      <c r="I38" s="258">
        <v>6234500000</v>
      </c>
      <c r="J38" s="258">
        <v>68579500000</v>
      </c>
      <c r="K38" s="256" t="s">
        <v>1346</v>
      </c>
    </row>
    <row r="39" spans="1:11" x14ac:dyDescent="0.3">
      <c r="A39" s="256">
        <v>32</v>
      </c>
      <c r="B39" s="257" t="s">
        <v>1379</v>
      </c>
      <c r="C39" s="276">
        <v>44336</v>
      </c>
      <c r="D39" s="257" t="s">
        <v>1263</v>
      </c>
      <c r="E39" s="256" t="s">
        <v>1579</v>
      </c>
      <c r="F39" s="256" t="s">
        <v>1618</v>
      </c>
      <c r="G39" s="258">
        <v>36789000000</v>
      </c>
      <c r="H39" s="265">
        <v>0.1</v>
      </c>
      <c r="I39" s="258">
        <v>3678900000</v>
      </c>
      <c r="J39" s="258">
        <v>40467900000</v>
      </c>
      <c r="K39" s="256" t="s">
        <v>1346</v>
      </c>
    </row>
    <row r="40" spans="1:11" x14ac:dyDescent="0.3">
      <c r="A40" s="256">
        <v>33</v>
      </c>
      <c r="B40" s="257" t="s">
        <v>1381</v>
      </c>
      <c r="C40" s="276">
        <v>44367</v>
      </c>
      <c r="D40" s="257" t="s">
        <v>1262</v>
      </c>
      <c r="E40" s="256" t="s">
        <v>1556</v>
      </c>
      <c r="F40" s="256" t="s">
        <v>1616</v>
      </c>
      <c r="G40" s="258">
        <v>58234000000</v>
      </c>
      <c r="H40" s="265">
        <v>0.1</v>
      </c>
      <c r="I40" s="258">
        <v>5823400000</v>
      </c>
      <c r="J40" s="258">
        <v>64057400000</v>
      </c>
      <c r="K40" s="256" t="s">
        <v>1346</v>
      </c>
    </row>
    <row r="41" spans="1:11" x14ac:dyDescent="0.3">
      <c r="A41" s="256">
        <v>34</v>
      </c>
      <c r="B41" s="257" t="s">
        <v>1381</v>
      </c>
      <c r="C41" s="276">
        <v>44397</v>
      </c>
      <c r="D41" s="257" t="s">
        <v>1384</v>
      </c>
      <c r="E41" s="256" t="s">
        <v>1565</v>
      </c>
      <c r="F41" s="256" t="s">
        <v>1622</v>
      </c>
      <c r="G41" s="258">
        <v>24567000000</v>
      </c>
      <c r="H41" s="265">
        <v>0.1</v>
      </c>
      <c r="I41" s="258">
        <v>2456700000</v>
      </c>
      <c r="J41" s="258">
        <v>27023700000</v>
      </c>
      <c r="K41" s="256" t="s">
        <v>1346</v>
      </c>
    </row>
    <row r="42" spans="1:11" x14ac:dyDescent="0.3">
      <c r="A42" s="256">
        <v>35</v>
      </c>
      <c r="B42" s="257" t="s">
        <v>1202</v>
      </c>
      <c r="C42" s="276">
        <v>44428</v>
      </c>
      <c r="D42" s="257" t="s">
        <v>1308</v>
      </c>
      <c r="E42" s="256" t="s">
        <v>1639</v>
      </c>
      <c r="F42" s="256" t="s">
        <v>1616</v>
      </c>
      <c r="G42" s="258">
        <v>61234000000</v>
      </c>
      <c r="H42" s="265">
        <v>0.1</v>
      </c>
      <c r="I42" s="258">
        <v>6123400000</v>
      </c>
      <c r="J42" s="258">
        <v>67357400000</v>
      </c>
      <c r="K42" s="256" t="s">
        <v>1346</v>
      </c>
    </row>
    <row r="43" spans="1:11" x14ac:dyDescent="0.3">
      <c r="A43" s="256">
        <v>36</v>
      </c>
      <c r="B43" s="257" t="s">
        <v>1378</v>
      </c>
      <c r="C43" s="276">
        <v>44459</v>
      </c>
      <c r="D43" s="257" t="s">
        <v>1259</v>
      </c>
      <c r="E43" s="256" t="s">
        <v>1569</v>
      </c>
      <c r="F43" s="256" t="s">
        <v>1347</v>
      </c>
      <c r="G43" s="258">
        <v>20234000000</v>
      </c>
      <c r="H43" s="265">
        <v>0.1</v>
      </c>
      <c r="I43" s="258">
        <v>2023400000</v>
      </c>
      <c r="J43" s="258">
        <v>22257400000</v>
      </c>
      <c r="K43" s="256" t="s">
        <v>1346</v>
      </c>
    </row>
    <row r="44" spans="1:11" x14ac:dyDescent="0.3">
      <c r="A44" s="256">
        <v>37</v>
      </c>
      <c r="B44" s="257" t="s">
        <v>1381</v>
      </c>
      <c r="C44" s="276">
        <v>44489</v>
      </c>
      <c r="D44" s="257" t="s">
        <v>1274</v>
      </c>
      <c r="E44" s="256" t="s">
        <v>1592</v>
      </c>
      <c r="F44" s="256" t="s">
        <v>1546</v>
      </c>
      <c r="G44" s="258">
        <v>33456000000</v>
      </c>
      <c r="H44" s="265">
        <v>0</v>
      </c>
      <c r="I44" s="258">
        <v>0</v>
      </c>
      <c r="J44" s="258">
        <v>33456000000</v>
      </c>
      <c r="K44" s="256" t="s">
        <v>1346</v>
      </c>
    </row>
    <row r="45" spans="1:11" x14ac:dyDescent="0.3">
      <c r="A45" s="256">
        <v>38</v>
      </c>
      <c r="B45" s="257" t="s">
        <v>1381</v>
      </c>
      <c r="C45" s="276">
        <v>44520</v>
      </c>
      <c r="D45" s="257" t="s">
        <v>1283</v>
      </c>
      <c r="E45" s="256" t="s">
        <v>1588</v>
      </c>
      <c r="F45" s="256" t="s">
        <v>1616</v>
      </c>
      <c r="G45" s="258">
        <v>66789000000</v>
      </c>
      <c r="H45" s="265">
        <v>0.1</v>
      </c>
      <c r="I45" s="258">
        <v>6678900000</v>
      </c>
      <c r="J45" s="258">
        <v>73467900000</v>
      </c>
      <c r="K45" s="256" t="s">
        <v>1346</v>
      </c>
    </row>
    <row r="46" spans="1:11" x14ac:dyDescent="0.3">
      <c r="A46" s="256">
        <v>39</v>
      </c>
      <c r="B46" s="257" t="s">
        <v>1376</v>
      </c>
      <c r="C46" s="276">
        <v>44550</v>
      </c>
      <c r="D46" s="257" t="s">
        <v>1273</v>
      </c>
      <c r="E46" s="256" t="s">
        <v>1567</v>
      </c>
      <c r="F46" s="256" t="s">
        <v>1619</v>
      </c>
      <c r="G46" s="258">
        <v>29234000000</v>
      </c>
      <c r="H46" s="265">
        <v>0.1</v>
      </c>
      <c r="I46" s="258">
        <v>2923400000</v>
      </c>
      <c r="J46" s="258">
        <v>32157400000</v>
      </c>
      <c r="K46" s="256" t="s">
        <v>1346</v>
      </c>
    </row>
    <row r="47" spans="1:11" x14ac:dyDescent="0.3">
      <c r="A47" s="256">
        <v>40</v>
      </c>
      <c r="B47" s="257" t="s">
        <v>1379</v>
      </c>
      <c r="C47" s="276">
        <v>44221</v>
      </c>
      <c r="D47" s="257" t="s">
        <v>1416</v>
      </c>
      <c r="E47" s="256" t="s">
        <v>1562</v>
      </c>
      <c r="F47" s="256" t="s">
        <v>1616</v>
      </c>
      <c r="G47" s="258">
        <v>64234000000</v>
      </c>
      <c r="H47" s="265">
        <v>0.1</v>
      </c>
      <c r="I47" s="258">
        <v>6423400000</v>
      </c>
      <c r="J47" s="258">
        <v>70657400000</v>
      </c>
      <c r="K47" s="256" t="s">
        <v>1346</v>
      </c>
    </row>
    <row r="48" spans="1:11" x14ac:dyDescent="0.3">
      <c r="A48" s="256">
        <v>41</v>
      </c>
      <c r="B48" s="257" t="s">
        <v>1204</v>
      </c>
      <c r="C48" s="276">
        <v>44252</v>
      </c>
      <c r="D48" s="257" t="s">
        <v>1281</v>
      </c>
      <c r="E48" s="256" t="s">
        <v>1559</v>
      </c>
      <c r="F48" s="256" t="s">
        <v>1621</v>
      </c>
      <c r="G48" s="258">
        <v>26789000000</v>
      </c>
      <c r="H48" s="265">
        <v>0.1</v>
      </c>
      <c r="I48" s="258">
        <v>2678900000</v>
      </c>
      <c r="J48" s="258">
        <v>29467900000</v>
      </c>
      <c r="K48" s="256" t="s">
        <v>1346</v>
      </c>
    </row>
    <row r="49" spans="1:11" x14ac:dyDescent="0.3">
      <c r="A49" s="256">
        <v>42</v>
      </c>
      <c r="B49" s="257" t="s">
        <v>1202</v>
      </c>
      <c r="C49" s="276">
        <v>44280</v>
      </c>
      <c r="D49" s="257" t="s">
        <v>1289</v>
      </c>
      <c r="E49" s="256" t="s">
        <v>1640</v>
      </c>
      <c r="F49" s="256" t="s">
        <v>1616</v>
      </c>
      <c r="G49" s="258">
        <v>57890000000</v>
      </c>
      <c r="H49" s="265">
        <v>0.1</v>
      </c>
      <c r="I49" s="258">
        <v>5789000000</v>
      </c>
      <c r="J49" s="258">
        <v>63679000000</v>
      </c>
      <c r="K49" s="256" t="s">
        <v>1346</v>
      </c>
    </row>
    <row r="50" spans="1:11" x14ac:dyDescent="0.3">
      <c r="A50" s="256">
        <v>43</v>
      </c>
      <c r="B50" s="257" t="s">
        <v>1202</v>
      </c>
      <c r="C50" s="276">
        <v>44311</v>
      </c>
      <c r="D50" s="257" t="s">
        <v>1269</v>
      </c>
      <c r="E50" s="256" t="s">
        <v>1641</v>
      </c>
      <c r="F50" s="256" t="s">
        <v>1618</v>
      </c>
      <c r="G50" s="258">
        <v>35678000000</v>
      </c>
      <c r="H50" s="265">
        <v>0.1</v>
      </c>
      <c r="I50" s="258">
        <v>3567800000</v>
      </c>
      <c r="J50" s="258">
        <v>39245800000</v>
      </c>
      <c r="K50" s="256" t="s">
        <v>1346</v>
      </c>
    </row>
    <row r="51" spans="1:11" x14ac:dyDescent="0.3">
      <c r="A51" s="256">
        <v>44</v>
      </c>
      <c r="B51" s="257" t="s">
        <v>1379</v>
      </c>
      <c r="C51" s="276">
        <v>44341</v>
      </c>
      <c r="D51" s="257" t="s">
        <v>1428</v>
      </c>
      <c r="E51" s="256" t="s">
        <v>1557</v>
      </c>
      <c r="F51" s="256" t="s">
        <v>1616</v>
      </c>
      <c r="G51" s="258">
        <v>63456000000</v>
      </c>
      <c r="H51" s="265">
        <v>0.1</v>
      </c>
      <c r="I51" s="258">
        <v>6345600000</v>
      </c>
      <c r="J51" s="258">
        <v>69801600000</v>
      </c>
      <c r="K51" s="256" t="s">
        <v>1346</v>
      </c>
    </row>
    <row r="52" spans="1:11" x14ac:dyDescent="0.3">
      <c r="A52" s="256">
        <v>45</v>
      </c>
      <c r="B52" s="257" t="s">
        <v>1201</v>
      </c>
      <c r="C52" s="276">
        <v>44372</v>
      </c>
      <c r="D52" s="257" t="s">
        <v>1313</v>
      </c>
      <c r="E52" s="256" t="s">
        <v>1642</v>
      </c>
      <c r="F52" s="256" t="s">
        <v>1622</v>
      </c>
      <c r="G52" s="258">
        <v>24234000000</v>
      </c>
      <c r="H52" s="265">
        <v>0.1</v>
      </c>
      <c r="I52" s="258">
        <v>2423400000</v>
      </c>
      <c r="J52" s="258">
        <v>26657400000</v>
      </c>
      <c r="K52" s="256" t="s">
        <v>1346</v>
      </c>
    </row>
    <row r="53" spans="1:11" x14ac:dyDescent="0.3">
      <c r="A53" s="256">
        <v>46</v>
      </c>
      <c r="B53" s="257" t="s">
        <v>1201</v>
      </c>
      <c r="C53" s="276">
        <v>44402</v>
      </c>
      <c r="D53" s="257" t="s">
        <v>1297</v>
      </c>
      <c r="E53" s="256" t="s">
        <v>1643</v>
      </c>
      <c r="F53" s="256" t="s">
        <v>1616</v>
      </c>
      <c r="G53" s="258">
        <v>57234000000</v>
      </c>
      <c r="H53" s="265">
        <v>0.1</v>
      </c>
      <c r="I53" s="258">
        <v>5723400000</v>
      </c>
      <c r="J53" s="258">
        <v>62957400000</v>
      </c>
      <c r="K53" s="256" t="s">
        <v>1346</v>
      </c>
    </row>
    <row r="54" spans="1:11" x14ac:dyDescent="0.3">
      <c r="A54" s="256">
        <v>47</v>
      </c>
      <c r="B54" s="257" t="s">
        <v>1201</v>
      </c>
      <c r="C54" s="276">
        <v>44433</v>
      </c>
      <c r="D54" s="257" t="s">
        <v>1254</v>
      </c>
      <c r="E54" s="256" t="s">
        <v>1644</v>
      </c>
      <c r="F54" s="256" t="s">
        <v>1546</v>
      </c>
      <c r="G54" s="258">
        <v>36789000000</v>
      </c>
      <c r="H54" s="265">
        <v>0</v>
      </c>
      <c r="I54" s="258">
        <v>0</v>
      </c>
      <c r="J54" s="258">
        <v>36789000000</v>
      </c>
      <c r="K54" s="256" t="s">
        <v>1346</v>
      </c>
    </row>
    <row r="55" spans="1:11" x14ac:dyDescent="0.3">
      <c r="A55" s="256">
        <v>48</v>
      </c>
      <c r="B55" s="257" t="s">
        <v>1201</v>
      </c>
      <c r="C55" s="276">
        <v>44464</v>
      </c>
      <c r="D55" s="257" t="s">
        <v>1327</v>
      </c>
      <c r="E55" s="256" t="s">
        <v>1645</v>
      </c>
      <c r="F55" s="256" t="s">
        <v>1616</v>
      </c>
      <c r="G55" s="258">
        <v>66234000000</v>
      </c>
      <c r="H55" s="265">
        <v>0.1</v>
      </c>
      <c r="I55" s="258">
        <v>6623400000</v>
      </c>
      <c r="J55" s="258">
        <v>72857400000</v>
      </c>
      <c r="K55" s="256" t="s">
        <v>1346</v>
      </c>
    </row>
    <row r="56" spans="1:11" x14ac:dyDescent="0.3">
      <c r="A56" s="256">
        <v>49</v>
      </c>
      <c r="B56" s="257" t="s">
        <v>1201</v>
      </c>
      <c r="C56" s="276">
        <v>44494</v>
      </c>
      <c r="D56" s="257" t="s">
        <v>1309</v>
      </c>
      <c r="E56" s="256" t="s">
        <v>1646</v>
      </c>
      <c r="F56" s="256" t="s">
        <v>1347</v>
      </c>
      <c r="G56" s="258">
        <v>21234000000</v>
      </c>
      <c r="H56" s="265">
        <v>0.1</v>
      </c>
      <c r="I56" s="258">
        <v>2123400000</v>
      </c>
      <c r="J56" s="258">
        <v>23357400000</v>
      </c>
      <c r="K56" s="256" t="s">
        <v>1346</v>
      </c>
    </row>
    <row r="57" spans="1:11" x14ac:dyDescent="0.3">
      <c r="A57" s="256">
        <v>50</v>
      </c>
      <c r="B57" s="257" t="s">
        <v>1366</v>
      </c>
      <c r="C57" s="276">
        <v>44525</v>
      </c>
      <c r="D57" s="257" t="s">
        <v>1266</v>
      </c>
      <c r="E57" s="256" t="s">
        <v>1570</v>
      </c>
      <c r="F57" s="256" t="s">
        <v>1616</v>
      </c>
      <c r="G57" s="258">
        <v>60890000000</v>
      </c>
      <c r="H57" s="265">
        <v>0.1</v>
      </c>
      <c r="I57" s="258">
        <v>6089000000</v>
      </c>
      <c r="J57" s="258">
        <v>66979000000</v>
      </c>
      <c r="K57" s="256" t="s">
        <v>1346</v>
      </c>
    </row>
    <row r="58" spans="1:11" x14ac:dyDescent="0.3">
      <c r="A58" s="256">
        <v>51</v>
      </c>
      <c r="B58" s="257" t="s">
        <v>1355</v>
      </c>
      <c r="C58" s="276">
        <v>44224</v>
      </c>
      <c r="D58" s="257" t="s">
        <v>1276</v>
      </c>
      <c r="E58" s="256" t="s">
        <v>1654</v>
      </c>
      <c r="F58" s="256" t="s">
        <v>1621</v>
      </c>
      <c r="G58" s="258">
        <v>27890000000</v>
      </c>
      <c r="H58" s="265">
        <v>0.1</v>
      </c>
      <c r="I58" s="258">
        <v>2789000000</v>
      </c>
      <c r="J58" s="258">
        <v>30679000000</v>
      </c>
      <c r="K58" s="256" t="s">
        <v>1346</v>
      </c>
    </row>
    <row r="59" spans="1:11" x14ac:dyDescent="0.3">
      <c r="A59" s="256">
        <v>52</v>
      </c>
      <c r="B59" s="257" t="s">
        <v>1202</v>
      </c>
      <c r="C59" s="276">
        <v>44255</v>
      </c>
      <c r="D59" s="257" t="s">
        <v>1333</v>
      </c>
      <c r="E59" s="256" t="s">
        <v>1134</v>
      </c>
      <c r="F59" s="256" t="s">
        <v>1616</v>
      </c>
      <c r="G59" s="258">
        <v>63890000000</v>
      </c>
      <c r="H59" s="265">
        <v>0.1</v>
      </c>
      <c r="I59" s="258">
        <v>6389000000</v>
      </c>
      <c r="J59" s="258">
        <v>70279000000</v>
      </c>
      <c r="K59" s="256" t="s">
        <v>1346</v>
      </c>
    </row>
    <row r="60" spans="1:11" x14ac:dyDescent="0.3">
      <c r="A60" s="256">
        <v>53</v>
      </c>
      <c r="B60" s="257" t="s">
        <v>1355</v>
      </c>
      <c r="C60" s="276">
        <v>44283</v>
      </c>
      <c r="D60" s="257" t="s">
        <v>1255</v>
      </c>
      <c r="E60" s="256" t="s">
        <v>1649</v>
      </c>
      <c r="F60" s="256" t="s">
        <v>1619</v>
      </c>
      <c r="G60" s="258">
        <v>30234000000</v>
      </c>
      <c r="H60" s="265">
        <v>0.1</v>
      </c>
      <c r="I60" s="258">
        <v>3023400000</v>
      </c>
      <c r="J60" s="258">
        <v>33257400000</v>
      </c>
      <c r="K60" s="256" t="s">
        <v>1346</v>
      </c>
    </row>
    <row r="61" spans="1:11" x14ac:dyDescent="0.3">
      <c r="A61" s="256">
        <v>54</v>
      </c>
      <c r="B61" s="257" t="s">
        <v>1355</v>
      </c>
      <c r="C61" s="276">
        <v>44314</v>
      </c>
      <c r="D61" s="257" t="s">
        <v>1271</v>
      </c>
      <c r="E61" s="256" t="s">
        <v>1634</v>
      </c>
      <c r="F61" s="256" t="s">
        <v>1616</v>
      </c>
      <c r="G61" s="258">
        <v>59890000000</v>
      </c>
      <c r="H61" s="265">
        <v>0.1</v>
      </c>
      <c r="I61" s="258">
        <v>5989000000</v>
      </c>
      <c r="J61" s="258">
        <v>65879000000</v>
      </c>
      <c r="K61" s="256" t="s">
        <v>1346</v>
      </c>
    </row>
    <row r="62" spans="1:11" x14ac:dyDescent="0.3">
      <c r="A62" s="256">
        <v>55</v>
      </c>
      <c r="B62" s="257" t="s">
        <v>1205</v>
      </c>
      <c r="C62" s="276">
        <v>44405</v>
      </c>
      <c r="D62" s="257" t="s">
        <v>1281</v>
      </c>
      <c r="E62" s="256" t="s">
        <v>1559</v>
      </c>
      <c r="F62" s="256" t="s">
        <v>1347</v>
      </c>
      <c r="G62" s="258">
        <v>22345000000</v>
      </c>
      <c r="H62" s="265">
        <v>0.1</v>
      </c>
      <c r="I62" s="258">
        <v>2234500000</v>
      </c>
      <c r="J62" s="258">
        <v>24579500000</v>
      </c>
      <c r="K62" s="256" t="s">
        <v>1346</v>
      </c>
    </row>
    <row r="63" spans="1:11" x14ac:dyDescent="0.3">
      <c r="A63" s="256">
        <v>56</v>
      </c>
      <c r="B63" s="257" t="s">
        <v>1368</v>
      </c>
      <c r="C63" s="276">
        <v>44436</v>
      </c>
      <c r="D63" s="257" t="s">
        <v>1266</v>
      </c>
      <c r="E63" s="256" t="s">
        <v>1570</v>
      </c>
      <c r="F63" s="256" t="s">
        <v>1546</v>
      </c>
      <c r="G63" s="258">
        <v>34567000000</v>
      </c>
      <c r="H63" s="265">
        <v>0</v>
      </c>
      <c r="I63" s="258">
        <v>0</v>
      </c>
      <c r="J63" s="258">
        <v>34567000000</v>
      </c>
      <c r="K63" s="256" t="s">
        <v>1346</v>
      </c>
    </row>
    <row r="64" spans="1:11" x14ac:dyDescent="0.3">
      <c r="A64" s="256">
        <v>57</v>
      </c>
      <c r="B64" s="257" t="s">
        <v>1355</v>
      </c>
      <c r="C64" s="276">
        <v>44497</v>
      </c>
      <c r="D64" s="257" t="s">
        <v>1256</v>
      </c>
      <c r="E64" s="256" t="s">
        <v>1665</v>
      </c>
      <c r="F64" s="256" t="s">
        <v>1616</v>
      </c>
      <c r="G64" s="258">
        <v>64234000000</v>
      </c>
      <c r="H64" s="265">
        <v>0.1</v>
      </c>
      <c r="I64" s="258">
        <v>6423400000</v>
      </c>
      <c r="J64" s="258">
        <v>70657400000</v>
      </c>
      <c r="K64" s="256" t="s">
        <v>1346</v>
      </c>
    </row>
    <row r="65" spans="1:11" x14ac:dyDescent="0.3">
      <c r="A65" s="256">
        <v>58</v>
      </c>
      <c r="B65" s="257" t="s">
        <v>1205</v>
      </c>
      <c r="C65" s="276">
        <v>44227</v>
      </c>
      <c r="D65" s="257" t="s">
        <v>1352</v>
      </c>
      <c r="E65" s="256" t="s">
        <v>1571</v>
      </c>
      <c r="F65" s="256" t="s">
        <v>1621</v>
      </c>
      <c r="G65" s="258">
        <v>28456000000</v>
      </c>
      <c r="H65" s="265">
        <v>0.1</v>
      </c>
      <c r="I65" s="258">
        <v>2845600000</v>
      </c>
      <c r="J65" s="258">
        <v>31301600000</v>
      </c>
      <c r="K65" s="256" t="s">
        <v>1346</v>
      </c>
    </row>
    <row r="66" spans="1:11" x14ac:dyDescent="0.3">
      <c r="A66" s="256">
        <v>59</v>
      </c>
      <c r="B66" s="257" t="s">
        <v>1355</v>
      </c>
      <c r="C66" s="276">
        <v>44286</v>
      </c>
      <c r="D66" s="257" t="s">
        <v>1314</v>
      </c>
      <c r="E66" s="256" t="s">
        <v>948</v>
      </c>
      <c r="F66" s="256" t="s">
        <v>1616</v>
      </c>
      <c r="G66" s="258">
        <v>62345000000</v>
      </c>
      <c r="H66" s="265">
        <v>0.1</v>
      </c>
      <c r="I66" s="258">
        <v>6234500000</v>
      </c>
      <c r="J66" s="258">
        <v>68579500000</v>
      </c>
      <c r="K66" s="256" t="s">
        <v>1346</v>
      </c>
    </row>
    <row r="67" spans="1:11" x14ac:dyDescent="0.3">
      <c r="A67" s="256">
        <v>60</v>
      </c>
      <c r="B67" s="257" t="s">
        <v>1355</v>
      </c>
      <c r="C67" s="276">
        <v>44347</v>
      </c>
      <c r="D67" s="257" t="s">
        <v>1287</v>
      </c>
      <c r="E67" s="256" t="s">
        <v>691</v>
      </c>
      <c r="F67" s="256" t="s">
        <v>1622</v>
      </c>
      <c r="G67" s="258">
        <v>25678000000</v>
      </c>
      <c r="H67" s="265">
        <v>0.1</v>
      </c>
      <c r="I67" s="258">
        <v>2567800000</v>
      </c>
      <c r="J67" s="258">
        <v>28245800000</v>
      </c>
      <c r="K67" s="256" t="s">
        <v>1346</v>
      </c>
    </row>
    <row r="68" spans="1:11" x14ac:dyDescent="0.3">
      <c r="A68" s="256">
        <v>61</v>
      </c>
      <c r="B68" s="257" t="s">
        <v>1202</v>
      </c>
      <c r="C68" s="276">
        <v>44408</v>
      </c>
      <c r="D68" s="257" t="s">
        <v>1270</v>
      </c>
      <c r="E68" s="256" t="s">
        <v>1393</v>
      </c>
      <c r="F68" s="256" t="s">
        <v>1616</v>
      </c>
      <c r="G68" s="258">
        <v>61890000000</v>
      </c>
      <c r="H68" s="265">
        <v>0.1</v>
      </c>
      <c r="I68" s="258">
        <v>6189000000</v>
      </c>
      <c r="J68" s="258">
        <v>68079000000</v>
      </c>
      <c r="K68" s="256" t="s">
        <v>1346</v>
      </c>
    </row>
    <row r="69" spans="1:11" x14ac:dyDescent="0.3">
      <c r="A69" s="256">
        <v>62</v>
      </c>
      <c r="B69" s="257" t="s">
        <v>1203</v>
      </c>
      <c r="C69" s="276">
        <v>44439</v>
      </c>
      <c r="D69" s="257" t="s">
        <v>1280</v>
      </c>
      <c r="E69" s="256" t="s">
        <v>618</v>
      </c>
      <c r="F69" s="256" t="s">
        <v>1618</v>
      </c>
      <c r="G69" s="258">
        <v>37890000000</v>
      </c>
      <c r="H69" s="265">
        <v>0.1</v>
      </c>
      <c r="I69" s="258">
        <v>3789000000</v>
      </c>
      <c r="J69" s="258">
        <v>41679000000</v>
      </c>
      <c r="K69" s="256" t="s">
        <v>1346</v>
      </c>
    </row>
    <row r="70" spans="1:11" x14ac:dyDescent="0.3">
      <c r="A70" s="256">
        <v>63</v>
      </c>
      <c r="B70" s="257" t="s">
        <v>1358</v>
      </c>
      <c r="C70" s="276">
        <v>44500</v>
      </c>
      <c r="D70" s="257" t="s">
        <v>1258</v>
      </c>
      <c r="E70" s="256" t="s">
        <v>351</v>
      </c>
      <c r="F70" s="256" t="s">
        <v>1616</v>
      </c>
      <c r="G70" s="258">
        <v>65234000000</v>
      </c>
      <c r="H70" s="265">
        <v>0.1</v>
      </c>
      <c r="I70" s="258">
        <v>6523400000</v>
      </c>
      <c r="J70" s="258">
        <v>71757400000</v>
      </c>
      <c r="K70" s="256" t="s">
        <v>1346</v>
      </c>
    </row>
    <row r="71" spans="1:11" x14ac:dyDescent="0.3">
      <c r="A71" s="256">
        <v>64</v>
      </c>
      <c r="B71" s="257" t="s">
        <v>1202</v>
      </c>
      <c r="C71" s="276">
        <v>44500</v>
      </c>
      <c r="D71" s="257" t="s">
        <v>1326</v>
      </c>
      <c r="E71" s="256" t="s">
        <v>1065</v>
      </c>
      <c r="F71" s="256" t="s">
        <v>1347</v>
      </c>
      <c r="G71" s="258">
        <v>21890000000</v>
      </c>
      <c r="H71" s="265">
        <v>0.1</v>
      </c>
      <c r="I71" s="258">
        <v>2189000000</v>
      </c>
      <c r="J71" s="258">
        <v>24079000000</v>
      </c>
      <c r="K71" s="256" t="s">
        <v>1346</v>
      </c>
    </row>
    <row r="72" spans="1:11" x14ac:dyDescent="0.3">
      <c r="A72" s="256">
        <v>65</v>
      </c>
      <c r="B72" s="257" t="s">
        <v>1202</v>
      </c>
      <c r="C72" s="276">
        <v>44500</v>
      </c>
      <c r="D72" s="257" t="s">
        <v>1310</v>
      </c>
      <c r="E72" s="256" t="s">
        <v>1635</v>
      </c>
      <c r="F72" s="256" t="s">
        <v>1546</v>
      </c>
      <c r="G72" s="258">
        <v>33890000000</v>
      </c>
      <c r="H72" s="265">
        <v>0</v>
      </c>
      <c r="I72" s="258">
        <v>0</v>
      </c>
      <c r="J72" s="258">
        <v>33890000000</v>
      </c>
      <c r="K72" s="256" t="s">
        <v>1346</v>
      </c>
    </row>
    <row r="73" spans="1:11" x14ac:dyDescent="0.3">
      <c r="A73" s="256">
        <v>66</v>
      </c>
      <c r="B73" s="257" t="s">
        <v>1203</v>
      </c>
      <c r="C73" s="276">
        <v>44500</v>
      </c>
      <c r="D73" s="257" t="s">
        <v>1284</v>
      </c>
      <c r="E73" s="256" t="s">
        <v>1552</v>
      </c>
      <c r="F73" s="256" t="s">
        <v>1616</v>
      </c>
      <c r="G73" s="258">
        <v>66789000000</v>
      </c>
      <c r="H73" s="265">
        <v>0.1</v>
      </c>
      <c r="I73" s="258">
        <v>6678900000</v>
      </c>
      <c r="J73" s="258">
        <v>73467900000</v>
      </c>
      <c r="K73" s="256" t="s">
        <v>1346</v>
      </c>
    </row>
    <row r="74" spans="1:11" x14ac:dyDescent="0.3">
      <c r="A74" s="256">
        <v>67</v>
      </c>
      <c r="B74" s="257" t="s">
        <v>1381</v>
      </c>
      <c r="C74" s="276">
        <v>44531</v>
      </c>
      <c r="D74" s="257" t="s">
        <v>1268</v>
      </c>
      <c r="E74" s="256" t="s">
        <v>1594</v>
      </c>
      <c r="F74" s="256" t="s">
        <v>1621</v>
      </c>
      <c r="G74" s="258">
        <v>29890000000</v>
      </c>
      <c r="H74" s="265">
        <v>0.1</v>
      </c>
      <c r="I74" s="258">
        <v>2989000000</v>
      </c>
      <c r="J74" s="258">
        <v>32879000000</v>
      </c>
      <c r="K74" s="256" t="s">
        <v>1346</v>
      </c>
    </row>
    <row r="75" spans="1:11" x14ac:dyDescent="0.3">
      <c r="A75" s="256">
        <v>68</v>
      </c>
      <c r="B75" s="257" t="s">
        <v>1202</v>
      </c>
      <c r="C75" s="276">
        <v>44531</v>
      </c>
      <c r="D75" s="257" t="s">
        <v>1295</v>
      </c>
      <c r="E75" s="256" t="s">
        <v>1636</v>
      </c>
      <c r="F75" s="256" t="s">
        <v>1616</v>
      </c>
      <c r="G75" s="258">
        <v>63890000000</v>
      </c>
      <c r="H75" s="265">
        <v>0.1</v>
      </c>
      <c r="I75" s="258">
        <v>6389000000</v>
      </c>
      <c r="J75" s="258">
        <v>70279000000</v>
      </c>
      <c r="K75" s="256" t="s">
        <v>1346</v>
      </c>
    </row>
    <row r="76" spans="1:11" x14ac:dyDescent="0.3">
      <c r="A76" s="256">
        <v>69</v>
      </c>
      <c r="B76" s="257" t="s">
        <v>1383</v>
      </c>
      <c r="C76" s="276">
        <v>44561</v>
      </c>
      <c r="D76" s="257" t="s">
        <v>1279</v>
      </c>
      <c r="E76" s="256" t="s">
        <v>611</v>
      </c>
      <c r="F76" s="256" t="s">
        <v>1619</v>
      </c>
      <c r="G76" s="258">
        <v>31234000000</v>
      </c>
      <c r="H76" s="265">
        <v>0.1</v>
      </c>
      <c r="I76" s="258">
        <v>3123400000</v>
      </c>
      <c r="J76" s="258">
        <v>34357400000</v>
      </c>
      <c r="K76" s="256" t="s">
        <v>1346</v>
      </c>
    </row>
    <row r="77" spans="1:11" x14ac:dyDescent="0.3">
      <c r="A77" s="256">
        <v>70</v>
      </c>
      <c r="B77" s="257" t="s">
        <v>1204</v>
      </c>
      <c r="C77" s="276">
        <v>44561</v>
      </c>
      <c r="D77" s="257" t="s">
        <v>1395</v>
      </c>
      <c r="E77" s="256" t="s">
        <v>1581</v>
      </c>
      <c r="F77" s="256" t="s">
        <v>1616</v>
      </c>
      <c r="G77" s="258">
        <v>67234000000</v>
      </c>
      <c r="H77" s="265">
        <v>0.1</v>
      </c>
      <c r="I77" s="258">
        <v>6723400000</v>
      </c>
      <c r="J77" s="258">
        <v>73957400000</v>
      </c>
      <c r="K77" s="256" t="s">
        <v>1346</v>
      </c>
    </row>
    <row r="78" spans="1:11" x14ac:dyDescent="0.3">
      <c r="A78" s="256">
        <v>71</v>
      </c>
      <c r="B78" s="257" t="s">
        <v>1382</v>
      </c>
      <c r="C78" s="276">
        <v>44561</v>
      </c>
      <c r="D78" s="257" t="s">
        <v>1260</v>
      </c>
      <c r="E78" s="256" t="s">
        <v>1585</v>
      </c>
      <c r="F78" s="256" t="s">
        <v>1618</v>
      </c>
      <c r="G78" s="258">
        <v>39234000000</v>
      </c>
      <c r="H78" s="265">
        <v>0.1</v>
      </c>
      <c r="I78" s="258">
        <v>3923400000</v>
      </c>
      <c r="J78" s="258">
        <v>43157400000</v>
      </c>
      <c r="K78" s="256" t="s">
        <v>1346</v>
      </c>
    </row>
    <row r="79" spans="1:11" x14ac:dyDescent="0.3">
      <c r="A79" s="256">
        <v>72</v>
      </c>
      <c r="B79" s="257" t="s">
        <v>1379</v>
      </c>
      <c r="C79" s="276">
        <v>44561</v>
      </c>
      <c r="D79" s="257" t="s">
        <v>1285</v>
      </c>
      <c r="E79" s="256" t="s">
        <v>1558</v>
      </c>
      <c r="F79" s="256" t="s">
        <v>1616</v>
      </c>
      <c r="G79" s="258">
        <v>65890000000</v>
      </c>
      <c r="H79" s="265">
        <v>0.1</v>
      </c>
      <c r="I79" s="258">
        <v>6589000000</v>
      </c>
      <c r="J79" s="258">
        <v>72479000000</v>
      </c>
      <c r="K79" s="256" t="s">
        <v>1346</v>
      </c>
    </row>
    <row r="80" spans="1:11" x14ac:dyDescent="0.3">
      <c r="A80" s="256">
        <v>73</v>
      </c>
      <c r="B80" s="257" t="s">
        <v>1202</v>
      </c>
      <c r="C80" s="276">
        <v>44561</v>
      </c>
      <c r="D80" s="257" t="s">
        <v>1302</v>
      </c>
      <c r="E80" s="256" t="s">
        <v>835</v>
      </c>
      <c r="F80" s="256" t="s">
        <v>1622</v>
      </c>
      <c r="G80" s="258">
        <v>27890000000</v>
      </c>
      <c r="H80" s="265">
        <v>0.1</v>
      </c>
      <c r="I80" s="258">
        <v>2789000000</v>
      </c>
      <c r="J80" s="258">
        <v>30679000000</v>
      </c>
      <c r="K80" s="256" t="s">
        <v>1346</v>
      </c>
    </row>
    <row r="81" spans="1:11" x14ac:dyDescent="0.3">
      <c r="A81" s="256">
        <v>74</v>
      </c>
      <c r="B81" s="257" t="s">
        <v>1379</v>
      </c>
      <c r="C81" s="276">
        <v>44561</v>
      </c>
      <c r="D81" s="257" t="s">
        <v>1435</v>
      </c>
      <c r="E81" s="256" t="s">
        <v>1577</v>
      </c>
      <c r="F81" s="256" t="s">
        <v>1616</v>
      </c>
      <c r="G81" s="258">
        <v>60234000000</v>
      </c>
      <c r="H81" s="265">
        <v>0.1</v>
      </c>
      <c r="I81" s="258">
        <v>6023400000</v>
      </c>
      <c r="J81" s="258">
        <v>66257400000</v>
      </c>
      <c r="K81" s="256" t="s">
        <v>1346</v>
      </c>
    </row>
    <row r="82" spans="1:11" x14ac:dyDescent="0.3">
      <c r="A82" s="256">
        <v>75</v>
      </c>
      <c r="B82" s="257" t="s">
        <v>1355</v>
      </c>
      <c r="C82" s="276">
        <v>44561</v>
      </c>
      <c r="D82" s="257" t="s">
        <v>1315</v>
      </c>
      <c r="E82" s="256" t="s">
        <v>1637</v>
      </c>
      <c r="F82" s="256" t="s">
        <v>1347</v>
      </c>
      <c r="G82" s="258">
        <v>22890000000</v>
      </c>
      <c r="H82" s="265">
        <v>0.1</v>
      </c>
      <c r="I82" s="258">
        <v>2289000000</v>
      </c>
      <c r="J82" s="258">
        <v>25179000000</v>
      </c>
      <c r="K82" s="256" t="s">
        <v>1346</v>
      </c>
    </row>
    <row r="83" spans="1:11" x14ac:dyDescent="0.3">
      <c r="A83" s="256">
        <v>76</v>
      </c>
      <c r="B83" s="257" t="s">
        <v>1204</v>
      </c>
      <c r="C83" s="276">
        <v>44561</v>
      </c>
      <c r="D83" s="257" t="s">
        <v>1277</v>
      </c>
      <c r="E83" s="256" t="s">
        <v>1582</v>
      </c>
      <c r="F83" s="256" t="s">
        <v>1546</v>
      </c>
      <c r="G83" s="258">
        <v>35234000000</v>
      </c>
      <c r="H83" s="265">
        <v>0</v>
      </c>
      <c r="I83" s="258">
        <v>0</v>
      </c>
      <c r="J83" s="258">
        <v>35234000000</v>
      </c>
      <c r="K83" s="256" t="s">
        <v>1346</v>
      </c>
    </row>
    <row r="84" spans="1:11" x14ac:dyDescent="0.3">
      <c r="A84" s="256">
        <v>77</v>
      </c>
      <c r="B84" s="257" t="s">
        <v>1379</v>
      </c>
      <c r="C84" s="276">
        <v>44561</v>
      </c>
      <c r="D84" s="257" t="s">
        <v>1264</v>
      </c>
      <c r="E84" s="256" t="s">
        <v>1584</v>
      </c>
      <c r="F84" s="256" t="s">
        <v>1616</v>
      </c>
      <c r="G84" s="258">
        <v>67890000000</v>
      </c>
      <c r="H84" s="265">
        <v>0.1</v>
      </c>
      <c r="I84" s="258">
        <v>6789000000</v>
      </c>
      <c r="J84" s="258">
        <v>74679000000</v>
      </c>
      <c r="K84" s="256" t="s">
        <v>1346</v>
      </c>
    </row>
    <row r="85" spans="1:11" x14ac:dyDescent="0.3">
      <c r="A85" s="256">
        <v>78</v>
      </c>
      <c r="B85" s="257" t="s">
        <v>1383</v>
      </c>
      <c r="C85" s="276">
        <v>44561</v>
      </c>
      <c r="D85" s="257" t="s">
        <v>1275</v>
      </c>
      <c r="E85" s="256" t="s">
        <v>1575</v>
      </c>
      <c r="F85" s="256" t="s">
        <v>1621</v>
      </c>
      <c r="G85" s="258">
        <v>30890000000</v>
      </c>
      <c r="H85" s="265">
        <v>0.1</v>
      </c>
      <c r="I85" s="258">
        <v>3089000000</v>
      </c>
      <c r="J85" s="258">
        <v>33979000000</v>
      </c>
      <c r="K85" s="256" t="s">
        <v>1346</v>
      </c>
    </row>
    <row r="86" spans="1:11" x14ac:dyDescent="0.3">
      <c r="A86" s="256">
        <v>79</v>
      </c>
      <c r="B86" s="257" t="s">
        <v>1356</v>
      </c>
      <c r="C86" s="276">
        <v>44561</v>
      </c>
      <c r="D86" s="257" t="s">
        <v>1322</v>
      </c>
      <c r="E86" s="256" t="s">
        <v>1638</v>
      </c>
      <c r="F86" s="256" t="s">
        <v>1616</v>
      </c>
      <c r="G86" s="258">
        <v>72345000000</v>
      </c>
      <c r="H86" s="265">
        <v>0.1</v>
      </c>
      <c r="I86" s="258">
        <v>7234500000</v>
      </c>
      <c r="J86" s="258">
        <v>79579500000</v>
      </c>
      <c r="K86" s="256" t="s">
        <v>1346</v>
      </c>
    </row>
    <row r="87" spans="1:11" x14ac:dyDescent="0.3">
      <c r="A87" s="256">
        <v>80</v>
      </c>
      <c r="B87" s="257" t="s">
        <v>1362</v>
      </c>
      <c r="C87" s="276">
        <v>44561</v>
      </c>
      <c r="D87" s="257" t="s">
        <v>1257</v>
      </c>
      <c r="E87" s="256" t="s">
        <v>1574</v>
      </c>
      <c r="F87" s="256" t="s">
        <v>1619</v>
      </c>
      <c r="G87" s="258">
        <v>32345000000</v>
      </c>
      <c r="H87" s="265">
        <v>0.1</v>
      </c>
      <c r="I87" s="258">
        <v>3234500000</v>
      </c>
      <c r="J87" s="258">
        <v>35579500000</v>
      </c>
      <c r="K87" s="256" t="s">
        <v>1346</v>
      </c>
    </row>
    <row r="88" spans="1:11" x14ac:dyDescent="0.3">
      <c r="A88" s="256">
        <v>81</v>
      </c>
      <c r="B88" s="257" t="s">
        <v>1381</v>
      </c>
      <c r="C88" s="276">
        <v>44561</v>
      </c>
      <c r="D88" s="257" t="s">
        <v>1278</v>
      </c>
      <c r="E88" s="256" t="s">
        <v>1593</v>
      </c>
      <c r="F88" s="256" t="s">
        <v>1616</v>
      </c>
      <c r="G88" s="258">
        <v>64234000000</v>
      </c>
      <c r="H88" s="265">
        <v>0.1</v>
      </c>
      <c r="I88" s="258">
        <v>6423400000</v>
      </c>
      <c r="J88" s="258">
        <v>70657400000</v>
      </c>
      <c r="K88" s="256" t="s">
        <v>1346</v>
      </c>
    </row>
    <row r="89" spans="1:11" x14ac:dyDescent="0.3">
      <c r="A89" s="256">
        <v>82</v>
      </c>
      <c r="B89" s="257" t="s">
        <v>1381</v>
      </c>
      <c r="C89" s="276">
        <v>44561</v>
      </c>
      <c r="D89" s="257" t="s">
        <v>1263</v>
      </c>
      <c r="E89" s="256" t="s">
        <v>1579</v>
      </c>
      <c r="F89" s="256" t="s">
        <v>1618</v>
      </c>
      <c r="G89" s="258">
        <v>38901000000</v>
      </c>
      <c r="H89" s="265">
        <v>0.1</v>
      </c>
      <c r="I89" s="258">
        <v>3890100000</v>
      </c>
      <c r="J89" s="258">
        <v>42791100000</v>
      </c>
      <c r="K89" s="256" t="s">
        <v>1346</v>
      </c>
    </row>
    <row r="90" spans="1:11" x14ac:dyDescent="0.3">
      <c r="A90" s="256">
        <v>83</v>
      </c>
      <c r="B90" s="257" t="s">
        <v>1382</v>
      </c>
      <c r="C90" s="276">
        <v>44561</v>
      </c>
      <c r="D90" s="257" t="s">
        <v>1262</v>
      </c>
      <c r="E90" s="256" t="s">
        <v>1556</v>
      </c>
      <c r="F90" s="256" t="s">
        <v>1616</v>
      </c>
      <c r="G90" s="258">
        <v>61890000000</v>
      </c>
      <c r="H90" s="265">
        <v>0.1</v>
      </c>
      <c r="I90" s="258">
        <v>6189000000</v>
      </c>
      <c r="J90" s="258">
        <v>68079000000</v>
      </c>
      <c r="K90" s="256" t="s">
        <v>1346</v>
      </c>
    </row>
    <row r="91" spans="1:11" x14ac:dyDescent="0.3">
      <c r="A91" s="256">
        <v>84</v>
      </c>
      <c r="B91" s="257" t="s">
        <v>1382</v>
      </c>
      <c r="C91" s="276">
        <v>44561</v>
      </c>
      <c r="D91" s="257" t="s">
        <v>1384</v>
      </c>
      <c r="E91" s="256" t="s">
        <v>1565</v>
      </c>
      <c r="F91" s="256" t="s">
        <v>1622</v>
      </c>
      <c r="G91" s="258">
        <v>27234000000</v>
      </c>
      <c r="H91" s="265">
        <v>0.1</v>
      </c>
      <c r="I91" s="258">
        <v>2723400000</v>
      </c>
      <c r="J91" s="258">
        <v>29957400000</v>
      </c>
      <c r="K91" s="256" t="s">
        <v>1346</v>
      </c>
    </row>
    <row r="92" spans="1:11" x14ac:dyDescent="0.3">
      <c r="A92" s="256">
        <v>85</v>
      </c>
      <c r="B92" s="257" t="s">
        <v>1355</v>
      </c>
      <c r="C92" s="276">
        <v>44561</v>
      </c>
      <c r="D92" s="257" t="s">
        <v>1308</v>
      </c>
      <c r="E92" s="256" t="s">
        <v>1639</v>
      </c>
      <c r="F92" s="256" t="s">
        <v>1616</v>
      </c>
      <c r="G92" s="258">
        <v>63456000000</v>
      </c>
      <c r="H92" s="265">
        <v>0.1</v>
      </c>
      <c r="I92" s="258">
        <v>6345600000</v>
      </c>
      <c r="J92" s="258">
        <v>69801600000</v>
      </c>
      <c r="K92" s="256" t="s">
        <v>1346</v>
      </c>
    </row>
    <row r="93" spans="1:11" x14ac:dyDescent="0.3">
      <c r="A93" s="256">
        <v>86</v>
      </c>
      <c r="B93" s="257" t="s">
        <v>1379</v>
      </c>
      <c r="C93" s="276">
        <v>44561</v>
      </c>
      <c r="D93" s="257" t="s">
        <v>1259</v>
      </c>
      <c r="E93" s="256" t="s">
        <v>1569</v>
      </c>
      <c r="F93" s="256" t="s">
        <v>1347</v>
      </c>
      <c r="G93" s="258">
        <v>23456000000</v>
      </c>
      <c r="H93" s="265">
        <v>0.1</v>
      </c>
      <c r="I93" s="258">
        <v>2345600000</v>
      </c>
      <c r="J93" s="258">
        <v>25801600000</v>
      </c>
      <c r="K93" s="256" t="s">
        <v>1346</v>
      </c>
    </row>
    <row r="94" spans="1:11" x14ac:dyDescent="0.3">
      <c r="A94" s="256">
        <v>87</v>
      </c>
      <c r="B94" s="257" t="s">
        <v>1382</v>
      </c>
      <c r="C94" s="276">
        <v>44561</v>
      </c>
      <c r="D94" s="257" t="s">
        <v>1274</v>
      </c>
      <c r="E94" s="256" t="s">
        <v>1592</v>
      </c>
      <c r="F94" s="256" t="s">
        <v>1546</v>
      </c>
      <c r="G94" s="258">
        <v>36234000000</v>
      </c>
      <c r="H94" s="265">
        <v>0</v>
      </c>
      <c r="I94" s="258">
        <v>0</v>
      </c>
      <c r="J94" s="258">
        <v>36234000000</v>
      </c>
      <c r="K94" s="256" t="s">
        <v>1346</v>
      </c>
    </row>
    <row r="95" spans="1:11" x14ac:dyDescent="0.3">
      <c r="A95" s="256">
        <v>88</v>
      </c>
      <c r="B95" s="257" t="s">
        <v>1382</v>
      </c>
      <c r="C95" s="276">
        <v>44561</v>
      </c>
      <c r="D95" s="257" t="s">
        <v>1283</v>
      </c>
      <c r="E95" s="256" t="s">
        <v>1588</v>
      </c>
      <c r="F95" s="256" t="s">
        <v>1616</v>
      </c>
      <c r="G95" s="258">
        <v>68234000000</v>
      </c>
      <c r="H95" s="265">
        <v>0.1</v>
      </c>
      <c r="I95" s="258">
        <v>6823400000</v>
      </c>
      <c r="J95" s="258">
        <v>75057400000</v>
      </c>
      <c r="K95" s="256" t="s">
        <v>1346</v>
      </c>
    </row>
    <row r="96" spans="1:11" x14ac:dyDescent="0.3">
      <c r="A96" s="256">
        <v>89</v>
      </c>
      <c r="B96" s="257" t="s">
        <v>1378</v>
      </c>
      <c r="C96" s="276">
        <v>44561</v>
      </c>
      <c r="D96" s="257" t="s">
        <v>1273</v>
      </c>
      <c r="E96" s="256" t="s">
        <v>1567</v>
      </c>
      <c r="F96" s="256" t="s">
        <v>1621</v>
      </c>
      <c r="G96" s="258">
        <v>31234000000</v>
      </c>
      <c r="H96" s="265">
        <v>0.1</v>
      </c>
      <c r="I96" s="258">
        <v>3123400000</v>
      </c>
      <c r="J96" s="258">
        <v>34357400000</v>
      </c>
      <c r="K96" s="256" t="s">
        <v>1346</v>
      </c>
    </row>
    <row r="97" spans="1:11" x14ac:dyDescent="0.3">
      <c r="A97" s="256">
        <v>90</v>
      </c>
      <c r="B97" s="257" t="s">
        <v>1381</v>
      </c>
      <c r="C97" s="276">
        <v>44561</v>
      </c>
      <c r="D97" s="257" t="s">
        <v>1416</v>
      </c>
      <c r="E97" s="256" t="s">
        <v>1562</v>
      </c>
      <c r="F97" s="256" t="s">
        <v>1616</v>
      </c>
      <c r="G97" s="258">
        <v>65678000000</v>
      </c>
      <c r="H97" s="265">
        <v>0.1</v>
      </c>
      <c r="I97" s="258">
        <v>6567800000</v>
      </c>
      <c r="J97" s="258">
        <v>72245800000</v>
      </c>
      <c r="K97" s="256" t="s">
        <v>1346</v>
      </c>
    </row>
    <row r="98" spans="1:11" x14ac:dyDescent="0.3">
      <c r="A98" s="256">
        <v>91</v>
      </c>
      <c r="B98" s="257" t="s">
        <v>1385</v>
      </c>
      <c r="C98" s="276">
        <v>44561</v>
      </c>
      <c r="D98" s="257" t="s">
        <v>1281</v>
      </c>
      <c r="E98" s="256" t="s">
        <v>1559</v>
      </c>
      <c r="F98" s="256" t="s">
        <v>1619</v>
      </c>
      <c r="G98" s="258">
        <v>33456000000</v>
      </c>
      <c r="H98" s="265">
        <v>0.1</v>
      </c>
      <c r="I98" s="258">
        <v>3345600000</v>
      </c>
      <c r="J98" s="258">
        <v>36801600000</v>
      </c>
      <c r="K98" s="256" t="s">
        <v>1346</v>
      </c>
    </row>
    <row r="99" spans="1:11" x14ac:dyDescent="0.3">
      <c r="A99" s="256">
        <v>92</v>
      </c>
      <c r="B99" s="257" t="s">
        <v>1355</v>
      </c>
      <c r="C99" s="276">
        <v>44561</v>
      </c>
      <c r="D99" s="257" t="s">
        <v>1289</v>
      </c>
      <c r="E99" s="256" t="s">
        <v>1640</v>
      </c>
      <c r="F99" s="256" t="s">
        <v>1616</v>
      </c>
      <c r="G99" s="258">
        <v>62345000000</v>
      </c>
      <c r="H99" s="265">
        <v>0.1</v>
      </c>
      <c r="I99" s="258">
        <v>6234500000</v>
      </c>
      <c r="J99" s="258">
        <v>68579500000</v>
      </c>
      <c r="K99" s="256" t="s">
        <v>1346</v>
      </c>
    </row>
    <row r="100" spans="1:11" x14ac:dyDescent="0.3">
      <c r="A100" s="256">
        <v>93</v>
      </c>
      <c r="B100" s="257" t="s">
        <v>1355</v>
      </c>
      <c r="C100" s="276">
        <v>44561</v>
      </c>
      <c r="D100" s="257" t="s">
        <v>1269</v>
      </c>
      <c r="E100" s="256" t="s">
        <v>1641</v>
      </c>
      <c r="F100" s="256" t="s">
        <v>1618</v>
      </c>
      <c r="G100" s="258">
        <v>40234000000</v>
      </c>
      <c r="H100" s="265">
        <v>0.1</v>
      </c>
      <c r="I100" s="258">
        <v>4023400000</v>
      </c>
      <c r="J100" s="258">
        <v>44257400000</v>
      </c>
      <c r="K100" s="256" t="s">
        <v>1346</v>
      </c>
    </row>
    <row r="101" spans="1:11" x14ac:dyDescent="0.3">
      <c r="A101" s="256">
        <v>94</v>
      </c>
      <c r="B101" s="257" t="s">
        <v>1381</v>
      </c>
      <c r="C101" s="276">
        <v>44561</v>
      </c>
      <c r="D101" s="257" t="s">
        <v>1428</v>
      </c>
      <c r="E101" s="256" t="s">
        <v>1557</v>
      </c>
      <c r="F101" s="256" t="s">
        <v>1616</v>
      </c>
      <c r="G101" s="258">
        <v>64890000000</v>
      </c>
      <c r="H101" s="265">
        <v>0.1</v>
      </c>
      <c r="I101" s="258">
        <v>6489000000</v>
      </c>
      <c r="J101" s="258">
        <v>71379000000</v>
      </c>
      <c r="K101" s="256" t="s">
        <v>1346</v>
      </c>
    </row>
    <row r="102" spans="1:11" x14ac:dyDescent="0.3">
      <c r="A102" s="256">
        <v>95</v>
      </c>
      <c r="B102" s="257" t="s">
        <v>1202</v>
      </c>
      <c r="C102" s="276">
        <v>44561</v>
      </c>
      <c r="D102" s="257" t="s">
        <v>1313</v>
      </c>
      <c r="E102" s="256" t="s">
        <v>1642</v>
      </c>
      <c r="F102" s="256" t="s">
        <v>1622</v>
      </c>
      <c r="G102" s="258">
        <v>29234000000</v>
      </c>
      <c r="H102" s="265">
        <v>0.1</v>
      </c>
      <c r="I102" s="258">
        <v>2923400000</v>
      </c>
      <c r="J102" s="258">
        <v>32157400000</v>
      </c>
      <c r="K102" s="256" t="s">
        <v>1346</v>
      </c>
    </row>
    <row r="103" spans="1:11" x14ac:dyDescent="0.3">
      <c r="A103" s="256">
        <v>96</v>
      </c>
      <c r="B103" s="257" t="s">
        <v>1202</v>
      </c>
      <c r="C103" s="276">
        <v>44561</v>
      </c>
      <c r="D103" s="257" t="s">
        <v>1297</v>
      </c>
      <c r="E103" s="256" t="s">
        <v>1643</v>
      </c>
      <c r="F103" s="256" t="s">
        <v>1616</v>
      </c>
      <c r="G103" s="258">
        <v>59234000000</v>
      </c>
      <c r="H103" s="265">
        <v>0.1</v>
      </c>
      <c r="I103" s="258">
        <v>5923400000</v>
      </c>
      <c r="J103" s="258">
        <v>65157400000</v>
      </c>
      <c r="K103" s="256" t="s">
        <v>1346</v>
      </c>
    </row>
    <row r="104" spans="1:11" x14ac:dyDescent="0.3">
      <c r="A104" s="256">
        <v>97</v>
      </c>
      <c r="B104" s="257" t="s">
        <v>1202</v>
      </c>
      <c r="C104" s="276">
        <v>44561</v>
      </c>
      <c r="D104" s="257" t="s">
        <v>1254</v>
      </c>
      <c r="E104" s="256" t="s">
        <v>1644</v>
      </c>
      <c r="F104" s="256" t="s">
        <v>1546</v>
      </c>
      <c r="G104" s="258">
        <v>38234000000</v>
      </c>
      <c r="H104" s="265">
        <v>0</v>
      </c>
      <c r="I104" s="258">
        <v>0</v>
      </c>
      <c r="J104" s="258">
        <v>38234000000</v>
      </c>
      <c r="K104" s="256" t="s">
        <v>1346</v>
      </c>
    </row>
    <row r="105" spans="1:11" x14ac:dyDescent="0.3">
      <c r="A105" s="256">
        <v>98</v>
      </c>
      <c r="B105" s="257" t="s">
        <v>1202</v>
      </c>
      <c r="C105" s="276">
        <v>44561</v>
      </c>
      <c r="D105" s="257" t="s">
        <v>1327</v>
      </c>
      <c r="E105" s="256" t="s">
        <v>1645</v>
      </c>
      <c r="F105" s="256" t="s">
        <v>1616</v>
      </c>
      <c r="G105" s="258">
        <v>67890000000</v>
      </c>
      <c r="H105" s="265">
        <v>0.1</v>
      </c>
      <c r="I105" s="258">
        <v>6789000000</v>
      </c>
      <c r="J105" s="258">
        <v>74679000000</v>
      </c>
      <c r="K105" s="256" t="s">
        <v>1346</v>
      </c>
    </row>
    <row r="106" spans="1:11" x14ac:dyDescent="0.3">
      <c r="A106" s="256">
        <v>99</v>
      </c>
      <c r="B106" s="257" t="s">
        <v>1202</v>
      </c>
      <c r="C106" s="276">
        <v>44561</v>
      </c>
      <c r="D106" s="257" t="s">
        <v>1309</v>
      </c>
      <c r="E106" s="256" t="s">
        <v>1646</v>
      </c>
      <c r="F106" s="256" t="s">
        <v>1347</v>
      </c>
      <c r="G106" s="258">
        <v>24567000000</v>
      </c>
      <c r="H106" s="265">
        <v>0.1</v>
      </c>
      <c r="I106" s="258">
        <v>2456700000</v>
      </c>
      <c r="J106" s="258">
        <v>27023700000</v>
      </c>
      <c r="K106" s="256" t="s">
        <v>1346</v>
      </c>
    </row>
    <row r="107" spans="1:11" x14ac:dyDescent="0.3">
      <c r="A107" s="256">
        <v>100</v>
      </c>
      <c r="B107" s="257" t="s">
        <v>1371</v>
      </c>
      <c r="C107" s="276">
        <v>44561</v>
      </c>
      <c r="D107" s="257" t="s">
        <v>1266</v>
      </c>
      <c r="E107" s="256" t="s">
        <v>1570</v>
      </c>
      <c r="F107" s="256" t="s">
        <v>1616</v>
      </c>
      <c r="G107" s="258">
        <v>63456000000</v>
      </c>
      <c r="H107" s="265">
        <v>0.1</v>
      </c>
      <c r="I107" s="258">
        <v>6345600000</v>
      </c>
      <c r="J107" s="258">
        <v>69801600000</v>
      </c>
      <c r="K107" s="256" t="s">
        <v>1346</v>
      </c>
    </row>
    <row r="108" spans="1:11" x14ac:dyDescent="0.3">
      <c r="A108" s="266" t="s">
        <v>1351</v>
      </c>
      <c r="B108" s="266"/>
      <c r="C108" s="266"/>
      <c r="D108" s="266"/>
      <c r="E108" s="266"/>
      <c r="F108" s="266"/>
      <c r="G108" s="267">
        <f>SUM(G8:G107)</f>
        <v>4492032000000</v>
      </c>
      <c r="H108" s="266"/>
      <c r="I108" s="267">
        <f>SUM(I8:I107)</f>
        <v>410758200000</v>
      </c>
      <c r="J108" s="267">
        <f>SUM(J8:J107)</f>
        <v>4902790200000</v>
      </c>
      <c r="K108" s="266"/>
    </row>
    <row r="109" spans="1:11" x14ac:dyDescent="0.3">
      <c r="A109" s="256"/>
      <c r="B109" s="256"/>
      <c r="C109" s="256"/>
      <c r="D109" s="256"/>
      <c r="E109" s="256"/>
      <c r="F109" s="256"/>
      <c r="G109" s="256"/>
      <c r="H109" s="256"/>
      <c r="I109" s="256"/>
      <c r="J109" s="256"/>
      <c r="K109" s="256"/>
    </row>
    <row r="110" spans="1:11" x14ac:dyDescent="0.3">
      <c r="A110" s="256" t="s">
        <v>1420</v>
      </c>
      <c r="B110" s="256"/>
      <c r="C110" s="256"/>
      <c r="D110" s="256"/>
      <c r="E110" s="256"/>
      <c r="F110" s="256"/>
      <c r="G110" s="256"/>
      <c r="H110" s="256"/>
      <c r="I110" s="256"/>
      <c r="J110" s="256"/>
      <c r="K110" s="256"/>
    </row>
    <row r="111" spans="1:11" x14ac:dyDescent="0.3">
      <c r="A111" s="266" t="s">
        <v>0</v>
      </c>
      <c r="B111" s="266" t="s">
        <v>212</v>
      </c>
      <c r="C111" s="266" t="s">
        <v>1535</v>
      </c>
      <c r="D111" s="266" t="s">
        <v>1586</v>
      </c>
      <c r="E111" s="266" t="s">
        <v>1422</v>
      </c>
      <c r="F111" s="266" t="s">
        <v>1537</v>
      </c>
      <c r="G111" s="266" t="s">
        <v>270</v>
      </c>
      <c r="H111" s="266" t="s">
        <v>1538</v>
      </c>
      <c r="I111" s="266" t="s">
        <v>1539</v>
      </c>
      <c r="J111" s="266" t="s">
        <v>1540</v>
      </c>
      <c r="K111" s="266" t="s">
        <v>1541</v>
      </c>
    </row>
    <row r="112" spans="1:11" x14ac:dyDescent="0.3">
      <c r="A112" s="256">
        <v>1</v>
      </c>
      <c r="B112" s="257" t="s">
        <v>1200</v>
      </c>
      <c r="C112" s="276">
        <v>44470</v>
      </c>
      <c r="D112" s="257" t="s">
        <v>1333</v>
      </c>
      <c r="E112" s="256" t="s">
        <v>1134</v>
      </c>
      <c r="F112" s="256" t="s">
        <v>1623</v>
      </c>
      <c r="G112" s="258">
        <v>78234000000</v>
      </c>
      <c r="H112" s="265">
        <v>0.1</v>
      </c>
      <c r="I112" s="258">
        <v>7823400000</v>
      </c>
      <c r="J112" s="258">
        <v>86057400000</v>
      </c>
      <c r="K112" s="256" t="s">
        <v>1346</v>
      </c>
    </row>
    <row r="113" spans="1:11" x14ac:dyDescent="0.3">
      <c r="A113" s="256">
        <v>2</v>
      </c>
      <c r="B113" s="257" t="s">
        <v>1201</v>
      </c>
      <c r="C113" s="276">
        <v>44471</v>
      </c>
      <c r="D113" s="257" t="s">
        <v>1352</v>
      </c>
      <c r="E113" s="256" t="s">
        <v>1571</v>
      </c>
      <c r="F113" s="256" t="s">
        <v>1647</v>
      </c>
      <c r="G113" s="258">
        <v>65678000000</v>
      </c>
      <c r="H113" s="265">
        <v>0.1</v>
      </c>
      <c r="I113" s="258">
        <v>6567800000</v>
      </c>
      <c r="J113" s="258">
        <v>72245800000</v>
      </c>
      <c r="K113" s="256" t="s">
        <v>1346</v>
      </c>
    </row>
    <row r="114" spans="1:11" x14ac:dyDescent="0.3">
      <c r="A114" s="256">
        <v>3</v>
      </c>
      <c r="B114" s="257" t="s">
        <v>1202</v>
      </c>
      <c r="C114" s="276">
        <v>44472</v>
      </c>
      <c r="D114" s="257" t="s">
        <v>1272</v>
      </c>
      <c r="E114" s="256" t="s">
        <v>540</v>
      </c>
      <c r="F114" s="256" t="s">
        <v>1648</v>
      </c>
      <c r="G114" s="258">
        <v>52345000000</v>
      </c>
      <c r="H114" s="265">
        <v>0</v>
      </c>
      <c r="I114" s="258">
        <v>0</v>
      </c>
      <c r="J114" s="258">
        <v>52345000000</v>
      </c>
      <c r="K114" s="256" t="s">
        <v>1346</v>
      </c>
    </row>
    <row r="115" spans="1:11" x14ac:dyDescent="0.3">
      <c r="A115" s="256">
        <v>4</v>
      </c>
      <c r="B115" s="257" t="s">
        <v>1355</v>
      </c>
      <c r="C115" s="276">
        <v>44473</v>
      </c>
      <c r="D115" s="257" t="s">
        <v>1254</v>
      </c>
      <c r="E115" s="256" t="s">
        <v>1644</v>
      </c>
      <c r="F115" s="256" t="s">
        <v>1623</v>
      </c>
      <c r="G115" s="258">
        <v>71234000000</v>
      </c>
      <c r="H115" s="265">
        <v>0.1</v>
      </c>
      <c r="I115" s="258">
        <v>7123400000</v>
      </c>
      <c r="J115" s="258">
        <v>78357400000</v>
      </c>
      <c r="K115" s="256" t="s">
        <v>1346</v>
      </c>
    </row>
    <row r="116" spans="1:11" x14ac:dyDescent="0.3">
      <c r="A116" s="256">
        <v>5</v>
      </c>
      <c r="B116" s="257" t="s">
        <v>1356</v>
      </c>
      <c r="C116" s="276">
        <v>44474</v>
      </c>
      <c r="D116" s="257" t="s">
        <v>1255</v>
      </c>
      <c r="E116" s="256" t="s">
        <v>1649</v>
      </c>
      <c r="F116" s="256" t="s">
        <v>1647</v>
      </c>
      <c r="G116" s="258">
        <v>58901000000</v>
      </c>
      <c r="H116" s="265">
        <v>0.1</v>
      </c>
      <c r="I116" s="258">
        <v>5890100000</v>
      </c>
      <c r="J116" s="258">
        <v>64791100000</v>
      </c>
      <c r="K116" s="256" t="s">
        <v>1346</v>
      </c>
    </row>
    <row r="117" spans="1:11" x14ac:dyDescent="0.3">
      <c r="A117" s="256">
        <v>6</v>
      </c>
      <c r="B117" s="257" t="s">
        <v>1358</v>
      </c>
      <c r="C117" s="276">
        <v>44475</v>
      </c>
      <c r="D117" s="257" t="s">
        <v>1282</v>
      </c>
      <c r="E117" s="256" t="s">
        <v>1580</v>
      </c>
      <c r="F117" s="256" t="s">
        <v>1623</v>
      </c>
      <c r="G117" s="258">
        <v>74567000000</v>
      </c>
      <c r="H117" s="265">
        <v>0.1</v>
      </c>
      <c r="I117" s="258">
        <v>7456700000</v>
      </c>
      <c r="J117" s="258">
        <v>82023700000</v>
      </c>
      <c r="K117" s="256" t="s">
        <v>1346</v>
      </c>
    </row>
    <row r="118" spans="1:11" x14ac:dyDescent="0.3">
      <c r="A118" s="256">
        <v>7</v>
      </c>
      <c r="B118" s="257" t="s">
        <v>1360</v>
      </c>
      <c r="C118" s="276">
        <v>44476</v>
      </c>
      <c r="D118" s="257" t="s">
        <v>1285</v>
      </c>
      <c r="E118" s="256" t="s">
        <v>1558</v>
      </c>
      <c r="F118" s="256" t="s">
        <v>1648</v>
      </c>
      <c r="G118" s="258">
        <v>54234000000</v>
      </c>
      <c r="H118" s="265">
        <v>0</v>
      </c>
      <c r="I118" s="258">
        <v>0</v>
      </c>
      <c r="J118" s="258">
        <v>54234000000</v>
      </c>
      <c r="K118" s="256" t="s">
        <v>1346</v>
      </c>
    </row>
    <row r="119" spans="1:11" x14ac:dyDescent="0.3">
      <c r="A119" s="256">
        <v>8</v>
      </c>
      <c r="B119" s="257" t="s">
        <v>1362</v>
      </c>
      <c r="C119" s="276">
        <v>44477</v>
      </c>
      <c r="D119" s="257" t="s">
        <v>1279</v>
      </c>
      <c r="E119" s="256" t="s">
        <v>611</v>
      </c>
      <c r="F119" s="256" t="s">
        <v>1623</v>
      </c>
      <c r="G119" s="258">
        <v>72890000000</v>
      </c>
      <c r="H119" s="265">
        <v>0.1</v>
      </c>
      <c r="I119" s="258">
        <v>7289000000</v>
      </c>
      <c r="J119" s="258">
        <v>80179000000</v>
      </c>
      <c r="K119" s="256" t="s">
        <v>1346</v>
      </c>
    </row>
    <row r="120" spans="1:11" x14ac:dyDescent="0.3">
      <c r="A120" s="256">
        <v>9</v>
      </c>
      <c r="B120" s="257" t="s">
        <v>1364</v>
      </c>
      <c r="C120" s="276">
        <v>44478</v>
      </c>
      <c r="D120" s="257" t="s">
        <v>1291</v>
      </c>
      <c r="E120" s="256" t="s">
        <v>1650</v>
      </c>
      <c r="F120" s="256" t="s">
        <v>1647</v>
      </c>
      <c r="G120" s="258">
        <v>61234000000</v>
      </c>
      <c r="H120" s="265">
        <v>0.1</v>
      </c>
      <c r="I120" s="258">
        <v>6123400000</v>
      </c>
      <c r="J120" s="258">
        <v>67357400000</v>
      </c>
      <c r="K120" s="256" t="s">
        <v>1346</v>
      </c>
    </row>
    <row r="121" spans="1:11" x14ac:dyDescent="0.3">
      <c r="A121" s="256">
        <v>10</v>
      </c>
      <c r="B121" s="257" t="s">
        <v>1366</v>
      </c>
      <c r="C121" s="276">
        <v>44479</v>
      </c>
      <c r="D121" s="257" t="s">
        <v>1435</v>
      </c>
      <c r="E121" s="256" t="s">
        <v>1577</v>
      </c>
      <c r="F121" s="256" t="s">
        <v>1623</v>
      </c>
      <c r="G121" s="258">
        <v>75678000000</v>
      </c>
      <c r="H121" s="265">
        <v>0.1</v>
      </c>
      <c r="I121" s="258">
        <v>7567800000</v>
      </c>
      <c r="J121" s="258">
        <v>83245800000</v>
      </c>
      <c r="K121" s="256" t="s">
        <v>1346</v>
      </c>
    </row>
    <row r="122" spans="1:11" x14ac:dyDescent="0.3">
      <c r="A122" s="256">
        <v>11</v>
      </c>
      <c r="B122" s="257" t="s">
        <v>1368</v>
      </c>
      <c r="C122" s="276">
        <v>44480</v>
      </c>
      <c r="D122" s="257" t="s">
        <v>1257</v>
      </c>
      <c r="E122" s="256" t="s">
        <v>1574</v>
      </c>
      <c r="F122" s="256" t="s">
        <v>1648</v>
      </c>
      <c r="G122" s="258">
        <v>55890000000</v>
      </c>
      <c r="H122" s="265">
        <v>0</v>
      </c>
      <c r="I122" s="258">
        <v>0</v>
      </c>
      <c r="J122" s="258">
        <v>55890000000</v>
      </c>
      <c r="K122" s="256" t="s">
        <v>1346</v>
      </c>
    </row>
    <row r="123" spans="1:11" x14ac:dyDescent="0.3">
      <c r="A123" s="256">
        <v>12</v>
      </c>
      <c r="B123" s="257" t="s">
        <v>1371</v>
      </c>
      <c r="C123" s="276">
        <v>44481</v>
      </c>
      <c r="D123" s="257" t="s">
        <v>1277</v>
      </c>
      <c r="E123" s="256" t="s">
        <v>1582</v>
      </c>
      <c r="F123" s="256" t="s">
        <v>1623</v>
      </c>
      <c r="G123" s="258">
        <v>73456000000</v>
      </c>
      <c r="H123" s="265">
        <v>0.1</v>
      </c>
      <c r="I123" s="258">
        <v>7345600000</v>
      </c>
      <c r="J123" s="258">
        <v>80801600000</v>
      </c>
      <c r="K123" s="256" t="s">
        <v>1346</v>
      </c>
    </row>
    <row r="124" spans="1:11" x14ac:dyDescent="0.3">
      <c r="A124" s="256">
        <v>13</v>
      </c>
      <c r="B124" s="257" t="s">
        <v>1373</v>
      </c>
      <c r="C124" s="276">
        <v>44211</v>
      </c>
      <c r="D124" s="257" t="s">
        <v>1267</v>
      </c>
      <c r="E124" s="256" t="s">
        <v>1560</v>
      </c>
      <c r="F124" s="256" t="s">
        <v>1647</v>
      </c>
      <c r="G124" s="258">
        <v>63456000000</v>
      </c>
      <c r="H124" s="265">
        <v>0.1</v>
      </c>
      <c r="I124" s="258">
        <v>6345600000</v>
      </c>
      <c r="J124" s="258">
        <v>69801600000</v>
      </c>
      <c r="K124" s="256" t="s">
        <v>1346</v>
      </c>
    </row>
    <row r="125" spans="1:11" x14ac:dyDescent="0.3">
      <c r="A125" s="256">
        <v>14</v>
      </c>
      <c r="B125" s="257" t="s">
        <v>1374</v>
      </c>
      <c r="C125" s="276">
        <v>44242</v>
      </c>
      <c r="D125" s="257" t="s">
        <v>1287</v>
      </c>
      <c r="E125" s="256" t="s">
        <v>691</v>
      </c>
      <c r="F125" s="256" t="s">
        <v>1623</v>
      </c>
      <c r="G125" s="258">
        <v>76234000000</v>
      </c>
      <c r="H125" s="265">
        <v>0.1</v>
      </c>
      <c r="I125" s="258">
        <v>7623400000</v>
      </c>
      <c r="J125" s="258">
        <v>83857400000</v>
      </c>
      <c r="K125" s="256" t="s">
        <v>1346</v>
      </c>
    </row>
    <row r="126" spans="1:11" x14ac:dyDescent="0.3">
      <c r="A126" s="256">
        <v>15</v>
      </c>
      <c r="B126" s="257" t="s">
        <v>1376</v>
      </c>
      <c r="C126" s="276">
        <v>44270</v>
      </c>
      <c r="D126" s="257" t="s">
        <v>1395</v>
      </c>
      <c r="E126" s="256" t="s">
        <v>1581</v>
      </c>
      <c r="F126" s="256" t="s">
        <v>1648</v>
      </c>
      <c r="G126" s="258">
        <v>57234000000</v>
      </c>
      <c r="H126" s="265">
        <v>0</v>
      </c>
      <c r="I126" s="258">
        <v>0</v>
      </c>
      <c r="J126" s="258">
        <v>57234000000</v>
      </c>
      <c r="K126" s="256" t="s">
        <v>1346</v>
      </c>
    </row>
    <row r="127" spans="1:11" x14ac:dyDescent="0.3">
      <c r="A127" s="256">
        <v>16</v>
      </c>
      <c r="B127" s="257" t="s">
        <v>1378</v>
      </c>
      <c r="C127" s="276">
        <v>44301</v>
      </c>
      <c r="D127" s="257" t="s">
        <v>1259</v>
      </c>
      <c r="E127" s="256" t="s">
        <v>1569</v>
      </c>
      <c r="F127" s="256" t="s">
        <v>1623</v>
      </c>
      <c r="G127" s="258">
        <v>74890000000</v>
      </c>
      <c r="H127" s="265">
        <v>0.1</v>
      </c>
      <c r="I127" s="258">
        <v>7489000000</v>
      </c>
      <c r="J127" s="258">
        <v>82379000000</v>
      </c>
      <c r="K127" s="256" t="s">
        <v>1346</v>
      </c>
    </row>
    <row r="128" spans="1:11" x14ac:dyDescent="0.3">
      <c r="A128" s="256">
        <v>17</v>
      </c>
      <c r="B128" s="257" t="s">
        <v>1379</v>
      </c>
      <c r="C128" s="276">
        <v>44331</v>
      </c>
      <c r="D128" s="257" t="s">
        <v>1281</v>
      </c>
      <c r="E128" s="256" t="s">
        <v>1559</v>
      </c>
      <c r="F128" s="256" t="s">
        <v>1647</v>
      </c>
      <c r="G128" s="258">
        <v>65234000000</v>
      </c>
      <c r="H128" s="265">
        <v>0.1</v>
      </c>
      <c r="I128" s="258">
        <v>6523400000</v>
      </c>
      <c r="J128" s="258">
        <v>71757400000</v>
      </c>
      <c r="K128" s="256" t="s">
        <v>1346</v>
      </c>
    </row>
    <row r="129" spans="1:11" x14ac:dyDescent="0.3">
      <c r="A129" s="256">
        <v>18</v>
      </c>
      <c r="B129" s="257" t="s">
        <v>1381</v>
      </c>
      <c r="C129" s="276">
        <v>44362</v>
      </c>
      <c r="D129" s="257" t="s">
        <v>1322</v>
      </c>
      <c r="E129" s="256" t="s">
        <v>1638</v>
      </c>
      <c r="F129" s="256" t="s">
        <v>1623</v>
      </c>
      <c r="G129" s="258">
        <v>77890000000</v>
      </c>
      <c r="H129" s="265">
        <v>0.1</v>
      </c>
      <c r="I129" s="258">
        <v>7789000000</v>
      </c>
      <c r="J129" s="258">
        <v>85679000000</v>
      </c>
      <c r="K129" s="256" t="s">
        <v>1346</v>
      </c>
    </row>
    <row r="130" spans="1:11" x14ac:dyDescent="0.3">
      <c r="A130" s="256">
        <v>19</v>
      </c>
      <c r="B130" s="257" t="s">
        <v>1382</v>
      </c>
      <c r="C130" s="276">
        <v>44392</v>
      </c>
      <c r="D130" s="257" t="s">
        <v>1263</v>
      </c>
      <c r="E130" s="256" t="s">
        <v>1579</v>
      </c>
      <c r="F130" s="256" t="s">
        <v>1648</v>
      </c>
      <c r="G130" s="258">
        <v>58901000000</v>
      </c>
      <c r="H130" s="265">
        <v>0</v>
      </c>
      <c r="I130" s="258">
        <v>0</v>
      </c>
      <c r="J130" s="258">
        <v>58901000000</v>
      </c>
      <c r="K130" s="256" t="s">
        <v>1346</v>
      </c>
    </row>
    <row r="131" spans="1:11" x14ac:dyDescent="0.3">
      <c r="A131" s="256">
        <v>20</v>
      </c>
      <c r="B131" s="257" t="s">
        <v>1383</v>
      </c>
      <c r="C131" s="276">
        <v>44423</v>
      </c>
      <c r="D131" s="257" t="s">
        <v>1284</v>
      </c>
      <c r="E131" s="256" t="s">
        <v>1552</v>
      </c>
      <c r="F131" s="256" t="s">
        <v>1623</v>
      </c>
      <c r="G131" s="258">
        <v>75234000000</v>
      </c>
      <c r="H131" s="265">
        <v>0.1</v>
      </c>
      <c r="I131" s="258">
        <v>7523400000</v>
      </c>
      <c r="J131" s="258">
        <v>82757400000</v>
      </c>
      <c r="K131" s="256" t="s">
        <v>1346</v>
      </c>
    </row>
    <row r="132" spans="1:11" x14ac:dyDescent="0.3">
      <c r="A132" s="256">
        <v>21</v>
      </c>
      <c r="B132" s="257" t="s">
        <v>1203</v>
      </c>
      <c r="C132" s="276">
        <v>44454</v>
      </c>
      <c r="D132" s="257" t="s">
        <v>1314</v>
      </c>
      <c r="E132" s="256" t="s">
        <v>948</v>
      </c>
      <c r="F132" s="256" t="s">
        <v>1647</v>
      </c>
      <c r="G132" s="258">
        <v>67234000000</v>
      </c>
      <c r="H132" s="265">
        <v>0.1</v>
      </c>
      <c r="I132" s="258">
        <v>6723400000</v>
      </c>
      <c r="J132" s="258">
        <v>73957400000</v>
      </c>
      <c r="K132" s="256" t="s">
        <v>1346</v>
      </c>
    </row>
    <row r="133" spans="1:11" x14ac:dyDescent="0.3">
      <c r="A133" s="256">
        <v>22</v>
      </c>
      <c r="B133" s="257" t="s">
        <v>1204</v>
      </c>
      <c r="C133" s="276">
        <v>44484</v>
      </c>
      <c r="D133" s="257" t="s">
        <v>1304</v>
      </c>
      <c r="E133" s="256" t="s">
        <v>1651</v>
      </c>
      <c r="F133" s="256" t="s">
        <v>1623</v>
      </c>
      <c r="G133" s="258">
        <v>79234000000</v>
      </c>
      <c r="H133" s="265">
        <v>0.1</v>
      </c>
      <c r="I133" s="258">
        <v>7923400000</v>
      </c>
      <c r="J133" s="258">
        <v>87157400000</v>
      </c>
      <c r="K133" s="256" t="s">
        <v>1346</v>
      </c>
    </row>
    <row r="134" spans="1:11" x14ac:dyDescent="0.3">
      <c r="A134" s="256">
        <v>23</v>
      </c>
      <c r="B134" s="257" t="s">
        <v>1205</v>
      </c>
      <c r="C134" s="276">
        <v>44515</v>
      </c>
      <c r="D134" s="257" t="s">
        <v>1264</v>
      </c>
      <c r="E134" s="256" t="s">
        <v>1584</v>
      </c>
      <c r="F134" s="256" t="s">
        <v>1648</v>
      </c>
      <c r="G134" s="258">
        <v>61234000000</v>
      </c>
      <c r="H134" s="265">
        <v>0</v>
      </c>
      <c r="I134" s="258">
        <v>0</v>
      </c>
      <c r="J134" s="258">
        <v>61234000000</v>
      </c>
      <c r="K134" s="256" t="s">
        <v>1346</v>
      </c>
    </row>
    <row r="135" spans="1:11" x14ac:dyDescent="0.3">
      <c r="A135" s="256">
        <v>24</v>
      </c>
      <c r="B135" s="257" t="s">
        <v>1385</v>
      </c>
      <c r="C135" s="276">
        <v>44545</v>
      </c>
      <c r="D135" s="257" t="s">
        <v>1260</v>
      </c>
      <c r="E135" s="256" t="s">
        <v>1585</v>
      </c>
      <c r="F135" s="256" t="s">
        <v>1623</v>
      </c>
      <c r="G135" s="258">
        <v>77234000000</v>
      </c>
      <c r="H135" s="265">
        <v>0.1</v>
      </c>
      <c r="I135" s="258">
        <v>7723400000</v>
      </c>
      <c r="J135" s="258">
        <v>84957400000</v>
      </c>
      <c r="K135" s="256" t="s">
        <v>1346</v>
      </c>
    </row>
    <row r="136" spans="1:11" x14ac:dyDescent="0.3">
      <c r="A136" s="256">
        <v>25</v>
      </c>
      <c r="B136" s="257" t="s">
        <v>1387</v>
      </c>
      <c r="C136" s="276">
        <v>44216</v>
      </c>
      <c r="D136" s="257" t="s">
        <v>1262</v>
      </c>
      <c r="E136" s="256" t="s">
        <v>1556</v>
      </c>
      <c r="F136" s="256" t="s">
        <v>1647</v>
      </c>
      <c r="G136" s="258">
        <v>68901000000</v>
      </c>
      <c r="H136" s="265">
        <v>0.1</v>
      </c>
      <c r="I136" s="258">
        <v>6890100000</v>
      </c>
      <c r="J136" s="258">
        <v>75791100000</v>
      </c>
      <c r="K136" s="256" t="s">
        <v>1346</v>
      </c>
    </row>
    <row r="137" spans="1:11" x14ac:dyDescent="0.3">
      <c r="A137" s="256">
        <v>26</v>
      </c>
      <c r="B137" s="257" t="s">
        <v>1388</v>
      </c>
      <c r="C137" s="276">
        <v>44247</v>
      </c>
      <c r="D137" s="257" t="s">
        <v>1275</v>
      </c>
      <c r="E137" s="256" t="s">
        <v>1575</v>
      </c>
      <c r="F137" s="256" t="s">
        <v>1623</v>
      </c>
      <c r="G137" s="258">
        <v>80234000000</v>
      </c>
      <c r="H137" s="265">
        <v>0.1</v>
      </c>
      <c r="I137" s="258">
        <v>8023400000</v>
      </c>
      <c r="J137" s="258">
        <v>88257400000</v>
      </c>
      <c r="K137" s="256" t="s">
        <v>1346</v>
      </c>
    </row>
    <row r="138" spans="1:11" x14ac:dyDescent="0.3">
      <c r="A138" s="256">
        <v>27</v>
      </c>
      <c r="B138" s="257" t="s">
        <v>1391</v>
      </c>
      <c r="C138" s="276">
        <v>44275</v>
      </c>
      <c r="D138" s="257" t="s">
        <v>1268</v>
      </c>
      <c r="E138" s="256" t="s">
        <v>1594</v>
      </c>
      <c r="F138" s="256" t="s">
        <v>1648</v>
      </c>
      <c r="G138" s="258">
        <v>63234000000</v>
      </c>
      <c r="H138" s="265">
        <v>0</v>
      </c>
      <c r="I138" s="258">
        <v>0</v>
      </c>
      <c r="J138" s="258">
        <v>63234000000</v>
      </c>
      <c r="K138" s="256" t="s">
        <v>1346</v>
      </c>
    </row>
    <row r="139" spans="1:11" x14ac:dyDescent="0.3">
      <c r="A139" s="256">
        <v>28</v>
      </c>
      <c r="B139" s="257" t="s">
        <v>1392</v>
      </c>
      <c r="C139" s="276">
        <v>44306</v>
      </c>
      <c r="D139" s="257" t="s">
        <v>1416</v>
      </c>
      <c r="E139" s="256" t="s">
        <v>1562</v>
      </c>
      <c r="F139" s="256" t="s">
        <v>1623</v>
      </c>
      <c r="G139" s="258">
        <v>78901000000</v>
      </c>
      <c r="H139" s="265">
        <v>0.1</v>
      </c>
      <c r="I139" s="258">
        <v>7890100000</v>
      </c>
      <c r="J139" s="258">
        <v>86791100000</v>
      </c>
      <c r="K139" s="256" t="s">
        <v>1346</v>
      </c>
    </row>
    <row r="140" spans="1:11" x14ac:dyDescent="0.3">
      <c r="A140" s="256">
        <v>29</v>
      </c>
      <c r="B140" s="257" t="s">
        <v>1394</v>
      </c>
      <c r="C140" s="276">
        <v>44336</v>
      </c>
      <c r="D140" s="257" t="s">
        <v>1280</v>
      </c>
      <c r="E140" s="256" t="s">
        <v>618</v>
      </c>
      <c r="F140" s="256" t="s">
        <v>1647</v>
      </c>
      <c r="G140" s="258">
        <v>70234000000</v>
      </c>
      <c r="H140" s="265">
        <v>0.1</v>
      </c>
      <c r="I140" s="258">
        <v>7023400000</v>
      </c>
      <c r="J140" s="258">
        <v>77257400000</v>
      </c>
      <c r="K140" s="256" t="s">
        <v>1346</v>
      </c>
    </row>
    <row r="141" spans="1:11" x14ac:dyDescent="0.3">
      <c r="A141" s="256">
        <v>30</v>
      </c>
      <c r="B141" s="257" t="s">
        <v>1396</v>
      </c>
      <c r="C141" s="276">
        <v>44367</v>
      </c>
      <c r="D141" s="257" t="s">
        <v>1306</v>
      </c>
      <c r="E141" s="256" t="s">
        <v>878</v>
      </c>
      <c r="F141" s="256" t="s">
        <v>1623</v>
      </c>
      <c r="G141" s="258">
        <v>81234000000</v>
      </c>
      <c r="H141" s="265">
        <v>0.1</v>
      </c>
      <c r="I141" s="258">
        <v>8123400000</v>
      </c>
      <c r="J141" s="258">
        <v>89357400000</v>
      </c>
      <c r="K141" s="256" t="s">
        <v>1346</v>
      </c>
    </row>
    <row r="142" spans="1:11" x14ac:dyDescent="0.3">
      <c r="A142" s="256">
        <v>31</v>
      </c>
      <c r="B142" s="257" t="s">
        <v>1397</v>
      </c>
      <c r="C142" s="276">
        <v>44397</v>
      </c>
      <c r="D142" s="257" t="s">
        <v>1266</v>
      </c>
      <c r="E142" s="256" t="s">
        <v>1570</v>
      </c>
      <c r="F142" s="256" t="s">
        <v>1648</v>
      </c>
      <c r="G142" s="258">
        <v>65234000000</v>
      </c>
      <c r="H142" s="265">
        <v>0</v>
      </c>
      <c r="I142" s="258">
        <v>0</v>
      </c>
      <c r="J142" s="258">
        <v>65234000000</v>
      </c>
      <c r="K142" s="256" t="s">
        <v>1346</v>
      </c>
    </row>
    <row r="143" spans="1:11" x14ac:dyDescent="0.3">
      <c r="A143" s="256">
        <v>32</v>
      </c>
      <c r="B143" s="257" t="s">
        <v>1398</v>
      </c>
      <c r="C143" s="276">
        <v>44428</v>
      </c>
      <c r="D143" s="257" t="s">
        <v>1283</v>
      </c>
      <c r="E143" s="256" t="s">
        <v>1588</v>
      </c>
      <c r="F143" s="256" t="s">
        <v>1623</v>
      </c>
      <c r="G143" s="258">
        <v>80234000000</v>
      </c>
      <c r="H143" s="265">
        <v>0.1</v>
      </c>
      <c r="I143" s="258">
        <v>8023400000</v>
      </c>
      <c r="J143" s="258">
        <v>88257400000</v>
      </c>
      <c r="K143" s="256" t="s">
        <v>1346</v>
      </c>
    </row>
    <row r="144" spans="1:11" x14ac:dyDescent="0.3">
      <c r="A144" s="256">
        <v>33</v>
      </c>
      <c r="B144" s="257" t="s">
        <v>1399</v>
      </c>
      <c r="C144" s="276">
        <v>44459</v>
      </c>
      <c r="D144" s="257" t="s">
        <v>1384</v>
      </c>
      <c r="E144" s="256" t="s">
        <v>1565</v>
      </c>
      <c r="F144" s="256" t="s">
        <v>1647</v>
      </c>
      <c r="G144" s="258">
        <v>72890000000</v>
      </c>
      <c r="H144" s="265">
        <v>0.1</v>
      </c>
      <c r="I144" s="258">
        <v>7289000000</v>
      </c>
      <c r="J144" s="258">
        <v>80179000000</v>
      </c>
      <c r="K144" s="256" t="s">
        <v>1346</v>
      </c>
    </row>
    <row r="145" spans="1:11" x14ac:dyDescent="0.3">
      <c r="A145" s="256">
        <v>34</v>
      </c>
      <c r="B145" s="257" t="s">
        <v>1401</v>
      </c>
      <c r="C145" s="276">
        <v>44489</v>
      </c>
      <c r="D145" s="257" t="s">
        <v>1261</v>
      </c>
      <c r="E145" s="256" t="s">
        <v>1572</v>
      </c>
      <c r="F145" s="256" t="s">
        <v>1623</v>
      </c>
      <c r="G145" s="258">
        <v>82345000000</v>
      </c>
      <c r="H145" s="265">
        <v>0.1</v>
      </c>
      <c r="I145" s="258">
        <v>8234500000</v>
      </c>
      <c r="J145" s="258">
        <v>90579500000</v>
      </c>
      <c r="K145" s="256" t="s">
        <v>1346</v>
      </c>
    </row>
    <row r="146" spans="1:11" x14ac:dyDescent="0.3">
      <c r="A146" s="256">
        <v>35</v>
      </c>
      <c r="B146" s="257" t="s">
        <v>1402</v>
      </c>
      <c r="C146" s="276">
        <v>44520</v>
      </c>
      <c r="D146" s="257" t="s">
        <v>1272</v>
      </c>
      <c r="E146" s="256" t="s">
        <v>540</v>
      </c>
      <c r="F146" s="256" t="s">
        <v>1648</v>
      </c>
      <c r="G146" s="258">
        <v>67890000000</v>
      </c>
      <c r="H146" s="265">
        <v>0</v>
      </c>
      <c r="I146" s="258">
        <v>0</v>
      </c>
      <c r="J146" s="258">
        <v>67890000000</v>
      </c>
      <c r="K146" s="256" t="s">
        <v>1346</v>
      </c>
    </row>
    <row r="147" spans="1:11" x14ac:dyDescent="0.3">
      <c r="A147" s="256">
        <v>36</v>
      </c>
      <c r="B147" s="257" t="s">
        <v>1403</v>
      </c>
      <c r="C147" s="276">
        <v>44550</v>
      </c>
      <c r="D147" s="257" t="s">
        <v>1295</v>
      </c>
      <c r="E147" s="256" t="s">
        <v>1636</v>
      </c>
      <c r="F147" s="256" t="s">
        <v>1623</v>
      </c>
      <c r="G147" s="258">
        <v>81890000000</v>
      </c>
      <c r="H147" s="265">
        <v>0.1</v>
      </c>
      <c r="I147" s="258">
        <v>8189000000</v>
      </c>
      <c r="J147" s="258">
        <v>90079000000</v>
      </c>
      <c r="K147" s="256" t="s">
        <v>1346</v>
      </c>
    </row>
    <row r="148" spans="1:11" x14ac:dyDescent="0.3">
      <c r="A148" s="256">
        <v>37</v>
      </c>
      <c r="B148" s="257" t="s">
        <v>1404</v>
      </c>
      <c r="C148" s="276">
        <v>44221</v>
      </c>
      <c r="D148" s="257" t="s">
        <v>1300</v>
      </c>
      <c r="E148" s="256" t="s">
        <v>1652</v>
      </c>
      <c r="F148" s="256" t="s">
        <v>1647</v>
      </c>
      <c r="G148" s="258">
        <v>74234000000</v>
      </c>
      <c r="H148" s="265">
        <v>0.1</v>
      </c>
      <c r="I148" s="258">
        <v>7423400000</v>
      </c>
      <c r="J148" s="258">
        <v>81657400000</v>
      </c>
      <c r="K148" s="256" t="s">
        <v>1346</v>
      </c>
    </row>
    <row r="149" spans="1:11" x14ac:dyDescent="0.3">
      <c r="A149" s="256">
        <v>38</v>
      </c>
      <c r="B149" s="257" t="s">
        <v>1405</v>
      </c>
      <c r="C149" s="276">
        <v>44252</v>
      </c>
      <c r="D149" s="257" t="s">
        <v>1274</v>
      </c>
      <c r="E149" s="256" t="s">
        <v>1592</v>
      </c>
      <c r="F149" s="256" t="s">
        <v>1623</v>
      </c>
      <c r="G149" s="258">
        <v>83456000000</v>
      </c>
      <c r="H149" s="265">
        <v>0.1</v>
      </c>
      <c r="I149" s="258">
        <v>8345600000</v>
      </c>
      <c r="J149" s="258">
        <v>91801600000</v>
      </c>
      <c r="K149" s="256" t="s">
        <v>1346</v>
      </c>
    </row>
    <row r="150" spans="1:11" x14ac:dyDescent="0.3">
      <c r="A150" s="256">
        <v>39</v>
      </c>
      <c r="B150" s="257" t="s">
        <v>1406</v>
      </c>
      <c r="C150" s="276">
        <v>44280</v>
      </c>
      <c r="D150" s="257" t="s">
        <v>1318</v>
      </c>
      <c r="E150" s="256" t="s">
        <v>982</v>
      </c>
      <c r="F150" s="256" t="s">
        <v>1648</v>
      </c>
      <c r="G150" s="258">
        <v>68901000000</v>
      </c>
      <c r="H150" s="265">
        <v>0</v>
      </c>
      <c r="I150" s="258">
        <v>0</v>
      </c>
      <c r="J150" s="258">
        <v>68901000000</v>
      </c>
      <c r="K150" s="256" t="s">
        <v>1346</v>
      </c>
    </row>
    <row r="151" spans="1:11" x14ac:dyDescent="0.3">
      <c r="A151" s="256">
        <v>40</v>
      </c>
      <c r="B151" s="257" t="s">
        <v>1408</v>
      </c>
      <c r="C151" s="276">
        <v>44311</v>
      </c>
      <c r="D151" s="257" t="s">
        <v>1326</v>
      </c>
      <c r="E151" s="256" t="s">
        <v>1065</v>
      </c>
      <c r="F151" s="256" t="s">
        <v>1623</v>
      </c>
      <c r="G151" s="258">
        <v>82890000000</v>
      </c>
      <c r="H151" s="265">
        <v>0.1</v>
      </c>
      <c r="I151" s="258">
        <v>8289000000</v>
      </c>
      <c r="J151" s="258">
        <v>91179000000</v>
      </c>
      <c r="K151" s="256" t="s">
        <v>1346</v>
      </c>
    </row>
    <row r="152" spans="1:11" x14ac:dyDescent="0.3">
      <c r="A152" s="256">
        <v>41</v>
      </c>
      <c r="B152" s="257" t="s">
        <v>1409</v>
      </c>
      <c r="C152" s="276">
        <v>44341</v>
      </c>
      <c r="D152" s="257" t="s">
        <v>1278</v>
      </c>
      <c r="E152" s="256" t="s">
        <v>1593</v>
      </c>
      <c r="F152" s="256" t="s">
        <v>1647</v>
      </c>
      <c r="G152" s="258">
        <v>75678000000</v>
      </c>
      <c r="H152" s="265">
        <v>0.1</v>
      </c>
      <c r="I152" s="258">
        <v>7567800000</v>
      </c>
      <c r="J152" s="258">
        <v>83245800000</v>
      </c>
      <c r="K152" s="256" t="s">
        <v>1346</v>
      </c>
    </row>
    <row r="153" spans="1:11" x14ac:dyDescent="0.3">
      <c r="A153" s="256">
        <v>42</v>
      </c>
      <c r="B153" s="257" t="s">
        <v>1411</v>
      </c>
      <c r="C153" s="276">
        <v>44372</v>
      </c>
      <c r="D153" s="257" t="s">
        <v>1286</v>
      </c>
      <c r="E153" s="256" t="s">
        <v>1653</v>
      </c>
      <c r="F153" s="256" t="s">
        <v>1623</v>
      </c>
      <c r="G153" s="258">
        <v>84234000000</v>
      </c>
      <c r="H153" s="265">
        <v>0.1</v>
      </c>
      <c r="I153" s="258">
        <v>8423400000</v>
      </c>
      <c r="J153" s="258">
        <v>92657400000</v>
      </c>
      <c r="K153" s="256" t="s">
        <v>1346</v>
      </c>
    </row>
    <row r="154" spans="1:11" x14ac:dyDescent="0.3">
      <c r="A154" s="256">
        <v>43</v>
      </c>
      <c r="B154" s="257" t="s">
        <v>1414</v>
      </c>
      <c r="C154" s="276">
        <v>44402</v>
      </c>
      <c r="D154" s="257" t="s">
        <v>1269</v>
      </c>
      <c r="E154" s="256" t="s">
        <v>1641</v>
      </c>
      <c r="F154" s="256" t="s">
        <v>1648</v>
      </c>
      <c r="G154" s="258">
        <v>70234000000</v>
      </c>
      <c r="H154" s="265">
        <v>0</v>
      </c>
      <c r="I154" s="258">
        <v>0</v>
      </c>
      <c r="J154" s="258">
        <v>70234000000</v>
      </c>
      <c r="K154" s="256" t="s">
        <v>1346</v>
      </c>
    </row>
    <row r="155" spans="1:11" x14ac:dyDescent="0.3">
      <c r="A155" s="256">
        <v>44</v>
      </c>
      <c r="B155" s="257" t="s">
        <v>1415</v>
      </c>
      <c r="C155" s="276">
        <v>44433</v>
      </c>
      <c r="D155" s="257" t="s">
        <v>1289</v>
      </c>
      <c r="E155" s="256" t="s">
        <v>1640</v>
      </c>
      <c r="F155" s="256" t="s">
        <v>1623</v>
      </c>
      <c r="G155" s="258">
        <v>84890000000</v>
      </c>
      <c r="H155" s="265">
        <v>0.1</v>
      </c>
      <c r="I155" s="258">
        <v>8489000000</v>
      </c>
      <c r="J155" s="258">
        <v>93379000000</v>
      </c>
      <c r="K155" s="256" t="s">
        <v>1346</v>
      </c>
    </row>
    <row r="156" spans="1:11" x14ac:dyDescent="0.3">
      <c r="A156" s="256">
        <v>45</v>
      </c>
      <c r="B156" s="257" t="s">
        <v>1206</v>
      </c>
      <c r="C156" s="276">
        <v>44464</v>
      </c>
      <c r="D156" s="257" t="s">
        <v>1428</v>
      </c>
      <c r="E156" s="256" t="s">
        <v>1557</v>
      </c>
      <c r="F156" s="256" t="s">
        <v>1647</v>
      </c>
      <c r="G156" s="258">
        <v>77234000000</v>
      </c>
      <c r="H156" s="265">
        <v>0.1</v>
      </c>
      <c r="I156" s="258">
        <v>7723400000</v>
      </c>
      <c r="J156" s="258">
        <v>84957400000</v>
      </c>
      <c r="K156" s="256" t="s">
        <v>1346</v>
      </c>
    </row>
    <row r="157" spans="1:11" x14ac:dyDescent="0.3">
      <c r="A157" s="256">
        <v>46</v>
      </c>
      <c r="B157" s="257" t="s">
        <v>1207</v>
      </c>
      <c r="C157" s="276">
        <v>44494</v>
      </c>
      <c r="D157" s="257" t="s">
        <v>1297</v>
      </c>
      <c r="E157" s="256" t="s">
        <v>1643</v>
      </c>
      <c r="F157" s="256" t="s">
        <v>1623</v>
      </c>
      <c r="G157" s="258">
        <v>85678000000</v>
      </c>
      <c r="H157" s="265">
        <v>0.1</v>
      </c>
      <c r="I157" s="258">
        <v>8567800000</v>
      </c>
      <c r="J157" s="258">
        <v>94245800000</v>
      </c>
      <c r="K157" s="256" t="s">
        <v>1346</v>
      </c>
    </row>
    <row r="158" spans="1:11" x14ac:dyDescent="0.3">
      <c r="A158" s="256">
        <v>47</v>
      </c>
      <c r="B158" s="257" t="s">
        <v>1208</v>
      </c>
      <c r="C158" s="276">
        <v>44525</v>
      </c>
      <c r="D158" s="257" t="s">
        <v>1310</v>
      </c>
      <c r="E158" s="256" t="s">
        <v>1635</v>
      </c>
      <c r="F158" s="256" t="s">
        <v>1648</v>
      </c>
      <c r="G158" s="258">
        <v>71234000000</v>
      </c>
      <c r="H158" s="265">
        <v>0</v>
      </c>
      <c r="I158" s="258">
        <v>0</v>
      </c>
      <c r="J158" s="258">
        <v>71234000000</v>
      </c>
      <c r="K158" s="256" t="s">
        <v>1346</v>
      </c>
    </row>
    <row r="159" spans="1:11" x14ac:dyDescent="0.3">
      <c r="A159" s="256">
        <v>48</v>
      </c>
      <c r="B159" s="257" t="s">
        <v>1209</v>
      </c>
      <c r="C159" s="276">
        <v>44555</v>
      </c>
      <c r="D159" s="257" t="s">
        <v>1290</v>
      </c>
      <c r="E159" s="256" t="s">
        <v>715</v>
      </c>
      <c r="F159" s="256" t="s">
        <v>1623</v>
      </c>
      <c r="G159" s="258">
        <v>85234000000</v>
      </c>
      <c r="H159" s="265">
        <v>0.1</v>
      </c>
      <c r="I159" s="258">
        <v>8523400000</v>
      </c>
      <c r="J159" s="258">
        <v>93757400000</v>
      </c>
      <c r="K159" s="256" t="s">
        <v>1346</v>
      </c>
    </row>
    <row r="160" spans="1:11" x14ac:dyDescent="0.3">
      <c r="A160" s="256">
        <v>49</v>
      </c>
      <c r="B160" s="257" t="s">
        <v>1418</v>
      </c>
      <c r="C160" s="276">
        <v>44255</v>
      </c>
      <c r="D160" s="257" t="s">
        <v>1273</v>
      </c>
      <c r="E160" s="256" t="s">
        <v>1567</v>
      </c>
      <c r="F160" s="256" t="s">
        <v>1647</v>
      </c>
      <c r="G160" s="258">
        <v>78901000000</v>
      </c>
      <c r="H160" s="265">
        <v>0.1</v>
      </c>
      <c r="I160" s="258">
        <v>7890100000</v>
      </c>
      <c r="J160" s="258">
        <v>86791100000</v>
      </c>
      <c r="K160" s="256" t="s">
        <v>1346</v>
      </c>
    </row>
    <row r="161" spans="1:11" x14ac:dyDescent="0.3">
      <c r="A161" s="256">
        <v>50</v>
      </c>
      <c r="B161" s="257" t="s">
        <v>1419</v>
      </c>
      <c r="C161" s="276">
        <v>44497</v>
      </c>
      <c r="D161" s="257" t="s">
        <v>1395</v>
      </c>
      <c r="E161" s="256" t="s">
        <v>1581</v>
      </c>
      <c r="F161" s="256" t="s">
        <v>1623</v>
      </c>
      <c r="G161" s="258">
        <v>87234000000</v>
      </c>
      <c r="H161" s="265">
        <v>0.1</v>
      </c>
      <c r="I161" s="258">
        <v>8723400000</v>
      </c>
      <c r="J161" s="258">
        <v>95957400000</v>
      </c>
      <c r="K161" s="256" t="s">
        <v>1346</v>
      </c>
    </row>
    <row r="162" spans="1:11" x14ac:dyDescent="0.3">
      <c r="A162" s="256">
        <v>51</v>
      </c>
      <c r="B162" s="257" t="s">
        <v>1456</v>
      </c>
      <c r="C162" s="276">
        <v>44227</v>
      </c>
      <c r="D162" s="257" t="s">
        <v>1259</v>
      </c>
      <c r="E162" s="256" t="s">
        <v>1569</v>
      </c>
      <c r="F162" s="256" t="s">
        <v>1648</v>
      </c>
      <c r="G162" s="258">
        <v>72345000000</v>
      </c>
      <c r="H162" s="265">
        <v>0</v>
      </c>
      <c r="I162" s="258">
        <v>0</v>
      </c>
      <c r="J162" s="258">
        <v>72345000000</v>
      </c>
      <c r="K162" s="256" t="s">
        <v>1346</v>
      </c>
    </row>
    <row r="163" spans="1:11" x14ac:dyDescent="0.3">
      <c r="A163" s="256">
        <v>52</v>
      </c>
      <c r="B163" s="257" t="s">
        <v>1457</v>
      </c>
      <c r="C163" s="276">
        <v>44286</v>
      </c>
      <c r="D163" s="257" t="s">
        <v>1281</v>
      </c>
      <c r="E163" s="256" t="s">
        <v>1559</v>
      </c>
      <c r="F163" s="256" t="s">
        <v>1623</v>
      </c>
      <c r="G163" s="258">
        <v>86789000000</v>
      </c>
      <c r="H163" s="265">
        <v>0.1</v>
      </c>
      <c r="I163" s="258">
        <v>8678900000</v>
      </c>
      <c r="J163" s="258">
        <v>95467900000</v>
      </c>
      <c r="K163" s="256" t="s">
        <v>1346</v>
      </c>
    </row>
    <row r="164" spans="1:11" x14ac:dyDescent="0.3">
      <c r="A164" s="256">
        <v>53</v>
      </c>
      <c r="B164" s="257" t="s">
        <v>1458</v>
      </c>
      <c r="C164" s="276">
        <v>44347</v>
      </c>
      <c r="D164" s="257" t="s">
        <v>1289</v>
      </c>
      <c r="E164" s="256" t="s">
        <v>1640</v>
      </c>
      <c r="F164" s="256" t="s">
        <v>1647</v>
      </c>
      <c r="G164" s="258">
        <v>80234000000</v>
      </c>
      <c r="H164" s="265">
        <v>0.1</v>
      </c>
      <c r="I164" s="258">
        <v>8023400000</v>
      </c>
      <c r="J164" s="258">
        <v>88257400000</v>
      </c>
      <c r="K164" s="256" t="s">
        <v>1346</v>
      </c>
    </row>
    <row r="165" spans="1:11" x14ac:dyDescent="0.3">
      <c r="A165" s="256">
        <v>54</v>
      </c>
      <c r="B165" s="257" t="s">
        <v>1459</v>
      </c>
      <c r="C165" s="276">
        <v>44408</v>
      </c>
      <c r="D165" s="257" t="s">
        <v>1265</v>
      </c>
      <c r="E165" s="256" t="s">
        <v>1583</v>
      </c>
      <c r="F165" s="256" t="s">
        <v>1623</v>
      </c>
      <c r="G165" s="258">
        <v>88234000000</v>
      </c>
      <c r="H165" s="265">
        <v>0.1</v>
      </c>
      <c r="I165" s="258">
        <v>8823400000</v>
      </c>
      <c r="J165" s="258">
        <v>97057400000</v>
      </c>
      <c r="K165" s="256" t="s">
        <v>1346</v>
      </c>
    </row>
    <row r="166" spans="1:11" x14ac:dyDescent="0.3">
      <c r="A166" s="256">
        <v>55</v>
      </c>
      <c r="B166" s="257" t="s">
        <v>1460</v>
      </c>
      <c r="C166" s="276">
        <v>44439</v>
      </c>
      <c r="D166" s="257" t="s">
        <v>1293</v>
      </c>
      <c r="E166" s="256" t="s">
        <v>754</v>
      </c>
      <c r="F166" s="256" t="s">
        <v>1648</v>
      </c>
      <c r="G166" s="258">
        <v>74234000000</v>
      </c>
      <c r="H166" s="265">
        <v>0</v>
      </c>
      <c r="I166" s="258">
        <v>0</v>
      </c>
      <c r="J166" s="258">
        <v>74234000000</v>
      </c>
      <c r="K166" s="256" t="s">
        <v>1346</v>
      </c>
    </row>
    <row r="167" spans="1:11" x14ac:dyDescent="0.3">
      <c r="A167" s="256">
        <v>56</v>
      </c>
      <c r="B167" s="257" t="s">
        <v>1461</v>
      </c>
      <c r="C167" s="276">
        <v>44500</v>
      </c>
      <c r="D167" s="257" t="s">
        <v>1271</v>
      </c>
      <c r="E167" s="256" t="s">
        <v>1634</v>
      </c>
      <c r="F167" s="256" t="s">
        <v>1623</v>
      </c>
      <c r="G167" s="258">
        <v>87890000000</v>
      </c>
      <c r="H167" s="265">
        <v>0.1</v>
      </c>
      <c r="I167" s="258">
        <v>8789000000</v>
      </c>
      <c r="J167" s="258">
        <v>96679000000</v>
      </c>
      <c r="K167" s="256" t="s">
        <v>1346</v>
      </c>
    </row>
    <row r="168" spans="1:11" x14ac:dyDescent="0.3">
      <c r="A168" s="256">
        <v>57</v>
      </c>
      <c r="B168" s="257" t="s">
        <v>1462</v>
      </c>
      <c r="C168" s="276">
        <v>44500</v>
      </c>
      <c r="D168" s="257" t="s">
        <v>1277</v>
      </c>
      <c r="E168" s="256" t="s">
        <v>1582</v>
      </c>
      <c r="F168" s="256" t="s">
        <v>1647</v>
      </c>
      <c r="G168" s="258">
        <v>81890000000</v>
      </c>
      <c r="H168" s="265">
        <v>0.1</v>
      </c>
      <c r="I168" s="258">
        <v>8189000000</v>
      </c>
      <c r="J168" s="258">
        <v>90079000000</v>
      </c>
      <c r="K168" s="256" t="s">
        <v>1346</v>
      </c>
    </row>
    <row r="169" spans="1:11" x14ac:dyDescent="0.3">
      <c r="A169" s="256">
        <v>58</v>
      </c>
      <c r="B169" s="257" t="s">
        <v>1463</v>
      </c>
      <c r="C169" s="276">
        <v>44500</v>
      </c>
      <c r="D169" s="257" t="s">
        <v>1263</v>
      </c>
      <c r="E169" s="256" t="s">
        <v>1579</v>
      </c>
      <c r="F169" s="256" t="s">
        <v>1623</v>
      </c>
      <c r="G169" s="258">
        <v>89234000000</v>
      </c>
      <c r="H169" s="265">
        <v>0.1</v>
      </c>
      <c r="I169" s="258">
        <v>8923400000</v>
      </c>
      <c r="J169" s="258">
        <v>98157400000</v>
      </c>
      <c r="K169" s="256" t="s">
        <v>1346</v>
      </c>
    </row>
    <row r="170" spans="1:11" x14ac:dyDescent="0.3">
      <c r="A170" s="256">
        <v>59</v>
      </c>
      <c r="B170" s="257" t="s">
        <v>1464</v>
      </c>
      <c r="C170" s="276">
        <v>44531</v>
      </c>
      <c r="D170" s="257" t="s">
        <v>1314</v>
      </c>
      <c r="E170" s="256" t="s">
        <v>948</v>
      </c>
      <c r="F170" s="256" t="s">
        <v>1648</v>
      </c>
      <c r="G170" s="258">
        <v>75678000000</v>
      </c>
      <c r="H170" s="265">
        <v>0</v>
      </c>
      <c r="I170" s="258">
        <v>0</v>
      </c>
      <c r="J170" s="258">
        <v>75678000000</v>
      </c>
      <c r="K170" s="256" t="s">
        <v>1346</v>
      </c>
    </row>
    <row r="171" spans="1:11" x14ac:dyDescent="0.3">
      <c r="A171" s="256">
        <v>60</v>
      </c>
      <c r="B171" s="257" t="s">
        <v>1465</v>
      </c>
      <c r="C171" s="276">
        <v>44561</v>
      </c>
      <c r="D171" s="257" t="s">
        <v>1280</v>
      </c>
      <c r="E171" s="256" t="s">
        <v>618</v>
      </c>
      <c r="F171" s="256" t="s">
        <v>1623</v>
      </c>
      <c r="G171" s="258">
        <v>90234000000</v>
      </c>
      <c r="H171" s="265">
        <v>0.1</v>
      </c>
      <c r="I171" s="258">
        <v>9023400000</v>
      </c>
      <c r="J171" s="258">
        <v>99257400000</v>
      </c>
      <c r="K171" s="256" t="s">
        <v>1346</v>
      </c>
    </row>
    <row r="172" spans="1:11" x14ac:dyDescent="0.3">
      <c r="A172" s="256">
        <v>61</v>
      </c>
      <c r="B172" s="257" t="s">
        <v>1466</v>
      </c>
      <c r="C172" s="276">
        <v>44561</v>
      </c>
      <c r="D172" s="257" t="s">
        <v>1258</v>
      </c>
      <c r="E172" s="256" t="s">
        <v>351</v>
      </c>
      <c r="F172" s="256" t="s">
        <v>1647</v>
      </c>
      <c r="G172" s="258">
        <v>83456000000</v>
      </c>
      <c r="H172" s="265">
        <v>0.1</v>
      </c>
      <c r="I172" s="258">
        <v>8345600000</v>
      </c>
      <c r="J172" s="258">
        <v>91801600000</v>
      </c>
      <c r="K172" s="256" t="s">
        <v>1346</v>
      </c>
    </row>
    <row r="173" spans="1:11" x14ac:dyDescent="0.3">
      <c r="A173" s="256">
        <v>62</v>
      </c>
      <c r="B173" s="257" t="s">
        <v>1467</v>
      </c>
      <c r="C173" s="276">
        <v>44561</v>
      </c>
      <c r="D173" s="257" t="s">
        <v>1326</v>
      </c>
      <c r="E173" s="256" t="s">
        <v>1065</v>
      </c>
      <c r="F173" s="256" t="s">
        <v>1623</v>
      </c>
      <c r="G173" s="258">
        <v>91234000000</v>
      </c>
      <c r="H173" s="265">
        <v>0.1</v>
      </c>
      <c r="I173" s="258">
        <v>9123400000</v>
      </c>
      <c r="J173" s="258">
        <v>100357400000</v>
      </c>
      <c r="K173" s="256" t="s">
        <v>1346</v>
      </c>
    </row>
    <row r="174" spans="1:11" x14ac:dyDescent="0.3">
      <c r="A174" s="256">
        <v>63</v>
      </c>
      <c r="B174" s="257" t="s">
        <v>1468</v>
      </c>
      <c r="C174" s="276">
        <v>44561</v>
      </c>
      <c r="D174" s="257" t="s">
        <v>1310</v>
      </c>
      <c r="E174" s="256" t="s">
        <v>1635</v>
      </c>
      <c r="F174" s="256" t="s">
        <v>1648</v>
      </c>
      <c r="G174" s="258">
        <v>76789000000</v>
      </c>
      <c r="H174" s="265">
        <v>0</v>
      </c>
      <c r="I174" s="258">
        <v>0</v>
      </c>
      <c r="J174" s="258">
        <v>76789000000</v>
      </c>
      <c r="K174" s="256" t="s">
        <v>1346</v>
      </c>
    </row>
    <row r="175" spans="1:11" x14ac:dyDescent="0.3">
      <c r="A175" s="256">
        <v>64</v>
      </c>
      <c r="B175" s="257" t="s">
        <v>1469</v>
      </c>
      <c r="C175" s="276">
        <v>44561</v>
      </c>
      <c r="D175" s="257" t="s">
        <v>1284</v>
      </c>
      <c r="E175" s="256" t="s">
        <v>1552</v>
      </c>
      <c r="F175" s="256" t="s">
        <v>1623</v>
      </c>
      <c r="G175" s="258">
        <v>92345000000</v>
      </c>
      <c r="H175" s="265">
        <v>0.1</v>
      </c>
      <c r="I175" s="258">
        <v>9234500000</v>
      </c>
      <c r="J175" s="258">
        <v>101579500000</v>
      </c>
      <c r="K175" s="256" t="s">
        <v>1346</v>
      </c>
    </row>
    <row r="176" spans="1:11" x14ac:dyDescent="0.3">
      <c r="A176" s="256">
        <v>65</v>
      </c>
      <c r="B176" s="257" t="s">
        <v>1470</v>
      </c>
      <c r="C176" s="276">
        <v>44561</v>
      </c>
      <c r="D176" s="257" t="s">
        <v>1268</v>
      </c>
      <c r="E176" s="256" t="s">
        <v>1594</v>
      </c>
      <c r="F176" s="256" t="s">
        <v>1647</v>
      </c>
      <c r="G176" s="258">
        <v>85234000000</v>
      </c>
      <c r="H176" s="265">
        <v>0.1</v>
      </c>
      <c r="I176" s="258">
        <v>8523400000</v>
      </c>
      <c r="J176" s="258">
        <v>93757400000</v>
      </c>
      <c r="K176" s="256" t="s">
        <v>1346</v>
      </c>
    </row>
    <row r="177" spans="1:11" x14ac:dyDescent="0.3">
      <c r="A177" s="256">
        <v>66</v>
      </c>
      <c r="B177" s="257" t="s">
        <v>1471</v>
      </c>
      <c r="C177" s="276">
        <v>44561</v>
      </c>
      <c r="D177" s="257" t="s">
        <v>1295</v>
      </c>
      <c r="E177" s="256" t="s">
        <v>1636</v>
      </c>
      <c r="F177" s="256" t="s">
        <v>1623</v>
      </c>
      <c r="G177" s="258">
        <v>93456000000</v>
      </c>
      <c r="H177" s="265">
        <v>0.1</v>
      </c>
      <c r="I177" s="258">
        <v>9345600000</v>
      </c>
      <c r="J177" s="258">
        <v>102801600000</v>
      </c>
      <c r="K177" s="256" t="s">
        <v>1346</v>
      </c>
    </row>
    <row r="178" spans="1:11" x14ac:dyDescent="0.3">
      <c r="A178" s="256">
        <v>67</v>
      </c>
      <c r="B178" s="257" t="s">
        <v>1472</v>
      </c>
      <c r="C178" s="276">
        <v>44561</v>
      </c>
      <c r="D178" s="257" t="s">
        <v>1279</v>
      </c>
      <c r="E178" s="256" t="s">
        <v>611</v>
      </c>
      <c r="F178" s="256" t="s">
        <v>1648</v>
      </c>
      <c r="G178" s="258">
        <v>78234000000</v>
      </c>
      <c r="H178" s="265">
        <v>0</v>
      </c>
      <c r="I178" s="258">
        <v>0</v>
      </c>
      <c r="J178" s="258">
        <v>78234000000</v>
      </c>
      <c r="K178" s="256" t="s">
        <v>1346</v>
      </c>
    </row>
    <row r="179" spans="1:11" x14ac:dyDescent="0.3">
      <c r="A179" s="256">
        <v>68</v>
      </c>
      <c r="B179" s="257" t="s">
        <v>1473</v>
      </c>
      <c r="C179" s="276">
        <v>44561</v>
      </c>
      <c r="D179" s="257" t="s">
        <v>1395</v>
      </c>
      <c r="E179" s="256" t="s">
        <v>1581</v>
      </c>
      <c r="F179" s="256" t="s">
        <v>1623</v>
      </c>
      <c r="G179" s="258">
        <v>94234000000</v>
      </c>
      <c r="H179" s="265">
        <v>0.1</v>
      </c>
      <c r="I179" s="258">
        <v>9423400000</v>
      </c>
      <c r="J179" s="258">
        <v>103657400000</v>
      </c>
      <c r="K179" s="256" t="s">
        <v>1346</v>
      </c>
    </row>
    <row r="180" spans="1:11" x14ac:dyDescent="0.3">
      <c r="A180" s="256">
        <v>69</v>
      </c>
      <c r="B180" s="257" t="s">
        <v>1474</v>
      </c>
      <c r="C180" s="276">
        <v>44561</v>
      </c>
      <c r="D180" s="257" t="s">
        <v>1260</v>
      </c>
      <c r="E180" s="256" t="s">
        <v>1585</v>
      </c>
      <c r="F180" s="256" t="s">
        <v>1647</v>
      </c>
      <c r="G180" s="258">
        <v>86789000000</v>
      </c>
      <c r="H180" s="265">
        <v>0.1</v>
      </c>
      <c r="I180" s="258">
        <v>8678900000</v>
      </c>
      <c r="J180" s="258">
        <v>95467900000</v>
      </c>
      <c r="K180" s="256" t="s">
        <v>1346</v>
      </c>
    </row>
    <row r="181" spans="1:11" x14ac:dyDescent="0.3">
      <c r="A181" s="256">
        <v>70</v>
      </c>
      <c r="B181" s="257" t="s">
        <v>1475</v>
      </c>
      <c r="C181" s="276">
        <v>44561</v>
      </c>
      <c r="D181" s="257" t="s">
        <v>1285</v>
      </c>
      <c r="E181" s="256" t="s">
        <v>1558</v>
      </c>
      <c r="F181" s="256" t="s">
        <v>1623</v>
      </c>
      <c r="G181" s="258">
        <v>95234000000</v>
      </c>
      <c r="H181" s="265">
        <v>0.1</v>
      </c>
      <c r="I181" s="258">
        <v>9523400000</v>
      </c>
      <c r="J181" s="258">
        <v>104757400000</v>
      </c>
      <c r="K181" s="256" t="s">
        <v>1346</v>
      </c>
    </row>
    <row r="182" spans="1:11" x14ac:dyDescent="0.3">
      <c r="A182" s="266" t="s">
        <v>1351</v>
      </c>
      <c r="B182" s="266"/>
      <c r="C182" s="266"/>
      <c r="D182" s="266"/>
      <c r="E182" s="266"/>
      <c r="F182" s="266"/>
      <c r="G182" s="267">
        <f>SUM(G112:G181)</f>
        <v>5335370000000</v>
      </c>
      <c r="H182" s="266"/>
      <c r="I182" s="267">
        <f>SUM(I112:I181)</f>
        <v>421152500000</v>
      </c>
      <c r="J182" s="267">
        <f>SUM(J112:J181)</f>
        <v>5756522500000</v>
      </c>
      <c r="K182" s="26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sheetViews>
  <sheetFormatPr defaultRowHeight="14.4" x14ac:dyDescent="0.3"/>
  <sheetData>
    <row r="1" spans="1:11" x14ac:dyDescent="0.3">
      <c r="A1" s="256" t="s">
        <v>1340</v>
      </c>
      <c r="B1" s="256" t="s">
        <v>453</v>
      </c>
      <c r="C1" s="256"/>
      <c r="D1" s="256"/>
      <c r="E1" s="256"/>
      <c r="F1" s="256"/>
      <c r="G1" s="256"/>
      <c r="H1" s="256"/>
      <c r="I1" s="256"/>
      <c r="J1" s="256"/>
      <c r="K1" s="256"/>
    </row>
    <row r="2" spans="1:11" x14ac:dyDescent="0.3">
      <c r="A2" s="256" t="s">
        <v>1339</v>
      </c>
      <c r="B2" s="257">
        <v>101329672</v>
      </c>
      <c r="C2" s="256"/>
      <c r="D2" s="256"/>
      <c r="E2" s="256"/>
      <c r="F2" s="256"/>
      <c r="G2" s="256"/>
      <c r="H2" s="256"/>
      <c r="I2" s="256"/>
      <c r="J2" s="256"/>
      <c r="K2" s="256"/>
    </row>
    <row r="3" spans="1:11" x14ac:dyDescent="0.3">
      <c r="A3" s="256" t="s">
        <v>1343</v>
      </c>
      <c r="B3" s="258">
        <v>2242927867851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1356</v>
      </c>
      <c r="C8" s="276">
        <v>44470</v>
      </c>
      <c r="D8" s="257" t="s">
        <v>1276</v>
      </c>
      <c r="E8" s="256" t="s">
        <v>1654</v>
      </c>
      <c r="F8" s="256" t="s">
        <v>1616</v>
      </c>
      <c r="G8" s="258">
        <v>45234000000</v>
      </c>
      <c r="H8" s="265">
        <v>0.1</v>
      </c>
      <c r="I8" s="258">
        <v>4523400000</v>
      </c>
      <c r="J8" s="258">
        <v>49757400000</v>
      </c>
      <c r="K8" s="256" t="s">
        <v>1346</v>
      </c>
    </row>
    <row r="9" spans="1:11" x14ac:dyDescent="0.3">
      <c r="A9" s="256">
        <v>2</v>
      </c>
      <c r="B9" s="257" t="s">
        <v>1355</v>
      </c>
      <c r="C9" s="276">
        <v>44471</v>
      </c>
      <c r="D9" s="257" t="s">
        <v>1333</v>
      </c>
      <c r="E9" s="256" t="s">
        <v>1134</v>
      </c>
      <c r="F9" s="256" t="s">
        <v>1617</v>
      </c>
      <c r="G9" s="258">
        <v>15678000000</v>
      </c>
      <c r="H9" s="265">
        <v>0.1</v>
      </c>
      <c r="I9" s="258">
        <v>1567800000</v>
      </c>
      <c r="J9" s="258">
        <v>17245800000</v>
      </c>
      <c r="K9" s="256" t="s">
        <v>1346</v>
      </c>
    </row>
    <row r="10" spans="1:11" x14ac:dyDescent="0.3">
      <c r="A10" s="256">
        <v>3</v>
      </c>
      <c r="B10" s="257" t="s">
        <v>1356</v>
      </c>
      <c r="C10" s="276">
        <v>44472</v>
      </c>
      <c r="D10" s="257" t="s">
        <v>1255</v>
      </c>
      <c r="E10" s="256" t="s">
        <v>1649</v>
      </c>
      <c r="F10" s="256" t="s">
        <v>1618</v>
      </c>
      <c r="G10" s="258">
        <v>28901000000</v>
      </c>
      <c r="H10" s="265">
        <v>0.1</v>
      </c>
      <c r="I10" s="258">
        <v>2890100000</v>
      </c>
      <c r="J10" s="258">
        <v>31791100000</v>
      </c>
      <c r="K10" s="256" t="s">
        <v>1346</v>
      </c>
    </row>
    <row r="11" spans="1:11" x14ac:dyDescent="0.3">
      <c r="A11" s="256">
        <v>4</v>
      </c>
      <c r="B11" s="257" t="s">
        <v>1356</v>
      </c>
      <c r="C11" s="276">
        <v>44473</v>
      </c>
      <c r="D11" s="257" t="s">
        <v>1271</v>
      </c>
      <c r="E11" s="256" t="s">
        <v>1634</v>
      </c>
      <c r="F11" s="256" t="s">
        <v>1546</v>
      </c>
      <c r="G11" s="258">
        <v>22345000000</v>
      </c>
      <c r="H11" s="265">
        <v>0</v>
      </c>
      <c r="I11" s="258">
        <v>0</v>
      </c>
      <c r="J11" s="258">
        <v>22345000000</v>
      </c>
      <c r="K11" s="256" t="s">
        <v>1346</v>
      </c>
    </row>
    <row r="12" spans="1:11" x14ac:dyDescent="0.3">
      <c r="A12" s="256">
        <v>5</v>
      </c>
      <c r="B12" s="257" t="s">
        <v>1387</v>
      </c>
      <c r="C12" s="276">
        <v>44474</v>
      </c>
      <c r="D12" s="257" t="s">
        <v>1281</v>
      </c>
      <c r="E12" s="256" t="s">
        <v>1559</v>
      </c>
      <c r="F12" s="256" t="s">
        <v>1619</v>
      </c>
      <c r="G12" s="258">
        <v>18901000000</v>
      </c>
      <c r="H12" s="265">
        <v>0.1</v>
      </c>
      <c r="I12" s="258">
        <v>1890100000</v>
      </c>
      <c r="J12" s="258">
        <v>20791100000</v>
      </c>
      <c r="K12" s="256" t="s">
        <v>1346</v>
      </c>
    </row>
    <row r="13" spans="1:11" x14ac:dyDescent="0.3">
      <c r="A13" s="256">
        <v>6</v>
      </c>
      <c r="B13" s="257" t="s">
        <v>1373</v>
      </c>
      <c r="C13" s="276">
        <v>44475</v>
      </c>
      <c r="D13" s="257" t="s">
        <v>1266</v>
      </c>
      <c r="E13" s="256" t="s">
        <v>469</v>
      </c>
      <c r="F13" s="256" t="s">
        <v>1616</v>
      </c>
      <c r="G13" s="258">
        <v>38234000000</v>
      </c>
      <c r="H13" s="265">
        <v>0.1</v>
      </c>
      <c r="I13" s="258">
        <v>3823400000</v>
      </c>
      <c r="J13" s="258">
        <v>42057400000</v>
      </c>
      <c r="K13" s="256" t="s">
        <v>1346</v>
      </c>
    </row>
    <row r="14" spans="1:11" x14ac:dyDescent="0.3">
      <c r="A14" s="256">
        <v>7</v>
      </c>
      <c r="B14" s="257" t="s">
        <v>1356</v>
      </c>
      <c r="C14" s="276">
        <v>44476</v>
      </c>
      <c r="D14" s="257" t="s">
        <v>1256</v>
      </c>
      <c r="E14" s="256" t="s">
        <v>1665</v>
      </c>
      <c r="F14" s="256" t="s">
        <v>1347</v>
      </c>
      <c r="G14" s="258">
        <v>13456000000</v>
      </c>
      <c r="H14" s="265">
        <v>0.1</v>
      </c>
      <c r="I14" s="258">
        <v>1345600000</v>
      </c>
      <c r="J14" s="258">
        <v>14801600000</v>
      </c>
      <c r="K14" s="256" t="s">
        <v>1346</v>
      </c>
    </row>
    <row r="15" spans="1:11" x14ac:dyDescent="0.3">
      <c r="A15" s="256">
        <v>8</v>
      </c>
      <c r="B15" s="257" t="s">
        <v>1385</v>
      </c>
      <c r="C15" s="276">
        <v>44477</v>
      </c>
      <c r="D15" s="257" t="s">
        <v>1352</v>
      </c>
      <c r="E15" s="256" t="s">
        <v>1571</v>
      </c>
      <c r="F15" s="256" t="s">
        <v>1616</v>
      </c>
      <c r="G15" s="258">
        <v>47890000000</v>
      </c>
      <c r="H15" s="265">
        <v>0.1</v>
      </c>
      <c r="I15" s="258">
        <v>4789000000</v>
      </c>
      <c r="J15" s="258">
        <v>52679000000</v>
      </c>
      <c r="K15" s="256" t="s">
        <v>1348</v>
      </c>
    </row>
    <row r="16" spans="1:11" x14ac:dyDescent="0.3">
      <c r="A16" s="256">
        <v>9</v>
      </c>
      <c r="B16" s="257" t="s">
        <v>1356</v>
      </c>
      <c r="C16" s="276">
        <v>44478</v>
      </c>
      <c r="D16" s="257" t="s">
        <v>1314</v>
      </c>
      <c r="E16" s="256" t="s">
        <v>948</v>
      </c>
      <c r="F16" s="256" t="s">
        <v>1621</v>
      </c>
      <c r="G16" s="258">
        <v>16789000000</v>
      </c>
      <c r="H16" s="265">
        <v>0.1</v>
      </c>
      <c r="I16" s="258">
        <v>1678900000</v>
      </c>
      <c r="J16" s="258">
        <v>18467900000</v>
      </c>
      <c r="K16" s="256" t="s">
        <v>1346</v>
      </c>
    </row>
    <row r="17" spans="1:11" x14ac:dyDescent="0.3">
      <c r="A17" s="256">
        <v>10</v>
      </c>
      <c r="B17" s="257" t="s">
        <v>1356</v>
      </c>
      <c r="C17" s="276">
        <v>44479</v>
      </c>
      <c r="D17" s="257" t="s">
        <v>1287</v>
      </c>
      <c r="E17" s="256" t="s">
        <v>691</v>
      </c>
      <c r="F17" s="256" t="s">
        <v>1546</v>
      </c>
      <c r="G17" s="258">
        <v>23456000000</v>
      </c>
      <c r="H17" s="265">
        <v>0</v>
      </c>
      <c r="I17" s="258">
        <v>0</v>
      </c>
      <c r="J17" s="258">
        <v>23456000000</v>
      </c>
      <c r="K17" s="256" t="s">
        <v>1346</v>
      </c>
    </row>
    <row r="18" spans="1:11" x14ac:dyDescent="0.3">
      <c r="A18" s="256">
        <v>11</v>
      </c>
      <c r="B18" s="257" t="s">
        <v>1355</v>
      </c>
      <c r="C18" s="276">
        <v>44480</v>
      </c>
      <c r="D18" s="257" t="s">
        <v>1270</v>
      </c>
      <c r="E18" s="256" t="s">
        <v>1393</v>
      </c>
      <c r="F18" s="256" t="s">
        <v>1616</v>
      </c>
      <c r="G18" s="258">
        <v>40234000000</v>
      </c>
      <c r="H18" s="265">
        <v>0.1</v>
      </c>
      <c r="I18" s="258">
        <v>4023400000</v>
      </c>
      <c r="J18" s="258">
        <v>44257400000</v>
      </c>
      <c r="K18" s="256" t="s">
        <v>1346</v>
      </c>
    </row>
    <row r="19" spans="1:11" x14ac:dyDescent="0.3">
      <c r="A19" s="256">
        <v>12</v>
      </c>
      <c r="B19" s="257" t="s">
        <v>1204</v>
      </c>
      <c r="C19" s="276">
        <v>44481</v>
      </c>
      <c r="D19" s="257" t="s">
        <v>1280</v>
      </c>
      <c r="E19" s="256" t="s">
        <v>618</v>
      </c>
      <c r="F19" s="256" t="s">
        <v>1622</v>
      </c>
      <c r="G19" s="258">
        <v>15234000000</v>
      </c>
      <c r="H19" s="265">
        <v>0.1</v>
      </c>
      <c r="I19" s="258">
        <v>1523400000</v>
      </c>
      <c r="J19" s="258">
        <v>16757400000</v>
      </c>
      <c r="K19" s="256" t="s">
        <v>1346</v>
      </c>
    </row>
    <row r="20" spans="1:11" x14ac:dyDescent="0.3">
      <c r="A20" s="256">
        <v>13</v>
      </c>
      <c r="B20" s="257" t="s">
        <v>1360</v>
      </c>
      <c r="C20" s="276">
        <v>44211</v>
      </c>
      <c r="D20" s="257" t="s">
        <v>1258</v>
      </c>
      <c r="E20" s="256" t="s">
        <v>351</v>
      </c>
      <c r="F20" s="256" t="s">
        <v>1616</v>
      </c>
      <c r="G20" s="258">
        <v>37890000000</v>
      </c>
      <c r="H20" s="265">
        <v>0.1</v>
      </c>
      <c r="I20" s="258">
        <v>3789000000</v>
      </c>
      <c r="J20" s="258">
        <v>41679000000</v>
      </c>
      <c r="K20" s="256" t="s">
        <v>1346</v>
      </c>
    </row>
    <row r="21" spans="1:11" x14ac:dyDescent="0.3">
      <c r="A21" s="256">
        <v>14</v>
      </c>
      <c r="B21" s="257" t="s">
        <v>1355</v>
      </c>
      <c r="C21" s="276">
        <v>44242</v>
      </c>
      <c r="D21" s="257" t="s">
        <v>1326</v>
      </c>
      <c r="E21" s="256" t="s">
        <v>1065</v>
      </c>
      <c r="F21" s="256" t="s">
        <v>1347</v>
      </c>
      <c r="G21" s="258">
        <v>12890000000</v>
      </c>
      <c r="H21" s="265">
        <v>0.1</v>
      </c>
      <c r="I21" s="258">
        <v>1289000000</v>
      </c>
      <c r="J21" s="258">
        <v>14179000000</v>
      </c>
      <c r="K21" s="256" t="s">
        <v>1346</v>
      </c>
    </row>
    <row r="22" spans="1:11" x14ac:dyDescent="0.3">
      <c r="A22" s="256">
        <v>15</v>
      </c>
      <c r="B22" s="257" t="s">
        <v>1355</v>
      </c>
      <c r="C22" s="276">
        <v>44270</v>
      </c>
      <c r="D22" s="257" t="s">
        <v>1310</v>
      </c>
      <c r="E22" s="256" t="s">
        <v>1635</v>
      </c>
      <c r="F22" s="256" t="s">
        <v>1616</v>
      </c>
      <c r="G22" s="258">
        <v>41234000000</v>
      </c>
      <c r="H22" s="265">
        <v>0.1</v>
      </c>
      <c r="I22" s="258">
        <v>4123400000</v>
      </c>
      <c r="J22" s="258">
        <v>45357400000</v>
      </c>
      <c r="K22" s="256" t="s">
        <v>1346</v>
      </c>
    </row>
    <row r="23" spans="1:11" x14ac:dyDescent="0.3">
      <c r="A23" s="256">
        <v>16</v>
      </c>
      <c r="B23" s="257" t="s">
        <v>1204</v>
      </c>
      <c r="C23" s="276">
        <v>44301</v>
      </c>
      <c r="D23" s="257" t="s">
        <v>1284</v>
      </c>
      <c r="E23" s="256" t="s">
        <v>1552</v>
      </c>
      <c r="F23" s="256" t="s">
        <v>1619</v>
      </c>
      <c r="G23" s="258">
        <v>17234000000</v>
      </c>
      <c r="H23" s="265">
        <v>0.1</v>
      </c>
      <c r="I23" s="258">
        <v>1723400000</v>
      </c>
      <c r="J23" s="258">
        <v>18957400000</v>
      </c>
      <c r="K23" s="256" t="s">
        <v>1346</v>
      </c>
    </row>
    <row r="24" spans="1:11" x14ac:dyDescent="0.3">
      <c r="A24" s="256">
        <v>17</v>
      </c>
      <c r="B24" s="257" t="s">
        <v>1382</v>
      </c>
      <c r="C24" s="276">
        <v>44331</v>
      </c>
      <c r="D24" s="257" t="s">
        <v>1268</v>
      </c>
      <c r="E24" s="256" t="s">
        <v>1594</v>
      </c>
      <c r="F24" s="256" t="s">
        <v>1546</v>
      </c>
      <c r="G24" s="258">
        <v>22890000000</v>
      </c>
      <c r="H24" s="265">
        <v>0</v>
      </c>
      <c r="I24" s="258">
        <v>0</v>
      </c>
      <c r="J24" s="258">
        <v>22890000000</v>
      </c>
      <c r="K24" s="256" t="s">
        <v>1346</v>
      </c>
    </row>
    <row r="25" spans="1:11" x14ac:dyDescent="0.3">
      <c r="A25" s="256">
        <v>18</v>
      </c>
      <c r="B25" s="257" t="s">
        <v>1355</v>
      </c>
      <c r="C25" s="276">
        <v>44362</v>
      </c>
      <c r="D25" s="257" t="s">
        <v>1295</v>
      </c>
      <c r="E25" s="256" t="s">
        <v>1636</v>
      </c>
      <c r="F25" s="256" t="s">
        <v>1616</v>
      </c>
      <c r="G25" s="258">
        <v>43456000000</v>
      </c>
      <c r="H25" s="265">
        <v>0.1</v>
      </c>
      <c r="I25" s="258">
        <v>4345600000</v>
      </c>
      <c r="J25" s="258">
        <v>47801600000</v>
      </c>
      <c r="K25" s="256" t="s">
        <v>1346</v>
      </c>
    </row>
    <row r="26" spans="1:11" x14ac:dyDescent="0.3">
      <c r="A26" s="256">
        <v>19</v>
      </c>
      <c r="B26" s="257" t="s">
        <v>1203</v>
      </c>
      <c r="C26" s="276">
        <v>44392</v>
      </c>
      <c r="D26" s="257" t="s">
        <v>1279</v>
      </c>
      <c r="E26" s="256" t="s">
        <v>611</v>
      </c>
      <c r="F26" s="256" t="s">
        <v>1621</v>
      </c>
      <c r="G26" s="258">
        <v>15678000000</v>
      </c>
      <c r="H26" s="265">
        <v>0.1</v>
      </c>
      <c r="I26" s="258">
        <v>1567800000</v>
      </c>
      <c r="J26" s="258">
        <v>17245800000</v>
      </c>
      <c r="K26" s="256" t="s">
        <v>1346</v>
      </c>
    </row>
    <row r="27" spans="1:11" x14ac:dyDescent="0.3">
      <c r="A27" s="256">
        <v>20</v>
      </c>
      <c r="B27" s="257" t="s">
        <v>1205</v>
      </c>
      <c r="C27" s="276">
        <v>44423</v>
      </c>
      <c r="D27" s="257" t="s">
        <v>1395</v>
      </c>
      <c r="E27" s="256" t="s">
        <v>1581</v>
      </c>
      <c r="F27" s="256" t="s">
        <v>1616</v>
      </c>
      <c r="G27" s="258">
        <v>38901000000</v>
      </c>
      <c r="H27" s="265">
        <v>0.1</v>
      </c>
      <c r="I27" s="258">
        <v>3890100000</v>
      </c>
      <c r="J27" s="258">
        <v>42791100000</v>
      </c>
      <c r="K27" s="256" t="s">
        <v>1346</v>
      </c>
    </row>
    <row r="28" spans="1:11" x14ac:dyDescent="0.3">
      <c r="A28" s="256">
        <v>21</v>
      </c>
      <c r="B28" s="257" t="s">
        <v>1383</v>
      </c>
      <c r="C28" s="276">
        <v>44454</v>
      </c>
      <c r="D28" s="257" t="s">
        <v>1260</v>
      </c>
      <c r="E28" s="256" t="s">
        <v>1585</v>
      </c>
      <c r="F28" s="256" t="s">
        <v>1618</v>
      </c>
      <c r="G28" s="258">
        <v>22345000000</v>
      </c>
      <c r="H28" s="265">
        <v>0.1</v>
      </c>
      <c r="I28" s="258">
        <v>2234500000</v>
      </c>
      <c r="J28" s="258">
        <v>24579500000</v>
      </c>
      <c r="K28" s="256" t="s">
        <v>1346</v>
      </c>
    </row>
    <row r="29" spans="1:11" x14ac:dyDescent="0.3">
      <c r="A29" s="256">
        <v>22</v>
      </c>
      <c r="B29" s="257" t="s">
        <v>1381</v>
      </c>
      <c r="C29" s="276">
        <v>44484</v>
      </c>
      <c r="D29" s="257" t="s">
        <v>1285</v>
      </c>
      <c r="E29" s="256" t="s">
        <v>1558</v>
      </c>
      <c r="F29" s="256" t="s">
        <v>1616</v>
      </c>
      <c r="G29" s="258">
        <v>40890000000</v>
      </c>
      <c r="H29" s="265">
        <v>0.1</v>
      </c>
      <c r="I29" s="258">
        <v>4089000000</v>
      </c>
      <c r="J29" s="258">
        <v>44979000000</v>
      </c>
      <c r="K29" s="256" t="s">
        <v>1346</v>
      </c>
    </row>
    <row r="30" spans="1:11" x14ac:dyDescent="0.3">
      <c r="A30" s="256">
        <v>23</v>
      </c>
      <c r="B30" s="257" t="s">
        <v>1355</v>
      </c>
      <c r="C30" s="276">
        <v>44515</v>
      </c>
      <c r="D30" s="257" t="s">
        <v>1302</v>
      </c>
      <c r="E30" s="256" t="s">
        <v>835</v>
      </c>
      <c r="F30" s="256" t="s">
        <v>1622</v>
      </c>
      <c r="G30" s="258">
        <v>16234000000</v>
      </c>
      <c r="H30" s="265">
        <v>0.1</v>
      </c>
      <c r="I30" s="258">
        <v>1623400000</v>
      </c>
      <c r="J30" s="258">
        <v>17857400000</v>
      </c>
      <c r="K30" s="256" t="s">
        <v>1346</v>
      </c>
    </row>
    <row r="31" spans="1:11" x14ac:dyDescent="0.3">
      <c r="A31" s="256">
        <v>24</v>
      </c>
      <c r="B31" s="257" t="s">
        <v>1381</v>
      </c>
      <c r="C31" s="276">
        <v>44545</v>
      </c>
      <c r="D31" s="257" t="s">
        <v>1435</v>
      </c>
      <c r="E31" s="256" t="s">
        <v>1577</v>
      </c>
      <c r="F31" s="256" t="s">
        <v>1616</v>
      </c>
      <c r="G31" s="258">
        <v>37345000000</v>
      </c>
      <c r="H31" s="265">
        <v>0.1</v>
      </c>
      <c r="I31" s="258">
        <v>3734500000</v>
      </c>
      <c r="J31" s="258">
        <v>41079500000</v>
      </c>
      <c r="K31" s="256" t="s">
        <v>1346</v>
      </c>
    </row>
    <row r="32" spans="1:11" x14ac:dyDescent="0.3">
      <c r="A32" s="256">
        <v>25</v>
      </c>
      <c r="B32" s="257" t="s">
        <v>1356</v>
      </c>
      <c r="C32" s="276">
        <v>44216</v>
      </c>
      <c r="D32" s="257" t="s">
        <v>1315</v>
      </c>
      <c r="E32" s="256" t="s">
        <v>1637</v>
      </c>
      <c r="F32" s="256" t="s">
        <v>1347</v>
      </c>
      <c r="G32" s="258">
        <v>12456000000</v>
      </c>
      <c r="H32" s="265">
        <v>0.1</v>
      </c>
      <c r="I32" s="258">
        <v>1245600000</v>
      </c>
      <c r="J32" s="258">
        <v>13701600000</v>
      </c>
      <c r="K32" s="256" t="s">
        <v>1346</v>
      </c>
    </row>
    <row r="33" spans="1:11" x14ac:dyDescent="0.3">
      <c r="A33" s="256">
        <v>26</v>
      </c>
      <c r="B33" s="257" t="s">
        <v>1205</v>
      </c>
      <c r="C33" s="276">
        <v>44247</v>
      </c>
      <c r="D33" s="257" t="s">
        <v>1277</v>
      </c>
      <c r="E33" s="256" t="s">
        <v>1582</v>
      </c>
      <c r="F33" s="256" t="s">
        <v>1546</v>
      </c>
      <c r="G33" s="258">
        <v>21890000000</v>
      </c>
      <c r="H33" s="265">
        <v>0</v>
      </c>
      <c r="I33" s="258">
        <v>0</v>
      </c>
      <c r="J33" s="258">
        <v>21890000000</v>
      </c>
      <c r="K33" s="256" t="s">
        <v>1346</v>
      </c>
    </row>
    <row r="34" spans="1:11" x14ac:dyDescent="0.3">
      <c r="A34" s="256">
        <v>27</v>
      </c>
      <c r="B34" s="257" t="s">
        <v>1381</v>
      </c>
      <c r="C34" s="276">
        <v>44275</v>
      </c>
      <c r="D34" s="257" t="s">
        <v>1264</v>
      </c>
      <c r="E34" s="256" t="s">
        <v>1584</v>
      </c>
      <c r="F34" s="256" t="s">
        <v>1616</v>
      </c>
      <c r="G34" s="258">
        <v>42345000000</v>
      </c>
      <c r="H34" s="265">
        <v>0.1</v>
      </c>
      <c r="I34" s="258">
        <v>4234500000</v>
      </c>
      <c r="J34" s="258">
        <v>46579500000</v>
      </c>
      <c r="K34" s="256" t="s">
        <v>1346</v>
      </c>
    </row>
    <row r="35" spans="1:11" x14ac:dyDescent="0.3">
      <c r="A35" s="256">
        <v>28</v>
      </c>
      <c r="B35" s="257" t="s">
        <v>1203</v>
      </c>
      <c r="C35" s="276">
        <v>44306</v>
      </c>
      <c r="D35" s="257" t="s">
        <v>1275</v>
      </c>
      <c r="E35" s="256" t="s">
        <v>1575</v>
      </c>
      <c r="F35" s="256" t="s">
        <v>1619</v>
      </c>
      <c r="G35" s="258">
        <v>18234000000</v>
      </c>
      <c r="H35" s="265">
        <v>0.1</v>
      </c>
      <c r="I35" s="258">
        <v>1823400000</v>
      </c>
      <c r="J35" s="258">
        <v>20057400000</v>
      </c>
      <c r="K35" s="256" t="s">
        <v>1346</v>
      </c>
    </row>
    <row r="36" spans="1:11" x14ac:dyDescent="0.3">
      <c r="A36" s="256">
        <v>29</v>
      </c>
      <c r="B36" s="257" t="s">
        <v>1358</v>
      </c>
      <c r="C36" s="276">
        <v>44336</v>
      </c>
      <c r="D36" s="257" t="s">
        <v>1322</v>
      </c>
      <c r="E36" s="256" t="s">
        <v>1638</v>
      </c>
      <c r="F36" s="256" t="s">
        <v>1616</v>
      </c>
      <c r="G36" s="258">
        <v>46789000000</v>
      </c>
      <c r="H36" s="265">
        <v>0.1</v>
      </c>
      <c r="I36" s="258">
        <v>4678900000</v>
      </c>
      <c r="J36" s="258">
        <v>51467900000</v>
      </c>
      <c r="K36" s="256" t="s">
        <v>1346</v>
      </c>
    </row>
    <row r="37" spans="1:11" x14ac:dyDescent="0.3">
      <c r="A37" s="256">
        <v>30</v>
      </c>
      <c r="B37" s="257" t="s">
        <v>1364</v>
      </c>
      <c r="C37" s="276">
        <v>44367</v>
      </c>
      <c r="D37" s="257" t="s">
        <v>1257</v>
      </c>
      <c r="E37" s="256" t="s">
        <v>1574</v>
      </c>
      <c r="F37" s="256" t="s">
        <v>1621</v>
      </c>
      <c r="G37" s="258">
        <v>17234000000</v>
      </c>
      <c r="H37" s="265">
        <v>0.1</v>
      </c>
      <c r="I37" s="258">
        <v>1723400000</v>
      </c>
      <c r="J37" s="258">
        <v>18957400000</v>
      </c>
      <c r="K37" s="256" t="s">
        <v>1346</v>
      </c>
    </row>
    <row r="38" spans="1:11" x14ac:dyDescent="0.3">
      <c r="A38" s="256">
        <v>31</v>
      </c>
      <c r="B38" s="257" t="s">
        <v>1382</v>
      </c>
      <c r="C38" s="276">
        <v>44397</v>
      </c>
      <c r="D38" s="257" t="s">
        <v>1278</v>
      </c>
      <c r="E38" s="256" t="s">
        <v>1593</v>
      </c>
      <c r="F38" s="256" t="s">
        <v>1616</v>
      </c>
      <c r="G38" s="258">
        <v>40234000000</v>
      </c>
      <c r="H38" s="265">
        <v>0.1</v>
      </c>
      <c r="I38" s="258">
        <v>4023400000</v>
      </c>
      <c r="J38" s="258">
        <v>44257400000</v>
      </c>
      <c r="K38" s="256" t="s">
        <v>1346</v>
      </c>
    </row>
    <row r="39" spans="1:11" x14ac:dyDescent="0.3">
      <c r="A39" s="256">
        <v>32</v>
      </c>
      <c r="B39" s="257" t="s">
        <v>1382</v>
      </c>
      <c r="C39" s="276">
        <v>44428</v>
      </c>
      <c r="D39" s="257" t="s">
        <v>1263</v>
      </c>
      <c r="E39" s="256" t="s">
        <v>1579</v>
      </c>
      <c r="F39" s="256" t="s">
        <v>1618</v>
      </c>
      <c r="G39" s="258">
        <v>25678000000</v>
      </c>
      <c r="H39" s="265">
        <v>0.1</v>
      </c>
      <c r="I39" s="258">
        <v>2567800000</v>
      </c>
      <c r="J39" s="258">
        <v>28245800000</v>
      </c>
      <c r="K39" s="256" t="s">
        <v>1346</v>
      </c>
    </row>
    <row r="40" spans="1:11" x14ac:dyDescent="0.3">
      <c r="A40" s="256">
        <v>33</v>
      </c>
      <c r="B40" s="257" t="s">
        <v>1383</v>
      </c>
      <c r="C40" s="276">
        <v>44459</v>
      </c>
      <c r="D40" s="257" t="s">
        <v>1262</v>
      </c>
      <c r="E40" s="256" t="s">
        <v>1556</v>
      </c>
      <c r="F40" s="256" t="s">
        <v>1616</v>
      </c>
      <c r="G40" s="258">
        <v>38234000000</v>
      </c>
      <c r="H40" s="265">
        <v>0.1</v>
      </c>
      <c r="I40" s="258">
        <v>3823400000</v>
      </c>
      <c r="J40" s="258">
        <v>42057400000</v>
      </c>
      <c r="K40" s="256" t="s">
        <v>1346</v>
      </c>
    </row>
    <row r="41" spans="1:11" x14ac:dyDescent="0.3">
      <c r="A41" s="256">
        <v>34</v>
      </c>
      <c r="B41" s="257" t="s">
        <v>1383</v>
      </c>
      <c r="C41" s="276">
        <v>44489</v>
      </c>
      <c r="D41" s="257" t="s">
        <v>1384</v>
      </c>
      <c r="E41" s="256" t="s">
        <v>1565</v>
      </c>
      <c r="F41" s="256" t="s">
        <v>1622</v>
      </c>
      <c r="G41" s="258">
        <v>16890000000</v>
      </c>
      <c r="H41" s="265">
        <v>0.1</v>
      </c>
      <c r="I41" s="258">
        <v>1689000000</v>
      </c>
      <c r="J41" s="258">
        <v>18579000000</v>
      </c>
      <c r="K41" s="256" t="s">
        <v>1346</v>
      </c>
    </row>
    <row r="42" spans="1:11" x14ac:dyDescent="0.3">
      <c r="A42" s="256">
        <v>35</v>
      </c>
      <c r="B42" s="257" t="s">
        <v>1356</v>
      </c>
      <c r="C42" s="276">
        <v>44520</v>
      </c>
      <c r="D42" s="257" t="s">
        <v>1308</v>
      </c>
      <c r="E42" s="256" t="s">
        <v>1639</v>
      </c>
      <c r="F42" s="256" t="s">
        <v>1616</v>
      </c>
      <c r="G42" s="258">
        <v>37890000000</v>
      </c>
      <c r="H42" s="265">
        <v>0.1</v>
      </c>
      <c r="I42" s="258">
        <v>3789000000</v>
      </c>
      <c r="J42" s="258">
        <v>41679000000</v>
      </c>
      <c r="K42" s="256" t="s">
        <v>1346</v>
      </c>
    </row>
    <row r="43" spans="1:11" x14ac:dyDescent="0.3">
      <c r="A43" s="256">
        <v>36</v>
      </c>
      <c r="B43" s="257" t="s">
        <v>1381</v>
      </c>
      <c r="C43" s="276">
        <v>44550</v>
      </c>
      <c r="D43" s="257" t="s">
        <v>1259</v>
      </c>
      <c r="E43" s="256" t="s">
        <v>1569</v>
      </c>
      <c r="F43" s="256" t="s">
        <v>1347</v>
      </c>
      <c r="G43" s="258">
        <v>13234000000</v>
      </c>
      <c r="H43" s="265">
        <v>0.1</v>
      </c>
      <c r="I43" s="258">
        <v>1323400000</v>
      </c>
      <c r="J43" s="258">
        <v>14557400000</v>
      </c>
      <c r="K43" s="256" t="s">
        <v>1346</v>
      </c>
    </row>
    <row r="44" spans="1:11" x14ac:dyDescent="0.3">
      <c r="A44" s="256">
        <v>37</v>
      </c>
      <c r="B44" s="257" t="s">
        <v>1383</v>
      </c>
      <c r="C44" s="276">
        <v>44221</v>
      </c>
      <c r="D44" s="257" t="s">
        <v>1274</v>
      </c>
      <c r="E44" s="256" t="s">
        <v>1592</v>
      </c>
      <c r="F44" s="256" t="s">
        <v>1546</v>
      </c>
      <c r="G44" s="258">
        <v>22234000000</v>
      </c>
      <c r="H44" s="265">
        <v>0</v>
      </c>
      <c r="I44" s="258">
        <v>0</v>
      </c>
      <c r="J44" s="258">
        <v>22234000000</v>
      </c>
      <c r="K44" s="256" t="s">
        <v>1346</v>
      </c>
    </row>
    <row r="45" spans="1:11" x14ac:dyDescent="0.3">
      <c r="A45" s="256">
        <v>38</v>
      </c>
      <c r="B45" s="257" t="s">
        <v>1383</v>
      </c>
      <c r="C45" s="276">
        <v>44252</v>
      </c>
      <c r="D45" s="257" t="s">
        <v>1283</v>
      </c>
      <c r="E45" s="256" t="s">
        <v>1588</v>
      </c>
      <c r="F45" s="256" t="s">
        <v>1616</v>
      </c>
      <c r="G45" s="258">
        <v>43890000000</v>
      </c>
      <c r="H45" s="265">
        <v>0.1</v>
      </c>
      <c r="I45" s="258">
        <v>4389000000</v>
      </c>
      <c r="J45" s="258">
        <v>48279000000</v>
      </c>
      <c r="K45" s="256" t="s">
        <v>1346</v>
      </c>
    </row>
    <row r="46" spans="1:11" x14ac:dyDescent="0.3">
      <c r="A46" s="256">
        <v>39</v>
      </c>
      <c r="B46" s="257" t="s">
        <v>1379</v>
      </c>
      <c r="C46" s="276">
        <v>44280</v>
      </c>
      <c r="D46" s="257" t="s">
        <v>1273</v>
      </c>
      <c r="E46" s="256" t="s">
        <v>1567</v>
      </c>
      <c r="F46" s="256" t="s">
        <v>1619</v>
      </c>
      <c r="G46" s="258">
        <v>19234000000</v>
      </c>
      <c r="H46" s="265">
        <v>0.1</v>
      </c>
      <c r="I46" s="258">
        <v>1923400000</v>
      </c>
      <c r="J46" s="258">
        <v>21157400000</v>
      </c>
      <c r="K46" s="256" t="s">
        <v>1346</v>
      </c>
    </row>
    <row r="47" spans="1:11" x14ac:dyDescent="0.3">
      <c r="A47" s="256">
        <v>40</v>
      </c>
      <c r="B47" s="257" t="s">
        <v>1382</v>
      </c>
      <c r="C47" s="276">
        <v>44311</v>
      </c>
      <c r="D47" s="257" t="s">
        <v>1416</v>
      </c>
      <c r="E47" s="256" t="s">
        <v>1562</v>
      </c>
      <c r="F47" s="256" t="s">
        <v>1616</v>
      </c>
      <c r="G47" s="258">
        <v>42345000000</v>
      </c>
      <c r="H47" s="265">
        <v>0.1</v>
      </c>
      <c r="I47" s="258">
        <v>4234500000</v>
      </c>
      <c r="J47" s="258">
        <v>46579500000</v>
      </c>
      <c r="K47" s="256" t="s">
        <v>1346</v>
      </c>
    </row>
    <row r="48" spans="1:11" x14ac:dyDescent="0.3">
      <c r="A48" s="256">
        <v>41</v>
      </c>
      <c r="B48" s="257" t="s">
        <v>1388</v>
      </c>
      <c r="C48" s="276">
        <v>44341</v>
      </c>
      <c r="D48" s="257" t="s">
        <v>1281</v>
      </c>
      <c r="E48" s="256" t="s">
        <v>1559</v>
      </c>
      <c r="F48" s="256" t="s">
        <v>1621</v>
      </c>
      <c r="G48" s="258">
        <v>18901000000</v>
      </c>
      <c r="H48" s="265">
        <v>0.1</v>
      </c>
      <c r="I48" s="258">
        <v>1890100000</v>
      </c>
      <c r="J48" s="258">
        <v>20791100000</v>
      </c>
      <c r="K48" s="256" t="s">
        <v>1346</v>
      </c>
    </row>
    <row r="49" spans="1:11" x14ac:dyDescent="0.3">
      <c r="A49" s="256">
        <v>42</v>
      </c>
      <c r="B49" s="257" t="s">
        <v>1356</v>
      </c>
      <c r="C49" s="276">
        <v>44372</v>
      </c>
      <c r="D49" s="257" t="s">
        <v>1289</v>
      </c>
      <c r="E49" s="256" t="s">
        <v>1640</v>
      </c>
      <c r="F49" s="256" t="s">
        <v>1616</v>
      </c>
      <c r="G49" s="258">
        <v>37890000000</v>
      </c>
      <c r="H49" s="265">
        <v>0.1</v>
      </c>
      <c r="I49" s="258">
        <v>3789000000</v>
      </c>
      <c r="J49" s="258">
        <v>41679000000</v>
      </c>
      <c r="K49" s="256" t="s">
        <v>1346</v>
      </c>
    </row>
    <row r="50" spans="1:11" x14ac:dyDescent="0.3">
      <c r="A50" s="256">
        <v>43</v>
      </c>
      <c r="B50" s="257" t="s">
        <v>1356</v>
      </c>
      <c r="C50" s="276">
        <v>44402</v>
      </c>
      <c r="D50" s="257" t="s">
        <v>1269</v>
      </c>
      <c r="E50" s="256" t="s">
        <v>1641</v>
      </c>
      <c r="F50" s="256" t="s">
        <v>1618</v>
      </c>
      <c r="G50" s="258">
        <v>24567000000</v>
      </c>
      <c r="H50" s="265">
        <v>0.1</v>
      </c>
      <c r="I50" s="258">
        <v>2456700000</v>
      </c>
      <c r="J50" s="258">
        <v>27023700000</v>
      </c>
      <c r="K50" s="256" t="s">
        <v>1346</v>
      </c>
    </row>
    <row r="51" spans="1:11" x14ac:dyDescent="0.3">
      <c r="A51" s="256">
        <v>44</v>
      </c>
      <c r="B51" s="257" t="s">
        <v>1382</v>
      </c>
      <c r="C51" s="276">
        <v>44433</v>
      </c>
      <c r="D51" s="257" t="s">
        <v>1428</v>
      </c>
      <c r="E51" s="256" t="s">
        <v>1557</v>
      </c>
      <c r="F51" s="256" t="s">
        <v>1616</v>
      </c>
      <c r="G51" s="258">
        <v>41234000000</v>
      </c>
      <c r="H51" s="265">
        <v>0.1</v>
      </c>
      <c r="I51" s="258">
        <v>4123400000</v>
      </c>
      <c r="J51" s="258">
        <v>45357400000</v>
      </c>
      <c r="K51" s="256" t="s">
        <v>1346</v>
      </c>
    </row>
    <row r="52" spans="1:11" x14ac:dyDescent="0.3">
      <c r="A52" s="256">
        <v>45</v>
      </c>
      <c r="B52" s="257" t="s">
        <v>1355</v>
      </c>
      <c r="C52" s="276">
        <v>44464</v>
      </c>
      <c r="D52" s="257" t="s">
        <v>1313</v>
      </c>
      <c r="E52" s="256" t="s">
        <v>1642</v>
      </c>
      <c r="F52" s="256" t="s">
        <v>1622</v>
      </c>
      <c r="G52" s="258">
        <v>17890000000</v>
      </c>
      <c r="H52" s="265">
        <v>0.1</v>
      </c>
      <c r="I52" s="258">
        <v>1789000000</v>
      </c>
      <c r="J52" s="258">
        <v>19679000000</v>
      </c>
      <c r="K52" s="256" t="s">
        <v>1346</v>
      </c>
    </row>
    <row r="53" spans="1:11" x14ac:dyDescent="0.3">
      <c r="A53" s="256">
        <v>46</v>
      </c>
      <c r="B53" s="257" t="s">
        <v>1355</v>
      </c>
      <c r="C53" s="276">
        <v>44494</v>
      </c>
      <c r="D53" s="257" t="s">
        <v>1297</v>
      </c>
      <c r="E53" s="256" t="s">
        <v>1643</v>
      </c>
      <c r="F53" s="256" t="s">
        <v>1616</v>
      </c>
      <c r="G53" s="258">
        <v>38345000000</v>
      </c>
      <c r="H53" s="265">
        <v>0.1</v>
      </c>
      <c r="I53" s="258">
        <v>3834500000</v>
      </c>
      <c r="J53" s="258">
        <v>42179500000</v>
      </c>
      <c r="K53" s="256" t="s">
        <v>1346</v>
      </c>
    </row>
    <row r="54" spans="1:11" x14ac:dyDescent="0.3">
      <c r="A54" s="256">
        <v>47</v>
      </c>
      <c r="B54" s="257" t="s">
        <v>1355</v>
      </c>
      <c r="C54" s="276">
        <v>44525</v>
      </c>
      <c r="D54" s="257" t="s">
        <v>1254</v>
      </c>
      <c r="E54" s="256" t="s">
        <v>1644</v>
      </c>
      <c r="F54" s="256" t="s">
        <v>1546</v>
      </c>
      <c r="G54" s="258">
        <v>23456000000</v>
      </c>
      <c r="H54" s="265">
        <v>0</v>
      </c>
      <c r="I54" s="258">
        <v>0</v>
      </c>
      <c r="J54" s="258">
        <v>23456000000</v>
      </c>
      <c r="K54" s="256" t="s">
        <v>1346</v>
      </c>
    </row>
    <row r="55" spans="1:11" x14ac:dyDescent="0.3">
      <c r="A55" s="256">
        <v>48</v>
      </c>
      <c r="B55" s="257" t="s">
        <v>1355</v>
      </c>
      <c r="C55" s="276">
        <v>44555</v>
      </c>
      <c r="D55" s="257" t="s">
        <v>1327</v>
      </c>
      <c r="E55" s="256" t="s">
        <v>1645</v>
      </c>
      <c r="F55" s="256" t="s">
        <v>1616</v>
      </c>
      <c r="G55" s="258">
        <v>43456000000</v>
      </c>
      <c r="H55" s="265">
        <v>0.1</v>
      </c>
      <c r="I55" s="258">
        <v>4345600000</v>
      </c>
      <c r="J55" s="258">
        <v>47801600000</v>
      </c>
      <c r="K55" s="256" t="s">
        <v>1346</v>
      </c>
    </row>
    <row r="56" spans="1:11" x14ac:dyDescent="0.3">
      <c r="A56" s="256">
        <v>49</v>
      </c>
      <c r="B56" s="257" t="s">
        <v>1355</v>
      </c>
      <c r="C56" s="276">
        <v>44224</v>
      </c>
      <c r="D56" s="257" t="s">
        <v>1309</v>
      </c>
      <c r="E56" s="256" t="s">
        <v>1646</v>
      </c>
      <c r="F56" s="256" t="s">
        <v>1347</v>
      </c>
      <c r="G56" s="258">
        <v>14567000000</v>
      </c>
      <c r="H56" s="265">
        <v>0.1</v>
      </c>
      <c r="I56" s="258">
        <v>1456700000</v>
      </c>
      <c r="J56" s="258">
        <v>16023700000</v>
      </c>
      <c r="K56" s="256" t="s">
        <v>1346</v>
      </c>
    </row>
    <row r="57" spans="1:11" x14ac:dyDescent="0.3">
      <c r="A57" s="256">
        <v>50</v>
      </c>
      <c r="B57" s="257" t="s">
        <v>1374</v>
      </c>
      <c r="C57" s="276">
        <v>44255</v>
      </c>
      <c r="D57" s="257" t="s">
        <v>1266</v>
      </c>
      <c r="E57" s="256" t="s">
        <v>1570</v>
      </c>
      <c r="F57" s="256" t="s">
        <v>1616</v>
      </c>
      <c r="G57" s="258">
        <v>38901000000</v>
      </c>
      <c r="H57" s="265">
        <v>0.1</v>
      </c>
      <c r="I57" s="258">
        <v>3890100000</v>
      </c>
      <c r="J57" s="258">
        <v>42791100000</v>
      </c>
      <c r="K57" s="256" t="s">
        <v>1346</v>
      </c>
    </row>
    <row r="58" spans="1:11" x14ac:dyDescent="0.3">
      <c r="A58" s="256">
        <v>51</v>
      </c>
      <c r="B58" s="257" t="s">
        <v>1358</v>
      </c>
      <c r="C58" s="276">
        <v>44283</v>
      </c>
      <c r="D58" s="257" t="s">
        <v>1276</v>
      </c>
      <c r="E58" s="256" t="s">
        <v>1654</v>
      </c>
      <c r="F58" s="256" t="s">
        <v>1621</v>
      </c>
      <c r="G58" s="258">
        <v>19890000000</v>
      </c>
      <c r="H58" s="265">
        <v>0.1</v>
      </c>
      <c r="I58" s="258">
        <v>1989000000</v>
      </c>
      <c r="J58" s="258">
        <v>21879000000</v>
      </c>
      <c r="K58" s="256" t="s">
        <v>1346</v>
      </c>
    </row>
    <row r="59" spans="1:11" x14ac:dyDescent="0.3">
      <c r="A59" s="256">
        <v>52</v>
      </c>
      <c r="B59" s="257" t="s">
        <v>1356</v>
      </c>
      <c r="C59" s="276">
        <v>44314</v>
      </c>
      <c r="D59" s="257" t="s">
        <v>1333</v>
      </c>
      <c r="E59" s="256" t="s">
        <v>1134</v>
      </c>
      <c r="F59" s="256" t="s">
        <v>1616</v>
      </c>
      <c r="G59" s="258">
        <v>42890000000</v>
      </c>
      <c r="H59" s="265">
        <v>0.1</v>
      </c>
      <c r="I59" s="258">
        <v>4289000000</v>
      </c>
      <c r="J59" s="258">
        <v>47179000000</v>
      </c>
      <c r="K59" s="256" t="s">
        <v>1346</v>
      </c>
    </row>
    <row r="60" spans="1:11" x14ac:dyDescent="0.3">
      <c r="A60" s="256">
        <v>53</v>
      </c>
      <c r="B60" s="257" t="s">
        <v>1358</v>
      </c>
      <c r="C60" s="276">
        <v>44405</v>
      </c>
      <c r="D60" s="257" t="s">
        <v>1255</v>
      </c>
      <c r="E60" s="256" t="s">
        <v>1649</v>
      </c>
      <c r="F60" s="256" t="s">
        <v>1619</v>
      </c>
      <c r="G60" s="258">
        <v>21234000000</v>
      </c>
      <c r="H60" s="265">
        <v>0.1</v>
      </c>
      <c r="I60" s="258">
        <v>2123400000</v>
      </c>
      <c r="J60" s="258">
        <v>23357400000</v>
      </c>
      <c r="K60" s="256" t="s">
        <v>1346</v>
      </c>
    </row>
    <row r="61" spans="1:11" x14ac:dyDescent="0.3">
      <c r="A61" s="256">
        <v>54</v>
      </c>
      <c r="B61" s="257" t="s">
        <v>1358</v>
      </c>
      <c r="C61" s="276">
        <v>44436</v>
      </c>
      <c r="D61" s="257" t="s">
        <v>1271</v>
      </c>
      <c r="E61" s="256" t="s">
        <v>1634</v>
      </c>
      <c r="F61" s="256" t="s">
        <v>1616</v>
      </c>
      <c r="G61" s="258">
        <v>40234000000</v>
      </c>
      <c r="H61" s="265">
        <v>0.1</v>
      </c>
      <c r="I61" s="258">
        <v>4023400000</v>
      </c>
      <c r="J61" s="258">
        <v>44257400000</v>
      </c>
      <c r="K61" s="256" t="s">
        <v>1346</v>
      </c>
    </row>
    <row r="62" spans="1:11" x14ac:dyDescent="0.3">
      <c r="A62" s="256">
        <v>55</v>
      </c>
      <c r="B62" s="257" t="s">
        <v>1391</v>
      </c>
      <c r="C62" s="276">
        <v>44497</v>
      </c>
      <c r="D62" s="257" t="s">
        <v>1281</v>
      </c>
      <c r="E62" s="256" t="s">
        <v>1559</v>
      </c>
      <c r="F62" s="256" t="s">
        <v>1347</v>
      </c>
      <c r="G62" s="258">
        <v>15678000000</v>
      </c>
      <c r="H62" s="265">
        <v>0.1</v>
      </c>
      <c r="I62" s="258">
        <v>1567800000</v>
      </c>
      <c r="J62" s="258">
        <v>17245800000</v>
      </c>
      <c r="K62" s="256" t="s">
        <v>1346</v>
      </c>
    </row>
    <row r="63" spans="1:11" x14ac:dyDescent="0.3">
      <c r="A63" s="256">
        <v>56</v>
      </c>
      <c r="B63" s="257" t="s">
        <v>1376</v>
      </c>
      <c r="C63" s="276">
        <v>44227</v>
      </c>
      <c r="D63" s="257" t="s">
        <v>1266</v>
      </c>
      <c r="E63" s="256" t="s">
        <v>1570</v>
      </c>
      <c r="F63" s="256" t="s">
        <v>1546</v>
      </c>
      <c r="G63" s="258">
        <v>24567000000</v>
      </c>
      <c r="H63" s="265">
        <v>0</v>
      </c>
      <c r="I63" s="258">
        <v>0</v>
      </c>
      <c r="J63" s="258">
        <v>24567000000</v>
      </c>
      <c r="K63" s="256" t="s">
        <v>1346</v>
      </c>
    </row>
    <row r="64" spans="1:11" x14ac:dyDescent="0.3">
      <c r="A64" s="256">
        <v>57</v>
      </c>
      <c r="B64" s="257" t="s">
        <v>1358</v>
      </c>
      <c r="C64" s="276">
        <v>44286</v>
      </c>
      <c r="D64" s="257" t="s">
        <v>1256</v>
      </c>
      <c r="E64" s="256" t="s">
        <v>1665</v>
      </c>
      <c r="F64" s="256" t="s">
        <v>1616</v>
      </c>
      <c r="G64" s="258">
        <v>42345000000</v>
      </c>
      <c r="H64" s="265">
        <v>0.1</v>
      </c>
      <c r="I64" s="258">
        <v>4234500000</v>
      </c>
      <c r="J64" s="258">
        <v>46579500000</v>
      </c>
      <c r="K64" s="256" t="s">
        <v>1346</v>
      </c>
    </row>
    <row r="65" spans="1:11" x14ac:dyDescent="0.3">
      <c r="A65" s="256">
        <v>58</v>
      </c>
      <c r="B65" s="257" t="s">
        <v>1387</v>
      </c>
      <c r="C65" s="276">
        <v>44347</v>
      </c>
      <c r="D65" s="257" t="s">
        <v>1352</v>
      </c>
      <c r="E65" s="256" t="s">
        <v>1571</v>
      </c>
      <c r="F65" s="256" t="s">
        <v>1621</v>
      </c>
      <c r="G65" s="258">
        <v>20890000000</v>
      </c>
      <c r="H65" s="265">
        <v>0.1</v>
      </c>
      <c r="I65" s="258">
        <v>2089000000</v>
      </c>
      <c r="J65" s="258">
        <v>22979000000</v>
      </c>
      <c r="K65" s="256" t="s">
        <v>1346</v>
      </c>
    </row>
    <row r="66" spans="1:11" x14ac:dyDescent="0.3">
      <c r="A66" s="256">
        <v>59</v>
      </c>
      <c r="B66" s="257" t="s">
        <v>1358</v>
      </c>
      <c r="C66" s="276">
        <v>44408</v>
      </c>
      <c r="D66" s="257" t="s">
        <v>1314</v>
      </c>
      <c r="E66" s="256" t="s">
        <v>948</v>
      </c>
      <c r="F66" s="256" t="s">
        <v>1616</v>
      </c>
      <c r="G66" s="258">
        <v>40890000000</v>
      </c>
      <c r="H66" s="265">
        <v>0.1</v>
      </c>
      <c r="I66" s="258">
        <v>4089000000</v>
      </c>
      <c r="J66" s="258">
        <v>44979000000</v>
      </c>
      <c r="K66" s="256" t="s">
        <v>1346</v>
      </c>
    </row>
    <row r="67" spans="1:11" x14ac:dyDescent="0.3">
      <c r="A67" s="256">
        <v>60</v>
      </c>
      <c r="B67" s="257" t="s">
        <v>1358</v>
      </c>
      <c r="C67" s="276">
        <v>44439</v>
      </c>
      <c r="D67" s="257" t="s">
        <v>1287</v>
      </c>
      <c r="E67" s="256" t="s">
        <v>691</v>
      </c>
      <c r="F67" s="256" t="s">
        <v>1622</v>
      </c>
      <c r="G67" s="258">
        <v>18234000000</v>
      </c>
      <c r="H67" s="265">
        <v>0.1</v>
      </c>
      <c r="I67" s="258">
        <v>1823400000</v>
      </c>
      <c r="J67" s="258">
        <v>20057400000</v>
      </c>
      <c r="K67" s="256" t="s">
        <v>1346</v>
      </c>
    </row>
    <row r="68" spans="1:11" x14ac:dyDescent="0.3">
      <c r="A68" s="256">
        <v>61</v>
      </c>
      <c r="B68" s="257" t="s">
        <v>1356</v>
      </c>
      <c r="C68" s="276">
        <v>44500</v>
      </c>
      <c r="D68" s="257" t="s">
        <v>1270</v>
      </c>
      <c r="E68" s="256" t="s">
        <v>1393</v>
      </c>
      <c r="F68" s="256" t="s">
        <v>1616</v>
      </c>
      <c r="G68" s="258">
        <v>41890000000</v>
      </c>
      <c r="H68" s="265">
        <v>0.1</v>
      </c>
      <c r="I68" s="258">
        <v>4189000000</v>
      </c>
      <c r="J68" s="258">
        <v>46079000000</v>
      </c>
      <c r="K68" s="256" t="s">
        <v>1346</v>
      </c>
    </row>
    <row r="69" spans="1:11" x14ac:dyDescent="0.3">
      <c r="A69" s="256">
        <v>62</v>
      </c>
      <c r="B69" s="257" t="s">
        <v>1205</v>
      </c>
      <c r="C69" s="276">
        <v>44500</v>
      </c>
      <c r="D69" s="257" t="s">
        <v>1280</v>
      </c>
      <c r="E69" s="256" t="s">
        <v>618</v>
      </c>
      <c r="F69" s="256" t="s">
        <v>1618</v>
      </c>
      <c r="G69" s="258">
        <v>26789000000</v>
      </c>
      <c r="H69" s="265">
        <v>0.1</v>
      </c>
      <c r="I69" s="258">
        <v>2678900000</v>
      </c>
      <c r="J69" s="258">
        <v>29467900000</v>
      </c>
      <c r="K69" s="256" t="s">
        <v>1346</v>
      </c>
    </row>
    <row r="70" spans="1:11" x14ac:dyDescent="0.3">
      <c r="A70" s="256">
        <v>63</v>
      </c>
      <c r="B70" s="257" t="s">
        <v>1362</v>
      </c>
      <c r="C70" s="276">
        <v>44531</v>
      </c>
      <c r="D70" s="257" t="s">
        <v>1258</v>
      </c>
      <c r="E70" s="256" t="s">
        <v>351</v>
      </c>
      <c r="F70" s="256" t="s">
        <v>1616</v>
      </c>
      <c r="G70" s="258">
        <v>43456000000</v>
      </c>
      <c r="H70" s="265">
        <v>0.1</v>
      </c>
      <c r="I70" s="258">
        <v>4345600000</v>
      </c>
      <c r="J70" s="258">
        <v>47801600000</v>
      </c>
      <c r="K70" s="256" t="s">
        <v>1346</v>
      </c>
    </row>
    <row r="71" spans="1:11" x14ac:dyDescent="0.3">
      <c r="A71" s="256">
        <v>64</v>
      </c>
      <c r="B71" s="257" t="s">
        <v>1356</v>
      </c>
      <c r="C71" s="276">
        <v>44561</v>
      </c>
      <c r="D71" s="257" t="s">
        <v>1326</v>
      </c>
      <c r="E71" s="256" t="s">
        <v>1065</v>
      </c>
      <c r="F71" s="256" t="s">
        <v>1347</v>
      </c>
      <c r="G71" s="258">
        <v>15234000000</v>
      </c>
      <c r="H71" s="265">
        <v>0.1</v>
      </c>
      <c r="I71" s="258">
        <v>1523400000</v>
      </c>
      <c r="J71" s="258">
        <v>16757400000</v>
      </c>
      <c r="K71" s="256" t="s">
        <v>1346</v>
      </c>
    </row>
    <row r="72" spans="1:11" x14ac:dyDescent="0.3">
      <c r="A72" s="256">
        <v>65</v>
      </c>
      <c r="B72" s="257" t="s">
        <v>1356</v>
      </c>
      <c r="C72" s="276">
        <v>44561</v>
      </c>
      <c r="D72" s="257" t="s">
        <v>1310</v>
      </c>
      <c r="E72" s="256" t="s">
        <v>1635</v>
      </c>
      <c r="F72" s="256" t="s">
        <v>1546</v>
      </c>
      <c r="G72" s="258">
        <v>23890000000</v>
      </c>
      <c r="H72" s="265">
        <v>0</v>
      </c>
      <c r="I72" s="258">
        <v>0</v>
      </c>
      <c r="J72" s="258">
        <v>23890000000</v>
      </c>
      <c r="K72" s="256" t="s">
        <v>1346</v>
      </c>
    </row>
    <row r="73" spans="1:11" x14ac:dyDescent="0.3">
      <c r="A73" s="256">
        <v>66</v>
      </c>
      <c r="B73" s="257" t="s">
        <v>1205</v>
      </c>
      <c r="C73" s="276">
        <v>44561</v>
      </c>
      <c r="D73" s="257" t="s">
        <v>1284</v>
      </c>
      <c r="E73" s="256" t="s">
        <v>1552</v>
      </c>
      <c r="F73" s="256" t="s">
        <v>1616</v>
      </c>
      <c r="G73" s="258">
        <v>44567000000</v>
      </c>
      <c r="H73" s="265">
        <v>0.1</v>
      </c>
      <c r="I73" s="258">
        <v>4456700000</v>
      </c>
      <c r="J73" s="258">
        <v>49023700000</v>
      </c>
      <c r="K73" s="256" t="s">
        <v>1346</v>
      </c>
    </row>
    <row r="74" spans="1:11" x14ac:dyDescent="0.3">
      <c r="A74" s="256">
        <v>67</v>
      </c>
      <c r="B74" s="257" t="s">
        <v>1383</v>
      </c>
      <c r="C74" s="276">
        <v>44561</v>
      </c>
      <c r="D74" s="257" t="s">
        <v>1268</v>
      </c>
      <c r="E74" s="256" t="s">
        <v>1594</v>
      </c>
      <c r="F74" s="256" t="s">
        <v>1621</v>
      </c>
      <c r="G74" s="258">
        <v>21890000000</v>
      </c>
      <c r="H74" s="265">
        <v>0.1</v>
      </c>
      <c r="I74" s="258">
        <v>2189000000</v>
      </c>
      <c r="J74" s="258">
        <v>24079000000</v>
      </c>
      <c r="K74" s="256" t="s">
        <v>1346</v>
      </c>
    </row>
    <row r="75" spans="1:11" x14ac:dyDescent="0.3">
      <c r="A75" s="256">
        <v>68</v>
      </c>
      <c r="B75" s="257" t="s">
        <v>1356</v>
      </c>
      <c r="C75" s="276">
        <v>44561</v>
      </c>
      <c r="D75" s="257" t="s">
        <v>1295</v>
      </c>
      <c r="E75" s="256" t="s">
        <v>1636</v>
      </c>
      <c r="F75" s="256" t="s">
        <v>1616</v>
      </c>
      <c r="G75" s="258">
        <v>43890000000</v>
      </c>
      <c r="H75" s="265">
        <v>0.1</v>
      </c>
      <c r="I75" s="258">
        <v>4389000000</v>
      </c>
      <c r="J75" s="258">
        <v>48279000000</v>
      </c>
      <c r="K75" s="256" t="s">
        <v>1346</v>
      </c>
    </row>
    <row r="76" spans="1:11" x14ac:dyDescent="0.3">
      <c r="A76" s="256">
        <v>69</v>
      </c>
      <c r="B76" s="257" t="s">
        <v>1204</v>
      </c>
      <c r="C76" s="276">
        <v>44561</v>
      </c>
      <c r="D76" s="257" t="s">
        <v>1279</v>
      </c>
      <c r="E76" s="256" t="s">
        <v>611</v>
      </c>
      <c r="F76" s="256" t="s">
        <v>1619</v>
      </c>
      <c r="G76" s="258">
        <v>22456000000</v>
      </c>
      <c r="H76" s="265">
        <v>0.1</v>
      </c>
      <c r="I76" s="258">
        <v>2245600000</v>
      </c>
      <c r="J76" s="258">
        <v>24701600000</v>
      </c>
      <c r="K76" s="256" t="s">
        <v>1346</v>
      </c>
    </row>
    <row r="77" spans="1:11" x14ac:dyDescent="0.3">
      <c r="A77" s="256">
        <v>70</v>
      </c>
      <c r="B77" s="257" t="s">
        <v>1385</v>
      </c>
      <c r="C77" s="276">
        <v>44561</v>
      </c>
      <c r="D77" s="257" t="s">
        <v>1395</v>
      </c>
      <c r="E77" s="256" t="s">
        <v>1581</v>
      </c>
      <c r="F77" s="256" t="s">
        <v>1616</v>
      </c>
      <c r="G77" s="258">
        <v>44890000000</v>
      </c>
      <c r="H77" s="265">
        <v>0.1</v>
      </c>
      <c r="I77" s="258">
        <v>4489000000</v>
      </c>
      <c r="J77" s="258">
        <v>49379000000</v>
      </c>
      <c r="K77" s="256" t="s">
        <v>1346</v>
      </c>
    </row>
    <row r="78" spans="1:11" x14ac:dyDescent="0.3">
      <c r="A78" s="266" t="s">
        <v>1351</v>
      </c>
      <c r="B78" s="266"/>
      <c r="C78" s="266"/>
      <c r="D78" s="266"/>
      <c r="E78" s="266"/>
      <c r="F78" s="266"/>
      <c r="G78" s="267">
        <f>SUM(G8:G77)</f>
        <v>2047161000000</v>
      </c>
      <c r="H78" s="266"/>
      <c r="I78" s="267">
        <f>SUM(I8:I77)</f>
        <v>186243300000</v>
      </c>
      <c r="J78" s="267">
        <f>SUM(J8:J77)</f>
        <v>2233404300000</v>
      </c>
      <c r="K78" s="266"/>
    </row>
    <row r="79" spans="1:11" x14ac:dyDescent="0.3">
      <c r="A79" s="256"/>
      <c r="B79" s="256"/>
      <c r="C79" s="256"/>
      <c r="D79" s="256"/>
      <c r="E79" s="256"/>
      <c r="F79" s="256"/>
      <c r="G79" s="256"/>
      <c r="H79" s="256"/>
      <c r="I79" s="256"/>
      <c r="J79" s="256"/>
      <c r="K79" s="256"/>
    </row>
    <row r="80" spans="1:11" x14ac:dyDescent="0.3">
      <c r="A80" s="256" t="s">
        <v>1420</v>
      </c>
      <c r="B80" s="256"/>
      <c r="C80" s="256"/>
      <c r="D80" s="256"/>
      <c r="E80" s="256"/>
      <c r="F80" s="256"/>
      <c r="G80" s="256"/>
      <c r="H80" s="256"/>
      <c r="I80" s="256"/>
      <c r="J80" s="256"/>
      <c r="K80" s="256"/>
    </row>
    <row r="81" spans="1:11" x14ac:dyDescent="0.3">
      <c r="A81" s="266" t="s">
        <v>0</v>
      </c>
      <c r="B81" s="266" t="s">
        <v>212</v>
      </c>
      <c r="C81" s="266" t="s">
        <v>1535</v>
      </c>
      <c r="D81" s="266" t="s">
        <v>1586</v>
      </c>
      <c r="E81" s="266" t="s">
        <v>1422</v>
      </c>
      <c r="F81" s="266" t="s">
        <v>1537</v>
      </c>
      <c r="G81" s="266" t="s">
        <v>270</v>
      </c>
      <c r="H81" s="266" t="s">
        <v>1538</v>
      </c>
      <c r="I81" s="266" t="s">
        <v>1539</v>
      </c>
      <c r="J81" s="266" t="s">
        <v>1540</v>
      </c>
      <c r="K81" s="266" t="s">
        <v>1541</v>
      </c>
    </row>
    <row r="82" spans="1:11" x14ac:dyDescent="0.3">
      <c r="A82" s="256">
        <v>1</v>
      </c>
      <c r="B82" s="257" t="s">
        <v>1200</v>
      </c>
      <c r="C82" s="276">
        <v>44470</v>
      </c>
      <c r="D82" s="257" t="s">
        <v>1333</v>
      </c>
      <c r="E82" s="256" t="s">
        <v>1134</v>
      </c>
      <c r="F82" s="256" t="s">
        <v>1623</v>
      </c>
      <c r="G82" s="258">
        <v>52345000000</v>
      </c>
      <c r="H82" s="265">
        <v>0.1</v>
      </c>
      <c r="I82" s="258">
        <v>5234500000</v>
      </c>
      <c r="J82" s="258">
        <v>57579500000</v>
      </c>
      <c r="K82" s="256" t="s">
        <v>1346</v>
      </c>
    </row>
    <row r="83" spans="1:11" x14ac:dyDescent="0.3">
      <c r="A83" s="256">
        <v>2</v>
      </c>
      <c r="B83" s="257" t="s">
        <v>1201</v>
      </c>
      <c r="C83" s="276">
        <v>44471</v>
      </c>
      <c r="D83" s="257" t="s">
        <v>1352</v>
      </c>
      <c r="E83" s="256" t="s">
        <v>1571</v>
      </c>
      <c r="F83" s="256" t="s">
        <v>1647</v>
      </c>
      <c r="G83" s="258">
        <v>43456000000</v>
      </c>
      <c r="H83" s="265">
        <v>0.1</v>
      </c>
      <c r="I83" s="258">
        <v>4345600000</v>
      </c>
      <c r="J83" s="258">
        <v>47801600000</v>
      </c>
      <c r="K83" s="256" t="s">
        <v>1346</v>
      </c>
    </row>
    <row r="84" spans="1:11" x14ac:dyDescent="0.3">
      <c r="A84" s="256">
        <v>3</v>
      </c>
      <c r="B84" s="257" t="s">
        <v>1202</v>
      </c>
      <c r="C84" s="276">
        <v>44472</v>
      </c>
      <c r="D84" s="257" t="s">
        <v>1272</v>
      </c>
      <c r="E84" s="256" t="s">
        <v>540</v>
      </c>
      <c r="F84" s="256" t="s">
        <v>1648</v>
      </c>
      <c r="G84" s="258">
        <v>35678000000</v>
      </c>
      <c r="H84" s="265">
        <v>0</v>
      </c>
      <c r="I84" s="258">
        <v>0</v>
      </c>
      <c r="J84" s="258">
        <v>35678000000</v>
      </c>
      <c r="K84" s="256" t="s">
        <v>1346</v>
      </c>
    </row>
    <row r="85" spans="1:11" x14ac:dyDescent="0.3">
      <c r="A85" s="256">
        <v>4</v>
      </c>
      <c r="B85" s="257" t="s">
        <v>1355</v>
      </c>
      <c r="C85" s="276">
        <v>44473</v>
      </c>
      <c r="D85" s="257" t="s">
        <v>1254</v>
      </c>
      <c r="E85" s="256" t="s">
        <v>1644</v>
      </c>
      <c r="F85" s="256" t="s">
        <v>1623</v>
      </c>
      <c r="G85" s="258">
        <v>48901000000</v>
      </c>
      <c r="H85" s="265">
        <v>0.1</v>
      </c>
      <c r="I85" s="258">
        <v>4890100000</v>
      </c>
      <c r="J85" s="258">
        <v>53791100000</v>
      </c>
      <c r="K85" s="256" t="s">
        <v>1346</v>
      </c>
    </row>
    <row r="86" spans="1:11" x14ac:dyDescent="0.3">
      <c r="A86" s="256">
        <v>5</v>
      </c>
      <c r="B86" s="257" t="s">
        <v>1356</v>
      </c>
      <c r="C86" s="276">
        <v>44474</v>
      </c>
      <c r="D86" s="257" t="s">
        <v>1255</v>
      </c>
      <c r="E86" s="256" t="s">
        <v>1649</v>
      </c>
      <c r="F86" s="256" t="s">
        <v>1647</v>
      </c>
      <c r="G86" s="258">
        <v>40234000000</v>
      </c>
      <c r="H86" s="265">
        <v>0.1</v>
      </c>
      <c r="I86" s="258">
        <v>4023400000</v>
      </c>
      <c r="J86" s="258">
        <v>44257400000</v>
      </c>
      <c r="K86" s="256" t="s">
        <v>1346</v>
      </c>
    </row>
    <row r="87" spans="1:11" x14ac:dyDescent="0.3">
      <c r="A87" s="256">
        <v>6</v>
      </c>
      <c r="B87" s="257" t="s">
        <v>1358</v>
      </c>
      <c r="C87" s="276">
        <v>44475</v>
      </c>
      <c r="D87" s="257" t="s">
        <v>1282</v>
      </c>
      <c r="E87" s="256" t="s">
        <v>1580</v>
      </c>
      <c r="F87" s="256" t="s">
        <v>1623</v>
      </c>
      <c r="G87" s="258">
        <v>51234000000</v>
      </c>
      <c r="H87" s="265">
        <v>0.1</v>
      </c>
      <c r="I87" s="258">
        <v>5123400000</v>
      </c>
      <c r="J87" s="258">
        <v>56357400000</v>
      </c>
      <c r="K87" s="256" t="s">
        <v>1346</v>
      </c>
    </row>
    <row r="88" spans="1:11" x14ac:dyDescent="0.3">
      <c r="A88" s="256">
        <v>7</v>
      </c>
      <c r="B88" s="257" t="s">
        <v>1360</v>
      </c>
      <c r="C88" s="276">
        <v>44476</v>
      </c>
      <c r="D88" s="257" t="s">
        <v>1285</v>
      </c>
      <c r="E88" s="256" t="s">
        <v>1558</v>
      </c>
      <c r="F88" s="256" t="s">
        <v>1648</v>
      </c>
      <c r="G88" s="258">
        <v>37890000000</v>
      </c>
      <c r="H88" s="265">
        <v>0</v>
      </c>
      <c r="I88" s="258">
        <v>0</v>
      </c>
      <c r="J88" s="258">
        <v>37890000000</v>
      </c>
      <c r="K88" s="256" t="s">
        <v>1346</v>
      </c>
    </row>
    <row r="89" spans="1:11" x14ac:dyDescent="0.3">
      <c r="A89" s="256">
        <v>8</v>
      </c>
      <c r="B89" s="257" t="s">
        <v>1362</v>
      </c>
      <c r="C89" s="276">
        <v>44477</v>
      </c>
      <c r="D89" s="257" t="s">
        <v>1279</v>
      </c>
      <c r="E89" s="256" t="s">
        <v>611</v>
      </c>
      <c r="F89" s="256" t="s">
        <v>1623</v>
      </c>
      <c r="G89" s="258">
        <v>50234000000</v>
      </c>
      <c r="H89" s="265">
        <v>0.1</v>
      </c>
      <c r="I89" s="258">
        <v>5023400000</v>
      </c>
      <c r="J89" s="258">
        <v>55257400000</v>
      </c>
      <c r="K89" s="256" t="s">
        <v>1346</v>
      </c>
    </row>
    <row r="90" spans="1:11" x14ac:dyDescent="0.3">
      <c r="A90" s="256">
        <v>9</v>
      </c>
      <c r="B90" s="257" t="s">
        <v>1364</v>
      </c>
      <c r="C90" s="276">
        <v>44478</v>
      </c>
      <c r="D90" s="257" t="s">
        <v>1291</v>
      </c>
      <c r="E90" s="256" t="s">
        <v>1650</v>
      </c>
      <c r="F90" s="256" t="s">
        <v>1647</v>
      </c>
      <c r="G90" s="258">
        <v>42345000000</v>
      </c>
      <c r="H90" s="265">
        <v>0.1</v>
      </c>
      <c r="I90" s="258">
        <v>4234500000</v>
      </c>
      <c r="J90" s="258">
        <v>46579500000</v>
      </c>
      <c r="K90" s="256" t="s">
        <v>1346</v>
      </c>
    </row>
    <row r="91" spans="1:11" x14ac:dyDescent="0.3">
      <c r="A91" s="256">
        <v>10</v>
      </c>
      <c r="B91" s="257" t="s">
        <v>1366</v>
      </c>
      <c r="C91" s="276">
        <v>44479</v>
      </c>
      <c r="D91" s="257" t="s">
        <v>1435</v>
      </c>
      <c r="E91" s="256" t="s">
        <v>1577</v>
      </c>
      <c r="F91" s="256" t="s">
        <v>1623</v>
      </c>
      <c r="G91" s="258">
        <v>52890000000</v>
      </c>
      <c r="H91" s="265">
        <v>0.1</v>
      </c>
      <c r="I91" s="258">
        <v>5289000000</v>
      </c>
      <c r="J91" s="258">
        <v>58179000000</v>
      </c>
      <c r="K91" s="256" t="s">
        <v>1346</v>
      </c>
    </row>
    <row r="92" spans="1:11" x14ac:dyDescent="0.3">
      <c r="A92" s="256">
        <v>11</v>
      </c>
      <c r="B92" s="257" t="s">
        <v>1368</v>
      </c>
      <c r="C92" s="276">
        <v>44480</v>
      </c>
      <c r="D92" s="257" t="s">
        <v>1257</v>
      </c>
      <c r="E92" s="256" t="s">
        <v>1574</v>
      </c>
      <c r="F92" s="256" t="s">
        <v>1648</v>
      </c>
      <c r="G92" s="258">
        <v>39234000000</v>
      </c>
      <c r="H92" s="265">
        <v>0</v>
      </c>
      <c r="I92" s="258">
        <v>0</v>
      </c>
      <c r="J92" s="258">
        <v>39234000000</v>
      </c>
      <c r="K92" s="256" t="s">
        <v>1346</v>
      </c>
    </row>
    <row r="93" spans="1:11" x14ac:dyDescent="0.3">
      <c r="A93" s="256">
        <v>12</v>
      </c>
      <c r="B93" s="257" t="s">
        <v>1371</v>
      </c>
      <c r="C93" s="276">
        <v>44481</v>
      </c>
      <c r="D93" s="257" t="s">
        <v>1277</v>
      </c>
      <c r="E93" s="256" t="s">
        <v>1582</v>
      </c>
      <c r="F93" s="256" t="s">
        <v>1623</v>
      </c>
      <c r="G93" s="258">
        <v>51890000000</v>
      </c>
      <c r="H93" s="265">
        <v>0.1</v>
      </c>
      <c r="I93" s="258">
        <v>5189000000</v>
      </c>
      <c r="J93" s="258">
        <v>57079000000</v>
      </c>
      <c r="K93" s="256" t="s">
        <v>1346</v>
      </c>
    </row>
    <row r="94" spans="1:11" x14ac:dyDescent="0.3">
      <c r="A94" s="256">
        <v>13</v>
      </c>
      <c r="B94" s="257" t="s">
        <v>1373</v>
      </c>
      <c r="C94" s="276">
        <v>44211</v>
      </c>
      <c r="D94" s="257" t="s">
        <v>1267</v>
      </c>
      <c r="E94" s="256" t="s">
        <v>1560</v>
      </c>
      <c r="F94" s="256" t="s">
        <v>1647</v>
      </c>
      <c r="G94" s="258">
        <v>44234000000</v>
      </c>
      <c r="H94" s="265">
        <v>0.1</v>
      </c>
      <c r="I94" s="258">
        <v>4423400000</v>
      </c>
      <c r="J94" s="258">
        <v>48657400000</v>
      </c>
      <c r="K94" s="256" t="s">
        <v>1346</v>
      </c>
    </row>
    <row r="95" spans="1:11" x14ac:dyDescent="0.3">
      <c r="A95" s="256">
        <v>14</v>
      </c>
      <c r="B95" s="257" t="s">
        <v>1374</v>
      </c>
      <c r="C95" s="276">
        <v>44242</v>
      </c>
      <c r="D95" s="257" t="s">
        <v>1287</v>
      </c>
      <c r="E95" s="256" t="s">
        <v>691</v>
      </c>
      <c r="F95" s="256" t="s">
        <v>1623</v>
      </c>
      <c r="G95" s="258">
        <v>53456000000</v>
      </c>
      <c r="H95" s="265">
        <v>0.1</v>
      </c>
      <c r="I95" s="258">
        <v>5345600000</v>
      </c>
      <c r="J95" s="258">
        <v>58801600000</v>
      </c>
      <c r="K95" s="256" t="s">
        <v>1346</v>
      </c>
    </row>
    <row r="96" spans="1:11" x14ac:dyDescent="0.3">
      <c r="A96" s="256">
        <v>15</v>
      </c>
      <c r="B96" s="257" t="s">
        <v>1376</v>
      </c>
      <c r="C96" s="276">
        <v>44270</v>
      </c>
      <c r="D96" s="257" t="s">
        <v>1395</v>
      </c>
      <c r="E96" s="256" t="s">
        <v>1581</v>
      </c>
      <c r="F96" s="256" t="s">
        <v>1648</v>
      </c>
      <c r="G96" s="258">
        <v>40890000000</v>
      </c>
      <c r="H96" s="265">
        <v>0</v>
      </c>
      <c r="I96" s="258">
        <v>0</v>
      </c>
      <c r="J96" s="258">
        <v>40890000000</v>
      </c>
      <c r="K96" s="256" t="s">
        <v>1346</v>
      </c>
    </row>
    <row r="97" spans="1:11" x14ac:dyDescent="0.3">
      <c r="A97" s="256">
        <v>16</v>
      </c>
      <c r="B97" s="257" t="s">
        <v>1378</v>
      </c>
      <c r="C97" s="276">
        <v>44301</v>
      </c>
      <c r="D97" s="257" t="s">
        <v>1259</v>
      </c>
      <c r="E97" s="256" t="s">
        <v>1569</v>
      </c>
      <c r="F97" s="256" t="s">
        <v>1623</v>
      </c>
      <c r="G97" s="258">
        <v>52345000000</v>
      </c>
      <c r="H97" s="265">
        <v>0.1</v>
      </c>
      <c r="I97" s="258">
        <v>5234500000</v>
      </c>
      <c r="J97" s="258">
        <v>57579500000</v>
      </c>
      <c r="K97" s="256" t="s">
        <v>1346</v>
      </c>
    </row>
    <row r="98" spans="1:11" x14ac:dyDescent="0.3">
      <c r="A98" s="256">
        <v>17</v>
      </c>
      <c r="B98" s="257" t="s">
        <v>1379</v>
      </c>
      <c r="C98" s="276">
        <v>44331</v>
      </c>
      <c r="D98" s="257" t="s">
        <v>1281</v>
      </c>
      <c r="E98" s="256" t="s">
        <v>1559</v>
      </c>
      <c r="F98" s="256" t="s">
        <v>1647</v>
      </c>
      <c r="G98" s="258">
        <v>45678000000</v>
      </c>
      <c r="H98" s="265">
        <v>0.1</v>
      </c>
      <c r="I98" s="258">
        <v>4567800000</v>
      </c>
      <c r="J98" s="258">
        <v>50245800000</v>
      </c>
      <c r="K98" s="256" t="s">
        <v>1346</v>
      </c>
    </row>
    <row r="99" spans="1:11" x14ac:dyDescent="0.3">
      <c r="A99" s="256">
        <v>18</v>
      </c>
      <c r="B99" s="257" t="s">
        <v>1381</v>
      </c>
      <c r="C99" s="276">
        <v>44362</v>
      </c>
      <c r="D99" s="257" t="s">
        <v>1322</v>
      </c>
      <c r="E99" s="256" t="s">
        <v>1638</v>
      </c>
      <c r="F99" s="256" t="s">
        <v>1623</v>
      </c>
      <c r="G99" s="258">
        <v>54234000000</v>
      </c>
      <c r="H99" s="265">
        <v>0.1</v>
      </c>
      <c r="I99" s="258">
        <v>5423400000</v>
      </c>
      <c r="J99" s="258">
        <v>59657400000</v>
      </c>
      <c r="K99" s="256" t="s">
        <v>1346</v>
      </c>
    </row>
    <row r="100" spans="1:11" x14ac:dyDescent="0.3">
      <c r="A100" s="256">
        <v>19</v>
      </c>
      <c r="B100" s="257" t="s">
        <v>1382</v>
      </c>
      <c r="C100" s="276">
        <v>44392</v>
      </c>
      <c r="D100" s="257" t="s">
        <v>1263</v>
      </c>
      <c r="E100" s="256" t="s">
        <v>1579</v>
      </c>
      <c r="F100" s="256" t="s">
        <v>1648</v>
      </c>
      <c r="G100" s="258">
        <v>41890000000</v>
      </c>
      <c r="H100" s="265">
        <v>0</v>
      </c>
      <c r="I100" s="258">
        <v>0</v>
      </c>
      <c r="J100" s="258">
        <v>41890000000</v>
      </c>
      <c r="K100" s="256" t="s">
        <v>1346</v>
      </c>
    </row>
    <row r="101" spans="1:11" x14ac:dyDescent="0.3">
      <c r="A101" s="256">
        <v>20</v>
      </c>
      <c r="B101" s="257" t="s">
        <v>1383</v>
      </c>
      <c r="C101" s="276">
        <v>44423</v>
      </c>
      <c r="D101" s="257" t="s">
        <v>1284</v>
      </c>
      <c r="E101" s="256" t="s">
        <v>1552</v>
      </c>
      <c r="F101" s="256" t="s">
        <v>1623</v>
      </c>
      <c r="G101" s="258">
        <v>52890000000</v>
      </c>
      <c r="H101" s="265">
        <v>0.1</v>
      </c>
      <c r="I101" s="258">
        <v>5289000000</v>
      </c>
      <c r="J101" s="258">
        <v>58179000000</v>
      </c>
      <c r="K101" s="256" t="s">
        <v>1346</v>
      </c>
    </row>
    <row r="102" spans="1:11" x14ac:dyDescent="0.3">
      <c r="A102" s="256">
        <v>21</v>
      </c>
      <c r="B102" s="257" t="s">
        <v>1203</v>
      </c>
      <c r="C102" s="276">
        <v>44454</v>
      </c>
      <c r="D102" s="257" t="s">
        <v>1314</v>
      </c>
      <c r="E102" s="256" t="s">
        <v>948</v>
      </c>
      <c r="F102" s="256" t="s">
        <v>1647</v>
      </c>
      <c r="G102" s="258">
        <v>46789000000</v>
      </c>
      <c r="H102" s="265">
        <v>0.1</v>
      </c>
      <c r="I102" s="258">
        <v>4678900000</v>
      </c>
      <c r="J102" s="258">
        <v>51467900000</v>
      </c>
      <c r="K102" s="256" t="s">
        <v>1346</v>
      </c>
    </row>
    <row r="103" spans="1:11" x14ac:dyDescent="0.3">
      <c r="A103" s="256">
        <v>22</v>
      </c>
      <c r="B103" s="257" t="s">
        <v>1204</v>
      </c>
      <c r="C103" s="276">
        <v>44484</v>
      </c>
      <c r="D103" s="257" t="s">
        <v>1304</v>
      </c>
      <c r="E103" s="256" t="s">
        <v>1651</v>
      </c>
      <c r="F103" s="256" t="s">
        <v>1623</v>
      </c>
      <c r="G103" s="258">
        <v>55234000000</v>
      </c>
      <c r="H103" s="265">
        <v>0.1</v>
      </c>
      <c r="I103" s="258">
        <v>5523400000</v>
      </c>
      <c r="J103" s="258">
        <v>60757400000</v>
      </c>
      <c r="K103" s="256" t="s">
        <v>1346</v>
      </c>
    </row>
    <row r="104" spans="1:11" x14ac:dyDescent="0.3">
      <c r="A104" s="256">
        <v>23</v>
      </c>
      <c r="B104" s="257" t="s">
        <v>1205</v>
      </c>
      <c r="C104" s="276">
        <v>44515</v>
      </c>
      <c r="D104" s="257" t="s">
        <v>1264</v>
      </c>
      <c r="E104" s="256" t="s">
        <v>1584</v>
      </c>
      <c r="F104" s="256" t="s">
        <v>1648</v>
      </c>
      <c r="G104" s="258">
        <v>42890000000</v>
      </c>
      <c r="H104" s="265">
        <v>0</v>
      </c>
      <c r="I104" s="258">
        <v>0</v>
      </c>
      <c r="J104" s="258">
        <v>42890000000</v>
      </c>
      <c r="K104" s="256" t="s">
        <v>1346</v>
      </c>
    </row>
    <row r="105" spans="1:11" x14ac:dyDescent="0.3">
      <c r="A105" s="256">
        <v>24</v>
      </c>
      <c r="B105" s="257" t="s">
        <v>1385</v>
      </c>
      <c r="C105" s="276">
        <v>44545</v>
      </c>
      <c r="D105" s="257" t="s">
        <v>1260</v>
      </c>
      <c r="E105" s="256" t="s">
        <v>1585</v>
      </c>
      <c r="F105" s="256" t="s">
        <v>1623</v>
      </c>
      <c r="G105" s="258">
        <v>53456000000</v>
      </c>
      <c r="H105" s="265">
        <v>0.1</v>
      </c>
      <c r="I105" s="258">
        <v>5345600000</v>
      </c>
      <c r="J105" s="258">
        <v>58801600000</v>
      </c>
      <c r="K105" s="256" t="s">
        <v>1346</v>
      </c>
    </row>
    <row r="106" spans="1:11" x14ac:dyDescent="0.3">
      <c r="A106" s="256">
        <v>25</v>
      </c>
      <c r="B106" s="257" t="s">
        <v>1387</v>
      </c>
      <c r="C106" s="276">
        <v>44216</v>
      </c>
      <c r="D106" s="257" t="s">
        <v>1262</v>
      </c>
      <c r="E106" s="256" t="s">
        <v>1556</v>
      </c>
      <c r="F106" s="256" t="s">
        <v>1647</v>
      </c>
      <c r="G106" s="258">
        <v>47890000000</v>
      </c>
      <c r="H106" s="265">
        <v>0.1</v>
      </c>
      <c r="I106" s="258">
        <v>4789000000</v>
      </c>
      <c r="J106" s="258">
        <v>52679000000</v>
      </c>
      <c r="K106" s="256" t="s">
        <v>1346</v>
      </c>
    </row>
    <row r="107" spans="1:11" x14ac:dyDescent="0.3">
      <c r="A107" s="256">
        <v>26</v>
      </c>
      <c r="B107" s="257" t="s">
        <v>1388</v>
      </c>
      <c r="C107" s="276">
        <v>44247</v>
      </c>
      <c r="D107" s="257" t="s">
        <v>1275</v>
      </c>
      <c r="E107" s="256" t="s">
        <v>1575</v>
      </c>
      <c r="F107" s="256" t="s">
        <v>1623</v>
      </c>
      <c r="G107" s="258">
        <v>55890000000</v>
      </c>
      <c r="H107" s="265">
        <v>0.1</v>
      </c>
      <c r="I107" s="258">
        <v>5589000000</v>
      </c>
      <c r="J107" s="258">
        <v>61479000000</v>
      </c>
      <c r="K107" s="256" t="s">
        <v>1346</v>
      </c>
    </row>
    <row r="108" spans="1:11" x14ac:dyDescent="0.3">
      <c r="A108" s="256">
        <v>27</v>
      </c>
      <c r="B108" s="257" t="s">
        <v>1391</v>
      </c>
      <c r="C108" s="276">
        <v>44275</v>
      </c>
      <c r="D108" s="257" t="s">
        <v>1268</v>
      </c>
      <c r="E108" s="256" t="s">
        <v>1594</v>
      </c>
      <c r="F108" s="256" t="s">
        <v>1648</v>
      </c>
      <c r="G108" s="258">
        <v>43890000000</v>
      </c>
      <c r="H108" s="265">
        <v>0</v>
      </c>
      <c r="I108" s="258">
        <v>0</v>
      </c>
      <c r="J108" s="258">
        <v>43890000000</v>
      </c>
      <c r="K108" s="256" t="s">
        <v>1346</v>
      </c>
    </row>
    <row r="109" spans="1:11" x14ac:dyDescent="0.3">
      <c r="A109" s="256">
        <v>28</v>
      </c>
      <c r="B109" s="257" t="s">
        <v>1392</v>
      </c>
      <c r="C109" s="276">
        <v>44306</v>
      </c>
      <c r="D109" s="257" t="s">
        <v>1416</v>
      </c>
      <c r="E109" s="256" t="s">
        <v>1562</v>
      </c>
      <c r="F109" s="256" t="s">
        <v>1623</v>
      </c>
      <c r="G109" s="258">
        <v>54890000000</v>
      </c>
      <c r="H109" s="265">
        <v>0.1</v>
      </c>
      <c r="I109" s="258">
        <v>5489000000</v>
      </c>
      <c r="J109" s="258">
        <v>60379000000</v>
      </c>
      <c r="K109" s="256" t="s">
        <v>1346</v>
      </c>
    </row>
    <row r="110" spans="1:11" x14ac:dyDescent="0.3">
      <c r="A110" s="256">
        <v>29</v>
      </c>
      <c r="B110" s="257" t="s">
        <v>1394</v>
      </c>
      <c r="C110" s="276">
        <v>44336</v>
      </c>
      <c r="D110" s="257" t="s">
        <v>1280</v>
      </c>
      <c r="E110" s="256" t="s">
        <v>618</v>
      </c>
      <c r="F110" s="256" t="s">
        <v>1647</v>
      </c>
      <c r="G110" s="258">
        <v>48901000000</v>
      </c>
      <c r="H110" s="265">
        <v>0.1</v>
      </c>
      <c r="I110" s="258">
        <v>4890100000</v>
      </c>
      <c r="J110" s="258">
        <v>53791100000</v>
      </c>
      <c r="K110" s="256" t="s">
        <v>1346</v>
      </c>
    </row>
    <row r="111" spans="1:11" x14ac:dyDescent="0.3">
      <c r="A111" s="256">
        <v>30</v>
      </c>
      <c r="B111" s="257" t="s">
        <v>1396</v>
      </c>
      <c r="C111" s="276">
        <v>44367</v>
      </c>
      <c r="D111" s="257" t="s">
        <v>1306</v>
      </c>
      <c r="E111" s="256" t="s">
        <v>878</v>
      </c>
      <c r="F111" s="256" t="s">
        <v>1623</v>
      </c>
      <c r="G111" s="258">
        <v>56234000000</v>
      </c>
      <c r="H111" s="265">
        <v>0.1</v>
      </c>
      <c r="I111" s="258">
        <v>5623400000</v>
      </c>
      <c r="J111" s="258">
        <v>61857400000</v>
      </c>
      <c r="K111" s="256" t="s">
        <v>1346</v>
      </c>
    </row>
    <row r="112" spans="1:11" x14ac:dyDescent="0.3">
      <c r="A112" s="256">
        <v>31</v>
      </c>
      <c r="B112" s="257" t="s">
        <v>1397</v>
      </c>
      <c r="C112" s="276">
        <v>44397</v>
      </c>
      <c r="D112" s="257" t="s">
        <v>1266</v>
      </c>
      <c r="E112" s="256" t="s">
        <v>1570</v>
      </c>
      <c r="F112" s="256" t="s">
        <v>1648</v>
      </c>
      <c r="G112" s="258">
        <v>44890000000</v>
      </c>
      <c r="H112" s="265">
        <v>0</v>
      </c>
      <c r="I112" s="258">
        <v>0</v>
      </c>
      <c r="J112" s="258">
        <v>44890000000</v>
      </c>
      <c r="K112" s="256" t="s">
        <v>1346</v>
      </c>
    </row>
    <row r="113" spans="1:11" x14ac:dyDescent="0.3">
      <c r="A113" s="256">
        <v>32</v>
      </c>
      <c r="B113" s="257" t="s">
        <v>1398</v>
      </c>
      <c r="C113" s="276">
        <v>44428</v>
      </c>
      <c r="D113" s="257" t="s">
        <v>1283</v>
      </c>
      <c r="E113" s="256" t="s">
        <v>1588</v>
      </c>
      <c r="F113" s="256" t="s">
        <v>1623</v>
      </c>
      <c r="G113" s="258">
        <v>55678000000</v>
      </c>
      <c r="H113" s="265">
        <v>0.1</v>
      </c>
      <c r="I113" s="258">
        <v>5567800000</v>
      </c>
      <c r="J113" s="258">
        <v>61245800000</v>
      </c>
      <c r="K113" s="256" t="s">
        <v>1346</v>
      </c>
    </row>
    <row r="114" spans="1:11" x14ac:dyDescent="0.3">
      <c r="A114" s="256">
        <v>33</v>
      </c>
      <c r="B114" s="257" t="s">
        <v>1399</v>
      </c>
      <c r="C114" s="276">
        <v>44459</v>
      </c>
      <c r="D114" s="257" t="s">
        <v>1384</v>
      </c>
      <c r="E114" s="256" t="s">
        <v>1565</v>
      </c>
      <c r="F114" s="256" t="s">
        <v>1647</v>
      </c>
      <c r="G114" s="258">
        <v>50234000000</v>
      </c>
      <c r="H114" s="265">
        <v>0.1</v>
      </c>
      <c r="I114" s="258">
        <v>5023400000</v>
      </c>
      <c r="J114" s="258">
        <v>55257400000</v>
      </c>
      <c r="K114" s="256" t="s">
        <v>1346</v>
      </c>
    </row>
    <row r="115" spans="1:11" x14ac:dyDescent="0.3">
      <c r="A115" s="256">
        <v>34</v>
      </c>
      <c r="B115" s="257" t="s">
        <v>1401</v>
      </c>
      <c r="C115" s="276">
        <v>44489</v>
      </c>
      <c r="D115" s="257" t="s">
        <v>1261</v>
      </c>
      <c r="E115" s="256" t="s">
        <v>1572</v>
      </c>
      <c r="F115" s="256" t="s">
        <v>1623</v>
      </c>
      <c r="G115" s="258">
        <v>57234000000</v>
      </c>
      <c r="H115" s="265">
        <v>0.1</v>
      </c>
      <c r="I115" s="258">
        <v>5723400000</v>
      </c>
      <c r="J115" s="258">
        <v>62957400000</v>
      </c>
      <c r="K115" s="256" t="s">
        <v>1346</v>
      </c>
    </row>
    <row r="116" spans="1:11" x14ac:dyDescent="0.3">
      <c r="A116" s="256">
        <v>35</v>
      </c>
      <c r="B116" s="257" t="s">
        <v>1402</v>
      </c>
      <c r="C116" s="276">
        <v>44520</v>
      </c>
      <c r="D116" s="257" t="s">
        <v>1272</v>
      </c>
      <c r="E116" s="256" t="s">
        <v>540</v>
      </c>
      <c r="F116" s="256" t="s">
        <v>1648</v>
      </c>
      <c r="G116" s="258">
        <v>45678000000</v>
      </c>
      <c r="H116" s="265">
        <v>0</v>
      </c>
      <c r="I116" s="258">
        <v>0</v>
      </c>
      <c r="J116" s="258">
        <v>45678000000</v>
      </c>
      <c r="K116" s="256" t="s">
        <v>1346</v>
      </c>
    </row>
    <row r="117" spans="1:11" x14ac:dyDescent="0.3">
      <c r="A117" s="256">
        <v>36</v>
      </c>
      <c r="B117" s="257" t="s">
        <v>1403</v>
      </c>
      <c r="C117" s="276">
        <v>44550</v>
      </c>
      <c r="D117" s="257" t="s">
        <v>1295</v>
      </c>
      <c r="E117" s="256" t="s">
        <v>1636</v>
      </c>
      <c r="F117" s="256" t="s">
        <v>1623</v>
      </c>
      <c r="G117" s="258">
        <v>57890000000</v>
      </c>
      <c r="H117" s="265">
        <v>0.1</v>
      </c>
      <c r="I117" s="258">
        <v>5789000000</v>
      </c>
      <c r="J117" s="258">
        <v>63679000000</v>
      </c>
      <c r="K117" s="256" t="s">
        <v>1346</v>
      </c>
    </row>
    <row r="118" spans="1:11" x14ac:dyDescent="0.3">
      <c r="A118" s="256">
        <v>37</v>
      </c>
      <c r="B118" s="257" t="s">
        <v>1404</v>
      </c>
      <c r="C118" s="276">
        <v>44221</v>
      </c>
      <c r="D118" s="257" t="s">
        <v>1300</v>
      </c>
      <c r="E118" s="256" t="s">
        <v>1652</v>
      </c>
      <c r="F118" s="256" t="s">
        <v>1647</v>
      </c>
      <c r="G118" s="258">
        <v>51234000000</v>
      </c>
      <c r="H118" s="265">
        <v>0.1</v>
      </c>
      <c r="I118" s="258">
        <v>5123400000</v>
      </c>
      <c r="J118" s="258">
        <v>56357400000</v>
      </c>
      <c r="K118" s="256" t="s">
        <v>1346</v>
      </c>
    </row>
    <row r="119" spans="1:11" x14ac:dyDescent="0.3">
      <c r="A119" s="256">
        <v>38</v>
      </c>
      <c r="B119" s="257" t="s">
        <v>1405</v>
      </c>
      <c r="C119" s="276">
        <v>44252</v>
      </c>
      <c r="D119" s="257" t="s">
        <v>1274</v>
      </c>
      <c r="E119" s="256" t="s">
        <v>1592</v>
      </c>
      <c r="F119" s="256" t="s">
        <v>1623</v>
      </c>
      <c r="G119" s="258">
        <v>58234000000</v>
      </c>
      <c r="H119" s="265">
        <v>0.1</v>
      </c>
      <c r="I119" s="258">
        <v>5823400000</v>
      </c>
      <c r="J119" s="258">
        <v>64057400000</v>
      </c>
      <c r="K119" s="256" t="s">
        <v>1346</v>
      </c>
    </row>
    <row r="120" spans="1:11" x14ac:dyDescent="0.3">
      <c r="A120" s="256">
        <v>39</v>
      </c>
      <c r="B120" s="257" t="s">
        <v>1406</v>
      </c>
      <c r="C120" s="276">
        <v>44280</v>
      </c>
      <c r="D120" s="257" t="s">
        <v>1318</v>
      </c>
      <c r="E120" s="256" t="s">
        <v>982</v>
      </c>
      <c r="F120" s="256" t="s">
        <v>1648</v>
      </c>
      <c r="G120" s="258">
        <v>46789000000</v>
      </c>
      <c r="H120" s="265">
        <v>0</v>
      </c>
      <c r="I120" s="258">
        <v>0</v>
      </c>
      <c r="J120" s="258">
        <v>46789000000</v>
      </c>
      <c r="K120" s="256" t="s">
        <v>1346</v>
      </c>
    </row>
    <row r="121" spans="1:11" x14ac:dyDescent="0.3">
      <c r="A121" s="256">
        <v>40</v>
      </c>
      <c r="B121" s="257" t="s">
        <v>1408</v>
      </c>
      <c r="C121" s="276">
        <v>44311</v>
      </c>
      <c r="D121" s="257" t="s">
        <v>1326</v>
      </c>
      <c r="E121" s="256" t="s">
        <v>1065</v>
      </c>
      <c r="F121" s="256" t="s">
        <v>1623</v>
      </c>
      <c r="G121" s="258">
        <v>58901000000</v>
      </c>
      <c r="H121" s="265">
        <v>0.1</v>
      </c>
      <c r="I121" s="258">
        <v>5890100000</v>
      </c>
      <c r="J121" s="258">
        <v>64791100000</v>
      </c>
      <c r="K121" s="256" t="s">
        <v>1346</v>
      </c>
    </row>
    <row r="122" spans="1:11" x14ac:dyDescent="0.3">
      <c r="A122" s="256">
        <v>41</v>
      </c>
      <c r="B122" s="257" t="s">
        <v>1409</v>
      </c>
      <c r="C122" s="276">
        <v>44341</v>
      </c>
      <c r="D122" s="257" t="s">
        <v>1278</v>
      </c>
      <c r="E122" s="256" t="s">
        <v>1593</v>
      </c>
      <c r="F122" s="256" t="s">
        <v>1647</v>
      </c>
      <c r="G122" s="258">
        <v>52345000000</v>
      </c>
      <c r="H122" s="265">
        <v>0.1</v>
      </c>
      <c r="I122" s="258">
        <v>5234500000</v>
      </c>
      <c r="J122" s="258">
        <v>57579500000</v>
      </c>
      <c r="K122" s="256" t="s">
        <v>1346</v>
      </c>
    </row>
    <row r="123" spans="1:11" x14ac:dyDescent="0.3">
      <c r="A123" s="256">
        <v>42</v>
      </c>
      <c r="B123" s="257" t="s">
        <v>1411</v>
      </c>
      <c r="C123" s="276">
        <v>44372</v>
      </c>
      <c r="D123" s="257" t="s">
        <v>1286</v>
      </c>
      <c r="E123" s="256" t="s">
        <v>1653</v>
      </c>
      <c r="F123" s="256" t="s">
        <v>1623</v>
      </c>
      <c r="G123" s="258">
        <v>59234000000</v>
      </c>
      <c r="H123" s="265">
        <v>0.1</v>
      </c>
      <c r="I123" s="258">
        <v>5923400000</v>
      </c>
      <c r="J123" s="258">
        <v>65157400000</v>
      </c>
      <c r="K123" s="256" t="s">
        <v>1346</v>
      </c>
    </row>
    <row r="124" spans="1:11" x14ac:dyDescent="0.3">
      <c r="A124" s="256">
        <v>43</v>
      </c>
      <c r="B124" s="257" t="s">
        <v>1414</v>
      </c>
      <c r="C124" s="276">
        <v>44402</v>
      </c>
      <c r="D124" s="257" t="s">
        <v>1269</v>
      </c>
      <c r="E124" s="256" t="s">
        <v>1641</v>
      </c>
      <c r="F124" s="256" t="s">
        <v>1648</v>
      </c>
      <c r="G124" s="258">
        <v>47890000000</v>
      </c>
      <c r="H124" s="265">
        <v>0</v>
      </c>
      <c r="I124" s="258">
        <v>0</v>
      </c>
      <c r="J124" s="258">
        <v>47890000000</v>
      </c>
      <c r="K124" s="256" t="s">
        <v>1346</v>
      </c>
    </row>
    <row r="125" spans="1:11" x14ac:dyDescent="0.3">
      <c r="A125" s="256">
        <v>44</v>
      </c>
      <c r="B125" s="257" t="s">
        <v>1415</v>
      </c>
      <c r="C125" s="276">
        <v>44433</v>
      </c>
      <c r="D125" s="257" t="s">
        <v>1289</v>
      </c>
      <c r="E125" s="256" t="s">
        <v>1640</v>
      </c>
      <c r="F125" s="256" t="s">
        <v>1623</v>
      </c>
      <c r="G125" s="258">
        <v>59890000000</v>
      </c>
      <c r="H125" s="265">
        <v>0.1</v>
      </c>
      <c r="I125" s="258">
        <v>5989000000</v>
      </c>
      <c r="J125" s="258">
        <v>65879000000</v>
      </c>
      <c r="K125" s="256" t="s">
        <v>1346</v>
      </c>
    </row>
    <row r="126" spans="1:11" x14ac:dyDescent="0.3">
      <c r="A126" s="256">
        <v>45</v>
      </c>
      <c r="B126" s="257" t="s">
        <v>1206</v>
      </c>
      <c r="C126" s="276">
        <v>44464</v>
      </c>
      <c r="D126" s="257" t="s">
        <v>1428</v>
      </c>
      <c r="E126" s="256" t="s">
        <v>1557</v>
      </c>
      <c r="F126" s="256" t="s">
        <v>1647</v>
      </c>
      <c r="G126" s="258">
        <v>53456000000</v>
      </c>
      <c r="H126" s="265">
        <v>0.1</v>
      </c>
      <c r="I126" s="258">
        <v>5345600000</v>
      </c>
      <c r="J126" s="258">
        <v>58801600000</v>
      </c>
      <c r="K126" s="256" t="s">
        <v>1346</v>
      </c>
    </row>
    <row r="127" spans="1:11" x14ac:dyDescent="0.3">
      <c r="A127" s="256">
        <v>46</v>
      </c>
      <c r="B127" s="257" t="s">
        <v>1207</v>
      </c>
      <c r="C127" s="276">
        <v>44494</v>
      </c>
      <c r="D127" s="257" t="s">
        <v>1297</v>
      </c>
      <c r="E127" s="256" t="s">
        <v>1643</v>
      </c>
      <c r="F127" s="256" t="s">
        <v>1623</v>
      </c>
      <c r="G127" s="258">
        <v>60234000000</v>
      </c>
      <c r="H127" s="265">
        <v>0.1</v>
      </c>
      <c r="I127" s="258">
        <v>6023400000</v>
      </c>
      <c r="J127" s="258">
        <v>66257400000</v>
      </c>
      <c r="K127" s="256" t="s">
        <v>1346</v>
      </c>
    </row>
    <row r="128" spans="1:11" x14ac:dyDescent="0.3">
      <c r="A128" s="256">
        <v>47</v>
      </c>
      <c r="B128" s="257" t="s">
        <v>1208</v>
      </c>
      <c r="C128" s="276">
        <v>44525</v>
      </c>
      <c r="D128" s="257" t="s">
        <v>1310</v>
      </c>
      <c r="E128" s="256" t="s">
        <v>1635</v>
      </c>
      <c r="F128" s="256" t="s">
        <v>1648</v>
      </c>
      <c r="G128" s="258">
        <v>48901000000</v>
      </c>
      <c r="H128" s="265">
        <v>0</v>
      </c>
      <c r="I128" s="258">
        <v>0</v>
      </c>
      <c r="J128" s="258">
        <v>48901000000</v>
      </c>
      <c r="K128" s="256" t="s">
        <v>1346</v>
      </c>
    </row>
    <row r="129" spans="1:11" x14ac:dyDescent="0.3">
      <c r="A129" s="256">
        <v>48</v>
      </c>
      <c r="B129" s="257" t="s">
        <v>1209</v>
      </c>
      <c r="C129" s="276">
        <v>44555</v>
      </c>
      <c r="D129" s="257" t="s">
        <v>1290</v>
      </c>
      <c r="E129" s="256" t="s">
        <v>715</v>
      </c>
      <c r="F129" s="256" t="s">
        <v>1623</v>
      </c>
      <c r="G129" s="258">
        <v>60890000000</v>
      </c>
      <c r="H129" s="265">
        <v>0.1</v>
      </c>
      <c r="I129" s="258">
        <v>6089000000</v>
      </c>
      <c r="J129" s="258">
        <v>66979000000</v>
      </c>
      <c r="K129" s="256" t="s">
        <v>1346</v>
      </c>
    </row>
    <row r="130" spans="1:11" x14ac:dyDescent="0.3">
      <c r="A130" s="256">
        <v>49</v>
      </c>
      <c r="B130" s="257" t="s">
        <v>1418</v>
      </c>
      <c r="C130" s="276">
        <v>44255</v>
      </c>
      <c r="D130" s="257" t="s">
        <v>1273</v>
      </c>
      <c r="E130" s="256" t="s">
        <v>1567</v>
      </c>
      <c r="F130" s="256" t="s">
        <v>1647</v>
      </c>
      <c r="G130" s="258">
        <v>54234000000</v>
      </c>
      <c r="H130" s="265">
        <v>0.1</v>
      </c>
      <c r="I130" s="258">
        <v>5423400000</v>
      </c>
      <c r="J130" s="258">
        <v>59657400000</v>
      </c>
      <c r="K130" s="256" t="s">
        <v>1346</v>
      </c>
    </row>
    <row r="131" spans="1:11" x14ac:dyDescent="0.3">
      <c r="A131" s="256">
        <v>50</v>
      </c>
      <c r="B131" s="257" t="s">
        <v>1419</v>
      </c>
      <c r="C131" s="276">
        <v>44561</v>
      </c>
      <c r="D131" s="257" t="s">
        <v>1395</v>
      </c>
      <c r="E131" s="256" t="s">
        <v>1581</v>
      </c>
      <c r="F131" s="256" t="s">
        <v>1623</v>
      </c>
      <c r="G131" s="258">
        <v>61234000000</v>
      </c>
      <c r="H131" s="265">
        <v>0.1</v>
      </c>
      <c r="I131" s="258">
        <v>6123400000</v>
      </c>
      <c r="J131" s="258">
        <v>67357400000</v>
      </c>
      <c r="K131" s="256" t="s">
        <v>1346</v>
      </c>
    </row>
    <row r="132" spans="1:11" x14ac:dyDescent="0.3">
      <c r="A132" s="266" t="s">
        <v>1351</v>
      </c>
      <c r="B132" s="266"/>
      <c r="C132" s="266"/>
      <c r="D132" s="266"/>
      <c r="E132" s="266"/>
      <c r="F132" s="266"/>
      <c r="G132" s="267">
        <f>SUM(G82:G131)</f>
        <v>2523082000000</v>
      </c>
      <c r="H132" s="266"/>
      <c r="I132" s="267">
        <f>SUM(I82:I131)</f>
        <v>200657200000</v>
      </c>
      <c r="J132" s="267">
        <f>SUM(J82:J131)</f>
        <v>2723739200000</v>
      </c>
      <c r="K132" s="26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workbookViewId="0"/>
  </sheetViews>
  <sheetFormatPr defaultRowHeight="14.4" x14ac:dyDescent="0.3"/>
  <sheetData>
    <row r="1" spans="1:11" x14ac:dyDescent="0.3">
      <c r="A1" s="256" t="s">
        <v>1340</v>
      </c>
      <c r="B1" s="256" t="s">
        <v>461</v>
      </c>
      <c r="C1" s="256"/>
      <c r="D1" s="256"/>
      <c r="E1" s="256"/>
      <c r="F1" s="256"/>
      <c r="G1" s="256"/>
      <c r="H1" s="256"/>
      <c r="I1" s="256"/>
      <c r="J1" s="256"/>
      <c r="K1" s="256"/>
    </row>
    <row r="2" spans="1:11" x14ac:dyDescent="0.3">
      <c r="A2" s="256" t="s">
        <v>1339</v>
      </c>
      <c r="B2" s="257">
        <v>101377820</v>
      </c>
      <c r="C2" s="256"/>
      <c r="D2" s="256"/>
      <c r="E2" s="256"/>
      <c r="F2" s="256"/>
      <c r="G2" s="256"/>
      <c r="H2" s="256"/>
      <c r="I2" s="256"/>
      <c r="J2" s="256"/>
      <c r="K2" s="256"/>
    </row>
    <row r="3" spans="1:11" x14ac:dyDescent="0.3">
      <c r="A3" s="256" t="s">
        <v>1343</v>
      </c>
      <c r="B3" s="258">
        <v>866764520099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1360</v>
      </c>
      <c r="C8" s="276">
        <v>44470</v>
      </c>
      <c r="D8" s="257" t="s">
        <v>1276</v>
      </c>
      <c r="E8" s="256" t="s">
        <v>1654</v>
      </c>
      <c r="F8" s="256" t="s">
        <v>1616</v>
      </c>
      <c r="G8" s="258">
        <v>20234000000</v>
      </c>
      <c r="H8" s="265">
        <v>0.1</v>
      </c>
      <c r="I8" s="258">
        <v>2023400000</v>
      </c>
      <c r="J8" s="258">
        <v>22257400000</v>
      </c>
      <c r="K8" s="256" t="s">
        <v>1346</v>
      </c>
    </row>
    <row r="9" spans="1:11" x14ac:dyDescent="0.3">
      <c r="A9" s="256">
        <v>2</v>
      </c>
      <c r="B9" s="257" t="s">
        <v>1358</v>
      </c>
      <c r="C9" s="276">
        <v>44471</v>
      </c>
      <c r="D9" s="257" t="s">
        <v>1333</v>
      </c>
      <c r="E9" s="256" t="s">
        <v>1134</v>
      </c>
      <c r="F9" s="256" t="s">
        <v>1617</v>
      </c>
      <c r="G9" s="258">
        <v>7234000000</v>
      </c>
      <c r="H9" s="265">
        <v>0.1</v>
      </c>
      <c r="I9" s="258">
        <v>723400000</v>
      </c>
      <c r="J9" s="258">
        <v>7957400000</v>
      </c>
      <c r="K9" s="256" t="s">
        <v>1346</v>
      </c>
    </row>
    <row r="10" spans="1:11" x14ac:dyDescent="0.3">
      <c r="A10" s="256">
        <v>3</v>
      </c>
      <c r="B10" s="257" t="s">
        <v>1360</v>
      </c>
      <c r="C10" s="276">
        <v>44472</v>
      </c>
      <c r="D10" s="257" t="s">
        <v>1255</v>
      </c>
      <c r="E10" s="256" t="s">
        <v>1649</v>
      </c>
      <c r="F10" s="256" t="s">
        <v>1618</v>
      </c>
      <c r="G10" s="258">
        <v>12345000000</v>
      </c>
      <c r="H10" s="265">
        <v>0.1</v>
      </c>
      <c r="I10" s="258">
        <v>1234500000</v>
      </c>
      <c r="J10" s="258">
        <v>13579500000</v>
      </c>
      <c r="K10" s="256" t="s">
        <v>1346</v>
      </c>
    </row>
    <row r="11" spans="1:11" x14ac:dyDescent="0.3">
      <c r="A11" s="256">
        <v>4</v>
      </c>
      <c r="B11" s="257" t="s">
        <v>1360</v>
      </c>
      <c r="C11" s="276">
        <v>44473</v>
      </c>
      <c r="D11" s="257" t="s">
        <v>1271</v>
      </c>
      <c r="E11" s="256" t="s">
        <v>1634</v>
      </c>
      <c r="F11" s="256" t="s">
        <v>1546</v>
      </c>
      <c r="G11" s="258">
        <v>9234000000</v>
      </c>
      <c r="H11" s="265">
        <v>0</v>
      </c>
      <c r="I11" s="258">
        <v>0</v>
      </c>
      <c r="J11" s="258">
        <v>9234000000</v>
      </c>
      <c r="K11" s="256" t="s">
        <v>1346</v>
      </c>
    </row>
    <row r="12" spans="1:11" x14ac:dyDescent="0.3">
      <c r="A12" s="256">
        <v>5</v>
      </c>
      <c r="B12" s="257" t="s">
        <v>1392</v>
      </c>
      <c r="C12" s="276">
        <v>44474</v>
      </c>
      <c r="D12" s="257" t="s">
        <v>1281</v>
      </c>
      <c r="E12" s="256" t="s">
        <v>1559</v>
      </c>
      <c r="F12" s="256" t="s">
        <v>1619</v>
      </c>
      <c r="G12" s="258">
        <v>11234000000</v>
      </c>
      <c r="H12" s="265">
        <v>0.1</v>
      </c>
      <c r="I12" s="258">
        <v>1123400000</v>
      </c>
      <c r="J12" s="258">
        <v>12357400000</v>
      </c>
      <c r="K12" s="256" t="s">
        <v>1346</v>
      </c>
    </row>
    <row r="13" spans="1:11" x14ac:dyDescent="0.3">
      <c r="A13" s="256">
        <v>6</v>
      </c>
      <c r="B13" s="257" t="s">
        <v>1378</v>
      </c>
      <c r="C13" s="276">
        <v>44475</v>
      </c>
      <c r="D13" s="257" t="s">
        <v>1266</v>
      </c>
      <c r="E13" s="256" t="s">
        <v>1667</v>
      </c>
      <c r="F13" s="256" t="s">
        <v>1616</v>
      </c>
      <c r="G13" s="258">
        <v>18234000000</v>
      </c>
      <c r="H13" s="265">
        <v>0.1</v>
      </c>
      <c r="I13" s="258">
        <v>1823400000</v>
      </c>
      <c r="J13" s="258">
        <v>20057400000</v>
      </c>
      <c r="K13" s="256" t="s">
        <v>1346</v>
      </c>
    </row>
    <row r="14" spans="1:11" x14ac:dyDescent="0.3">
      <c r="A14" s="256">
        <v>7</v>
      </c>
      <c r="B14" s="257" t="s">
        <v>1360</v>
      </c>
      <c r="C14" s="276">
        <v>44476</v>
      </c>
      <c r="D14" s="257" t="s">
        <v>1256</v>
      </c>
      <c r="E14" s="256" t="s">
        <v>1665</v>
      </c>
      <c r="F14" s="256" t="s">
        <v>1347</v>
      </c>
      <c r="G14" s="258">
        <v>7234000000</v>
      </c>
      <c r="H14" s="265">
        <v>0.1</v>
      </c>
      <c r="I14" s="258">
        <v>723400000</v>
      </c>
      <c r="J14" s="258">
        <v>7957400000</v>
      </c>
      <c r="K14" s="256" t="s">
        <v>1346</v>
      </c>
    </row>
    <row r="15" spans="1:11" x14ac:dyDescent="0.3">
      <c r="A15" s="256">
        <v>8</v>
      </c>
      <c r="B15" s="257" t="s">
        <v>1388</v>
      </c>
      <c r="C15" s="276">
        <v>44477</v>
      </c>
      <c r="D15" s="257" t="s">
        <v>1352</v>
      </c>
      <c r="E15" s="256" t="s">
        <v>1571</v>
      </c>
      <c r="F15" s="256" t="s">
        <v>1616</v>
      </c>
      <c r="G15" s="258">
        <v>21234000000</v>
      </c>
      <c r="H15" s="265">
        <v>0.1</v>
      </c>
      <c r="I15" s="258">
        <v>2123400000</v>
      </c>
      <c r="J15" s="258">
        <v>23357400000</v>
      </c>
      <c r="K15" s="256" t="s">
        <v>1348</v>
      </c>
    </row>
    <row r="16" spans="1:11" x14ac:dyDescent="0.3">
      <c r="A16" s="256">
        <v>9</v>
      </c>
      <c r="B16" s="257" t="s">
        <v>1360</v>
      </c>
      <c r="C16" s="276">
        <v>44478</v>
      </c>
      <c r="D16" s="257" t="s">
        <v>1314</v>
      </c>
      <c r="E16" s="256" t="s">
        <v>948</v>
      </c>
      <c r="F16" s="256" t="s">
        <v>1621</v>
      </c>
      <c r="G16" s="258">
        <v>8234000000</v>
      </c>
      <c r="H16" s="265">
        <v>0.1</v>
      </c>
      <c r="I16" s="258">
        <v>823400000</v>
      </c>
      <c r="J16" s="258">
        <v>9057400000</v>
      </c>
      <c r="K16" s="256" t="s">
        <v>1346</v>
      </c>
    </row>
    <row r="17" spans="1:11" x14ac:dyDescent="0.3">
      <c r="A17" s="256">
        <v>10</v>
      </c>
      <c r="B17" s="257" t="s">
        <v>1360</v>
      </c>
      <c r="C17" s="276">
        <v>44479</v>
      </c>
      <c r="D17" s="257" t="s">
        <v>1287</v>
      </c>
      <c r="E17" s="256" t="s">
        <v>691</v>
      </c>
      <c r="F17" s="256" t="s">
        <v>1546</v>
      </c>
      <c r="G17" s="258">
        <v>9890000000</v>
      </c>
      <c r="H17" s="265">
        <v>0</v>
      </c>
      <c r="I17" s="258">
        <v>0</v>
      </c>
      <c r="J17" s="258">
        <v>9890000000</v>
      </c>
      <c r="K17" s="256" t="s">
        <v>1346</v>
      </c>
    </row>
    <row r="18" spans="1:11" x14ac:dyDescent="0.3">
      <c r="A18" s="256">
        <v>11</v>
      </c>
      <c r="B18" s="257" t="s">
        <v>1358</v>
      </c>
      <c r="C18" s="276">
        <v>44480</v>
      </c>
      <c r="D18" s="257" t="s">
        <v>1270</v>
      </c>
      <c r="E18" s="256" t="s">
        <v>1393</v>
      </c>
      <c r="F18" s="256" t="s">
        <v>1616</v>
      </c>
      <c r="G18" s="258">
        <v>17890000000</v>
      </c>
      <c r="H18" s="265">
        <v>0.1</v>
      </c>
      <c r="I18" s="258">
        <v>1789000000</v>
      </c>
      <c r="J18" s="258">
        <v>19679000000</v>
      </c>
      <c r="K18" s="256" t="s">
        <v>1346</v>
      </c>
    </row>
    <row r="19" spans="1:11" x14ac:dyDescent="0.3">
      <c r="A19" s="256">
        <v>12</v>
      </c>
      <c r="B19" s="257" t="s">
        <v>1385</v>
      </c>
      <c r="C19" s="276">
        <v>44481</v>
      </c>
      <c r="D19" s="257" t="s">
        <v>1280</v>
      </c>
      <c r="E19" s="256" t="s">
        <v>618</v>
      </c>
      <c r="F19" s="256" t="s">
        <v>1622</v>
      </c>
      <c r="G19" s="258">
        <v>8901000000</v>
      </c>
      <c r="H19" s="265">
        <v>0.1</v>
      </c>
      <c r="I19" s="258">
        <v>890100000</v>
      </c>
      <c r="J19" s="258">
        <v>9791100000</v>
      </c>
      <c r="K19" s="256" t="s">
        <v>1346</v>
      </c>
    </row>
    <row r="20" spans="1:11" x14ac:dyDescent="0.3">
      <c r="A20" s="256">
        <v>13</v>
      </c>
      <c r="B20" s="257" t="s">
        <v>1364</v>
      </c>
      <c r="C20" s="276">
        <v>44211</v>
      </c>
      <c r="D20" s="257" t="s">
        <v>1258</v>
      </c>
      <c r="E20" s="256" t="s">
        <v>351</v>
      </c>
      <c r="F20" s="256" t="s">
        <v>1616</v>
      </c>
      <c r="G20" s="258">
        <v>19234000000</v>
      </c>
      <c r="H20" s="265">
        <v>0.1</v>
      </c>
      <c r="I20" s="258">
        <v>1923400000</v>
      </c>
      <c r="J20" s="258">
        <v>21157400000</v>
      </c>
      <c r="K20" s="256" t="s">
        <v>1346</v>
      </c>
    </row>
    <row r="21" spans="1:11" x14ac:dyDescent="0.3">
      <c r="A21" s="256">
        <v>14</v>
      </c>
      <c r="B21" s="257" t="s">
        <v>1358</v>
      </c>
      <c r="C21" s="276">
        <v>44242</v>
      </c>
      <c r="D21" s="257" t="s">
        <v>1326</v>
      </c>
      <c r="E21" s="256" t="s">
        <v>1065</v>
      </c>
      <c r="F21" s="256" t="s">
        <v>1347</v>
      </c>
      <c r="G21" s="258">
        <v>6789000000</v>
      </c>
      <c r="H21" s="265">
        <v>0.1</v>
      </c>
      <c r="I21" s="258">
        <v>678900000</v>
      </c>
      <c r="J21" s="258">
        <v>7467900000</v>
      </c>
      <c r="K21" s="256" t="s">
        <v>1346</v>
      </c>
    </row>
    <row r="22" spans="1:11" x14ac:dyDescent="0.3">
      <c r="A22" s="256">
        <v>15</v>
      </c>
      <c r="B22" s="257" t="s">
        <v>1358</v>
      </c>
      <c r="C22" s="276">
        <v>44270</v>
      </c>
      <c r="D22" s="257" t="s">
        <v>1310</v>
      </c>
      <c r="E22" s="256" t="s">
        <v>1635</v>
      </c>
      <c r="F22" s="256" t="s">
        <v>1616</v>
      </c>
      <c r="G22" s="258">
        <v>20234000000</v>
      </c>
      <c r="H22" s="265">
        <v>0.1</v>
      </c>
      <c r="I22" s="258">
        <v>2023400000</v>
      </c>
      <c r="J22" s="258">
        <v>22257400000</v>
      </c>
      <c r="K22" s="256" t="s">
        <v>1346</v>
      </c>
    </row>
    <row r="23" spans="1:11" x14ac:dyDescent="0.3">
      <c r="A23" s="256">
        <v>16</v>
      </c>
      <c r="B23" s="257" t="s">
        <v>1385</v>
      </c>
      <c r="C23" s="276">
        <v>44301</v>
      </c>
      <c r="D23" s="257" t="s">
        <v>1284</v>
      </c>
      <c r="E23" s="256" t="s">
        <v>1552</v>
      </c>
      <c r="F23" s="256" t="s">
        <v>1619</v>
      </c>
      <c r="G23" s="258">
        <v>9234000000</v>
      </c>
      <c r="H23" s="265">
        <v>0.1</v>
      </c>
      <c r="I23" s="258">
        <v>923400000</v>
      </c>
      <c r="J23" s="258">
        <v>10157400000</v>
      </c>
      <c r="K23" s="256" t="s">
        <v>1346</v>
      </c>
    </row>
    <row r="24" spans="1:11" x14ac:dyDescent="0.3">
      <c r="A24" s="256">
        <v>17</v>
      </c>
      <c r="B24" s="257" t="s">
        <v>1203</v>
      </c>
      <c r="C24" s="276">
        <v>44331</v>
      </c>
      <c r="D24" s="257" t="s">
        <v>1268</v>
      </c>
      <c r="E24" s="256" t="s">
        <v>1594</v>
      </c>
      <c r="F24" s="256" t="s">
        <v>1546</v>
      </c>
      <c r="G24" s="258">
        <v>9678000000</v>
      </c>
      <c r="H24" s="265">
        <v>0</v>
      </c>
      <c r="I24" s="258">
        <v>0</v>
      </c>
      <c r="J24" s="258">
        <v>9678000000</v>
      </c>
      <c r="K24" s="256" t="s">
        <v>1346</v>
      </c>
    </row>
    <row r="25" spans="1:11" x14ac:dyDescent="0.3">
      <c r="A25" s="256">
        <v>18</v>
      </c>
      <c r="B25" s="257" t="s">
        <v>1358</v>
      </c>
      <c r="C25" s="276">
        <v>44362</v>
      </c>
      <c r="D25" s="257" t="s">
        <v>1295</v>
      </c>
      <c r="E25" s="256" t="s">
        <v>1636</v>
      </c>
      <c r="F25" s="256" t="s">
        <v>1616</v>
      </c>
      <c r="G25" s="258">
        <v>18901000000</v>
      </c>
      <c r="H25" s="265">
        <v>0.1</v>
      </c>
      <c r="I25" s="258">
        <v>1890100000</v>
      </c>
      <c r="J25" s="258">
        <v>20791100000</v>
      </c>
      <c r="K25" s="256" t="s">
        <v>1346</v>
      </c>
    </row>
    <row r="26" spans="1:11" x14ac:dyDescent="0.3">
      <c r="A26" s="256">
        <v>19</v>
      </c>
      <c r="B26" s="257" t="s">
        <v>1205</v>
      </c>
      <c r="C26" s="276">
        <v>44392</v>
      </c>
      <c r="D26" s="257" t="s">
        <v>1279</v>
      </c>
      <c r="E26" s="256" t="s">
        <v>611</v>
      </c>
      <c r="F26" s="256" t="s">
        <v>1621</v>
      </c>
      <c r="G26" s="258">
        <v>8345000000</v>
      </c>
      <c r="H26" s="265">
        <v>0.1</v>
      </c>
      <c r="I26" s="258">
        <v>834500000</v>
      </c>
      <c r="J26" s="258">
        <v>9179500000</v>
      </c>
      <c r="K26" s="256" t="s">
        <v>1346</v>
      </c>
    </row>
    <row r="27" spans="1:11" x14ac:dyDescent="0.3">
      <c r="A27" s="256">
        <v>20</v>
      </c>
      <c r="B27" s="257" t="s">
        <v>1387</v>
      </c>
      <c r="C27" s="276">
        <v>44423</v>
      </c>
      <c r="D27" s="257" t="s">
        <v>1395</v>
      </c>
      <c r="E27" s="256" t="s">
        <v>1581</v>
      </c>
      <c r="F27" s="256" t="s">
        <v>1616</v>
      </c>
      <c r="G27" s="258">
        <v>17345000000</v>
      </c>
      <c r="H27" s="265">
        <v>0.1</v>
      </c>
      <c r="I27" s="258">
        <v>1734500000</v>
      </c>
      <c r="J27" s="258">
        <v>19079500000</v>
      </c>
      <c r="K27" s="256" t="s">
        <v>1346</v>
      </c>
    </row>
    <row r="28" spans="1:11" x14ac:dyDescent="0.3">
      <c r="A28" s="256">
        <v>21</v>
      </c>
      <c r="B28" s="257" t="s">
        <v>1203</v>
      </c>
      <c r="C28" s="276">
        <v>44454</v>
      </c>
      <c r="D28" s="257" t="s">
        <v>1260</v>
      </c>
      <c r="E28" s="256" t="s">
        <v>1585</v>
      </c>
      <c r="F28" s="256" t="s">
        <v>1618</v>
      </c>
      <c r="G28" s="258">
        <v>11234000000</v>
      </c>
      <c r="H28" s="265">
        <v>0.1</v>
      </c>
      <c r="I28" s="258">
        <v>1123400000</v>
      </c>
      <c r="J28" s="258">
        <v>12357400000</v>
      </c>
      <c r="K28" s="256" t="s">
        <v>1346</v>
      </c>
    </row>
    <row r="29" spans="1:11" x14ac:dyDescent="0.3">
      <c r="A29" s="256">
        <v>22</v>
      </c>
      <c r="B29" s="257" t="s">
        <v>1382</v>
      </c>
      <c r="C29" s="276">
        <v>44484</v>
      </c>
      <c r="D29" s="257" t="s">
        <v>1285</v>
      </c>
      <c r="E29" s="256" t="s">
        <v>1558</v>
      </c>
      <c r="F29" s="256" t="s">
        <v>1616</v>
      </c>
      <c r="G29" s="258">
        <v>18234000000</v>
      </c>
      <c r="H29" s="265">
        <v>0.1</v>
      </c>
      <c r="I29" s="258">
        <v>1823400000</v>
      </c>
      <c r="J29" s="258">
        <v>20057400000</v>
      </c>
      <c r="K29" s="256" t="s">
        <v>1346</v>
      </c>
    </row>
    <row r="30" spans="1:11" x14ac:dyDescent="0.3">
      <c r="A30" s="256">
        <v>23</v>
      </c>
      <c r="B30" s="257" t="s">
        <v>1356</v>
      </c>
      <c r="C30" s="276">
        <v>44515</v>
      </c>
      <c r="D30" s="257" t="s">
        <v>1302</v>
      </c>
      <c r="E30" s="256" t="s">
        <v>835</v>
      </c>
      <c r="F30" s="256" t="s">
        <v>1622</v>
      </c>
      <c r="G30" s="258">
        <v>8901000000</v>
      </c>
      <c r="H30" s="265">
        <v>0.1</v>
      </c>
      <c r="I30" s="258">
        <v>890100000</v>
      </c>
      <c r="J30" s="258">
        <v>9791100000</v>
      </c>
      <c r="K30" s="256" t="s">
        <v>1346</v>
      </c>
    </row>
    <row r="31" spans="1:11" x14ac:dyDescent="0.3">
      <c r="A31" s="256">
        <v>24</v>
      </c>
      <c r="B31" s="257" t="s">
        <v>1382</v>
      </c>
      <c r="C31" s="276">
        <v>44545</v>
      </c>
      <c r="D31" s="257" t="s">
        <v>1435</v>
      </c>
      <c r="E31" s="256" t="s">
        <v>1577</v>
      </c>
      <c r="F31" s="256" t="s">
        <v>1616</v>
      </c>
      <c r="G31" s="258">
        <v>17890000000</v>
      </c>
      <c r="H31" s="265">
        <v>0.1</v>
      </c>
      <c r="I31" s="258">
        <v>1789000000</v>
      </c>
      <c r="J31" s="258">
        <v>19679000000</v>
      </c>
      <c r="K31" s="256" t="s">
        <v>1346</v>
      </c>
    </row>
    <row r="32" spans="1:11" x14ac:dyDescent="0.3">
      <c r="A32" s="256">
        <v>25</v>
      </c>
      <c r="B32" s="257" t="s">
        <v>1358</v>
      </c>
      <c r="C32" s="276">
        <v>44216</v>
      </c>
      <c r="D32" s="257" t="s">
        <v>1315</v>
      </c>
      <c r="E32" s="256" t="s">
        <v>1637</v>
      </c>
      <c r="F32" s="256" t="s">
        <v>1347</v>
      </c>
      <c r="G32" s="258">
        <v>7234000000</v>
      </c>
      <c r="H32" s="265">
        <v>0.1</v>
      </c>
      <c r="I32" s="258">
        <v>723400000</v>
      </c>
      <c r="J32" s="258">
        <v>7957400000</v>
      </c>
      <c r="K32" s="256" t="s">
        <v>1346</v>
      </c>
    </row>
    <row r="33" spans="1:11" x14ac:dyDescent="0.3">
      <c r="A33" s="256">
        <v>26</v>
      </c>
      <c r="B33" s="257" t="s">
        <v>1385</v>
      </c>
      <c r="C33" s="276">
        <v>44247</v>
      </c>
      <c r="D33" s="257" t="s">
        <v>1277</v>
      </c>
      <c r="E33" s="256" t="s">
        <v>1582</v>
      </c>
      <c r="F33" s="256" t="s">
        <v>1546</v>
      </c>
      <c r="G33" s="258">
        <v>9345000000</v>
      </c>
      <c r="H33" s="265">
        <v>0</v>
      </c>
      <c r="I33" s="258">
        <v>0</v>
      </c>
      <c r="J33" s="258">
        <v>9345000000</v>
      </c>
      <c r="K33" s="256" t="s">
        <v>1346</v>
      </c>
    </row>
    <row r="34" spans="1:11" x14ac:dyDescent="0.3">
      <c r="A34" s="256">
        <v>27</v>
      </c>
      <c r="B34" s="257" t="s">
        <v>1382</v>
      </c>
      <c r="C34" s="276">
        <v>44275</v>
      </c>
      <c r="D34" s="257" t="s">
        <v>1264</v>
      </c>
      <c r="E34" s="256" t="s">
        <v>1584</v>
      </c>
      <c r="F34" s="256" t="s">
        <v>1616</v>
      </c>
      <c r="G34" s="258">
        <v>19234000000</v>
      </c>
      <c r="H34" s="265">
        <v>0.1</v>
      </c>
      <c r="I34" s="258">
        <v>1923400000</v>
      </c>
      <c r="J34" s="258">
        <v>21157400000</v>
      </c>
      <c r="K34" s="256" t="s">
        <v>1346</v>
      </c>
    </row>
    <row r="35" spans="1:11" x14ac:dyDescent="0.3">
      <c r="A35" s="256">
        <v>28</v>
      </c>
      <c r="B35" s="257" t="s">
        <v>1204</v>
      </c>
      <c r="C35" s="276">
        <v>44306</v>
      </c>
      <c r="D35" s="257" t="s">
        <v>1275</v>
      </c>
      <c r="E35" s="256" t="s">
        <v>1575</v>
      </c>
      <c r="F35" s="256" t="s">
        <v>1619</v>
      </c>
      <c r="G35" s="258">
        <v>9678000000</v>
      </c>
      <c r="H35" s="265">
        <v>0.1</v>
      </c>
      <c r="I35" s="258">
        <v>967800000</v>
      </c>
      <c r="J35" s="258">
        <v>10645800000</v>
      </c>
      <c r="K35" s="256" t="s">
        <v>1346</v>
      </c>
    </row>
    <row r="36" spans="1:11" x14ac:dyDescent="0.3">
      <c r="A36" s="256">
        <v>29</v>
      </c>
      <c r="B36" s="257" t="s">
        <v>1360</v>
      </c>
      <c r="C36" s="276">
        <v>44336</v>
      </c>
      <c r="D36" s="257" t="s">
        <v>1322</v>
      </c>
      <c r="E36" s="256" t="s">
        <v>1638</v>
      </c>
      <c r="F36" s="256" t="s">
        <v>1616</v>
      </c>
      <c r="G36" s="258">
        <v>20890000000</v>
      </c>
      <c r="H36" s="265">
        <v>0.1</v>
      </c>
      <c r="I36" s="258">
        <v>2089000000</v>
      </c>
      <c r="J36" s="258">
        <v>22979000000</v>
      </c>
      <c r="K36" s="256" t="s">
        <v>1346</v>
      </c>
    </row>
    <row r="37" spans="1:11" x14ac:dyDescent="0.3">
      <c r="A37" s="256">
        <v>30</v>
      </c>
      <c r="B37" s="257" t="s">
        <v>1366</v>
      </c>
      <c r="C37" s="276">
        <v>44367</v>
      </c>
      <c r="D37" s="257" t="s">
        <v>1257</v>
      </c>
      <c r="E37" s="256" t="s">
        <v>1574</v>
      </c>
      <c r="F37" s="256" t="s">
        <v>1621</v>
      </c>
      <c r="G37" s="258">
        <v>8901000000</v>
      </c>
      <c r="H37" s="265">
        <v>0.1</v>
      </c>
      <c r="I37" s="258">
        <v>890100000</v>
      </c>
      <c r="J37" s="258">
        <v>9791100000</v>
      </c>
      <c r="K37" s="256" t="s">
        <v>1346</v>
      </c>
    </row>
    <row r="38" spans="1:11" x14ac:dyDescent="0.3">
      <c r="A38" s="256">
        <v>31</v>
      </c>
      <c r="B38" s="257" t="s">
        <v>1383</v>
      </c>
      <c r="C38" s="276">
        <v>44397</v>
      </c>
      <c r="D38" s="257" t="s">
        <v>1278</v>
      </c>
      <c r="E38" s="256" t="s">
        <v>1593</v>
      </c>
      <c r="F38" s="256" t="s">
        <v>1616</v>
      </c>
      <c r="G38" s="258">
        <v>18234000000</v>
      </c>
      <c r="H38" s="265">
        <v>0.1</v>
      </c>
      <c r="I38" s="258">
        <v>1823400000</v>
      </c>
      <c r="J38" s="258">
        <v>20057400000</v>
      </c>
      <c r="K38" s="256" t="s">
        <v>1346</v>
      </c>
    </row>
    <row r="39" spans="1:11" x14ac:dyDescent="0.3">
      <c r="A39" s="256">
        <v>32</v>
      </c>
      <c r="B39" s="257" t="s">
        <v>1383</v>
      </c>
      <c r="C39" s="276">
        <v>44428</v>
      </c>
      <c r="D39" s="257" t="s">
        <v>1263</v>
      </c>
      <c r="E39" s="256" t="s">
        <v>1579</v>
      </c>
      <c r="F39" s="256" t="s">
        <v>1618</v>
      </c>
      <c r="G39" s="258">
        <v>12345000000</v>
      </c>
      <c r="H39" s="265">
        <v>0.1</v>
      </c>
      <c r="I39" s="258">
        <v>1234500000</v>
      </c>
      <c r="J39" s="258">
        <v>13579500000</v>
      </c>
      <c r="K39" s="256" t="s">
        <v>1346</v>
      </c>
    </row>
    <row r="40" spans="1:11" x14ac:dyDescent="0.3">
      <c r="A40" s="256">
        <v>33</v>
      </c>
      <c r="B40" s="257" t="s">
        <v>1203</v>
      </c>
      <c r="C40" s="276">
        <v>44459</v>
      </c>
      <c r="D40" s="257" t="s">
        <v>1262</v>
      </c>
      <c r="E40" s="256" t="s">
        <v>1556</v>
      </c>
      <c r="F40" s="256" t="s">
        <v>1616</v>
      </c>
      <c r="G40" s="258">
        <v>17890000000</v>
      </c>
      <c r="H40" s="265">
        <v>0.1</v>
      </c>
      <c r="I40" s="258">
        <v>1789000000</v>
      </c>
      <c r="J40" s="258">
        <v>19679000000</v>
      </c>
      <c r="K40" s="256" t="s">
        <v>1346</v>
      </c>
    </row>
    <row r="41" spans="1:11" x14ac:dyDescent="0.3">
      <c r="A41" s="256">
        <v>34</v>
      </c>
      <c r="B41" s="257" t="s">
        <v>1203</v>
      </c>
      <c r="C41" s="276">
        <v>44489</v>
      </c>
      <c r="D41" s="257" t="s">
        <v>1384</v>
      </c>
      <c r="E41" s="256" t="s">
        <v>1565</v>
      </c>
      <c r="F41" s="256" t="s">
        <v>1622</v>
      </c>
      <c r="G41" s="258">
        <v>9234000000</v>
      </c>
      <c r="H41" s="265">
        <v>0.1</v>
      </c>
      <c r="I41" s="258">
        <v>923400000</v>
      </c>
      <c r="J41" s="258">
        <v>10157400000</v>
      </c>
      <c r="K41" s="256" t="s">
        <v>1346</v>
      </c>
    </row>
    <row r="42" spans="1:11" x14ac:dyDescent="0.3">
      <c r="A42" s="256">
        <v>35</v>
      </c>
      <c r="B42" s="257" t="s">
        <v>1358</v>
      </c>
      <c r="C42" s="276">
        <v>44520</v>
      </c>
      <c r="D42" s="257" t="s">
        <v>1308</v>
      </c>
      <c r="E42" s="256" t="s">
        <v>1639</v>
      </c>
      <c r="F42" s="256" t="s">
        <v>1616</v>
      </c>
      <c r="G42" s="258">
        <v>18901000000</v>
      </c>
      <c r="H42" s="265">
        <v>0.1</v>
      </c>
      <c r="I42" s="258">
        <v>1890100000</v>
      </c>
      <c r="J42" s="258">
        <v>20791100000</v>
      </c>
      <c r="K42" s="256" t="s">
        <v>1346</v>
      </c>
    </row>
    <row r="43" spans="1:11" x14ac:dyDescent="0.3">
      <c r="A43" s="256">
        <v>36</v>
      </c>
      <c r="B43" s="257" t="s">
        <v>1382</v>
      </c>
      <c r="C43" s="276">
        <v>44550</v>
      </c>
      <c r="D43" s="257" t="s">
        <v>1259</v>
      </c>
      <c r="E43" s="256" t="s">
        <v>1569</v>
      </c>
      <c r="F43" s="256" t="s">
        <v>1347</v>
      </c>
      <c r="G43" s="258">
        <v>7890000000</v>
      </c>
      <c r="H43" s="265">
        <v>0.1</v>
      </c>
      <c r="I43" s="258">
        <v>789000000</v>
      </c>
      <c r="J43" s="258">
        <v>8679000000</v>
      </c>
      <c r="K43" s="256" t="s">
        <v>1346</v>
      </c>
    </row>
    <row r="44" spans="1:11" x14ac:dyDescent="0.3">
      <c r="A44" s="256">
        <v>37</v>
      </c>
      <c r="B44" s="257" t="s">
        <v>1203</v>
      </c>
      <c r="C44" s="276">
        <v>44221</v>
      </c>
      <c r="D44" s="257" t="s">
        <v>1274</v>
      </c>
      <c r="E44" s="256" t="s">
        <v>1592</v>
      </c>
      <c r="F44" s="256" t="s">
        <v>1546</v>
      </c>
      <c r="G44" s="258">
        <v>9890000000</v>
      </c>
      <c r="H44" s="265">
        <v>0</v>
      </c>
      <c r="I44" s="258">
        <v>0</v>
      </c>
      <c r="J44" s="258">
        <v>9890000000</v>
      </c>
      <c r="K44" s="256" t="s">
        <v>1346</v>
      </c>
    </row>
    <row r="45" spans="1:11" x14ac:dyDescent="0.3">
      <c r="A45" s="256">
        <v>38</v>
      </c>
      <c r="B45" s="257" t="s">
        <v>1203</v>
      </c>
      <c r="C45" s="276">
        <v>44252</v>
      </c>
      <c r="D45" s="257" t="s">
        <v>1283</v>
      </c>
      <c r="E45" s="256" t="s">
        <v>1588</v>
      </c>
      <c r="F45" s="256" t="s">
        <v>1616</v>
      </c>
      <c r="G45" s="258">
        <v>20234000000</v>
      </c>
      <c r="H45" s="265">
        <v>0.1</v>
      </c>
      <c r="I45" s="258">
        <v>2023400000</v>
      </c>
      <c r="J45" s="258">
        <v>22257400000</v>
      </c>
      <c r="K45" s="256" t="s">
        <v>1346</v>
      </c>
    </row>
    <row r="46" spans="1:11" x14ac:dyDescent="0.3">
      <c r="A46" s="256">
        <v>39</v>
      </c>
      <c r="B46" s="257" t="s">
        <v>1381</v>
      </c>
      <c r="C46" s="276">
        <v>44280</v>
      </c>
      <c r="D46" s="257" t="s">
        <v>1273</v>
      </c>
      <c r="E46" s="256" t="s">
        <v>1567</v>
      </c>
      <c r="F46" s="256" t="s">
        <v>1619</v>
      </c>
      <c r="G46" s="258">
        <v>10234000000</v>
      </c>
      <c r="H46" s="265">
        <v>0.1</v>
      </c>
      <c r="I46" s="258">
        <v>1023400000</v>
      </c>
      <c r="J46" s="258">
        <v>11257400000</v>
      </c>
      <c r="K46" s="256" t="s">
        <v>1346</v>
      </c>
    </row>
    <row r="47" spans="1:11" x14ac:dyDescent="0.3">
      <c r="A47" s="256">
        <v>40</v>
      </c>
      <c r="B47" s="257" t="s">
        <v>1383</v>
      </c>
      <c r="C47" s="276">
        <v>44311</v>
      </c>
      <c r="D47" s="257" t="s">
        <v>1416</v>
      </c>
      <c r="E47" s="256" t="s">
        <v>1562</v>
      </c>
      <c r="F47" s="256" t="s">
        <v>1616</v>
      </c>
      <c r="G47" s="258">
        <v>19234000000</v>
      </c>
      <c r="H47" s="265">
        <v>0.1</v>
      </c>
      <c r="I47" s="258">
        <v>1923400000</v>
      </c>
      <c r="J47" s="258">
        <v>21157400000</v>
      </c>
      <c r="K47" s="256" t="s">
        <v>1346</v>
      </c>
    </row>
    <row r="48" spans="1:11" x14ac:dyDescent="0.3">
      <c r="A48" s="256">
        <v>41</v>
      </c>
      <c r="B48" s="257" t="s">
        <v>1394</v>
      </c>
      <c r="C48" s="276">
        <v>44341</v>
      </c>
      <c r="D48" s="257" t="s">
        <v>1281</v>
      </c>
      <c r="E48" s="256" t="s">
        <v>1559</v>
      </c>
      <c r="F48" s="256" t="s">
        <v>1621</v>
      </c>
      <c r="G48" s="258">
        <v>9678000000</v>
      </c>
      <c r="H48" s="265">
        <v>0.1</v>
      </c>
      <c r="I48" s="258">
        <v>967800000</v>
      </c>
      <c r="J48" s="258">
        <v>10645800000</v>
      </c>
      <c r="K48" s="256" t="s">
        <v>1346</v>
      </c>
    </row>
    <row r="49" spans="1:11" x14ac:dyDescent="0.3">
      <c r="A49" s="256">
        <v>42</v>
      </c>
      <c r="B49" s="257" t="s">
        <v>1358</v>
      </c>
      <c r="C49" s="276">
        <v>44372</v>
      </c>
      <c r="D49" s="257" t="s">
        <v>1289</v>
      </c>
      <c r="E49" s="256" t="s">
        <v>1640</v>
      </c>
      <c r="F49" s="256" t="s">
        <v>1616</v>
      </c>
      <c r="G49" s="258">
        <v>17890000000</v>
      </c>
      <c r="H49" s="265">
        <v>0.1</v>
      </c>
      <c r="I49" s="258">
        <v>1789000000</v>
      </c>
      <c r="J49" s="258">
        <v>19679000000</v>
      </c>
      <c r="K49" s="256" t="s">
        <v>1346</v>
      </c>
    </row>
    <row r="50" spans="1:11" x14ac:dyDescent="0.3">
      <c r="A50" s="256">
        <v>43</v>
      </c>
      <c r="B50" s="257" t="s">
        <v>1358</v>
      </c>
      <c r="C50" s="276">
        <v>44402</v>
      </c>
      <c r="D50" s="257" t="s">
        <v>1269</v>
      </c>
      <c r="E50" s="256" t="s">
        <v>1641</v>
      </c>
      <c r="F50" s="256" t="s">
        <v>1618</v>
      </c>
      <c r="G50" s="258">
        <v>11890000000</v>
      </c>
      <c r="H50" s="265">
        <v>0.1</v>
      </c>
      <c r="I50" s="258">
        <v>1189000000</v>
      </c>
      <c r="J50" s="258">
        <v>13079000000</v>
      </c>
      <c r="K50" s="256" t="s">
        <v>1346</v>
      </c>
    </row>
    <row r="51" spans="1:11" x14ac:dyDescent="0.3">
      <c r="A51" s="256">
        <v>44</v>
      </c>
      <c r="B51" s="257" t="s">
        <v>1383</v>
      </c>
      <c r="C51" s="276">
        <v>44433</v>
      </c>
      <c r="D51" s="257" t="s">
        <v>1428</v>
      </c>
      <c r="E51" s="256" t="s">
        <v>1557</v>
      </c>
      <c r="F51" s="256" t="s">
        <v>1616</v>
      </c>
      <c r="G51" s="258">
        <v>19890000000</v>
      </c>
      <c r="H51" s="265">
        <v>0.1</v>
      </c>
      <c r="I51" s="258">
        <v>1989000000</v>
      </c>
      <c r="J51" s="258">
        <v>21879000000</v>
      </c>
      <c r="K51" s="256" t="s">
        <v>1346</v>
      </c>
    </row>
    <row r="52" spans="1:11" x14ac:dyDescent="0.3">
      <c r="A52" s="256">
        <v>45</v>
      </c>
      <c r="B52" s="257" t="s">
        <v>1356</v>
      </c>
      <c r="C52" s="276">
        <v>44464</v>
      </c>
      <c r="D52" s="257" t="s">
        <v>1313</v>
      </c>
      <c r="E52" s="256" t="s">
        <v>1642</v>
      </c>
      <c r="F52" s="256" t="s">
        <v>1622</v>
      </c>
      <c r="G52" s="258">
        <v>9345000000</v>
      </c>
      <c r="H52" s="265">
        <v>0.1</v>
      </c>
      <c r="I52" s="258">
        <v>934500000</v>
      </c>
      <c r="J52" s="258">
        <v>10279500000</v>
      </c>
      <c r="K52" s="256" t="s">
        <v>1346</v>
      </c>
    </row>
    <row r="53" spans="1:11" x14ac:dyDescent="0.3">
      <c r="A53" s="256">
        <v>46</v>
      </c>
      <c r="B53" s="257" t="s">
        <v>1356</v>
      </c>
      <c r="C53" s="276">
        <v>44494</v>
      </c>
      <c r="D53" s="257" t="s">
        <v>1297</v>
      </c>
      <c r="E53" s="256" t="s">
        <v>1643</v>
      </c>
      <c r="F53" s="256" t="s">
        <v>1616</v>
      </c>
      <c r="G53" s="258">
        <v>18456000000</v>
      </c>
      <c r="H53" s="265">
        <v>0.1</v>
      </c>
      <c r="I53" s="258">
        <v>1845600000</v>
      </c>
      <c r="J53" s="258">
        <v>20301600000</v>
      </c>
      <c r="K53" s="256" t="s">
        <v>1346</v>
      </c>
    </row>
    <row r="54" spans="1:11" x14ac:dyDescent="0.3">
      <c r="A54" s="256">
        <v>47</v>
      </c>
      <c r="B54" s="257" t="s">
        <v>1356</v>
      </c>
      <c r="C54" s="276">
        <v>44525</v>
      </c>
      <c r="D54" s="257" t="s">
        <v>1254</v>
      </c>
      <c r="E54" s="256" t="s">
        <v>1668</v>
      </c>
      <c r="F54" s="256" t="s">
        <v>1546</v>
      </c>
      <c r="G54" s="258">
        <v>9890000000</v>
      </c>
      <c r="H54" s="265">
        <v>0</v>
      </c>
      <c r="I54" s="258">
        <v>0</v>
      </c>
      <c r="J54" s="258">
        <v>9890000000</v>
      </c>
      <c r="K54" s="256" t="s">
        <v>1346</v>
      </c>
    </row>
    <row r="55" spans="1:11" x14ac:dyDescent="0.3">
      <c r="A55" s="256">
        <v>48</v>
      </c>
      <c r="B55" s="257" t="s">
        <v>1356</v>
      </c>
      <c r="C55" s="276">
        <v>44555</v>
      </c>
      <c r="D55" s="257" t="s">
        <v>1327</v>
      </c>
      <c r="E55" s="256" t="s">
        <v>1645</v>
      </c>
      <c r="F55" s="256" t="s">
        <v>1616</v>
      </c>
      <c r="G55" s="258">
        <v>20890000000</v>
      </c>
      <c r="H55" s="265">
        <v>0.1</v>
      </c>
      <c r="I55" s="258">
        <v>2089000000</v>
      </c>
      <c r="J55" s="258">
        <v>22979000000</v>
      </c>
      <c r="K55" s="256" t="s">
        <v>1346</v>
      </c>
    </row>
    <row r="56" spans="1:11" x14ac:dyDescent="0.3">
      <c r="A56" s="256">
        <v>49</v>
      </c>
      <c r="B56" s="257" t="s">
        <v>1356</v>
      </c>
      <c r="C56" s="276">
        <v>44224</v>
      </c>
      <c r="D56" s="257" t="s">
        <v>1309</v>
      </c>
      <c r="E56" s="256" t="s">
        <v>1646</v>
      </c>
      <c r="F56" s="256" t="s">
        <v>1347</v>
      </c>
      <c r="G56" s="258">
        <v>7456000000</v>
      </c>
      <c r="H56" s="265">
        <v>0.1</v>
      </c>
      <c r="I56" s="258">
        <v>745600000</v>
      </c>
      <c r="J56" s="258">
        <v>8201600000</v>
      </c>
      <c r="K56" s="256" t="s">
        <v>1346</v>
      </c>
    </row>
    <row r="57" spans="1:11" x14ac:dyDescent="0.3">
      <c r="A57" s="256">
        <v>50</v>
      </c>
      <c r="B57" s="257" t="s">
        <v>1379</v>
      </c>
      <c r="C57" s="276">
        <v>44255</v>
      </c>
      <c r="D57" s="257" t="s">
        <v>1266</v>
      </c>
      <c r="E57" s="256" t="s">
        <v>1669</v>
      </c>
      <c r="F57" s="256" t="s">
        <v>1616</v>
      </c>
      <c r="G57" s="258">
        <v>19345000000</v>
      </c>
      <c r="H57" s="265">
        <v>0.1</v>
      </c>
      <c r="I57" s="258">
        <v>1934500000</v>
      </c>
      <c r="J57" s="258">
        <v>21279500000</v>
      </c>
      <c r="K57" s="256" t="s">
        <v>1346</v>
      </c>
    </row>
    <row r="58" spans="1:11" x14ac:dyDescent="0.3">
      <c r="A58" s="256">
        <v>51</v>
      </c>
      <c r="B58" s="257" t="s">
        <v>1362</v>
      </c>
      <c r="C58" s="276">
        <v>44227</v>
      </c>
      <c r="D58" s="257" t="s">
        <v>1276</v>
      </c>
      <c r="E58" s="256" t="s">
        <v>1654</v>
      </c>
      <c r="F58" s="256" t="s">
        <v>1621</v>
      </c>
      <c r="G58" s="258">
        <v>9234000000</v>
      </c>
      <c r="H58" s="265">
        <v>0.1</v>
      </c>
      <c r="I58" s="258">
        <v>923400000</v>
      </c>
      <c r="J58" s="258">
        <v>10157400000</v>
      </c>
      <c r="K58" s="256" t="s">
        <v>1346</v>
      </c>
    </row>
    <row r="59" spans="1:11" x14ac:dyDescent="0.3">
      <c r="A59" s="256">
        <v>52</v>
      </c>
      <c r="B59" s="257" t="s">
        <v>1360</v>
      </c>
      <c r="C59" s="276">
        <v>44286</v>
      </c>
      <c r="D59" s="257" t="s">
        <v>1333</v>
      </c>
      <c r="E59" s="256" t="s">
        <v>1134</v>
      </c>
      <c r="F59" s="256" t="s">
        <v>1616</v>
      </c>
      <c r="G59" s="258">
        <v>20456000000</v>
      </c>
      <c r="H59" s="265">
        <v>0.1</v>
      </c>
      <c r="I59" s="258">
        <v>2045600000</v>
      </c>
      <c r="J59" s="258">
        <v>22501600000</v>
      </c>
      <c r="K59" s="256" t="s">
        <v>1346</v>
      </c>
    </row>
    <row r="60" spans="1:11" x14ac:dyDescent="0.3">
      <c r="A60" s="256">
        <v>53</v>
      </c>
      <c r="B60" s="257" t="s">
        <v>1362</v>
      </c>
      <c r="C60" s="276">
        <v>44347</v>
      </c>
      <c r="D60" s="257" t="s">
        <v>1255</v>
      </c>
      <c r="E60" s="256" t="s">
        <v>1649</v>
      </c>
      <c r="F60" s="256" t="s">
        <v>1619</v>
      </c>
      <c r="G60" s="258">
        <v>10890000000</v>
      </c>
      <c r="H60" s="265">
        <v>0.1</v>
      </c>
      <c r="I60" s="258">
        <v>1089000000</v>
      </c>
      <c r="J60" s="258">
        <v>11979000000</v>
      </c>
      <c r="K60" s="256" t="s">
        <v>1346</v>
      </c>
    </row>
    <row r="61" spans="1:11" x14ac:dyDescent="0.3">
      <c r="A61" s="256">
        <v>54</v>
      </c>
      <c r="B61" s="257" t="s">
        <v>1362</v>
      </c>
      <c r="C61" s="276">
        <v>44408</v>
      </c>
      <c r="D61" s="257" t="s">
        <v>1271</v>
      </c>
      <c r="E61" s="256" t="s">
        <v>1634</v>
      </c>
      <c r="F61" s="256" t="s">
        <v>1616</v>
      </c>
      <c r="G61" s="258">
        <v>19678000000</v>
      </c>
      <c r="H61" s="265">
        <v>0.1</v>
      </c>
      <c r="I61" s="258">
        <v>1967800000</v>
      </c>
      <c r="J61" s="258">
        <v>21645800000</v>
      </c>
      <c r="K61" s="256" t="s">
        <v>1346</v>
      </c>
    </row>
    <row r="62" spans="1:11" x14ac:dyDescent="0.3">
      <c r="A62" s="256">
        <v>55</v>
      </c>
      <c r="B62" s="257" t="s">
        <v>1396</v>
      </c>
      <c r="C62" s="276">
        <v>44561</v>
      </c>
      <c r="D62" s="257" t="s">
        <v>1281</v>
      </c>
      <c r="E62" s="256" t="s">
        <v>1559</v>
      </c>
      <c r="F62" s="256" t="s">
        <v>1347</v>
      </c>
      <c r="G62" s="258">
        <v>8345000000</v>
      </c>
      <c r="H62" s="265">
        <v>0.1</v>
      </c>
      <c r="I62" s="258">
        <v>834500000</v>
      </c>
      <c r="J62" s="258">
        <v>9179500000</v>
      </c>
      <c r="K62" s="256" t="s">
        <v>1346</v>
      </c>
    </row>
    <row r="63" spans="1:11" x14ac:dyDescent="0.3">
      <c r="A63" s="266" t="s">
        <v>1351</v>
      </c>
      <c r="B63" s="266"/>
      <c r="C63" s="266"/>
      <c r="D63" s="266"/>
      <c r="E63" s="266"/>
      <c r="F63" s="266"/>
      <c r="G63" s="267">
        <f>SUM(G8:G62)</f>
        <v>750618000000</v>
      </c>
      <c r="H63" s="266"/>
      <c r="I63" s="267">
        <f>SUM(I8:I62)</f>
        <v>69269100000</v>
      </c>
      <c r="J63" s="267">
        <f>SUM(J8:J62)</f>
        <v>819887100000</v>
      </c>
      <c r="K63" s="266"/>
    </row>
    <row r="64" spans="1:11" x14ac:dyDescent="0.3">
      <c r="A64" s="256"/>
      <c r="B64" s="256"/>
      <c r="C64" s="256"/>
      <c r="D64" s="256"/>
      <c r="E64" s="256"/>
      <c r="F64" s="256"/>
      <c r="G64" s="256"/>
      <c r="H64" s="256"/>
      <c r="I64" s="256"/>
      <c r="J64" s="256"/>
      <c r="K64" s="256"/>
    </row>
    <row r="65" spans="1:11" x14ac:dyDescent="0.3">
      <c r="A65" s="256" t="s">
        <v>1420</v>
      </c>
      <c r="B65" s="256"/>
      <c r="C65" s="256"/>
      <c r="D65" s="256"/>
      <c r="E65" s="256"/>
      <c r="F65" s="256"/>
      <c r="G65" s="256"/>
      <c r="H65" s="256"/>
      <c r="I65" s="256"/>
      <c r="J65" s="256"/>
      <c r="K65" s="256"/>
    </row>
    <row r="66" spans="1:11" x14ac:dyDescent="0.3">
      <c r="A66" s="266" t="s">
        <v>0</v>
      </c>
      <c r="B66" s="266" t="s">
        <v>212</v>
      </c>
      <c r="C66" s="266" t="s">
        <v>1535</v>
      </c>
      <c r="D66" s="266" t="s">
        <v>1586</v>
      </c>
      <c r="E66" s="266" t="s">
        <v>1422</v>
      </c>
      <c r="F66" s="266" t="s">
        <v>1537</v>
      </c>
      <c r="G66" s="266" t="s">
        <v>270</v>
      </c>
      <c r="H66" s="266" t="s">
        <v>1538</v>
      </c>
      <c r="I66" s="266" t="s">
        <v>1539</v>
      </c>
      <c r="J66" s="266" t="s">
        <v>1540</v>
      </c>
      <c r="K66" s="266" t="s">
        <v>1541</v>
      </c>
    </row>
    <row r="67" spans="1:11" x14ac:dyDescent="0.3">
      <c r="A67" s="256">
        <v>1</v>
      </c>
      <c r="B67" s="257" t="s">
        <v>1200</v>
      </c>
      <c r="C67" s="276">
        <v>44470</v>
      </c>
      <c r="D67" s="257" t="s">
        <v>1333</v>
      </c>
      <c r="E67" s="256" t="s">
        <v>1134</v>
      </c>
      <c r="F67" s="256" t="s">
        <v>1623</v>
      </c>
      <c r="G67" s="258">
        <v>22345000000</v>
      </c>
      <c r="H67" s="265">
        <v>0.1</v>
      </c>
      <c r="I67" s="258">
        <v>2234500000</v>
      </c>
      <c r="J67" s="258">
        <v>24579500000</v>
      </c>
      <c r="K67" s="256" t="s">
        <v>1346</v>
      </c>
    </row>
    <row r="68" spans="1:11" x14ac:dyDescent="0.3">
      <c r="A68" s="256">
        <v>2</v>
      </c>
      <c r="B68" s="257" t="s">
        <v>1201</v>
      </c>
      <c r="C68" s="276">
        <v>44472</v>
      </c>
      <c r="D68" s="257" t="s">
        <v>1352</v>
      </c>
      <c r="E68" s="256" t="s">
        <v>1571</v>
      </c>
      <c r="F68" s="256" t="s">
        <v>1648</v>
      </c>
      <c r="G68" s="258">
        <v>18234000000</v>
      </c>
      <c r="H68" s="265">
        <v>0</v>
      </c>
      <c r="I68" s="258">
        <v>0</v>
      </c>
      <c r="J68" s="258">
        <v>18234000000</v>
      </c>
      <c r="K68" s="256" t="s">
        <v>1346</v>
      </c>
    </row>
    <row r="69" spans="1:11" x14ac:dyDescent="0.3">
      <c r="A69" s="256">
        <v>3</v>
      </c>
      <c r="B69" s="257" t="s">
        <v>1202</v>
      </c>
      <c r="C69" s="276">
        <v>44474</v>
      </c>
      <c r="D69" s="257" t="s">
        <v>1272</v>
      </c>
      <c r="E69" s="256" t="s">
        <v>540</v>
      </c>
      <c r="F69" s="256" t="s">
        <v>1647</v>
      </c>
      <c r="G69" s="258">
        <v>20890000000</v>
      </c>
      <c r="H69" s="265">
        <v>0.1</v>
      </c>
      <c r="I69" s="258">
        <v>2089000000</v>
      </c>
      <c r="J69" s="258">
        <v>22979000000</v>
      </c>
      <c r="K69" s="256" t="s">
        <v>1346</v>
      </c>
    </row>
    <row r="70" spans="1:11" x14ac:dyDescent="0.3">
      <c r="A70" s="256">
        <v>4</v>
      </c>
      <c r="B70" s="257" t="s">
        <v>1355</v>
      </c>
      <c r="C70" s="276">
        <v>44476</v>
      </c>
      <c r="D70" s="257" t="s">
        <v>1254</v>
      </c>
      <c r="E70" s="256" t="s">
        <v>1668</v>
      </c>
      <c r="F70" s="256" t="s">
        <v>1623</v>
      </c>
      <c r="G70" s="258">
        <v>23456000000</v>
      </c>
      <c r="H70" s="265">
        <v>0.1</v>
      </c>
      <c r="I70" s="258">
        <v>2345600000</v>
      </c>
      <c r="J70" s="258">
        <v>25801600000</v>
      </c>
      <c r="K70" s="256" t="s">
        <v>1346</v>
      </c>
    </row>
    <row r="71" spans="1:11" x14ac:dyDescent="0.3">
      <c r="A71" s="256">
        <v>5</v>
      </c>
      <c r="B71" s="257" t="s">
        <v>1356</v>
      </c>
      <c r="C71" s="276">
        <v>44478</v>
      </c>
      <c r="D71" s="257" t="s">
        <v>1255</v>
      </c>
      <c r="E71" s="256" t="s">
        <v>1649</v>
      </c>
      <c r="F71" s="256" t="s">
        <v>1648</v>
      </c>
      <c r="G71" s="258">
        <v>19234000000</v>
      </c>
      <c r="H71" s="265">
        <v>0</v>
      </c>
      <c r="I71" s="258">
        <v>0</v>
      </c>
      <c r="J71" s="258">
        <v>19234000000</v>
      </c>
      <c r="K71" s="256" t="s">
        <v>1346</v>
      </c>
    </row>
    <row r="72" spans="1:11" x14ac:dyDescent="0.3">
      <c r="A72" s="256">
        <v>6</v>
      </c>
      <c r="B72" s="257" t="s">
        <v>1358</v>
      </c>
      <c r="C72" s="276">
        <v>44480</v>
      </c>
      <c r="D72" s="257" t="s">
        <v>1282</v>
      </c>
      <c r="E72" s="256" t="s">
        <v>1580</v>
      </c>
      <c r="F72" s="256" t="s">
        <v>1623</v>
      </c>
      <c r="G72" s="258">
        <v>21890000000</v>
      </c>
      <c r="H72" s="265">
        <v>0.1</v>
      </c>
      <c r="I72" s="258">
        <v>2189000000</v>
      </c>
      <c r="J72" s="258">
        <v>24079000000</v>
      </c>
      <c r="K72" s="256" t="s">
        <v>1346</v>
      </c>
    </row>
    <row r="73" spans="1:11" x14ac:dyDescent="0.3">
      <c r="A73" s="256">
        <v>7</v>
      </c>
      <c r="B73" s="257" t="s">
        <v>1360</v>
      </c>
      <c r="C73" s="276">
        <v>44211</v>
      </c>
      <c r="D73" s="257" t="s">
        <v>1285</v>
      </c>
      <c r="E73" s="256" t="s">
        <v>1558</v>
      </c>
      <c r="F73" s="256" t="s">
        <v>1647</v>
      </c>
      <c r="G73" s="258">
        <v>19890000000</v>
      </c>
      <c r="H73" s="265">
        <v>0.1</v>
      </c>
      <c r="I73" s="258">
        <v>1989000000</v>
      </c>
      <c r="J73" s="258">
        <v>21879000000</v>
      </c>
      <c r="K73" s="256" t="s">
        <v>1346</v>
      </c>
    </row>
    <row r="74" spans="1:11" x14ac:dyDescent="0.3">
      <c r="A74" s="256">
        <v>8</v>
      </c>
      <c r="B74" s="257" t="s">
        <v>1362</v>
      </c>
      <c r="C74" s="276">
        <v>44270</v>
      </c>
      <c r="D74" s="257" t="s">
        <v>1279</v>
      </c>
      <c r="E74" s="256" t="s">
        <v>611</v>
      </c>
      <c r="F74" s="256" t="s">
        <v>1623</v>
      </c>
      <c r="G74" s="258">
        <v>22890000000</v>
      </c>
      <c r="H74" s="265">
        <v>0.1</v>
      </c>
      <c r="I74" s="258">
        <v>2289000000</v>
      </c>
      <c r="J74" s="258">
        <v>25179000000</v>
      </c>
      <c r="K74" s="256" t="s">
        <v>1346</v>
      </c>
    </row>
    <row r="75" spans="1:11" x14ac:dyDescent="0.3">
      <c r="A75" s="256">
        <v>9</v>
      </c>
      <c r="B75" s="257" t="s">
        <v>1364</v>
      </c>
      <c r="C75" s="276">
        <v>44331</v>
      </c>
      <c r="D75" s="257" t="s">
        <v>1291</v>
      </c>
      <c r="E75" s="256" t="s">
        <v>1650</v>
      </c>
      <c r="F75" s="256" t="s">
        <v>1648</v>
      </c>
      <c r="G75" s="258">
        <v>19678000000</v>
      </c>
      <c r="H75" s="265">
        <v>0</v>
      </c>
      <c r="I75" s="258">
        <v>0</v>
      </c>
      <c r="J75" s="258">
        <v>19678000000</v>
      </c>
      <c r="K75" s="256" t="s">
        <v>1346</v>
      </c>
    </row>
    <row r="76" spans="1:11" x14ac:dyDescent="0.3">
      <c r="A76" s="256">
        <v>10</v>
      </c>
      <c r="B76" s="257" t="s">
        <v>1366</v>
      </c>
      <c r="C76" s="276">
        <v>44392</v>
      </c>
      <c r="D76" s="257" t="s">
        <v>1435</v>
      </c>
      <c r="E76" s="256" t="s">
        <v>1577</v>
      </c>
      <c r="F76" s="256" t="s">
        <v>1623</v>
      </c>
      <c r="G76" s="258">
        <v>24234000000</v>
      </c>
      <c r="H76" s="265">
        <v>0.1</v>
      </c>
      <c r="I76" s="258">
        <v>2423400000</v>
      </c>
      <c r="J76" s="258">
        <v>26657400000</v>
      </c>
      <c r="K76" s="256" t="s">
        <v>1346</v>
      </c>
    </row>
    <row r="77" spans="1:11" x14ac:dyDescent="0.3">
      <c r="A77" s="256">
        <v>11</v>
      </c>
      <c r="B77" s="257" t="s">
        <v>1368</v>
      </c>
      <c r="C77" s="276">
        <v>44454</v>
      </c>
      <c r="D77" s="257" t="s">
        <v>1257</v>
      </c>
      <c r="E77" s="256" t="s">
        <v>1574</v>
      </c>
      <c r="F77" s="256" t="s">
        <v>1647</v>
      </c>
      <c r="G77" s="258">
        <v>21234000000</v>
      </c>
      <c r="H77" s="265">
        <v>0.1</v>
      </c>
      <c r="I77" s="258">
        <v>2123400000</v>
      </c>
      <c r="J77" s="258">
        <v>23357400000</v>
      </c>
      <c r="K77" s="256" t="s">
        <v>1346</v>
      </c>
    </row>
    <row r="78" spans="1:11" x14ac:dyDescent="0.3">
      <c r="A78" s="256">
        <v>12</v>
      </c>
      <c r="B78" s="257" t="s">
        <v>1371</v>
      </c>
      <c r="C78" s="276">
        <v>44515</v>
      </c>
      <c r="D78" s="257" t="s">
        <v>1277</v>
      </c>
      <c r="E78" s="256" t="s">
        <v>1582</v>
      </c>
      <c r="F78" s="256" t="s">
        <v>1623</v>
      </c>
      <c r="G78" s="258">
        <v>22456000000</v>
      </c>
      <c r="H78" s="265">
        <v>0.1</v>
      </c>
      <c r="I78" s="258">
        <v>2245600000</v>
      </c>
      <c r="J78" s="258">
        <v>24701600000</v>
      </c>
      <c r="K78" s="256" t="s">
        <v>1346</v>
      </c>
    </row>
    <row r="79" spans="1:11" x14ac:dyDescent="0.3">
      <c r="A79" s="256">
        <v>13</v>
      </c>
      <c r="B79" s="257" t="s">
        <v>1373</v>
      </c>
      <c r="C79" s="276">
        <v>44216</v>
      </c>
      <c r="D79" s="257" t="s">
        <v>1267</v>
      </c>
      <c r="E79" s="256" t="s">
        <v>1560</v>
      </c>
      <c r="F79" s="256" t="s">
        <v>1648</v>
      </c>
      <c r="G79" s="258">
        <v>19890000000</v>
      </c>
      <c r="H79" s="265">
        <v>0</v>
      </c>
      <c r="I79" s="258">
        <v>0</v>
      </c>
      <c r="J79" s="258">
        <v>19890000000</v>
      </c>
      <c r="K79" s="256" t="s">
        <v>1346</v>
      </c>
    </row>
    <row r="80" spans="1:11" x14ac:dyDescent="0.3">
      <c r="A80" s="256">
        <v>14</v>
      </c>
      <c r="B80" s="257" t="s">
        <v>1374</v>
      </c>
      <c r="C80" s="276">
        <v>44275</v>
      </c>
      <c r="D80" s="257" t="s">
        <v>1287</v>
      </c>
      <c r="E80" s="256" t="s">
        <v>691</v>
      </c>
      <c r="F80" s="256" t="s">
        <v>1623</v>
      </c>
      <c r="G80" s="258">
        <v>24890000000</v>
      </c>
      <c r="H80" s="265">
        <v>0.1</v>
      </c>
      <c r="I80" s="258">
        <v>2489000000</v>
      </c>
      <c r="J80" s="258">
        <v>27379000000</v>
      </c>
      <c r="K80" s="256" t="s">
        <v>1346</v>
      </c>
    </row>
    <row r="81" spans="1:11" x14ac:dyDescent="0.3">
      <c r="A81" s="256">
        <v>15</v>
      </c>
      <c r="B81" s="257" t="s">
        <v>1376</v>
      </c>
      <c r="C81" s="276">
        <v>44336</v>
      </c>
      <c r="D81" s="257" t="s">
        <v>1395</v>
      </c>
      <c r="E81" s="256" t="s">
        <v>1581</v>
      </c>
      <c r="F81" s="256" t="s">
        <v>1647</v>
      </c>
      <c r="G81" s="258">
        <v>21890000000</v>
      </c>
      <c r="H81" s="265">
        <v>0.1</v>
      </c>
      <c r="I81" s="258">
        <v>2189000000</v>
      </c>
      <c r="J81" s="258">
        <v>24079000000</v>
      </c>
      <c r="K81" s="256" t="s">
        <v>1346</v>
      </c>
    </row>
    <row r="82" spans="1:11" x14ac:dyDescent="0.3">
      <c r="A82" s="256">
        <v>16</v>
      </c>
      <c r="B82" s="257" t="s">
        <v>1378</v>
      </c>
      <c r="C82" s="276">
        <v>44397</v>
      </c>
      <c r="D82" s="257" t="s">
        <v>1259</v>
      </c>
      <c r="E82" s="256" t="s">
        <v>1569</v>
      </c>
      <c r="F82" s="256" t="s">
        <v>1623</v>
      </c>
      <c r="G82" s="258">
        <v>23456000000</v>
      </c>
      <c r="H82" s="265">
        <v>0.1</v>
      </c>
      <c r="I82" s="258">
        <v>2345600000</v>
      </c>
      <c r="J82" s="258">
        <v>25801600000</v>
      </c>
      <c r="K82" s="256" t="s">
        <v>1346</v>
      </c>
    </row>
    <row r="83" spans="1:11" x14ac:dyDescent="0.3">
      <c r="A83" s="256">
        <v>17</v>
      </c>
      <c r="B83" s="257" t="s">
        <v>1379</v>
      </c>
      <c r="C83" s="276">
        <v>44459</v>
      </c>
      <c r="D83" s="257" t="s">
        <v>1281</v>
      </c>
      <c r="E83" s="256" t="s">
        <v>1559</v>
      </c>
      <c r="F83" s="256" t="s">
        <v>1648</v>
      </c>
      <c r="G83" s="258">
        <v>20234000000</v>
      </c>
      <c r="H83" s="265">
        <v>0</v>
      </c>
      <c r="I83" s="258">
        <v>0</v>
      </c>
      <c r="J83" s="258">
        <v>20234000000</v>
      </c>
      <c r="K83" s="256" t="s">
        <v>1346</v>
      </c>
    </row>
    <row r="84" spans="1:11" x14ac:dyDescent="0.3">
      <c r="A84" s="256">
        <v>18</v>
      </c>
      <c r="B84" s="257" t="s">
        <v>1381</v>
      </c>
      <c r="C84" s="276">
        <v>44520</v>
      </c>
      <c r="D84" s="257" t="s">
        <v>1322</v>
      </c>
      <c r="E84" s="256" t="s">
        <v>1638</v>
      </c>
      <c r="F84" s="256" t="s">
        <v>1623</v>
      </c>
      <c r="G84" s="258">
        <v>25234000000</v>
      </c>
      <c r="H84" s="265">
        <v>0.1</v>
      </c>
      <c r="I84" s="258">
        <v>2523400000</v>
      </c>
      <c r="J84" s="258">
        <v>27757400000</v>
      </c>
      <c r="K84" s="256" t="s">
        <v>1346</v>
      </c>
    </row>
    <row r="85" spans="1:11" x14ac:dyDescent="0.3">
      <c r="A85" s="256">
        <v>19</v>
      </c>
      <c r="B85" s="257" t="s">
        <v>1382</v>
      </c>
      <c r="C85" s="276">
        <v>44221</v>
      </c>
      <c r="D85" s="257" t="s">
        <v>1263</v>
      </c>
      <c r="E85" s="256" t="s">
        <v>1579</v>
      </c>
      <c r="F85" s="256" t="s">
        <v>1647</v>
      </c>
      <c r="G85" s="258">
        <v>22234000000</v>
      </c>
      <c r="H85" s="265">
        <v>0.1</v>
      </c>
      <c r="I85" s="258">
        <v>2223400000</v>
      </c>
      <c r="J85" s="258">
        <v>24457400000</v>
      </c>
      <c r="K85" s="256" t="s">
        <v>1346</v>
      </c>
    </row>
    <row r="86" spans="1:11" x14ac:dyDescent="0.3">
      <c r="A86" s="256">
        <v>20</v>
      </c>
      <c r="B86" s="257" t="s">
        <v>1383</v>
      </c>
      <c r="C86" s="276">
        <v>44280</v>
      </c>
      <c r="D86" s="257" t="s">
        <v>1284</v>
      </c>
      <c r="E86" s="256" t="s">
        <v>1552</v>
      </c>
      <c r="F86" s="256" t="s">
        <v>1623</v>
      </c>
      <c r="G86" s="258">
        <v>24234000000</v>
      </c>
      <c r="H86" s="265">
        <v>0.1</v>
      </c>
      <c r="I86" s="258">
        <v>2423400000</v>
      </c>
      <c r="J86" s="258">
        <v>26657400000</v>
      </c>
      <c r="K86" s="256" t="s">
        <v>1346</v>
      </c>
    </row>
    <row r="87" spans="1:11" x14ac:dyDescent="0.3">
      <c r="A87" s="256">
        <v>21</v>
      </c>
      <c r="B87" s="257" t="s">
        <v>1203</v>
      </c>
      <c r="C87" s="276">
        <v>44341</v>
      </c>
      <c r="D87" s="257" t="s">
        <v>1314</v>
      </c>
      <c r="E87" s="256" t="s">
        <v>948</v>
      </c>
      <c r="F87" s="256" t="s">
        <v>1648</v>
      </c>
      <c r="G87" s="258">
        <v>20890000000</v>
      </c>
      <c r="H87" s="265">
        <v>0</v>
      </c>
      <c r="I87" s="258">
        <v>0</v>
      </c>
      <c r="J87" s="258">
        <v>20890000000</v>
      </c>
      <c r="K87" s="256" t="s">
        <v>1346</v>
      </c>
    </row>
    <row r="88" spans="1:11" x14ac:dyDescent="0.3">
      <c r="A88" s="256">
        <v>22</v>
      </c>
      <c r="B88" s="257" t="s">
        <v>1204</v>
      </c>
      <c r="C88" s="276">
        <v>44402</v>
      </c>
      <c r="D88" s="257" t="s">
        <v>1304</v>
      </c>
      <c r="E88" s="256" t="s">
        <v>1651</v>
      </c>
      <c r="F88" s="256" t="s">
        <v>1623</v>
      </c>
      <c r="G88" s="258">
        <v>25890000000</v>
      </c>
      <c r="H88" s="265">
        <v>0.1</v>
      </c>
      <c r="I88" s="258">
        <v>2589000000</v>
      </c>
      <c r="J88" s="258">
        <v>28479000000</v>
      </c>
      <c r="K88" s="256" t="s">
        <v>1346</v>
      </c>
    </row>
    <row r="89" spans="1:11" x14ac:dyDescent="0.3">
      <c r="A89" s="256">
        <v>23</v>
      </c>
      <c r="B89" s="257" t="s">
        <v>1205</v>
      </c>
      <c r="C89" s="276">
        <v>44464</v>
      </c>
      <c r="D89" s="257" t="s">
        <v>1264</v>
      </c>
      <c r="E89" s="256" t="s">
        <v>1584</v>
      </c>
      <c r="F89" s="256" t="s">
        <v>1647</v>
      </c>
      <c r="G89" s="258">
        <v>22890000000</v>
      </c>
      <c r="H89" s="265">
        <v>0.1</v>
      </c>
      <c r="I89" s="258">
        <v>2289000000</v>
      </c>
      <c r="J89" s="258">
        <v>25179000000</v>
      </c>
      <c r="K89" s="256" t="s">
        <v>1346</v>
      </c>
    </row>
    <row r="90" spans="1:11" x14ac:dyDescent="0.3">
      <c r="A90" s="256">
        <v>24</v>
      </c>
      <c r="B90" s="257" t="s">
        <v>1385</v>
      </c>
      <c r="C90" s="276">
        <v>44525</v>
      </c>
      <c r="D90" s="257" t="s">
        <v>1260</v>
      </c>
      <c r="E90" s="256" t="s">
        <v>1585</v>
      </c>
      <c r="F90" s="256" t="s">
        <v>1623</v>
      </c>
      <c r="G90" s="258">
        <v>25456000000</v>
      </c>
      <c r="H90" s="265">
        <v>0.1</v>
      </c>
      <c r="I90" s="258">
        <v>2545600000</v>
      </c>
      <c r="J90" s="258">
        <v>28001600000</v>
      </c>
      <c r="K90" s="256" t="s">
        <v>1346</v>
      </c>
    </row>
    <row r="91" spans="1:11" x14ac:dyDescent="0.3">
      <c r="A91" s="256">
        <v>25</v>
      </c>
      <c r="B91" s="257" t="s">
        <v>1387</v>
      </c>
      <c r="C91" s="276">
        <v>44227</v>
      </c>
      <c r="D91" s="257" t="s">
        <v>1262</v>
      </c>
      <c r="E91" s="256" t="s">
        <v>1556</v>
      </c>
      <c r="F91" s="256" t="s">
        <v>1648</v>
      </c>
      <c r="G91" s="258">
        <v>21234000000</v>
      </c>
      <c r="H91" s="265">
        <v>0</v>
      </c>
      <c r="I91" s="258">
        <v>0</v>
      </c>
      <c r="J91" s="258">
        <v>21234000000</v>
      </c>
      <c r="K91" s="256" t="s">
        <v>1346</v>
      </c>
    </row>
    <row r="92" spans="1:11" x14ac:dyDescent="0.3">
      <c r="A92" s="256">
        <v>26</v>
      </c>
      <c r="B92" s="257" t="s">
        <v>1388</v>
      </c>
      <c r="C92" s="276">
        <v>44286</v>
      </c>
      <c r="D92" s="257" t="s">
        <v>1275</v>
      </c>
      <c r="E92" s="256" t="s">
        <v>1575</v>
      </c>
      <c r="F92" s="256" t="s">
        <v>1623</v>
      </c>
      <c r="G92" s="258">
        <v>26234000000</v>
      </c>
      <c r="H92" s="265">
        <v>0.1</v>
      </c>
      <c r="I92" s="258">
        <v>2623400000</v>
      </c>
      <c r="J92" s="258">
        <v>28857400000</v>
      </c>
      <c r="K92" s="256" t="s">
        <v>1346</v>
      </c>
    </row>
    <row r="93" spans="1:11" x14ac:dyDescent="0.3">
      <c r="A93" s="256">
        <v>27</v>
      </c>
      <c r="B93" s="257" t="s">
        <v>1391</v>
      </c>
      <c r="C93" s="276">
        <v>44347</v>
      </c>
      <c r="D93" s="257" t="s">
        <v>1268</v>
      </c>
      <c r="E93" s="256" t="s">
        <v>1594</v>
      </c>
      <c r="F93" s="256" t="s">
        <v>1647</v>
      </c>
      <c r="G93" s="258">
        <v>23456000000</v>
      </c>
      <c r="H93" s="265">
        <v>0.1</v>
      </c>
      <c r="I93" s="258">
        <v>2345600000</v>
      </c>
      <c r="J93" s="258">
        <v>25801600000</v>
      </c>
      <c r="K93" s="256" t="s">
        <v>1346</v>
      </c>
    </row>
    <row r="94" spans="1:11" x14ac:dyDescent="0.3">
      <c r="A94" s="256">
        <v>28</v>
      </c>
      <c r="B94" s="257" t="s">
        <v>1392</v>
      </c>
      <c r="C94" s="276">
        <v>44408</v>
      </c>
      <c r="D94" s="257" t="s">
        <v>1416</v>
      </c>
      <c r="E94" s="256" t="s">
        <v>1562</v>
      </c>
      <c r="F94" s="256" t="s">
        <v>1623</v>
      </c>
      <c r="G94" s="258">
        <v>26890000000</v>
      </c>
      <c r="H94" s="265">
        <v>0.1</v>
      </c>
      <c r="I94" s="258">
        <v>2689000000</v>
      </c>
      <c r="J94" s="258">
        <v>29579000000</v>
      </c>
      <c r="K94" s="256" t="s">
        <v>1346</v>
      </c>
    </row>
    <row r="95" spans="1:11" x14ac:dyDescent="0.3">
      <c r="A95" s="256">
        <v>29</v>
      </c>
      <c r="B95" s="257" t="s">
        <v>1394</v>
      </c>
      <c r="C95" s="276">
        <v>44470</v>
      </c>
      <c r="D95" s="257" t="s">
        <v>1280</v>
      </c>
      <c r="E95" s="256" t="s">
        <v>618</v>
      </c>
      <c r="F95" s="256" t="s">
        <v>1648</v>
      </c>
      <c r="G95" s="258">
        <v>21890000000</v>
      </c>
      <c r="H95" s="265">
        <v>0</v>
      </c>
      <c r="I95" s="258">
        <v>0</v>
      </c>
      <c r="J95" s="258">
        <v>21890000000</v>
      </c>
      <c r="K95" s="256" t="s">
        <v>1346</v>
      </c>
    </row>
    <row r="96" spans="1:11" x14ac:dyDescent="0.3">
      <c r="A96" s="256">
        <v>30</v>
      </c>
      <c r="B96" s="257" t="s">
        <v>1396</v>
      </c>
      <c r="C96" s="276">
        <v>44561</v>
      </c>
      <c r="D96" s="257" t="s">
        <v>1389</v>
      </c>
      <c r="E96" s="256" t="s">
        <v>1555</v>
      </c>
      <c r="F96" s="256" t="s">
        <v>1623</v>
      </c>
      <c r="G96" s="258">
        <v>25456000000</v>
      </c>
      <c r="H96" s="265">
        <v>0.1</v>
      </c>
      <c r="I96" s="258">
        <v>2545600000</v>
      </c>
      <c r="J96" s="258">
        <v>28001600000</v>
      </c>
      <c r="K96" s="256" t="s">
        <v>1346</v>
      </c>
    </row>
    <row r="97" spans="1:11" x14ac:dyDescent="0.3">
      <c r="A97" s="256">
        <v>31</v>
      </c>
      <c r="B97" s="257" t="s">
        <v>1397</v>
      </c>
      <c r="C97" s="276">
        <v>44561</v>
      </c>
      <c r="D97" s="257" t="s">
        <v>1428</v>
      </c>
      <c r="E97" s="256" t="s">
        <v>1557</v>
      </c>
      <c r="F97" s="256" t="s">
        <v>1647</v>
      </c>
      <c r="G97" s="258">
        <v>23890000000</v>
      </c>
      <c r="H97" s="265">
        <v>0.1</v>
      </c>
      <c r="I97" s="258">
        <v>2389000000</v>
      </c>
      <c r="J97" s="258">
        <v>26279000000</v>
      </c>
      <c r="K97" s="256" t="s">
        <v>1346</v>
      </c>
    </row>
    <row r="98" spans="1:11" x14ac:dyDescent="0.3">
      <c r="A98" s="256">
        <v>32</v>
      </c>
      <c r="B98" s="257" t="s">
        <v>1398</v>
      </c>
      <c r="C98" s="276">
        <v>44561</v>
      </c>
      <c r="D98" s="257" t="s">
        <v>1285</v>
      </c>
      <c r="E98" s="256" t="s">
        <v>1558</v>
      </c>
      <c r="F98" s="256" t="s">
        <v>1648</v>
      </c>
      <c r="G98" s="258">
        <v>22234000000</v>
      </c>
      <c r="H98" s="265">
        <v>0</v>
      </c>
      <c r="I98" s="258">
        <v>0</v>
      </c>
      <c r="J98" s="258">
        <v>22234000000</v>
      </c>
      <c r="K98" s="256" t="s">
        <v>1346</v>
      </c>
    </row>
    <row r="99" spans="1:11" x14ac:dyDescent="0.3">
      <c r="A99" s="256">
        <v>33</v>
      </c>
      <c r="B99" s="257" t="s">
        <v>1399</v>
      </c>
      <c r="C99" s="276">
        <v>44561</v>
      </c>
      <c r="D99" s="257" t="s">
        <v>1260</v>
      </c>
      <c r="E99" s="256" t="s">
        <v>1585</v>
      </c>
      <c r="F99" s="256" t="s">
        <v>1623</v>
      </c>
      <c r="G99" s="258">
        <v>27234000000</v>
      </c>
      <c r="H99" s="265">
        <v>0.1</v>
      </c>
      <c r="I99" s="258">
        <v>2723400000</v>
      </c>
      <c r="J99" s="258">
        <v>29957400000</v>
      </c>
      <c r="K99" s="256" t="s">
        <v>1346</v>
      </c>
    </row>
    <row r="100" spans="1:11" x14ac:dyDescent="0.3">
      <c r="A100" s="256">
        <v>34</v>
      </c>
      <c r="B100" s="257" t="s">
        <v>1401</v>
      </c>
      <c r="C100" s="276">
        <v>44561</v>
      </c>
      <c r="D100" s="257" t="s">
        <v>1395</v>
      </c>
      <c r="E100" s="256" t="s">
        <v>1581</v>
      </c>
      <c r="F100" s="256" t="s">
        <v>1647</v>
      </c>
      <c r="G100" s="258">
        <v>24890000000</v>
      </c>
      <c r="H100" s="265">
        <v>0.1</v>
      </c>
      <c r="I100" s="258">
        <v>2489000000</v>
      </c>
      <c r="J100" s="258">
        <v>27379000000</v>
      </c>
      <c r="K100" s="256" t="s">
        <v>1346</v>
      </c>
    </row>
    <row r="101" spans="1:11" x14ac:dyDescent="0.3">
      <c r="A101" s="256">
        <v>35</v>
      </c>
      <c r="B101" s="257" t="s">
        <v>1402</v>
      </c>
      <c r="C101" s="276">
        <v>44561</v>
      </c>
      <c r="D101" s="257" t="s">
        <v>1277</v>
      </c>
      <c r="E101" s="256" t="s">
        <v>1582</v>
      </c>
      <c r="F101" s="256" t="s">
        <v>1623</v>
      </c>
      <c r="G101" s="258">
        <v>27890000000</v>
      </c>
      <c r="H101" s="265">
        <v>0.1</v>
      </c>
      <c r="I101" s="258">
        <v>2789000000</v>
      </c>
      <c r="J101" s="258">
        <v>30679000000</v>
      </c>
      <c r="K101" s="256" t="s">
        <v>1346</v>
      </c>
    </row>
    <row r="102" spans="1:11" x14ac:dyDescent="0.3">
      <c r="A102" s="256">
        <v>36</v>
      </c>
      <c r="B102" s="257" t="s">
        <v>1403</v>
      </c>
      <c r="C102" s="276">
        <v>44561</v>
      </c>
      <c r="D102" s="257" t="s">
        <v>1266</v>
      </c>
      <c r="E102" s="256" t="s">
        <v>1669</v>
      </c>
      <c r="F102" s="256" t="s">
        <v>1648</v>
      </c>
      <c r="G102" s="258">
        <v>22890000000</v>
      </c>
      <c r="H102" s="265">
        <v>0</v>
      </c>
      <c r="I102" s="258">
        <v>0</v>
      </c>
      <c r="J102" s="258">
        <v>22890000000</v>
      </c>
      <c r="K102" s="256" t="s">
        <v>1346</v>
      </c>
    </row>
    <row r="103" spans="1:11" x14ac:dyDescent="0.3">
      <c r="A103" s="256">
        <v>37</v>
      </c>
      <c r="B103" s="257" t="s">
        <v>1404</v>
      </c>
      <c r="C103" s="276">
        <v>44561</v>
      </c>
      <c r="D103" s="257" t="s">
        <v>1283</v>
      </c>
      <c r="E103" s="256" t="s">
        <v>1588</v>
      </c>
      <c r="F103" s="256" t="s">
        <v>1623</v>
      </c>
      <c r="G103" s="258">
        <v>28234000000</v>
      </c>
      <c r="H103" s="265">
        <v>0.1</v>
      </c>
      <c r="I103" s="258">
        <v>2823400000</v>
      </c>
      <c r="J103" s="258">
        <v>31057400000</v>
      </c>
      <c r="K103" s="256" t="s">
        <v>1346</v>
      </c>
    </row>
    <row r="104" spans="1:11" x14ac:dyDescent="0.3">
      <c r="A104" s="256">
        <v>38</v>
      </c>
      <c r="B104" s="257" t="s">
        <v>1405</v>
      </c>
      <c r="C104" s="276">
        <v>44561</v>
      </c>
      <c r="D104" s="257" t="s">
        <v>1259</v>
      </c>
      <c r="E104" s="256" t="s">
        <v>1569</v>
      </c>
      <c r="F104" s="256" t="s">
        <v>1647</v>
      </c>
      <c r="G104" s="258">
        <v>25456000000</v>
      </c>
      <c r="H104" s="265">
        <v>0.1</v>
      </c>
      <c r="I104" s="258">
        <v>2545600000</v>
      </c>
      <c r="J104" s="258">
        <v>28001600000</v>
      </c>
      <c r="K104" s="256" t="s">
        <v>1346</v>
      </c>
    </row>
    <row r="105" spans="1:11" x14ac:dyDescent="0.3">
      <c r="A105" s="256">
        <v>39</v>
      </c>
      <c r="B105" s="257" t="s">
        <v>1406</v>
      </c>
      <c r="C105" s="276">
        <v>44561</v>
      </c>
      <c r="D105" s="257" t="s">
        <v>1281</v>
      </c>
      <c r="E105" s="256" t="s">
        <v>1559</v>
      </c>
      <c r="F105" s="256" t="s">
        <v>1623</v>
      </c>
      <c r="G105" s="258">
        <v>28901000000</v>
      </c>
      <c r="H105" s="265">
        <v>0.1</v>
      </c>
      <c r="I105" s="258">
        <v>2890100000</v>
      </c>
      <c r="J105" s="258">
        <v>31791100000</v>
      </c>
      <c r="K105" s="256" t="s">
        <v>1346</v>
      </c>
    </row>
    <row r="106" spans="1:11" x14ac:dyDescent="0.3">
      <c r="A106" s="256">
        <v>40</v>
      </c>
      <c r="B106" s="257" t="s">
        <v>1408</v>
      </c>
      <c r="C106" s="276">
        <v>44561</v>
      </c>
      <c r="D106" s="257" t="s">
        <v>1273</v>
      </c>
      <c r="E106" s="256" t="s">
        <v>1567</v>
      </c>
      <c r="F106" s="256" t="s">
        <v>1648</v>
      </c>
      <c r="G106" s="258">
        <v>23456000000</v>
      </c>
      <c r="H106" s="265">
        <v>0</v>
      </c>
      <c r="I106" s="258">
        <v>0</v>
      </c>
      <c r="J106" s="258">
        <v>23456000000</v>
      </c>
      <c r="K106" s="256" t="s">
        <v>1346</v>
      </c>
    </row>
    <row r="107" spans="1:11" x14ac:dyDescent="0.3">
      <c r="A107" s="256">
        <v>41</v>
      </c>
      <c r="B107" s="257" t="s">
        <v>1409</v>
      </c>
      <c r="C107" s="276">
        <v>44561</v>
      </c>
      <c r="D107" s="257" t="s">
        <v>1282</v>
      </c>
      <c r="E107" s="256" t="s">
        <v>1580</v>
      </c>
      <c r="F107" s="256" t="s">
        <v>1623</v>
      </c>
      <c r="G107" s="258">
        <v>28234000000</v>
      </c>
      <c r="H107" s="265">
        <v>0.1</v>
      </c>
      <c r="I107" s="258">
        <v>2823400000</v>
      </c>
      <c r="J107" s="258">
        <v>31057400000</v>
      </c>
      <c r="K107" s="256" t="s">
        <v>1346</v>
      </c>
    </row>
    <row r="108" spans="1:11" x14ac:dyDescent="0.3">
      <c r="A108" s="256">
        <v>42</v>
      </c>
      <c r="B108" s="257" t="s">
        <v>1411</v>
      </c>
      <c r="C108" s="276">
        <v>44561</v>
      </c>
      <c r="D108" s="257" t="s">
        <v>1267</v>
      </c>
      <c r="E108" s="256" t="s">
        <v>1560</v>
      </c>
      <c r="F108" s="256" t="s">
        <v>1647</v>
      </c>
      <c r="G108" s="258">
        <v>25890000000</v>
      </c>
      <c r="H108" s="265">
        <v>0.1</v>
      </c>
      <c r="I108" s="258">
        <v>2589000000</v>
      </c>
      <c r="J108" s="258">
        <v>28479000000</v>
      </c>
      <c r="K108" s="256" t="s">
        <v>1346</v>
      </c>
    </row>
    <row r="109" spans="1:11" x14ac:dyDescent="0.3">
      <c r="A109" s="256">
        <v>43</v>
      </c>
      <c r="B109" s="257" t="s">
        <v>1414</v>
      </c>
      <c r="C109" s="276">
        <v>44561</v>
      </c>
      <c r="D109" s="257" t="s">
        <v>1416</v>
      </c>
      <c r="E109" s="256" t="s">
        <v>1562</v>
      </c>
      <c r="F109" s="256" t="s">
        <v>1623</v>
      </c>
      <c r="G109" s="258">
        <v>29234000000</v>
      </c>
      <c r="H109" s="265">
        <v>0.1</v>
      </c>
      <c r="I109" s="258">
        <v>2923400000</v>
      </c>
      <c r="J109" s="258">
        <v>32157400000</v>
      </c>
      <c r="K109" s="256" t="s">
        <v>1346</v>
      </c>
    </row>
    <row r="110" spans="1:11" x14ac:dyDescent="0.3">
      <c r="A110" s="256">
        <v>44</v>
      </c>
      <c r="B110" s="257" t="s">
        <v>1415</v>
      </c>
      <c r="C110" s="276">
        <v>44561</v>
      </c>
      <c r="D110" s="257" t="s">
        <v>1279</v>
      </c>
      <c r="E110" s="256" t="s">
        <v>611</v>
      </c>
      <c r="F110" s="256" t="s">
        <v>1648</v>
      </c>
      <c r="G110" s="258">
        <v>24234000000</v>
      </c>
      <c r="H110" s="265">
        <v>0</v>
      </c>
      <c r="I110" s="258">
        <v>0</v>
      </c>
      <c r="J110" s="258">
        <v>24234000000</v>
      </c>
      <c r="K110" s="256" t="s">
        <v>1346</v>
      </c>
    </row>
    <row r="111" spans="1:11" x14ac:dyDescent="0.3">
      <c r="A111" s="256">
        <v>45</v>
      </c>
      <c r="B111" s="257" t="s">
        <v>1206</v>
      </c>
      <c r="C111" s="276">
        <v>44561</v>
      </c>
      <c r="D111" s="257" t="s">
        <v>1261</v>
      </c>
      <c r="E111" s="256" t="s">
        <v>1572</v>
      </c>
      <c r="F111" s="256" t="s">
        <v>1623</v>
      </c>
      <c r="G111" s="258">
        <v>28901000000</v>
      </c>
      <c r="H111" s="265">
        <v>0.1</v>
      </c>
      <c r="I111" s="258">
        <v>2890100000</v>
      </c>
      <c r="J111" s="258">
        <v>31791100000</v>
      </c>
      <c r="K111" s="256" t="s">
        <v>1346</v>
      </c>
    </row>
    <row r="112" spans="1:11" x14ac:dyDescent="0.3">
      <c r="A112" s="256">
        <v>46</v>
      </c>
      <c r="B112" s="257" t="s">
        <v>1207</v>
      </c>
      <c r="C112" s="276">
        <v>44561</v>
      </c>
      <c r="D112" s="257" t="s">
        <v>1352</v>
      </c>
      <c r="E112" s="256" t="s">
        <v>1571</v>
      </c>
      <c r="F112" s="256" t="s">
        <v>1647</v>
      </c>
      <c r="G112" s="258">
        <v>26234000000</v>
      </c>
      <c r="H112" s="265">
        <v>0.1</v>
      </c>
      <c r="I112" s="258">
        <v>2623400000</v>
      </c>
      <c r="J112" s="258">
        <v>28857400000</v>
      </c>
      <c r="K112" s="256" t="s">
        <v>1346</v>
      </c>
    </row>
    <row r="113" spans="1:11" x14ac:dyDescent="0.3">
      <c r="A113" s="256">
        <v>47</v>
      </c>
      <c r="B113" s="257" t="s">
        <v>1208</v>
      </c>
      <c r="C113" s="276">
        <v>44561</v>
      </c>
      <c r="D113" s="257" t="s">
        <v>1272</v>
      </c>
      <c r="E113" s="256" t="s">
        <v>540</v>
      </c>
      <c r="F113" s="256" t="s">
        <v>1623</v>
      </c>
      <c r="G113" s="258">
        <v>29890000000</v>
      </c>
      <c r="H113" s="265">
        <v>0.1</v>
      </c>
      <c r="I113" s="258">
        <v>2989000000</v>
      </c>
      <c r="J113" s="258">
        <v>32879000000</v>
      </c>
      <c r="K113" s="256" t="s">
        <v>1346</v>
      </c>
    </row>
    <row r="114" spans="1:11" x14ac:dyDescent="0.3">
      <c r="A114" s="256">
        <v>48</v>
      </c>
      <c r="B114" s="257" t="s">
        <v>1209</v>
      </c>
      <c r="C114" s="276">
        <v>44561</v>
      </c>
      <c r="D114" s="257" t="s">
        <v>1284</v>
      </c>
      <c r="E114" s="256" t="s">
        <v>1552</v>
      </c>
      <c r="F114" s="256" t="s">
        <v>1648</v>
      </c>
      <c r="G114" s="258">
        <v>24890000000</v>
      </c>
      <c r="H114" s="265">
        <v>0</v>
      </c>
      <c r="I114" s="258">
        <v>0</v>
      </c>
      <c r="J114" s="258">
        <v>24890000000</v>
      </c>
      <c r="K114" s="256" t="s">
        <v>1346</v>
      </c>
    </row>
    <row r="115" spans="1:11" x14ac:dyDescent="0.3">
      <c r="A115" s="256">
        <v>49</v>
      </c>
      <c r="B115" s="257" t="s">
        <v>1418</v>
      </c>
      <c r="C115" s="276">
        <v>44561</v>
      </c>
      <c r="D115" s="257" t="s">
        <v>1280</v>
      </c>
      <c r="E115" s="256" t="s">
        <v>618</v>
      </c>
      <c r="F115" s="256" t="s">
        <v>1623</v>
      </c>
      <c r="G115" s="258">
        <v>29456000000</v>
      </c>
      <c r="H115" s="265">
        <v>0.1</v>
      </c>
      <c r="I115" s="258">
        <v>2945600000</v>
      </c>
      <c r="J115" s="258">
        <v>32401600000</v>
      </c>
      <c r="K115" s="256" t="s">
        <v>1346</v>
      </c>
    </row>
    <row r="116" spans="1:11" x14ac:dyDescent="0.3">
      <c r="A116" s="256">
        <v>50</v>
      </c>
      <c r="B116" s="257" t="s">
        <v>1419</v>
      </c>
      <c r="C116" s="276">
        <v>44561</v>
      </c>
      <c r="D116" s="257" t="s">
        <v>1264</v>
      </c>
      <c r="E116" s="256" t="s">
        <v>1584</v>
      </c>
      <c r="F116" s="256" t="s">
        <v>1647</v>
      </c>
      <c r="G116" s="258">
        <v>26890000000</v>
      </c>
      <c r="H116" s="265">
        <v>0.1</v>
      </c>
      <c r="I116" s="258">
        <v>2689000000</v>
      </c>
      <c r="J116" s="258">
        <v>29579000000</v>
      </c>
      <c r="K116" s="256" t="s">
        <v>1346</v>
      </c>
    </row>
    <row r="117" spans="1:11" x14ac:dyDescent="0.3">
      <c r="A117" s="266" t="s">
        <v>1351</v>
      </c>
      <c r="B117" s="266"/>
      <c r="C117" s="266"/>
      <c r="D117" s="266"/>
      <c r="E117" s="266"/>
      <c r="F117" s="266"/>
      <c r="G117" s="267">
        <f>SUM(G67:G116)</f>
        <v>1207707000000</v>
      </c>
      <c r="H117" s="266"/>
      <c r="I117" s="267">
        <f>SUM(I67:I116)</f>
        <v>92871900000</v>
      </c>
      <c r="J117" s="267">
        <f>SUM(J67:J116)</f>
        <v>1300578900000</v>
      </c>
      <c r="K117" s="26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workbookViewId="0"/>
  </sheetViews>
  <sheetFormatPr defaultRowHeight="14.4" x14ac:dyDescent="0.3"/>
  <sheetData>
    <row r="1" spans="1:11" x14ac:dyDescent="0.3">
      <c r="A1" s="256" t="s">
        <v>1340</v>
      </c>
      <c r="B1" s="256" t="s">
        <v>469</v>
      </c>
      <c r="C1" s="256"/>
      <c r="D1" s="256"/>
      <c r="E1" s="256"/>
      <c r="F1" s="256"/>
      <c r="G1" s="256"/>
      <c r="H1" s="256"/>
      <c r="I1" s="256"/>
      <c r="J1" s="256"/>
      <c r="K1" s="256"/>
    </row>
    <row r="2" spans="1:11" x14ac:dyDescent="0.3">
      <c r="A2" s="256" t="s">
        <v>1339</v>
      </c>
      <c r="B2" s="257">
        <v>101380936</v>
      </c>
      <c r="C2" s="256"/>
      <c r="D2" s="256"/>
      <c r="E2" s="256"/>
      <c r="F2" s="256"/>
      <c r="G2" s="256"/>
      <c r="H2" s="256"/>
      <c r="I2" s="256"/>
      <c r="J2" s="256"/>
      <c r="K2" s="256"/>
    </row>
    <row r="3" spans="1:11" x14ac:dyDescent="0.3">
      <c r="A3" s="256" t="s">
        <v>1343</v>
      </c>
      <c r="B3" s="258">
        <v>587737211876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1342</v>
      </c>
      <c r="F7" s="266" t="s">
        <v>1537</v>
      </c>
      <c r="G7" s="266" t="s">
        <v>270</v>
      </c>
      <c r="H7" s="266" t="s">
        <v>1538</v>
      </c>
      <c r="I7" s="266" t="s">
        <v>1539</v>
      </c>
      <c r="J7" s="266" t="s">
        <v>1540</v>
      </c>
      <c r="K7" s="266" t="s">
        <v>1541</v>
      </c>
    </row>
    <row r="8" spans="1:11" x14ac:dyDescent="0.3">
      <c r="A8" s="256">
        <v>1</v>
      </c>
      <c r="B8" s="257" t="s">
        <v>1364</v>
      </c>
      <c r="C8" s="276">
        <v>44470</v>
      </c>
      <c r="D8" s="257" t="s">
        <v>1276</v>
      </c>
      <c r="E8" s="256" t="s">
        <v>1654</v>
      </c>
      <c r="F8" s="256" t="s">
        <v>1670</v>
      </c>
      <c r="G8" s="258">
        <v>14234000000</v>
      </c>
      <c r="H8" s="265">
        <v>0.1</v>
      </c>
      <c r="I8" s="258">
        <v>1423400000</v>
      </c>
      <c r="J8" s="258">
        <v>15657400000</v>
      </c>
      <c r="K8" s="256" t="s">
        <v>1346</v>
      </c>
    </row>
    <row r="9" spans="1:11" x14ac:dyDescent="0.3">
      <c r="A9" s="256">
        <v>2</v>
      </c>
      <c r="B9" s="257" t="s">
        <v>1362</v>
      </c>
      <c r="C9" s="276">
        <v>44471</v>
      </c>
      <c r="D9" s="257" t="s">
        <v>1333</v>
      </c>
      <c r="E9" s="256" t="s">
        <v>1134</v>
      </c>
      <c r="F9" s="256" t="s">
        <v>1671</v>
      </c>
      <c r="G9" s="258">
        <v>6234000000</v>
      </c>
      <c r="H9" s="265">
        <v>0.1</v>
      </c>
      <c r="I9" s="258">
        <v>623400000</v>
      </c>
      <c r="J9" s="258">
        <v>6857400000</v>
      </c>
      <c r="K9" s="256" t="s">
        <v>1346</v>
      </c>
    </row>
    <row r="10" spans="1:11" x14ac:dyDescent="0.3">
      <c r="A10" s="256">
        <v>3</v>
      </c>
      <c r="B10" s="257" t="s">
        <v>1364</v>
      </c>
      <c r="C10" s="276">
        <v>44472</v>
      </c>
      <c r="D10" s="257" t="s">
        <v>1255</v>
      </c>
      <c r="E10" s="256" t="s">
        <v>1649</v>
      </c>
      <c r="F10" s="256" t="s">
        <v>1672</v>
      </c>
      <c r="G10" s="258">
        <v>7890000000</v>
      </c>
      <c r="H10" s="265">
        <v>0.1</v>
      </c>
      <c r="I10" s="258">
        <v>789000000</v>
      </c>
      <c r="J10" s="258">
        <v>8679000000</v>
      </c>
      <c r="K10" s="256" t="s">
        <v>1346</v>
      </c>
    </row>
    <row r="11" spans="1:11" x14ac:dyDescent="0.3">
      <c r="A11" s="256">
        <v>4</v>
      </c>
      <c r="B11" s="257" t="s">
        <v>1364</v>
      </c>
      <c r="C11" s="276">
        <v>44474</v>
      </c>
      <c r="D11" s="257" t="s">
        <v>1271</v>
      </c>
      <c r="E11" s="256" t="s">
        <v>1634</v>
      </c>
      <c r="F11" s="256" t="s">
        <v>1673</v>
      </c>
      <c r="G11" s="258">
        <v>10234000000</v>
      </c>
      <c r="H11" s="265">
        <v>0.1</v>
      </c>
      <c r="I11" s="258">
        <v>1023400000</v>
      </c>
      <c r="J11" s="258">
        <v>11257400000</v>
      </c>
      <c r="K11" s="256" t="s">
        <v>1346</v>
      </c>
    </row>
    <row r="12" spans="1:11" x14ac:dyDescent="0.3">
      <c r="A12" s="256">
        <v>5</v>
      </c>
      <c r="B12" s="257" t="s">
        <v>1397</v>
      </c>
      <c r="C12" s="276">
        <v>44475</v>
      </c>
      <c r="D12" s="257" t="s">
        <v>1281</v>
      </c>
      <c r="E12" s="256" t="s">
        <v>1559</v>
      </c>
      <c r="F12" s="256" t="s">
        <v>1674</v>
      </c>
      <c r="G12" s="258">
        <v>5678000000</v>
      </c>
      <c r="H12" s="265">
        <v>0.1</v>
      </c>
      <c r="I12" s="258">
        <v>567800000</v>
      </c>
      <c r="J12" s="258">
        <v>6245800000</v>
      </c>
      <c r="K12" s="256" t="s">
        <v>1346</v>
      </c>
    </row>
    <row r="13" spans="1:11" x14ac:dyDescent="0.3">
      <c r="A13" s="256">
        <v>6</v>
      </c>
      <c r="B13" s="257" t="s">
        <v>1381</v>
      </c>
      <c r="C13" s="276">
        <v>44476</v>
      </c>
      <c r="D13" s="257" t="s">
        <v>1266</v>
      </c>
      <c r="E13" s="256" t="s">
        <v>1669</v>
      </c>
      <c r="F13" s="256" t="s">
        <v>1626</v>
      </c>
      <c r="G13" s="258">
        <v>8901000000</v>
      </c>
      <c r="H13" s="265">
        <v>0</v>
      </c>
      <c r="I13" s="258">
        <v>0</v>
      </c>
      <c r="J13" s="258">
        <v>8901000000</v>
      </c>
      <c r="K13" s="256" t="s">
        <v>1346</v>
      </c>
    </row>
    <row r="14" spans="1:11" x14ac:dyDescent="0.3">
      <c r="A14" s="256">
        <v>7</v>
      </c>
      <c r="B14" s="257" t="s">
        <v>1362</v>
      </c>
      <c r="C14" s="276">
        <v>44477</v>
      </c>
      <c r="D14" s="257" t="s">
        <v>1256</v>
      </c>
      <c r="E14" s="256" t="s">
        <v>1665</v>
      </c>
      <c r="F14" s="256" t="s">
        <v>1670</v>
      </c>
      <c r="G14" s="258">
        <v>15678000000</v>
      </c>
      <c r="H14" s="265">
        <v>0.1</v>
      </c>
      <c r="I14" s="258">
        <v>1567800000</v>
      </c>
      <c r="J14" s="258">
        <v>17245800000</v>
      </c>
      <c r="K14" s="256" t="s">
        <v>1346</v>
      </c>
    </row>
    <row r="15" spans="1:11" x14ac:dyDescent="0.3">
      <c r="A15" s="256">
        <v>8</v>
      </c>
      <c r="B15" s="257" t="s">
        <v>1391</v>
      </c>
      <c r="C15" s="276">
        <v>44478</v>
      </c>
      <c r="D15" s="257" t="s">
        <v>1352</v>
      </c>
      <c r="E15" s="256" t="s">
        <v>1571</v>
      </c>
      <c r="F15" s="256" t="s">
        <v>1671</v>
      </c>
      <c r="G15" s="258">
        <v>6890000000</v>
      </c>
      <c r="H15" s="265">
        <v>0.1</v>
      </c>
      <c r="I15" s="258">
        <v>689000000</v>
      </c>
      <c r="J15" s="258">
        <v>7579000000</v>
      </c>
      <c r="K15" s="256" t="s">
        <v>1348</v>
      </c>
    </row>
    <row r="16" spans="1:11" x14ac:dyDescent="0.3">
      <c r="A16" s="256">
        <v>9</v>
      </c>
      <c r="B16" s="257" t="s">
        <v>1362</v>
      </c>
      <c r="C16" s="276">
        <v>44479</v>
      </c>
      <c r="D16" s="257" t="s">
        <v>1314</v>
      </c>
      <c r="E16" s="256" t="s">
        <v>948</v>
      </c>
      <c r="F16" s="256" t="s">
        <v>1673</v>
      </c>
      <c r="G16" s="258">
        <v>9890000000</v>
      </c>
      <c r="H16" s="265">
        <v>0.1</v>
      </c>
      <c r="I16" s="258">
        <v>989000000</v>
      </c>
      <c r="J16" s="258">
        <v>10879000000</v>
      </c>
      <c r="K16" s="256" t="s">
        <v>1346</v>
      </c>
    </row>
    <row r="17" spans="1:11" x14ac:dyDescent="0.3">
      <c r="A17" s="256">
        <v>10</v>
      </c>
      <c r="B17" s="257" t="s">
        <v>1362</v>
      </c>
      <c r="C17" s="276">
        <v>44480</v>
      </c>
      <c r="D17" s="257" t="s">
        <v>1287</v>
      </c>
      <c r="E17" s="256" t="s">
        <v>691</v>
      </c>
      <c r="F17" s="256" t="s">
        <v>1670</v>
      </c>
      <c r="G17" s="258">
        <v>14890000000</v>
      </c>
      <c r="H17" s="265">
        <v>0.1</v>
      </c>
      <c r="I17" s="258">
        <v>1489000000</v>
      </c>
      <c r="J17" s="258">
        <v>16379000000</v>
      </c>
      <c r="K17" s="256" t="s">
        <v>1346</v>
      </c>
    </row>
    <row r="18" spans="1:11" x14ac:dyDescent="0.3">
      <c r="A18" s="256">
        <v>11</v>
      </c>
      <c r="B18" s="257" t="s">
        <v>1360</v>
      </c>
      <c r="C18" s="276">
        <v>44481</v>
      </c>
      <c r="D18" s="257" t="s">
        <v>1270</v>
      </c>
      <c r="E18" s="256" t="s">
        <v>1393</v>
      </c>
      <c r="F18" s="256" t="s">
        <v>1672</v>
      </c>
      <c r="G18" s="258">
        <v>7234000000</v>
      </c>
      <c r="H18" s="265">
        <v>0.1</v>
      </c>
      <c r="I18" s="258">
        <v>723400000</v>
      </c>
      <c r="J18" s="258">
        <v>7957400000</v>
      </c>
      <c r="K18" s="256" t="s">
        <v>1346</v>
      </c>
    </row>
    <row r="19" spans="1:11" x14ac:dyDescent="0.3">
      <c r="A19" s="256">
        <v>12</v>
      </c>
      <c r="B19" s="257" t="s">
        <v>1387</v>
      </c>
      <c r="C19" s="276">
        <v>44211</v>
      </c>
      <c r="D19" s="257" t="s">
        <v>1280</v>
      </c>
      <c r="E19" s="256" t="s">
        <v>618</v>
      </c>
      <c r="F19" s="256" t="s">
        <v>1674</v>
      </c>
      <c r="G19" s="258">
        <v>5234000000</v>
      </c>
      <c r="H19" s="265">
        <v>0.1</v>
      </c>
      <c r="I19" s="258">
        <v>523400000</v>
      </c>
      <c r="J19" s="258">
        <v>5757400000</v>
      </c>
      <c r="K19" s="256" t="s">
        <v>1346</v>
      </c>
    </row>
    <row r="20" spans="1:11" x14ac:dyDescent="0.3">
      <c r="A20" s="256">
        <v>13</v>
      </c>
      <c r="B20" s="257" t="s">
        <v>1366</v>
      </c>
      <c r="C20" s="276">
        <v>44242</v>
      </c>
      <c r="D20" s="257" t="s">
        <v>1258</v>
      </c>
      <c r="E20" s="256" t="s">
        <v>351</v>
      </c>
      <c r="F20" s="256" t="s">
        <v>1670</v>
      </c>
      <c r="G20" s="258">
        <v>15234000000</v>
      </c>
      <c r="H20" s="265">
        <v>0.1</v>
      </c>
      <c r="I20" s="258">
        <v>1523400000</v>
      </c>
      <c r="J20" s="258">
        <v>16757400000</v>
      </c>
      <c r="K20" s="256" t="s">
        <v>1346</v>
      </c>
    </row>
    <row r="21" spans="1:11" x14ac:dyDescent="0.3">
      <c r="A21" s="256">
        <v>14</v>
      </c>
      <c r="B21" s="257" t="s">
        <v>1360</v>
      </c>
      <c r="C21" s="276">
        <v>44270</v>
      </c>
      <c r="D21" s="257" t="s">
        <v>1326</v>
      </c>
      <c r="E21" s="256" t="s">
        <v>1065</v>
      </c>
      <c r="F21" s="256" t="s">
        <v>1626</v>
      </c>
      <c r="G21" s="258">
        <v>9234000000</v>
      </c>
      <c r="H21" s="265">
        <v>0</v>
      </c>
      <c r="I21" s="258">
        <v>0</v>
      </c>
      <c r="J21" s="258">
        <v>9234000000</v>
      </c>
      <c r="K21" s="256" t="s">
        <v>1346</v>
      </c>
    </row>
    <row r="22" spans="1:11" x14ac:dyDescent="0.3">
      <c r="A22" s="256">
        <v>15</v>
      </c>
      <c r="B22" s="257" t="s">
        <v>1360</v>
      </c>
      <c r="C22" s="276">
        <v>44301</v>
      </c>
      <c r="D22" s="257" t="s">
        <v>1310</v>
      </c>
      <c r="E22" s="256" t="s">
        <v>1635</v>
      </c>
      <c r="F22" s="256" t="s">
        <v>1671</v>
      </c>
      <c r="G22" s="258">
        <v>7234000000</v>
      </c>
      <c r="H22" s="265">
        <v>0.1</v>
      </c>
      <c r="I22" s="258">
        <v>723400000</v>
      </c>
      <c r="J22" s="258">
        <v>7957400000</v>
      </c>
      <c r="K22" s="256" t="s">
        <v>1346</v>
      </c>
    </row>
    <row r="23" spans="1:11" x14ac:dyDescent="0.3">
      <c r="A23" s="256">
        <v>16</v>
      </c>
      <c r="B23" s="257" t="s">
        <v>1387</v>
      </c>
      <c r="C23" s="276">
        <v>44331</v>
      </c>
      <c r="D23" s="257" t="s">
        <v>1284</v>
      </c>
      <c r="E23" s="256" t="s">
        <v>1552</v>
      </c>
      <c r="F23" s="256" t="s">
        <v>1670</v>
      </c>
      <c r="G23" s="258">
        <v>14567000000</v>
      </c>
      <c r="H23" s="265">
        <v>0.1</v>
      </c>
      <c r="I23" s="258">
        <v>1456700000</v>
      </c>
      <c r="J23" s="258">
        <v>16023700000</v>
      </c>
      <c r="K23" s="256" t="s">
        <v>1346</v>
      </c>
    </row>
    <row r="24" spans="1:11" x14ac:dyDescent="0.3">
      <c r="A24" s="256">
        <v>17</v>
      </c>
      <c r="B24" s="257" t="s">
        <v>1204</v>
      </c>
      <c r="C24" s="276">
        <v>44362</v>
      </c>
      <c r="D24" s="257" t="s">
        <v>1268</v>
      </c>
      <c r="E24" s="256" t="s">
        <v>1594</v>
      </c>
      <c r="F24" s="256" t="s">
        <v>1673</v>
      </c>
      <c r="G24" s="258">
        <v>9678000000</v>
      </c>
      <c r="H24" s="265">
        <v>0.1</v>
      </c>
      <c r="I24" s="258">
        <v>967800000</v>
      </c>
      <c r="J24" s="258">
        <v>10645800000</v>
      </c>
      <c r="K24" s="256" t="s">
        <v>1346</v>
      </c>
    </row>
    <row r="25" spans="1:11" x14ac:dyDescent="0.3">
      <c r="A25" s="256">
        <v>18</v>
      </c>
      <c r="B25" s="257" t="s">
        <v>1360</v>
      </c>
      <c r="C25" s="276">
        <v>44392</v>
      </c>
      <c r="D25" s="257" t="s">
        <v>1295</v>
      </c>
      <c r="E25" s="256" t="s">
        <v>1636</v>
      </c>
      <c r="F25" s="256" t="s">
        <v>1672</v>
      </c>
      <c r="G25" s="258">
        <v>7890000000</v>
      </c>
      <c r="H25" s="265">
        <v>0.1</v>
      </c>
      <c r="I25" s="258">
        <v>789000000</v>
      </c>
      <c r="J25" s="258">
        <v>8679000000</v>
      </c>
      <c r="K25" s="256" t="s">
        <v>1346</v>
      </c>
    </row>
    <row r="26" spans="1:11" x14ac:dyDescent="0.3">
      <c r="A26" s="256">
        <v>19</v>
      </c>
      <c r="B26" s="257" t="s">
        <v>1385</v>
      </c>
      <c r="C26" s="276">
        <v>44423</v>
      </c>
      <c r="D26" s="257" t="s">
        <v>1279</v>
      </c>
      <c r="E26" s="256" t="s">
        <v>611</v>
      </c>
      <c r="F26" s="256" t="s">
        <v>1670</v>
      </c>
      <c r="G26" s="258">
        <v>13890000000</v>
      </c>
      <c r="H26" s="265">
        <v>0.1</v>
      </c>
      <c r="I26" s="258">
        <v>1389000000</v>
      </c>
      <c r="J26" s="258">
        <v>15279000000</v>
      </c>
      <c r="K26" s="256" t="s">
        <v>1346</v>
      </c>
    </row>
    <row r="27" spans="1:11" x14ac:dyDescent="0.3">
      <c r="A27" s="256">
        <v>20</v>
      </c>
      <c r="B27" s="257" t="s">
        <v>1388</v>
      </c>
      <c r="C27" s="276">
        <v>44454</v>
      </c>
      <c r="D27" s="257" t="s">
        <v>1395</v>
      </c>
      <c r="E27" s="256" t="s">
        <v>1581</v>
      </c>
      <c r="F27" s="256" t="s">
        <v>1674</v>
      </c>
      <c r="G27" s="258">
        <v>5678000000</v>
      </c>
      <c r="H27" s="265">
        <v>0.1</v>
      </c>
      <c r="I27" s="258">
        <v>567800000</v>
      </c>
      <c r="J27" s="258">
        <v>6245800000</v>
      </c>
      <c r="K27" s="256" t="s">
        <v>1346</v>
      </c>
    </row>
    <row r="28" spans="1:11" x14ac:dyDescent="0.3">
      <c r="A28" s="256">
        <v>21</v>
      </c>
      <c r="B28" s="257" t="s">
        <v>1204</v>
      </c>
      <c r="C28" s="276">
        <v>44484</v>
      </c>
      <c r="D28" s="257" t="s">
        <v>1260</v>
      </c>
      <c r="E28" s="256" t="s">
        <v>1585</v>
      </c>
      <c r="F28" s="256" t="s">
        <v>1670</v>
      </c>
      <c r="G28" s="258">
        <v>14234000000</v>
      </c>
      <c r="H28" s="265">
        <v>0.1</v>
      </c>
      <c r="I28" s="258">
        <v>1423400000</v>
      </c>
      <c r="J28" s="258">
        <v>15657400000</v>
      </c>
      <c r="K28" s="256" t="s">
        <v>1346</v>
      </c>
    </row>
    <row r="29" spans="1:11" x14ac:dyDescent="0.3">
      <c r="A29" s="256">
        <v>22</v>
      </c>
      <c r="B29" s="257" t="s">
        <v>1383</v>
      </c>
      <c r="C29" s="276">
        <v>44515</v>
      </c>
      <c r="D29" s="257" t="s">
        <v>1285</v>
      </c>
      <c r="E29" s="256" t="s">
        <v>1558</v>
      </c>
      <c r="F29" s="256" t="s">
        <v>1673</v>
      </c>
      <c r="G29" s="258">
        <v>10234000000</v>
      </c>
      <c r="H29" s="265">
        <v>0.1</v>
      </c>
      <c r="I29" s="258">
        <v>1023400000</v>
      </c>
      <c r="J29" s="258">
        <v>11257400000</v>
      </c>
      <c r="K29" s="256" t="s">
        <v>1346</v>
      </c>
    </row>
    <row r="30" spans="1:11" x14ac:dyDescent="0.3">
      <c r="A30" s="256">
        <v>23</v>
      </c>
      <c r="B30" s="257" t="s">
        <v>1358</v>
      </c>
      <c r="C30" s="276">
        <v>44545</v>
      </c>
      <c r="D30" s="257" t="s">
        <v>1302</v>
      </c>
      <c r="E30" s="256" t="s">
        <v>835</v>
      </c>
      <c r="F30" s="256" t="s">
        <v>1671</v>
      </c>
      <c r="G30" s="258">
        <v>7890000000</v>
      </c>
      <c r="H30" s="265">
        <v>0.1</v>
      </c>
      <c r="I30" s="258">
        <v>789000000</v>
      </c>
      <c r="J30" s="258">
        <v>8679000000</v>
      </c>
      <c r="K30" s="256" t="s">
        <v>1346</v>
      </c>
    </row>
    <row r="31" spans="1:11" x14ac:dyDescent="0.3">
      <c r="A31" s="256">
        <v>24</v>
      </c>
      <c r="B31" s="257" t="s">
        <v>1383</v>
      </c>
      <c r="C31" s="276">
        <v>44216</v>
      </c>
      <c r="D31" s="257" t="s">
        <v>1435</v>
      </c>
      <c r="E31" s="256" t="s">
        <v>1577</v>
      </c>
      <c r="F31" s="256" t="s">
        <v>1670</v>
      </c>
      <c r="G31" s="258">
        <v>15890000000</v>
      </c>
      <c r="H31" s="265">
        <v>0.1</v>
      </c>
      <c r="I31" s="258">
        <v>1589000000</v>
      </c>
      <c r="J31" s="258">
        <v>17479000000</v>
      </c>
      <c r="K31" s="256" t="s">
        <v>1346</v>
      </c>
    </row>
    <row r="32" spans="1:11" x14ac:dyDescent="0.3">
      <c r="A32" s="256">
        <v>25</v>
      </c>
      <c r="B32" s="257" t="s">
        <v>1360</v>
      </c>
      <c r="C32" s="276">
        <v>44247</v>
      </c>
      <c r="D32" s="257" t="s">
        <v>1315</v>
      </c>
      <c r="E32" s="256" t="s">
        <v>1637</v>
      </c>
      <c r="F32" s="256" t="s">
        <v>1672</v>
      </c>
      <c r="G32" s="258">
        <v>7456000000</v>
      </c>
      <c r="H32" s="265">
        <v>0.1</v>
      </c>
      <c r="I32" s="258">
        <v>745600000</v>
      </c>
      <c r="J32" s="258">
        <v>8201600000</v>
      </c>
      <c r="K32" s="256" t="s">
        <v>1346</v>
      </c>
    </row>
    <row r="33" spans="1:11" x14ac:dyDescent="0.3">
      <c r="A33" s="256">
        <v>26</v>
      </c>
      <c r="B33" s="257" t="s">
        <v>1387</v>
      </c>
      <c r="C33" s="276">
        <v>44275</v>
      </c>
      <c r="D33" s="257" t="s">
        <v>1277</v>
      </c>
      <c r="E33" s="256" t="s">
        <v>1582</v>
      </c>
      <c r="F33" s="256" t="s">
        <v>1626</v>
      </c>
      <c r="G33" s="258">
        <v>9890000000</v>
      </c>
      <c r="H33" s="265">
        <v>0</v>
      </c>
      <c r="I33" s="258">
        <v>0</v>
      </c>
      <c r="J33" s="258">
        <v>9890000000</v>
      </c>
      <c r="K33" s="256" t="s">
        <v>1346</v>
      </c>
    </row>
    <row r="34" spans="1:11" x14ac:dyDescent="0.3">
      <c r="A34" s="256">
        <v>27</v>
      </c>
      <c r="B34" s="257" t="s">
        <v>1383</v>
      </c>
      <c r="C34" s="276">
        <v>44306</v>
      </c>
      <c r="D34" s="257" t="s">
        <v>1264</v>
      </c>
      <c r="E34" s="256" t="s">
        <v>1584</v>
      </c>
      <c r="F34" s="256" t="s">
        <v>1670</v>
      </c>
      <c r="G34" s="258">
        <v>14890000000</v>
      </c>
      <c r="H34" s="265">
        <v>0.1</v>
      </c>
      <c r="I34" s="258">
        <v>1489000000</v>
      </c>
      <c r="J34" s="258">
        <v>16379000000</v>
      </c>
      <c r="K34" s="256" t="s">
        <v>1346</v>
      </c>
    </row>
    <row r="35" spans="1:11" x14ac:dyDescent="0.3">
      <c r="A35" s="256">
        <v>28</v>
      </c>
      <c r="B35" s="257" t="s">
        <v>1205</v>
      </c>
      <c r="C35" s="276">
        <v>44336</v>
      </c>
      <c r="D35" s="257" t="s">
        <v>1275</v>
      </c>
      <c r="E35" s="256" t="s">
        <v>1575</v>
      </c>
      <c r="F35" s="256" t="s">
        <v>1674</v>
      </c>
      <c r="G35" s="258">
        <v>6234000000</v>
      </c>
      <c r="H35" s="265">
        <v>0.1</v>
      </c>
      <c r="I35" s="258">
        <v>623400000</v>
      </c>
      <c r="J35" s="258">
        <v>6857400000</v>
      </c>
      <c r="K35" s="256" t="s">
        <v>1346</v>
      </c>
    </row>
    <row r="36" spans="1:11" x14ac:dyDescent="0.3">
      <c r="A36" s="256">
        <v>29</v>
      </c>
      <c r="B36" s="257" t="s">
        <v>1362</v>
      </c>
      <c r="C36" s="276">
        <v>44367</v>
      </c>
      <c r="D36" s="257" t="s">
        <v>1322</v>
      </c>
      <c r="E36" s="256" t="s">
        <v>1638</v>
      </c>
      <c r="F36" s="256" t="s">
        <v>1670</v>
      </c>
      <c r="G36" s="258">
        <v>15456000000</v>
      </c>
      <c r="H36" s="265">
        <v>0.1</v>
      </c>
      <c r="I36" s="258">
        <v>1545600000</v>
      </c>
      <c r="J36" s="258">
        <v>17001600000</v>
      </c>
      <c r="K36" s="256" t="s">
        <v>1346</v>
      </c>
    </row>
    <row r="37" spans="1:11" x14ac:dyDescent="0.3">
      <c r="A37" s="256">
        <v>30</v>
      </c>
      <c r="B37" s="257" t="s">
        <v>1368</v>
      </c>
      <c r="C37" s="276">
        <v>44397</v>
      </c>
      <c r="D37" s="257" t="s">
        <v>1257</v>
      </c>
      <c r="E37" s="256" t="s">
        <v>1574</v>
      </c>
      <c r="F37" s="256" t="s">
        <v>1673</v>
      </c>
      <c r="G37" s="258">
        <v>10890000000</v>
      </c>
      <c r="H37" s="265">
        <v>0.1</v>
      </c>
      <c r="I37" s="258">
        <v>1089000000</v>
      </c>
      <c r="J37" s="258">
        <v>11979000000</v>
      </c>
      <c r="K37" s="256" t="s">
        <v>1346</v>
      </c>
    </row>
    <row r="38" spans="1:11" x14ac:dyDescent="0.3">
      <c r="A38" s="256">
        <v>31</v>
      </c>
      <c r="B38" s="257" t="s">
        <v>1203</v>
      </c>
      <c r="C38" s="276">
        <v>44428</v>
      </c>
      <c r="D38" s="257" t="s">
        <v>1278</v>
      </c>
      <c r="E38" s="256" t="s">
        <v>1593</v>
      </c>
      <c r="F38" s="256" t="s">
        <v>1671</v>
      </c>
      <c r="G38" s="258">
        <v>7890000000</v>
      </c>
      <c r="H38" s="265">
        <v>0.1</v>
      </c>
      <c r="I38" s="258">
        <v>789000000</v>
      </c>
      <c r="J38" s="258">
        <v>8679000000</v>
      </c>
      <c r="K38" s="256" t="s">
        <v>1346</v>
      </c>
    </row>
    <row r="39" spans="1:11" x14ac:dyDescent="0.3">
      <c r="A39" s="256">
        <v>32</v>
      </c>
      <c r="B39" s="257" t="s">
        <v>1203</v>
      </c>
      <c r="C39" s="276">
        <v>44459</v>
      </c>
      <c r="D39" s="257" t="s">
        <v>1263</v>
      </c>
      <c r="E39" s="256" t="s">
        <v>1579</v>
      </c>
      <c r="F39" s="256" t="s">
        <v>1670</v>
      </c>
      <c r="G39" s="258">
        <v>14567000000</v>
      </c>
      <c r="H39" s="265">
        <v>0.1</v>
      </c>
      <c r="I39" s="258">
        <v>1456700000</v>
      </c>
      <c r="J39" s="258">
        <v>16023700000</v>
      </c>
      <c r="K39" s="256" t="s">
        <v>1346</v>
      </c>
    </row>
    <row r="40" spans="1:11" x14ac:dyDescent="0.3">
      <c r="A40" s="256">
        <v>33</v>
      </c>
      <c r="B40" s="257" t="s">
        <v>1204</v>
      </c>
      <c r="C40" s="276">
        <v>44489</v>
      </c>
      <c r="D40" s="257" t="s">
        <v>1262</v>
      </c>
      <c r="E40" s="256" t="s">
        <v>1556</v>
      </c>
      <c r="F40" s="256" t="s">
        <v>1672</v>
      </c>
      <c r="G40" s="258">
        <v>8234000000</v>
      </c>
      <c r="H40" s="265">
        <v>0.1</v>
      </c>
      <c r="I40" s="258">
        <v>823400000</v>
      </c>
      <c r="J40" s="258">
        <v>9057400000</v>
      </c>
      <c r="K40" s="256" t="s">
        <v>1346</v>
      </c>
    </row>
    <row r="41" spans="1:11" x14ac:dyDescent="0.3">
      <c r="A41" s="256">
        <v>34</v>
      </c>
      <c r="B41" s="257" t="s">
        <v>1204</v>
      </c>
      <c r="C41" s="276">
        <v>44520</v>
      </c>
      <c r="D41" s="257" t="s">
        <v>1384</v>
      </c>
      <c r="E41" s="256" t="s">
        <v>1565</v>
      </c>
      <c r="F41" s="256" t="s">
        <v>1626</v>
      </c>
      <c r="G41" s="258">
        <v>10234000000</v>
      </c>
      <c r="H41" s="265">
        <v>0</v>
      </c>
      <c r="I41" s="258">
        <v>0</v>
      </c>
      <c r="J41" s="258">
        <v>10234000000</v>
      </c>
      <c r="K41" s="256" t="s">
        <v>1346</v>
      </c>
    </row>
    <row r="42" spans="1:11" x14ac:dyDescent="0.3">
      <c r="A42" s="256">
        <v>35</v>
      </c>
      <c r="B42" s="257" t="s">
        <v>1360</v>
      </c>
      <c r="C42" s="276">
        <v>44550</v>
      </c>
      <c r="D42" s="257" t="s">
        <v>1308</v>
      </c>
      <c r="E42" s="256" t="s">
        <v>1639</v>
      </c>
      <c r="F42" s="256" t="s">
        <v>1670</v>
      </c>
      <c r="G42" s="258">
        <v>15234000000</v>
      </c>
      <c r="H42" s="265">
        <v>0.1</v>
      </c>
      <c r="I42" s="258">
        <v>1523400000</v>
      </c>
      <c r="J42" s="258">
        <v>16757400000</v>
      </c>
      <c r="K42" s="256" t="s">
        <v>1346</v>
      </c>
    </row>
    <row r="43" spans="1:11" x14ac:dyDescent="0.3">
      <c r="A43" s="256">
        <v>36</v>
      </c>
      <c r="B43" s="257" t="s">
        <v>1383</v>
      </c>
      <c r="C43" s="276">
        <v>44221</v>
      </c>
      <c r="D43" s="257" t="s">
        <v>1259</v>
      </c>
      <c r="E43" s="256" t="s">
        <v>1569</v>
      </c>
      <c r="F43" s="256" t="s">
        <v>1674</v>
      </c>
      <c r="G43" s="258">
        <v>5890000000</v>
      </c>
      <c r="H43" s="265">
        <v>0.1</v>
      </c>
      <c r="I43" s="258">
        <v>589000000</v>
      </c>
      <c r="J43" s="258">
        <v>6479000000</v>
      </c>
      <c r="K43" s="256" t="s">
        <v>1346</v>
      </c>
    </row>
    <row r="44" spans="1:11" x14ac:dyDescent="0.3">
      <c r="A44" s="256">
        <v>37</v>
      </c>
      <c r="B44" s="257" t="s">
        <v>1204</v>
      </c>
      <c r="C44" s="276">
        <v>44252</v>
      </c>
      <c r="D44" s="257" t="s">
        <v>1274</v>
      </c>
      <c r="E44" s="256" t="s">
        <v>1592</v>
      </c>
      <c r="F44" s="256" t="s">
        <v>1673</v>
      </c>
      <c r="G44" s="258">
        <v>11234000000</v>
      </c>
      <c r="H44" s="265">
        <v>0.1</v>
      </c>
      <c r="I44" s="258">
        <v>1123400000</v>
      </c>
      <c r="J44" s="258">
        <v>12357400000</v>
      </c>
      <c r="K44" s="256" t="s">
        <v>1346</v>
      </c>
    </row>
    <row r="45" spans="1:11" x14ac:dyDescent="0.3">
      <c r="A45" s="256">
        <v>38</v>
      </c>
      <c r="B45" s="257" t="s">
        <v>1204</v>
      </c>
      <c r="C45" s="276">
        <v>44280</v>
      </c>
      <c r="D45" s="257" t="s">
        <v>1283</v>
      </c>
      <c r="E45" s="256" t="s">
        <v>1588</v>
      </c>
      <c r="F45" s="256" t="s">
        <v>1670</v>
      </c>
      <c r="G45" s="258">
        <v>15890000000</v>
      </c>
      <c r="H45" s="265">
        <v>0.1</v>
      </c>
      <c r="I45" s="258">
        <v>1589000000</v>
      </c>
      <c r="J45" s="258">
        <v>17479000000</v>
      </c>
      <c r="K45" s="256" t="s">
        <v>1346</v>
      </c>
    </row>
    <row r="46" spans="1:11" x14ac:dyDescent="0.3">
      <c r="A46" s="256">
        <v>39</v>
      </c>
      <c r="B46" s="257" t="s">
        <v>1382</v>
      </c>
      <c r="C46" s="276">
        <v>44311</v>
      </c>
      <c r="D46" s="257" t="s">
        <v>1273</v>
      </c>
      <c r="E46" s="256" t="s">
        <v>1567</v>
      </c>
      <c r="F46" s="256" t="s">
        <v>1671</v>
      </c>
      <c r="G46" s="258">
        <v>8234000000</v>
      </c>
      <c r="H46" s="265">
        <v>0.1</v>
      </c>
      <c r="I46" s="258">
        <v>823400000</v>
      </c>
      <c r="J46" s="258">
        <v>9057400000</v>
      </c>
      <c r="K46" s="256" t="s">
        <v>1346</v>
      </c>
    </row>
    <row r="47" spans="1:11" x14ac:dyDescent="0.3">
      <c r="A47" s="256">
        <v>40</v>
      </c>
      <c r="B47" s="257" t="s">
        <v>1203</v>
      </c>
      <c r="C47" s="276">
        <v>44341</v>
      </c>
      <c r="D47" s="257" t="s">
        <v>1416</v>
      </c>
      <c r="E47" s="256" t="s">
        <v>1562</v>
      </c>
      <c r="F47" s="256" t="s">
        <v>1670</v>
      </c>
      <c r="G47" s="258">
        <v>14890000000</v>
      </c>
      <c r="H47" s="265">
        <v>0.1</v>
      </c>
      <c r="I47" s="258">
        <v>1489000000</v>
      </c>
      <c r="J47" s="258">
        <v>16379000000</v>
      </c>
      <c r="K47" s="256" t="s">
        <v>1346</v>
      </c>
    </row>
    <row r="48" spans="1:11" x14ac:dyDescent="0.3">
      <c r="A48" s="256">
        <v>41</v>
      </c>
      <c r="B48" s="257" t="s">
        <v>1398</v>
      </c>
      <c r="C48" s="276">
        <v>44372</v>
      </c>
      <c r="D48" s="257" t="s">
        <v>1281</v>
      </c>
      <c r="E48" s="256" t="s">
        <v>1559</v>
      </c>
      <c r="F48" s="256" t="s">
        <v>1672</v>
      </c>
      <c r="G48" s="258">
        <v>8901000000</v>
      </c>
      <c r="H48" s="265">
        <v>0.1</v>
      </c>
      <c r="I48" s="258">
        <v>890100000</v>
      </c>
      <c r="J48" s="258">
        <v>9791100000</v>
      </c>
      <c r="K48" s="256" t="s">
        <v>1346</v>
      </c>
    </row>
    <row r="49" spans="1:11" x14ac:dyDescent="0.3">
      <c r="A49" s="256">
        <v>42</v>
      </c>
      <c r="B49" s="257" t="s">
        <v>1360</v>
      </c>
      <c r="C49" s="276">
        <v>44402</v>
      </c>
      <c r="D49" s="257" t="s">
        <v>1289</v>
      </c>
      <c r="E49" s="256" t="s">
        <v>1640</v>
      </c>
      <c r="F49" s="256" t="s">
        <v>1673</v>
      </c>
      <c r="G49" s="258">
        <v>11890000000</v>
      </c>
      <c r="H49" s="265">
        <v>0.1</v>
      </c>
      <c r="I49" s="258">
        <v>1189000000</v>
      </c>
      <c r="J49" s="258">
        <v>13079000000</v>
      </c>
      <c r="K49" s="256" t="s">
        <v>1346</v>
      </c>
    </row>
    <row r="50" spans="1:11" x14ac:dyDescent="0.3">
      <c r="A50" s="256">
        <v>43</v>
      </c>
      <c r="B50" s="257" t="s">
        <v>1360</v>
      </c>
      <c r="C50" s="276">
        <v>44433</v>
      </c>
      <c r="D50" s="257" t="s">
        <v>1269</v>
      </c>
      <c r="E50" s="256" t="s">
        <v>1641</v>
      </c>
      <c r="F50" s="256" t="s">
        <v>1670</v>
      </c>
      <c r="G50" s="258">
        <v>15456000000</v>
      </c>
      <c r="H50" s="265">
        <v>0.1</v>
      </c>
      <c r="I50" s="258">
        <v>1545600000</v>
      </c>
      <c r="J50" s="258">
        <v>17001600000</v>
      </c>
      <c r="K50" s="256" t="s">
        <v>1346</v>
      </c>
    </row>
    <row r="51" spans="1:11" x14ac:dyDescent="0.3">
      <c r="A51" s="256">
        <v>44</v>
      </c>
      <c r="B51" s="257" t="s">
        <v>1203</v>
      </c>
      <c r="C51" s="276">
        <v>44464</v>
      </c>
      <c r="D51" s="257" t="s">
        <v>1428</v>
      </c>
      <c r="E51" s="256" t="s">
        <v>1557</v>
      </c>
      <c r="F51" s="256" t="s">
        <v>1674</v>
      </c>
      <c r="G51" s="258">
        <v>6456000000</v>
      </c>
      <c r="H51" s="265">
        <v>0.1</v>
      </c>
      <c r="I51" s="258">
        <v>645600000</v>
      </c>
      <c r="J51" s="258">
        <v>7101600000</v>
      </c>
      <c r="K51" s="256" t="s">
        <v>1346</v>
      </c>
    </row>
    <row r="52" spans="1:11" x14ac:dyDescent="0.3">
      <c r="A52" s="256">
        <v>45</v>
      </c>
      <c r="B52" s="257" t="s">
        <v>1358</v>
      </c>
      <c r="C52" s="276">
        <v>44494</v>
      </c>
      <c r="D52" s="257" t="s">
        <v>1313</v>
      </c>
      <c r="E52" s="256" t="s">
        <v>1642</v>
      </c>
      <c r="F52" s="256" t="s">
        <v>1670</v>
      </c>
      <c r="G52" s="258">
        <v>14234000000</v>
      </c>
      <c r="H52" s="265">
        <v>0.1</v>
      </c>
      <c r="I52" s="258">
        <v>1423400000</v>
      </c>
      <c r="J52" s="258">
        <v>15657400000</v>
      </c>
      <c r="K52" s="256" t="s">
        <v>1346</v>
      </c>
    </row>
    <row r="53" spans="1:11" x14ac:dyDescent="0.3">
      <c r="A53" s="256">
        <v>46</v>
      </c>
      <c r="B53" s="257" t="s">
        <v>1358</v>
      </c>
      <c r="C53" s="276">
        <v>44525</v>
      </c>
      <c r="D53" s="257" t="s">
        <v>1297</v>
      </c>
      <c r="E53" s="256" t="s">
        <v>1643</v>
      </c>
      <c r="F53" s="256" t="s">
        <v>1626</v>
      </c>
      <c r="G53" s="258">
        <v>10890000000</v>
      </c>
      <c r="H53" s="265">
        <v>0</v>
      </c>
      <c r="I53" s="258">
        <v>0</v>
      </c>
      <c r="J53" s="258">
        <v>10890000000</v>
      </c>
      <c r="K53" s="256" t="s">
        <v>1346</v>
      </c>
    </row>
    <row r="54" spans="1:11" x14ac:dyDescent="0.3">
      <c r="A54" s="256">
        <v>47</v>
      </c>
      <c r="B54" s="257" t="s">
        <v>1358</v>
      </c>
      <c r="C54" s="276">
        <v>44555</v>
      </c>
      <c r="D54" s="257" t="s">
        <v>1254</v>
      </c>
      <c r="E54" s="256" t="s">
        <v>1668</v>
      </c>
      <c r="F54" s="256" t="s">
        <v>1673</v>
      </c>
      <c r="G54" s="258">
        <v>11456000000</v>
      </c>
      <c r="H54" s="265">
        <v>0.1</v>
      </c>
      <c r="I54" s="258">
        <v>1145600000</v>
      </c>
      <c r="J54" s="258">
        <v>12601600000</v>
      </c>
      <c r="K54" s="256" t="s">
        <v>1346</v>
      </c>
    </row>
    <row r="55" spans="1:11" x14ac:dyDescent="0.3">
      <c r="A55" s="256">
        <v>48</v>
      </c>
      <c r="B55" s="257" t="s">
        <v>1358</v>
      </c>
      <c r="C55" s="276">
        <v>44224</v>
      </c>
      <c r="D55" s="257" t="s">
        <v>1327</v>
      </c>
      <c r="E55" s="256" t="s">
        <v>1645</v>
      </c>
      <c r="F55" s="256" t="s">
        <v>1670</v>
      </c>
      <c r="G55" s="258">
        <v>15234000000</v>
      </c>
      <c r="H55" s="265">
        <v>0.1</v>
      </c>
      <c r="I55" s="258">
        <v>1523400000</v>
      </c>
      <c r="J55" s="258">
        <v>16757400000</v>
      </c>
      <c r="K55" s="256" t="s">
        <v>1346</v>
      </c>
    </row>
    <row r="56" spans="1:11" x14ac:dyDescent="0.3">
      <c r="A56" s="256">
        <v>49</v>
      </c>
      <c r="B56" s="257" t="s">
        <v>1358</v>
      </c>
      <c r="C56" s="276">
        <v>44255</v>
      </c>
      <c r="D56" s="257" t="s">
        <v>1309</v>
      </c>
      <c r="E56" s="256" t="s">
        <v>1646</v>
      </c>
      <c r="F56" s="256" t="s">
        <v>1671</v>
      </c>
      <c r="G56" s="258">
        <v>8456000000</v>
      </c>
      <c r="H56" s="265">
        <v>0.1</v>
      </c>
      <c r="I56" s="258">
        <v>845600000</v>
      </c>
      <c r="J56" s="258">
        <v>9301600000</v>
      </c>
      <c r="K56" s="256" t="s">
        <v>1346</v>
      </c>
    </row>
    <row r="57" spans="1:11" x14ac:dyDescent="0.3">
      <c r="A57" s="256">
        <v>50</v>
      </c>
      <c r="B57" s="257" t="s">
        <v>1382</v>
      </c>
      <c r="C57" s="276">
        <v>44286</v>
      </c>
      <c r="D57" s="257" t="s">
        <v>1266</v>
      </c>
      <c r="E57" s="256" t="s">
        <v>1669</v>
      </c>
      <c r="F57" s="256" t="s">
        <v>1670</v>
      </c>
      <c r="G57" s="258">
        <v>14890000000</v>
      </c>
      <c r="H57" s="265">
        <v>0.1</v>
      </c>
      <c r="I57" s="258">
        <v>1489000000</v>
      </c>
      <c r="J57" s="258">
        <v>16379000000</v>
      </c>
      <c r="K57" s="256" t="s">
        <v>1346</v>
      </c>
    </row>
    <row r="58" spans="1:11" x14ac:dyDescent="0.3">
      <c r="A58" s="256">
        <v>51</v>
      </c>
      <c r="B58" s="257" t="s">
        <v>1366</v>
      </c>
      <c r="C58" s="276">
        <v>44347</v>
      </c>
      <c r="D58" s="257" t="s">
        <v>1276</v>
      </c>
      <c r="E58" s="256" t="s">
        <v>1654</v>
      </c>
      <c r="F58" s="256" t="s">
        <v>1672</v>
      </c>
      <c r="G58" s="258">
        <v>8901000000</v>
      </c>
      <c r="H58" s="265">
        <v>0.1</v>
      </c>
      <c r="I58" s="258">
        <v>890100000</v>
      </c>
      <c r="J58" s="258">
        <v>9791100000</v>
      </c>
      <c r="K58" s="256" t="s">
        <v>1346</v>
      </c>
    </row>
    <row r="59" spans="1:11" x14ac:dyDescent="0.3">
      <c r="A59" s="256">
        <v>52</v>
      </c>
      <c r="B59" s="257" t="s">
        <v>1364</v>
      </c>
      <c r="C59" s="276">
        <v>44408</v>
      </c>
      <c r="D59" s="257" t="s">
        <v>1333</v>
      </c>
      <c r="E59" s="256" t="s">
        <v>1134</v>
      </c>
      <c r="F59" s="256" t="s">
        <v>1670</v>
      </c>
      <c r="G59" s="258">
        <v>15678000000</v>
      </c>
      <c r="H59" s="265">
        <v>0.1</v>
      </c>
      <c r="I59" s="258">
        <v>1567800000</v>
      </c>
      <c r="J59" s="258">
        <v>17245800000</v>
      </c>
      <c r="K59" s="256" t="s">
        <v>1346</v>
      </c>
    </row>
    <row r="60" spans="1:11" x14ac:dyDescent="0.3">
      <c r="A60" s="256">
        <v>53</v>
      </c>
      <c r="B60" s="257" t="s">
        <v>1366</v>
      </c>
      <c r="C60" s="276">
        <v>44439</v>
      </c>
      <c r="D60" s="257" t="s">
        <v>1255</v>
      </c>
      <c r="E60" s="256" t="s">
        <v>1649</v>
      </c>
      <c r="F60" s="256" t="s">
        <v>1673</v>
      </c>
      <c r="G60" s="258">
        <v>12234000000</v>
      </c>
      <c r="H60" s="265">
        <v>0.1</v>
      </c>
      <c r="I60" s="258">
        <v>1223400000</v>
      </c>
      <c r="J60" s="258">
        <v>13457400000</v>
      </c>
      <c r="K60" s="256" t="s">
        <v>1346</v>
      </c>
    </row>
    <row r="61" spans="1:11" x14ac:dyDescent="0.3">
      <c r="A61" s="256">
        <v>54</v>
      </c>
      <c r="B61" s="257" t="s">
        <v>1366</v>
      </c>
      <c r="C61" s="276">
        <v>44500</v>
      </c>
      <c r="D61" s="257" t="s">
        <v>1271</v>
      </c>
      <c r="E61" s="256" t="s">
        <v>1634</v>
      </c>
      <c r="F61" s="256" t="s">
        <v>1674</v>
      </c>
      <c r="G61" s="258">
        <v>6890000000</v>
      </c>
      <c r="H61" s="265">
        <v>0.1</v>
      </c>
      <c r="I61" s="258">
        <v>689000000</v>
      </c>
      <c r="J61" s="258">
        <v>7579000000</v>
      </c>
      <c r="K61" s="256" t="s">
        <v>1346</v>
      </c>
    </row>
    <row r="62" spans="1:11" x14ac:dyDescent="0.3">
      <c r="A62" s="256">
        <v>55</v>
      </c>
      <c r="B62" s="257" t="s">
        <v>1399</v>
      </c>
      <c r="C62" s="276">
        <v>44561</v>
      </c>
      <c r="D62" s="257" t="s">
        <v>1281</v>
      </c>
      <c r="E62" s="256" t="s">
        <v>1559</v>
      </c>
      <c r="F62" s="256" t="s">
        <v>1670</v>
      </c>
      <c r="G62" s="258">
        <v>15456000000</v>
      </c>
      <c r="H62" s="265">
        <v>0.1</v>
      </c>
      <c r="I62" s="258">
        <v>1545600000</v>
      </c>
      <c r="J62" s="258">
        <v>17001600000</v>
      </c>
      <c r="K62" s="256" t="s">
        <v>1346</v>
      </c>
    </row>
    <row r="63" spans="1:11" x14ac:dyDescent="0.3">
      <c r="A63" s="266" t="s">
        <v>1351</v>
      </c>
      <c r="B63" s="266"/>
      <c r="C63" s="266"/>
      <c r="D63" s="266"/>
      <c r="E63" s="266"/>
      <c r="F63" s="266"/>
      <c r="G63" s="267">
        <f>SUM(G8:G62)</f>
        <v>598775000000</v>
      </c>
      <c r="H63" s="266"/>
      <c r="I63" s="267">
        <f>SUM(I8:I62)</f>
        <v>54962600000</v>
      </c>
      <c r="J63" s="267">
        <f>SUM(J8:J62)</f>
        <v>653737600000</v>
      </c>
      <c r="K63" s="266"/>
    </row>
    <row r="64" spans="1:11" x14ac:dyDescent="0.3">
      <c r="A64" s="256"/>
      <c r="B64" s="256"/>
      <c r="C64" s="256"/>
      <c r="D64" s="256"/>
      <c r="E64" s="256"/>
      <c r="F64" s="256"/>
      <c r="G64" s="256"/>
      <c r="H64" s="256"/>
      <c r="I64" s="256"/>
      <c r="J64" s="256"/>
      <c r="K64" s="256"/>
    </row>
    <row r="65" spans="1:11" x14ac:dyDescent="0.3">
      <c r="A65" s="256" t="s">
        <v>1420</v>
      </c>
      <c r="B65" s="256"/>
      <c r="C65" s="256"/>
      <c r="D65" s="256"/>
      <c r="E65" s="256"/>
      <c r="F65" s="256"/>
      <c r="G65" s="256"/>
      <c r="H65" s="256"/>
      <c r="I65" s="256"/>
      <c r="J65" s="256"/>
      <c r="K65" s="256"/>
    </row>
    <row r="66" spans="1:11" x14ac:dyDescent="0.3">
      <c r="A66" s="266" t="s">
        <v>0</v>
      </c>
      <c r="B66" s="266" t="s">
        <v>212</v>
      </c>
      <c r="C66" s="266" t="s">
        <v>1535</v>
      </c>
      <c r="D66" s="266" t="s">
        <v>1586</v>
      </c>
      <c r="E66" s="266" t="s">
        <v>1422</v>
      </c>
      <c r="F66" s="266" t="s">
        <v>1537</v>
      </c>
      <c r="G66" s="266" t="s">
        <v>270</v>
      </c>
      <c r="H66" s="266" t="s">
        <v>1538</v>
      </c>
      <c r="I66" s="266" t="s">
        <v>1539</v>
      </c>
      <c r="J66" s="266" t="s">
        <v>1540</v>
      </c>
      <c r="K66" s="266" t="s">
        <v>1541</v>
      </c>
    </row>
    <row r="67" spans="1:11" x14ac:dyDescent="0.3">
      <c r="A67" s="256">
        <v>1</v>
      </c>
      <c r="B67" s="257" t="s">
        <v>1200</v>
      </c>
      <c r="C67" s="276">
        <v>44470</v>
      </c>
      <c r="D67" s="257" t="s">
        <v>1333</v>
      </c>
      <c r="E67" s="256" t="s">
        <v>1134</v>
      </c>
      <c r="F67" s="256" t="s">
        <v>1675</v>
      </c>
      <c r="G67" s="258">
        <v>14234000000</v>
      </c>
      <c r="H67" s="265">
        <v>0.1</v>
      </c>
      <c r="I67" s="258">
        <v>1423400000</v>
      </c>
      <c r="J67" s="258">
        <v>15657400000</v>
      </c>
      <c r="K67" s="256" t="s">
        <v>1346</v>
      </c>
    </row>
    <row r="68" spans="1:11" x14ac:dyDescent="0.3">
      <c r="A68" s="256">
        <v>2</v>
      </c>
      <c r="B68" s="257" t="s">
        <v>1201</v>
      </c>
      <c r="C68" s="276">
        <v>44472</v>
      </c>
      <c r="D68" s="257" t="s">
        <v>1352</v>
      </c>
      <c r="E68" s="256" t="s">
        <v>1571</v>
      </c>
      <c r="F68" s="256" t="s">
        <v>1676</v>
      </c>
      <c r="G68" s="258">
        <v>18901000000</v>
      </c>
      <c r="H68" s="265">
        <v>0</v>
      </c>
      <c r="I68" s="258">
        <v>0</v>
      </c>
      <c r="J68" s="258">
        <v>18901000000</v>
      </c>
      <c r="K68" s="256" t="s">
        <v>1346</v>
      </c>
    </row>
    <row r="69" spans="1:11" x14ac:dyDescent="0.3">
      <c r="A69" s="256">
        <v>3</v>
      </c>
      <c r="B69" s="257" t="s">
        <v>1202</v>
      </c>
      <c r="C69" s="276">
        <v>44474</v>
      </c>
      <c r="D69" s="257" t="s">
        <v>1272</v>
      </c>
      <c r="E69" s="256" t="s">
        <v>540</v>
      </c>
      <c r="F69" s="256" t="s">
        <v>1677</v>
      </c>
      <c r="G69" s="258">
        <v>12345000000</v>
      </c>
      <c r="H69" s="265">
        <v>0.1</v>
      </c>
      <c r="I69" s="258">
        <v>1234500000</v>
      </c>
      <c r="J69" s="258">
        <v>13579500000</v>
      </c>
      <c r="K69" s="256" t="s">
        <v>1346</v>
      </c>
    </row>
    <row r="70" spans="1:11" x14ac:dyDescent="0.3">
      <c r="A70" s="256">
        <v>4</v>
      </c>
      <c r="B70" s="257" t="s">
        <v>1355</v>
      </c>
      <c r="C70" s="276">
        <v>44476</v>
      </c>
      <c r="D70" s="257" t="s">
        <v>1254</v>
      </c>
      <c r="E70" s="256" t="s">
        <v>1668</v>
      </c>
      <c r="F70" s="256" t="s">
        <v>1675</v>
      </c>
      <c r="G70" s="258">
        <v>15678000000</v>
      </c>
      <c r="H70" s="265">
        <v>0.1</v>
      </c>
      <c r="I70" s="258">
        <v>1567800000</v>
      </c>
      <c r="J70" s="258">
        <v>17245800000</v>
      </c>
      <c r="K70" s="256" t="s">
        <v>1346</v>
      </c>
    </row>
    <row r="71" spans="1:11" x14ac:dyDescent="0.3">
      <c r="A71" s="256">
        <v>5</v>
      </c>
      <c r="B71" s="257" t="s">
        <v>1356</v>
      </c>
      <c r="C71" s="276">
        <v>44478</v>
      </c>
      <c r="D71" s="257" t="s">
        <v>1255</v>
      </c>
      <c r="E71" s="256" t="s">
        <v>1649</v>
      </c>
      <c r="F71" s="256" t="s">
        <v>1676</v>
      </c>
      <c r="G71" s="258">
        <v>20234000000</v>
      </c>
      <c r="H71" s="265">
        <v>0</v>
      </c>
      <c r="I71" s="258">
        <v>0</v>
      </c>
      <c r="J71" s="258">
        <v>20234000000</v>
      </c>
      <c r="K71" s="256" t="s">
        <v>1346</v>
      </c>
    </row>
    <row r="72" spans="1:11" x14ac:dyDescent="0.3">
      <c r="A72" s="256">
        <v>6</v>
      </c>
      <c r="B72" s="257" t="s">
        <v>1358</v>
      </c>
      <c r="C72" s="276">
        <v>44480</v>
      </c>
      <c r="D72" s="257" t="s">
        <v>1282</v>
      </c>
      <c r="E72" s="256" t="s">
        <v>1580</v>
      </c>
      <c r="F72" s="256" t="s">
        <v>1675</v>
      </c>
      <c r="G72" s="258">
        <v>13456000000</v>
      </c>
      <c r="H72" s="265">
        <v>0.1</v>
      </c>
      <c r="I72" s="258">
        <v>1345600000</v>
      </c>
      <c r="J72" s="258">
        <v>14801600000</v>
      </c>
      <c r="K72" s="256" t="s">
        <v>1346</v>
      </c>
    </row>
    <row r="73" spans="1:11" x14ac:dyDescent="0.3">
      <c r="A73" s="256">
        <v>7</v>
      </c>
      <c r="B73" s="257" t="s">
        <v>1360</v>
      </c>
      <c r="C73" s="276">
        <v>44211</v>
      </c>
      <c r="D73" s="257" t="s">
        <v>1285</v>
      </c>
      <c r="E73" s="256" t="s">
        <v>1558</v>
      </c>
      <c r="F73" s="256" t="s">
        <v>1677</v>
      </c>
      <c r="G73" s="258">
        <v>11890000000</v>
      </c>
      <c r="H73" s="265">
        <v>0.1</v>
      </c>
      <c r="I73" s="258">
        <v>1189000000</v>
      </c>
      <c r="J73" s="258">
        <v>13079000000</v>
      </c>
      <c r="K73" s="256" t="s">
        <v>1346</v>
      </c>
    </row>
    <row r="74" spans="1:11" x14ac:dyDescent="0.3">
      <c r="A74" s="256">
        <v>8</v>
      </c>
      <c r="B74" s="257" t="s">
        <v>1362</v>
      </c>
      <c r="C74" s="276">
        <v>44270</v>
      </c>
      <c r="D74" s="257" t="s">
        <v>1279</v>
      </c>
      <c r="E74" s="256" t="s">
        <v>611</v>
      </c>
      <c r="F74" s="256" t="s">
        <v>1675</v>
      </c>
      <c r="G74" s="258">
        <v>16234000000</v>
      </c>
      <c r="H74" s="265">
        <v>0.1</v>
      </c>
      <c r="I74" s="258">
        <v>1623400000</v>
      </c>
      <c r="J74" s="258">
        <v>17857400000</v>
      </c>
      <c r="K74" s="256" t="s">
        <v>1346</v>
      </c>
    </row>
    <row r="75" spans="1:11" x14ac:dyDescent="0.3">
      <c r="A75" s="256">
        <v>9</v>
      </c>
      <c r="B75" s="257" t="s">
        <v>1364</v>
      </c>
      <c r="C75" s="276">
        <v>44331</v>
      </c>
      <c r="D75" s="257" t="s">
        <v>1291</v>
      </c>
      <c r="E75" s="256" t="s">
        <v>1650</v>
      </c>
      <c r="F75" s="256" t="s">
        <v>1676</v>
      </c>
      <c r="G75" s="258">
        <v>21234000000</v>
      </c>
      <c r="H75" s="265">
        <v>0</v>
      </c>
      <c r="I75" s="258">
        <v>0</v>
      </c>
      <c r="J75" s="258">
        <v>21234000000</v>
      </c>
      <c r="K75" s="256" t="s">
        <v>1346</v>
      </c>
    </row>
    <row r="76" spans="1:11" x14ac:dyDescent="0.3">
      <c r="A76" s="256">
        <v>10</v>
      </c>
      <c r="B76" s="257" t="s">
        <v>1366</v>
      </c>
      <c r="C76" s="276">
        <v>44392</v>
      </c>
      <c r="D76" s="257" t="s">
        <v>1435</v>
      </c>
      <c r="E76" s="256" t="s">
        <v>1577</v>
      </c>
      <c r="F76" s="256" t="s">
        <v>1675</v>
      </c>
      <c r="G76" s="258">
        <v>14567000000</v>
      </c>
      <c r="H76" s="265">
        <v>0.1</v>
      </c>
      <c r="I76" s="258">
        <v>1456700000</v>
      </c>
      <c r="J76" s="258">
        <v>16023700000</v>
      </c>
      <c r="K76" s="256" t="s">
        <v>1346</v>
      </c>
    </row>
    <row r="77" spans="1:11" x14ac:dyDescent="0.3">
      <c r="A77" s="256">
        <v>11</v>
      </c>
      <c r="B77" s="257" t="s">
        <v>1368</v>
      </c>
      <c r="C77" s="276">
        <v>44454</v>
      </c>
      <c r="D77" s="257" t="s">
        <v>1257</v>
      </c>
      <c r="E77" s="256" t="s">
        <v>1574</v>
      </c>
      <c r="F77" s="256" t="s">
        <v>1677</v>
      </c>
      <c r="G77" s="258">
        <v>12345000000</v>
      </c>
      <c r="H77" s="265">
        <v>0.1</v>
      </c>
      <c r="I77" s="258">
        <v>1234500000</v>
      </c>
      <c r="J77" s="258">
        <v>13579500000</v>
      </c>
      <c r="K77" s="256" t="s">
        <v>1346</v>
      </c>
    </row>
    <row r="78" spans="1:11" x14ac:dyDescent="0.3">
      <c r="A78" s="256">
        <v>12</v>
      </c>
      <c r="B78" s="257" t="s">
        <v>1371</v>
      </c>
      <c r="C78" s="276">
        <v>44515</v>
      </c>
      <c r="D78" s="257" t="s">
        <v>1277</v>
      </c>
      <c r="E78" s="256" t="s">
        <v>1582</v>
      </c>
      <c r="F78" s="256" t="s">
        <v>1675</v>
      </c>
      <c r="G78" s="258">
        <v>16890000000</v>
      </c>
      <c r="H78" s="265">
        <v>0.1</v>
      </c>
      <c r="I78" s="258">
        <v>1689000000</v>
      </c>
      <c r="J78" s="258">
        <v>18579000000</v>
      </c>
      <c r="K78" s="256" t="s">
        <v>1346</v>
      </c>
    </row>
    <row r="79" spans="1:11" x14ac:dyDescent="0.3">
      <c r="A79" s="256">
        <v>13</v>
      </c>
      <c r="B79" s="257" t="s">
        <v>1373</v>
      </c>
      <c r="C79" s="276">
        <v>44216</v>
      </c>
      <c r="D79" s="257" t="s">
        <v>1267</v>
      </c>
      <c r="E79" s="256" t="s">
        <v>1560</v>
      </c>
      <c r="F79" s="256" t="s">
        <v>1676</v>
      </c>
      <c r="G79" s="258">
        <v>22234000000</v>
      </c>
      <c r="H79" s="265">
        <v>0</v>
      </c>
      <c r="I79" s="258">
        <v>0</v>
      </c>
      <c r="J79" s="258">
        <v>22234000000</v>
      </c>
      <c r="K79" s="256" t="s">
        <v>1346</v>
      </c>
    </row>
    <row r="80" spans="1:11" x14ac:dyDescent="0.3">
      <c r="A80" s="256">
        <v>14</v>
      </c>
      <c r="B80" s="257" t="s">
        <v>1374</v>
      </c>
      <c r="C80" s="276">
        <v>44275</v>
      </c>
      <c r="D80" s="257" t="s">
        <v>1287</v>
      </c>
      <c r="E80" s="256" t="s">
        <v>691</v>
      </c>
      <c r="F80" s="256" t="s">
        <v>1675</v>
      </c>
      <c r="G80" s="258">
        <v>15234000000</v>
      </c>
      <c r="H80" s="265">
        <v>0.1</v>
      </c>
      <c r="I80" s="258">
        <v>1523400000</v>
      </c>
      <c r="J80" s="258">
        <v>16757400000</v>
      </c>
      <c r="K80" s="256" t="s">
        <v>1346</v>
      </c>
    </row>
    <row r="81" spans="1:11" x14ac:dyDescent="0.3">
      <c r="A81" s="256">
        <v>15</v>
      </c>
      <c r="B81" s="257" t="s">
        <v>1376</v>
      </c>
      <c r="C81" s="276">
        <v>44336</v>
      </c>
      <c r="D81" s="257" t="s">
        <v>1395</v>
      </c>
      <c r="E81" s="256" t="s">
        <v>1581</v>
      </c>
      <c r="F81" s="256" t="s">
        <v>1677</v>
      </c>
      <c r="G81" s="258">
        <v>12890000000</v>
      </c>
      <c r="H81" s="265">
        <v>0.1</v>
      </c>
      <c r="I81" s="258">
        <v>1289000000</v>
      </c>
      <c r="J81" s="258">
        <v>14179000000</v>
      </c>
      <c r="K81" s="256" t="s">
        <v>1346</v>
      </c>
    </row>
    <row r="82" spans="1:11" x14ac:dyDescent="0.3">
      <c r="A82" s="256">
        <v>16</v>
      </c>
      <c r="B82" s="257" t="s">
        <v>1378</v>
      </c>
      <c r="C82" s="276">
        <v>44397</v>
      </c>
      <c r="D82" s="257" t="s">
        <v>1259</v>
      </c>
      <c r="E82" s="256" t="s">
        <v>1569</v>
      </c>
      <c r="F82" s="256" t="s">
        <v>1675</v>
      </c>
      <c r="G82" s="258">
        <v>17234000000</v>
      </c>
      <c r="H82" s="265">
        <v>0.1</v>
      </c>
      <c r="I82" s="258">
        <v>1723400000</v>
      </c>
      <c r="J82" s="258">
        <v>18957400000</v>
      </c>
      <c r="K82" s="256" t="s">
        <v>1346</v>
      </c>
    </row>
    <row r="83" spans="1:11" x14ac:dyDescent="0.3">
      <c r="A83" s="256">
        <v>17</v>
      </c>
      <c r="B83" s="257" t="s">
        <v>1379</v>
      </c>
      <c r="C83" s="276">
        <v>44459</v>
      </c>
      <c r="D83" s="257" t="s">
        <v>1281</v>
      </c>
      <c r="E83" s="256" t="s">
        <v>1559</v>
      </c>
      <c r="F83" s="256" t="s">
        <v>1676</v>
      </c>
      <c r="G83" s="258">
        <v>22890000000</v>
      </c>
      <c r="H83" s="265">
        <v>0</v>
      </c>
      <c r="I83" s="258">
        <v>0</v>
      </c>
      <c r="J83" s="258">
        <v>22890000000</v>
      </c>
      <c r="K83" s="256" t="s">
        <v>1346</v>
      </c>
    </row>
    <row r="84" spans="1:11" x14ac:dyDescent="0.3">
      <c r="A84" s="256">
        <v>18</v>
      </c>
      <c r="B84" s="257" t="s">
        <v>1381</v>
      </c>
      <c r="C84" s="276">
        <v>44520</v>
      </c>
      <c r="D84" s="257" t="s">
        <v>1322</v>
      </c>
      <c r="E84" s="256" t="s">
        <v>1638</v>
      </c>
      <c r="F84" s="256" t="s">
        <v>1675</v>
      </c>
      <c r="G84" s="258">
        <v>15890000000</v>
      </c>
      <c r="H84" s="265">
        <v>0.1</v>
      </c>
      <c r="I84" s="258">
        <v>1589000000</v>
      </c>
      <c r="J84" s="258">
        <v>17479000000</v>
      </c>
      <c r="K84" s="256" t="s">
        <v>1346</v>
      </c>
    </row>
    <row r="85" spans="1:11" x14ac:dyDescent="0.3">
      <c r="A85" s="256">
        <v>19</v>
      </c>
      <c r="B85" s="257" t="s">
        <v>1382</v>
      </c>
      <c r="C85" s="276">
        <v>44221</v>
      </c>
      <c r="D85" s="257" t="s">
        <v>1263</v>
      </c>
      <c r="E85" s="256" t="s">
        <v>1579</v>
      </c>
      <c r="F85" s="256" t="s">
        <v>1677</v>
      </c>
      <c r="G85" s="258">
        <v>13456000000</v>
      </c>
      <c r="H85" s="265">
        <v>0.1</v>
      </c>
      <c r="I85" s="258">
        <v>1345600000</v>
      </c>
      <c r="J85" s="258">
        <v>14801600000</v>
      </c>
      <c r="K85" s="256" t="s">
        <v>1346</v>
      </c>
    </row>
    <row r="86" spans="1:11" x14ac:dyDescent="0.3">
      <c r="A86" s="256">
        <v>20</v>
      </c>
      <c r="B86" s="257" t="s">
        <v>1383</v>
      </c>
      <c r="C86" s="276">
        <v>44280</v>
      </c>
      <c r="D86" s="257" t="s">
        <v>1284</v>
      </c>
      <c r="E86" s="256" t="s">
        <v>1552</v>
      </c>
      <c r="F86" s="256" t="s">
        <v>1675</v>
      </c>
      <c r="G86" s="258">
        <v>17890000000</v>
      </c>
      <c r="H86" s="265">
        <v>0.1</v>
      </c>
      <c r="I86" s="258">
        <v>1789000000</v>
      </c>
      <c r="J86" s="258">
        <v>19679000000</v>
      </c>
      <c r="K86" s="256" t="s">
        <v>1346</v>
      </c>
    </row>
    <row r="87" spans="1:11" x14ac:dyDescent="0.3">
      <c r="A87" s="256">
        <v>21</v>
      </c>
      <c r="B87" s="257" t="s">
        <v>1203</v>
      </c>
      <c r="C87" s="276">
        <v>44341</v>
      </c>
      <c r="D87" s="257" t="s">
        <v>1314</v>
      </c>
      <c r="E87" s="256" t="s">
        <v>948</v>
      </c>
      <c r="F87" s="256" t="s">
        <v>1676</v>
      </c>
      <c r="G87" s="258">
        <v>23456000000</v>
      </c>
      <c r="H87" s="265">
        <v>0</v>
      </c>
      <c r="I87" s="258">
        <v>0</v>
      </c>
      <c r="J87" s="258">
        <v>23456000000</v>
      </c>
      <c r="K87" s="256" t="s">
        <v>1346</v>
      </c>
    </row>
    <row r="88" spans="1:11" x14ac:dyDescent="0.3">
      <c r="A88" s="256">
        <v>22</v>
      </c>
      <c r="B88" s="257" t="s">
        <v>1204</v>
      </c>
      <c r="C88" s="276">
        <v>44402</v>
      </c>
      <c r="D88" s="257" t="s">
        <v>1304</v>
      </c>
      <c r="E88" s="256" t="s">
        <v>1651</v>
      </c>
      <c r="F88" s="256" t="s">
        <v>1675</v>
      </c>
      <c r="G88" s="258">
        <v>16234000000</v>
      </c>
      <c r="H88" s="265">
        <v>0.1</v>
      </c>
      <c r="I88" s="258">
        <v>1623400000</v>
      </c>
      <c r="J88" s="258">
        <v>17857400000</v>
      </c>
      <c r="K88" s="256" t="s">
        <v>1346</v>
      </c>
    </row>
    <row r="89" spans="1:11" x14ac:dyDescent="0.3">
      <c r="A89" s="256">
        <v>23</v>
      </c>
      <c r="B89" s="257" t="s">
        <v>1205</v>
      </c>
      <c r="C89" s="276">
        <v>44464</v>
      </c>
      <c r="D89" s="257" t="s">
        <v>1264</v>
      </c>
      <c r="E89" s="256" t="s">
        <v>1584</v>
      </c>
      <c r="F89" s="256" t="s">
        <v>1677</v>
      </c>
      <c r="G89" s="258">
        <v>13890000000</v>
      </c>
      <c r="H89" s="265">
        <v>0.1</v>
      </c>
      <c r="I89" s="258">
        <v>1389000000</v>
      </c>
      <c r="J89" s="258">
        <v>15279000000</v>
      </c>
      <c r="K89" s="256" t="s">
        <v>1346</v>
      </c>
    </row>
    <row r="90" spans="1:11" x14ac:dyDescent="0.3">
      <c r="A90" s="256">
        <v>24</v>
      </c>
      <c r="B90" s="257" t="s">
        <v>1385</v>
      </c>
      <c r="C90" s="276">
        <v>44525</v>
      </c>
      <c r="D90" s="257" t="s">
        <v>1260</v>
      </c>
      <c r="E90" s="256" t="s">
        <v>1585</v>
      </c>
      <c r="F90" s="256" t="s">
        <v>1675</v>
      </c>
      <c r="G90" s="258">
        <v>18234000000</v>
      </c>
      <c r="H90" s="265">
        <v>0.1</v>
      </c>
      <c r="I90" s="258">
        <v>1823400000</v>
      </c>
      <c r="J90" s="258">
        <v>20057400000</v>
      </c>
      <c r="K90" s="256" t="s">
        <v>1346</v>
      </c>
    </row>
    <row r="91" spans="1:11" x14ac:dyDescent="0.3">
      <c r="A91" s="256">
        <v>25</v>
      </c>
      <c r="B91" s="257" t="s">
        <v>1387</v>
      </c>
      <c r="C91" s="276">
        <v>44227</v>
      </c>
      <c r="D91" s="257" t="s">
        <v>1262</v>
      </c>
      <c r="E91" s="256" t="s">
        <v>1556</v>
      </c>
      <c r="F91" s="256" t="s">
        <v>1676</v>
      </c>
      <c r="G91" s="258">
        <v>24234000000</v>
      </c>
      <c r="H91" s="265">
        <v>0</v>
      </c>
      <c r="I91" s="258">
        <v>0</v>
      </c>
      <c r="J91" s="258">
        <v>24234000000</v>
      </c>
      <c r="K91" s="256" t="s">
        <v>1346</v>
      </c>
    </row>
    <row r="92" spans="1:11" x14ac:dyDescent="0.3">
      <c r="A92" s="256">
        <v>26</v>
      </c>
      <c r="B92" s="257" t="s">
        <v>1388</v>
      </c>
      <c r="C92" s="276">
        <v>44286</v>
      </c>
      <c r="D92" s="257" t="s">
        <v>1275</v>
      </c>
      <c r="E92" s="256" t="s">
        <v>1575</v>
      </c>
      <c r="F92" s="256" t="s">
        <v>1675</v>
      </c>
      <c r="G92" s="258">
        <v>16890000000</v>
      </c>
      <c r="H92" s="265">
        <v>0.1</v>
      </c>
      <c r="I92" s="258">
        <v>1689000000</v>
      </c>
      <c r="J92" s="258">
        <v>18579000000</v>
      </c>
      <c r="K92" s="256" t="s">
        <v>1346</v>
      </c>
    </row>
    <row r="93" spans="1:11" x14ac:dyDescent="0.3">
      <c r="A93" s="256">
        <v>27</v>
      </c>
      <c r="B93" s="257" t="s">
        <v>1391</v>
      </c>
      <c r="C93" s="276">
        <v>44347</v>
      </c>
      <c r="D93" s="257" t="s">
        <v>1268</v>
      </c>
      <c r="E93" s="256" t="s">
        <v>1594</v>
      </c>
      <c r="F93" s="256" t="s">
        <v>1677</v>
      </c>
      <c r="G93" s="258">
        <v>14567000000</v>
      </c>
      <c r="H93" s="265">
        <v>0.1</v>
      </c>
      <c r="I93" s="258">
        <v>1456700000</v>
      </c>
      <c r="J93" s="258">
        <v>16023700000</v>
      </c>
      <c r="K93" s="256" t="s">
        <v>1346</v>
      </c>
    </row>
    <row r="94" spans="1:11" x14ac:dyDescent="0.3">
      <c r="A94" s="256">
        <v>28</v>
      </c>
      <c r="B94" s="257" t="s">
        <v>1392</v>
      </c>
      <c r="C94" s="276">
        <v>44408</v>
      </c>
      <c r="D94" s="257" t="s">
        <v>1416</v>
      </c>
      <c r="E94" s="256" t="s">
        <v>1562</v>
      </c>
      <c r="F94" s="256" t="s">
        <v>1675</v>
      </c>
      <c r="G94" s="258">
        <v>18901000000</v>
      </c>
      <c r="H94" s="265">
        <v>0.1</v>
      </c>
      <c r="I94" s="258">
        <v>1890100000</v>
      </c>
      <c r="J94" s="258">
        <v>20791100000</v>
      </c>
      <c r="K94" s="256" t="s">
        <v>1346</v>
      </c>
    </row>
    <row r="95" spans="1:11" x14ac:dyDescent="0.3">
      <c r="A95" s="256">
        <v>29</v>
      </c>
      <c r="B95" s="257" t="s">
        <v>1394</v>
      </c>
      <c r="C95" s="276">
        <v>44470</v>
      </c>
      <c r="D95" s="257" t="s">
        <v>1280</v>
      </c>
      <c r="E95" s="256" t="s">
        <v>618</v>
      </c>
      <c r="F95" s="256" t="s">
        <v>1676</v>
      </c>
      <c r="G95" s="258">
        <v>24890000000</v>
      </c>
      <c r="H95" s="265">
        <v>0</v>
      </c>
      <c r="I95" s="258">
        <v>0</v>
      </c>
      <c r="J95" s="258">
        <v>24890000000</v>
      </c>
      <c r="K95" s="256" t="s">
        <v>1346</v>
      </c>
    </row>
    <row r="96" spans="1:11" x14ac:dyDescent="0.3">
      <c r="A96" s="256">
        <v>30</v>
      </c>
      <c r="B96" s="257" t="s">
        <v>1396</v>
      </c>
      <c r="C96" s="276">
        <v>44561</v>
      </c>
      <c r="D96" s="257" t="s">
        <v>1389</v>
      </c>
      <c r="E96" s="256" t="s">
        <v>1555</v>
      </c>
      <c r="F96" s="256" t="s">
        <v>1675</v>
      </c>
      <c r="G96" s="258">
        <v>17234000000</v>
      </c>
      <c r="H96" s="265">
        <v>0.1</v>
      </c>
      <c r="I96" s="258">
        <v>1723400000</v>
      </c>
      <c r="J96" s="258">
        <v>18957400000</v>
      </c>
      <c r="K96" s="256" t="s">
        <v>1346</v>
      </c>
    </row>
    <row r="97" spans="1:11" x14ac:dyDescent="0.3">
      <c r="A97" s="256">
        <v>31</v>
      </c>
      <c r="B97" s="257" t="s">
        <v>1397</v>
      </c>
      <c r="C97" s="276">
        <v>44561</v>
      </c>
      <c r="D97" s="257" t="s">
        <v>1428</v>
      </c>
      <c r="E97" s="256" t="s">
        <v>1557</v>
      </c>
      <c r="F97" s="256" t="s">
        <v>1677</v>
      </c>
      <c r="G97" s="258">
        <v>14890000000</v>
      </c>
      <c r="H97" s="265">
        <v>0.1</v>
      </c>
      <c r="I97" s="258">
        <v>1489000000</v>
      </c>
      <c r="J97" s="258">
        <v>16379000000</v>
      </c>
      <c r="K97" s="256" t="s">
        <v>1346</v>
      </c>
    </row>
    <row r="98" spans="1:11" x14ac:dyDescent="0.3">
      <c r="A98" s="256">
        <v>32</v>
      </c>
      <c r="B98" s="257" t="s">
        <v>1398</v>
      </c>
      <c r="C98" s="276">
        <v>44561</v>
      </c>
      <c r="D98" s="257" t="s">
        <v>1285</v>
      </c>
      <c r="E98" s="256" t="s">
        <v>1558</v>
      </c>
      <c r="F98" s="256" t="s">
        <v>1676</v>
      </c>
      <c r="G98" s="258">
        <v>25234000000</v>
      </c>
      <c r="H98" s="265">
        <v>0</v>
      </c>
      <c r="I98" s="258">
        <v>0</v>
      </c>
      <c r="J98" s="258">
        <v>25234000000</v>
      </c>
      <c r="K98" s="256" t="s">
        <v>1346</v>
      </c>
    </row>
    <row r="99" spans="1:11" x14ac:dyDescent="0.3">
      <c r="A99" s="256">
        <v>33</v>
      </c>
      <c r="B99" s="257" t="s">
        <v>1399</v>
      </c>
      <c r="C99" s="276">
        <v>44561</v>
      </c>
      <c r="D99" s="257" t="s">
        <v>1260</v>
      </c>
      <c r="E99" s="256" t="s">
        <v>1585</v>
      </c>
      <c r="F99" s="256" t="s">
        <v>1675</v>
      </c>
      <c r="G99" s="258">
        <v>17890000000</v>
      </c>
      <c r="H99" s="265">
        <v>0.1</v>
      </c>
      <c r="I99" s="258">
        <v>1789000000</v>
      </c>
      <c r="J99" s="258">
        <v>19679000000</v>
      </c>
      <c r="K99" s="256" t="s">
        <v>1346</v>
      </c>
    </row>
    <row r="100" spans="1:11" x14ac:dyDescent="0.3">
      <c r="A100" s="256">
        <v>34</v>
      </c>
      <c r="B100" s="257" t="s">
        <v>1401</v>
      </c>
      <c r="C100" s="276">
        <v>44561</v>
      </c>
      <c r="D100" s="257" t="s">
        <v>1395</v>
      </c>
      <c r="E100" s="256" t="s">
        <v>1581</v>
      </c>
      <c r="F100" s="256" t="s">
        <v>1677</v>
      </c>
      <c r="G100" s="258">
        <v>15234000000</v>
      </c>
      <c r="H100" s="265">
        <v>0.1</v>
      </c>
      <c r="I100" s="258">
        <v>1523400000</v>
      </c>
      <c r="J100" s="258">
        <v>16757400000</v>
      </c>
      <c r="K100" s="256" t="s">
        <v>1346</v>
      </c>
    </row>
    <row r="101" spans="1:11" x14ac:dyDescent="0.3">
      <c r="A101" s="256">
        <v>35</v>
      </c>
      <c r="B101" s="257" t="s">
        <v>1402</v>
      </c>
      <c r="C101" s="276">
        <v>44561</v>
      </c>
      <c r="D101" s="257" t="s">
        <v>1277</v>
      </c>
      <c r="E101" s="256" t="s">
        <v>1582</v>
      </c>
      <c r="F101" s="256" t="s">
        <v>1675</v>
      </c>
      <c r="G101" s="258">
        <v>19234000000</v>
      </c>
      <c r="H101" s="265">
        <v>0.1</v>
      </c>
      <c r="I101" s="258">
        <v>1923400000</v>
      </c>
      <c r="J101" s="258">
        <v>21157400000</v>
      </c>
      <c r="K101" s="256" t="s">
        <v>1346</v>
      </c>
    </row>
    <row r="102" spans="1:11" x14ac:dyDescent="0.3">
      <c r="A102" s="256">
        <v>36</v>
      </c>
      <c r="B102" s="257" t="s">
        <v>1403</v>
      </c>
      <c r="C102" s="276">
        <v>44561</v>
      </c>
      <c r="D102" s="257" t="s">
        <v>1266</v>
      </c>
      <c r="E102" s="256" t="s">
        <v>1669</v>
      </c>
      <c r="F102" s="256" t="s">
        <v>1676</v>
      </c>
      <c r="G102" s="258">
        <v>25890000000</v>
      </c>
      <c r="H102" s="265">
        <v>0</v>
      </c>
      <c r="I102" s="258">
        <v>0</v>
      </c>
      <c r="J102" s="258">
        <v>25890000000</v>
      </c>
      <c r="K102" s="256" t="s">
        <v>1346</v>
      </c>
    </row>
    <row r="103" spans="1:11" x14ac:dyDescent="0.3">
      <c r="A103" s="256">
        <v>37</v>
      </c>
      <c r="B103" s="257" t="s">
        <v>1404</v>
      </c>
      <c r="C103" s="276">
        <v>44561</v>
      </c>
      <c r="D103" s="257" t="s">
        <v>1283</v>
      </c>
      <c r="E103" s="256" t="s">
        <v>1588</v>
      </c>
      <c r="F103" s="256" t="s">
        <v>1675</v>
      </c>
      <c r="G103" s="258">
        <v>18234000000</v>
      </c>
      <c r="H103" s="265">
        <v>0.1</v>
      </c>
      <c r="I103" s="258">
        <v>1823400000</v>
      </c>
      <c r="J103" s="258">
        <v>20057400000</v>
      </c>
      <c r="K103" s="256" t="s">
        <v>1346</v>
      </c>
    </row>
    <row r="104" spans="1:11" x14ac:dyDescent="0.3">
      <c r="A104" s="256">
        <v>38</v>
      </c>
      <c r="B104" s="257" t="s">
        <v>1405</v>
      </c>
      <c r="C104" s="276">
        <v>44561</v>
      </c>
      <c r="D104" s="257" t="s">
        <v>1259</v>
      </c>
      <c r="E104" s="256" t="s">
        <v>1569</v>
      </c>
      <c r="F104" s="256" t="s">
        <v>1677</v>
      </c>
      <c r="G104" s="258">
        <v>15678000000</v>
      </c>
      <c r="H104" s="265">
        <v>0.1</v>
      </c>
      <c r="I104" s="258">
        <v>1567800000</v>
      </c>
      <c r="J104" s="258">
        <v>17245800000</v>
      </c>
      <c r="K104" s="256" t="s">
        <v>1346</v>
      </c>
    </row>
    <row r="105" spans="1:11" x14ac:dyDescent="0.3">
      <c r="A105" s="256">
        <v>39</v>
      </c>
      <c r="B105" s="257" t="s">
        <v>1406</v>
      </c>
      <c r="C105" s="276">
        <v>44561</v>
      </c>
      <c r="D105" s="257" t="s">
        <v>1281</v>
      </c>
      <c r="E105" s="256" t="s">
        <v>1559</v>
      </c>
      <c r="F105" s="256" t="s">
        <v>1675</v>
      </c>
      <c r="G105" s="258">
        <v>19890000000</v>
      </c>
      <c r="H105" s="265">
        <v>0.1</v>
      </c>
      <c r="I105" s="258">
        <v>1989000000</v>
      </c>
      <c r="J105" s="258">
        <v>21879000000</v>
      </c>
      <c r="K105" s="256" t="s">
        <v>1346</v>
      </c>
    </row>
    <row r="106" spans="1:11" x14ac:dyDescent="0.3">
      <c r="A106" s="256">
        <v>40</v>
      </c>
      <c r="B106" s="257" t="s">
        <v>1408</v>
      </c>
      <c r="C106" s="276">
        <v>44561</v>
      </c>
      <c r="D106" s="257" t="s">
        <v>1273</v>
      </c>
      <c r="E106" s="256" t="s">
        <v>1567</v>
      </c>
      <c r="F106" s="256" t="s">
        <v>1676</v>
      </c>
      <c r="G106" s="258">
        <v>26234000000</v>
      </c>
      <c r="H106" s="265">
        <v>0</v>
      </c>
      <c r="I106" s="258">
        <v>0</v>
      </c>
      <c r="J106" s="258">
        <v>26234000000</v>
      </c>
      <c r="K106" s="256" t="s">
        <v>1346</v>
      </c>
    </row>
    <row r="107" spans="1:11" x14ac:dyDescent="0.3">
      <c r="A107" s="256">
        <v>41</v>
      </c>
      <c r="B107" s="257" t="s">
        <v>1409</v>
      </c>
      <c r="C107" s="276">
        <v>44561</v>
      </c>
      <c r="D107" s="257" t="s">
        <v>1282</v>
      </c>
      <c r="E107" s="256" t="s">
        <v>1580</v>
      </c>
      <c r="F107" s="256" t="s">
        <v>1675</v>
      </c>
      <c r="G107" s="258">
        <v>18901000000</v>
      </c>
      <c r="H107" s="265">
        <v>0.1</v>
      </c>
      <c r="I107" s="258">
        <v>1890100000</v>
      </c>
      <c r="J107" s="258">
        <v>20791100000</v>
      </c>
      <c r="K107" s="256" t="s">
        <v>1346</v>
      </c>
    </row>
    <row r="108" spans="1:11" x14ac:dyDescent="0.3">
      <c r="A108" s="256">
        <v>42</v>
      </c>
      <c r="B108" s="257" t="s">
        <v>1411</v>
      </c>
      <c r="C108" s="276">
        <v>44561</v>
      </c>
      <c r="D108" s="257" t="s">
        <v>1267</v>
      </c>
      <c r="E108" s="256" t="s">
        <v>1560</v>
      </c>
      <c r="F108" s="256" t="s">
        <v>1677</v>
      </c>
      <c r="G108" s="258">
        <v>16234000000</v>
      </c>
      <c r="H108" s="265">
        <v>0.1</v>
      </c>
      <c r="I108" s="258">
        <v>1623400000</v>
      </c>
      <c r="J108" s="258">
        <v>17857400000</v>
      </c>
      <c r="K108" s="256" t="s">
        <v>1346</v>
      </c>
    </row>
    <row r="109" spans="1:11" x14ac:dyDescent="0.3">
      <c r="A109" s="256">
        <v>43</v>
      </c>
      <c r="B109" s="257" t="s">
        <v>1414</v>
      </c>
      <c r="C109" s="276">
        <v>44561</v>
      </c>
      <c r="D109" s="257" t="s">
        <v>1416</v>
      </c>
      <c r="E109" s="256" t="s">
        <v>1562</v>
      </c>
      <c r="F109" s="256" t="s">
        <v>1675</v>
      </c>
      <c r="G109" s="258">
        <v>20234000000</v>
      </c>
      <c r="H109" s="265">
        <v>0.1</v>
      </c>
      <c r="I109" s="258">
        <v>2023400000</v>
      </c>
      <c r="J109" s="258">
        <v>22257400000</v>
      </c>
      <c r="K109" s="256" t="s">
        <v>1346</v>
      </c>
    </row>
    <row r="110" spans="1:11" x14ac:dyDescent="0.3">
      <c r="A110" s="256">
        <v>44</v>
      </c>
      <c r="B110" s="257" t="s">
        <v>1415</v>
      </c>
      <c r="C110" s="276">
        <v>44561</v>
      </c>
      <c r="D110" s="257" t="s">
        <v>1279</v>
      </c>
      <c r="E110" s="256" t="s">
        <v>611</v>
      </c>
      <c r="F110" s="256" t="s">
        <v>1676</v>
      </c>
      <c r="G110" s="258">
        <v>26890000000</v>
      </c>
      <c r="H110" s="265">
        <v>0</v>
      </c>
      <c r="I110" s="258">
        <v>0</v>
      </c>
      <c r="J110" s="258">
        <v>26890000000</v>
      </c>
      <c r="K110" s="256" t="s">
        <v>1346</v>
      </c>
    </row>
    <row r="111" spans="1:11" x14ac:dyDescent="0.3">
      <c r="A111" s="256">
        <v>45</v>
      </c>
      <c r="B111" s="257" t="s">
        <v>1206</v>
      </c>
      <c r="C111" s="276">
        <v>44561</v>
      </c>
      <c r="D111" s="257" t="s">
        <v>1261</v>
      </c>
      <c r="E111" s="256" t="s">
        <v>1572</v>
      </c>
      <c r="F111" s="256" t="s">
        <v>1675</v>
      </c>
      <c r="G111" s="258">
        <v>19234000000</v>
      </c>
      <c r="H111" s="265">
        <v>0.1</v>
      </c>
      <c r="I111" s="258">
        <v>1923400000</v>
      </c>
      <c r="J111" s="258">
        <v>21157400000</v>
      </c>
      <c r="K111" s="256" t="s">
        <v>1346</v>
      </c>
    </row>
    <row r="112" spans="1:11" x14ac:dyDescent="0.3">
      <c r="A112" s="256">
        <v>46</v>
      </c>
      <c r="B112" s="257" t="s">
        <v>1207</v>
      </c>
      <c r="C112" s="276">
        <v>44561</v>
      </c>
      <c r="D112" s="257" t="s">
        <v>1352</v>
      </c>
      <c r="E112" s="256" t="s">
        <v>1571</v>
      </c>
      <c r="F112" s="256" t="s">
        <v>1677</v>
      </c>
      <c r="G112" s="258">
        <v>16678000000</v>
      </c>
      <c r="H112" s="265">
        <v>0.1</v>
      </c>
      <c r="I112" s="258">
        <v>1667800000</v>
      </c>
      <c r="J112" s="258">
        <v>18345800000</v>
      </c>
      <c r="K112" s="256" t="s">
        <v>1346</v>
      </c>
    </row>
    <row r="113" spans="1:11" x14ac:dyDescent="0.3">
      <c r="A113" s="256">
        <v>47</v>
      </c>
      <c r="B113" s="257" t="s">
        <v>1208</v>
      </c>
      <c r="C113" s="276">
        <v>44561</v>
      </c>
      <c r="D113" s="257" t="s">
        <v>1272</v>
      </c>
      <c r="E113" s="256" t="s">
        <v>540</v>
      </c>
      <c r="F113" s="256" t="s">
        <v>1675</v>
      </c>
      <c r="G113" s="258">
        <v>20890000000</v>
      </c>
      <c r="H113" s="265">
        <v>0.1</v>
      </c>
      <c r="I113" s="258">
        <v>2089000000</v>
      </c>
      <c r="J113" s="258">
        <v>22979000000</v>
      </c>
      <c r="K113" s="256" t="s">
        <v>1346</v>
      </c>
    </row>
    <row r="114" spans="1:11" x14ac:dyDescent="0.3">
      <c r="A114" s="256">
        <v>48</v>
      </c>
      <c r="B114" s="257" t="s">
        <v>1209</v>
      </c>
      <c r="C114" s="276">
        <v>44561</v>
      </c>
      <c r="D114" s="257" t="s">
        <v>1284</v>
      </c>
      <c r="E114" s="256" t="s">
        <v>1552</v>
      </c>
      <c r="F114" s="256" t="s">
        <v>1676</v>
      </c>
      <c r="G114" s="258">
        <v>27234000000</v>
      </c>
      <c r="H114" s="265">
        <v>0</v>
      </c>
      <c r="I114" s="258">
        <v>0</v>
      </c>
      <c r="J114" s="258">
        <v>27234000000</v>
      </c>
      <c r="K114" s="256" t="s">
        <v>1346</v>
      </c>
    </row>
    <row r="115" spans="1:11" x14ac:dyDescent="0.3">
      <c r="A115" s="256">
        <v>49</v>
      </c>
      <c r="B115" s="257" t="s">
        <v>1418</v>
      </c>
      <c r="C115" s="276">
        <v>44561</v>
      </c>
      <c r="D115" s="257" t="s">
        <v>1280</v>
      </c>
      <c r="E115" s="256" t="s">
        <v>618</v>
      </c>
      <c r="F115" s="256" t="s">
        <v>1675</v>
      </c>
      <c r="G115" s="258">
        <v>19890000000</v>
      </c>
      <c r="H115" s="265">
        <v>0.1</v>
      </c>
      <c r="I115" s="258">
        <v>1989000000</v>
      </c>
      <c r="J115" s="258">
        <v>21879000000</v>
      </c>
      <c r="K115" s="256" t="s">
        <v>1346</v>
      </c>
    </row>
    <row r="116" spans="1:11" x14ac:dyDescent="0.3">
      <c r="A116" s="256">
        <v>50</v>
      </c>
      <c r="B116" s="257" t="s">
        <v>1419</v>
      </c>
      <c r="C116" s="276">
        <v>44561</v>
      </c>
      <c r="D116" s="257" t="s">
        <v>1264</v>
      </c>
      <c r="E116" s="256" t="s">
        <v>1584</v>
      </c>
      <c r="F116" s="256" t="s">
        <v>1677</v>
      </c>
      <c r="G116" s="258">
        <v>17234000000</v>
      </c>
      <c r="H116" s="265">
        <v>0.1</v>
      </c>
      <c r="I116" s="258">
        <v>1723400000</v>
      </c>
      <c r="J116" s="258">
        <v>18957400000</v>
      </c>
      <c r="K116" s="256" t="s">
        <v>1346</v>
      </c>
    </row>
    <row r="117" spans="1:11" x14ac:dyDescent="0.3">
      <c r="A117" s="266" t="s">
        <v>1351</v>
      </c>
      <c r="B117" s="266"/>
      <c r="C117" s="266"/>
      <c r="D117" s="266"/>
      <c r="E117" s="266"/>
      <c r="F117" s="266"/>
      <c r="G117" s="267">
        <f>SUM(G67:G116)</f>
        <v>916083000000</v>
      </c>
      <c r="H117" s="266"/>
      <c r="I117" s="267">
        <f>SUM(I67:I116)</f>
        <v>60652800000</v>
      </c>
      <c r="J117" s="267">
        <f>SUM(J67:J116)</f>
        <v>976735800000</v>
      </c>
      <c r="K117" s="26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2"/>
  <sheetViews>
    <sheetView workbookViewId="0"/>
  </sheetViews>
  <sheetFormatPr defaultRowHeight="14.4" x14ac:dyDescent="0.3"/>
  <sheetData>
    <row r="1" spans="1:11" x14ac:dyDescent="0.3">
      <c r="A1" s="256" t="s">
        <v>1340</v>
      </c>
      <c r="B1" s="256" t="s">
        <v>490</v>
      </c>
      <c r="C1" s="256"/>
      <c r="D1" s="256"/>
      <c r="E1" s="256"/>
      <c r="F1" s="256"/>
      <c r="G1" s="256"/>
      <c r="H1" s="256"/>
      <c r="I1" s="256"/>
      <c r="J1" s="256"/>
      <c r="K1" s="256"/>
    </row>
    <row r="2" spans="1:11" x14ac:dyDescent="0.3">
      <c r="A2" s="256" t="s">
        <v>1339</v>
      </c>
      <c r="B2" s="257">
        <v>101435247</v>
      </c>
      <c r="C2" s="256"/>
      <c r="D2" s="256"/>
      <c r="E2" s="256"/>
      <c r="F2" s="256"/>
      <c r="G2" s="256"/>
      <c r="H2" s="256"/>
      <c r="I2" s="256"/>
      <c r="J2" s="256"/>
      <c r="K2" s="256"/>
    </row>
    <row r="3" spans="1:11" x14ac:dyDescent="0.3">
      <c r="A3" s="256" t="s">
        <v>1343</v>
      </c>
      <c r="B3" s="258">
        <v>835203563984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1364</v>
      </c>
      <c r="C8" s="276">
        <v>44470</v>
      </c>
      <c r="D8" s="257" t="s">
        <v>1314</v>
      </c>
      <c r="E8" s="256" t="s">
        <v>948</v>
      </c>
      <c r="F8" s="256" t="s">
        <v>1606</v>
      </c>
      <c r="G8" s="258">
        <v>21234000000</v>
      </c>
      <c r="H8" s="265">
        <v>0.1</v>
      </c>
      <c r="I8" s="258">
        <v>2123400000</v>
      </c>
      <c r="J8" s="258">
        <v>23357400000</v>
      </c>
      <c r="K8" s="256" t="s">
        <v>1346</v>
      </c>
    </row>
    <row r="9" spans="1:11" x14ac:dyDescent="0.3">
      <c r="A9" s="256">
        <v>2</v>
      </c>
      <c r="B9" s="257" t="s">
        <v>1362</v>
      </c>
      <c r="C9" s="276">
        <v>44470</v>
      </c>
      <c r="D9" s="257" t="s">
        <v>1269</v>
      </c>
      <c r="E9" s="256" t="s">
        <v>1641</v>
      </c>
      <c r="F9" s="256" t="s">
        <v>1655</v>
      </c>
      <c r="G9" s="258">
        <v>9678000000</v>
      </c>
      <c r="H9" s="265">
        <v>0.1</v>
      </c>
      <c r="I9" s="258">
        <v>967800000</v>
      </c>
      <c r="J9" s="258">
        <v>10645800000</v>
      </c>
      <c r="K9" s="256" t="s">
        <v>1346</v>
      </c>
    </row>
    <row r="10" spans="1:11" x14ac:dyDescent="0.3">
      <c r="A10" s="256">
        <v>3</v>
      </c>
      <c r="B10" s="257" t="s">
        <v>1364</v>
      </c>
      <c r="C10" s="276">
        <v>44471</v>
      </c>
      <c r="D10" s="257" t="s">
        <v>1256</v>
      </c>
      <c r="E10" s="256" t="s">
        <v>1665</v>
      </c>
      <c r="F10" s="256" t="s">
        <v>1656</v>
      </c>
      <c r="G10" s="258">
        <v>7234000000</v>
      </c>
      <c r="H10" s="265">
        <v>0.1</v>
      </c>
      <c r="I10" s="258">
        <v>723400000</v>
      </c>
      <c r="J10" s="258">
        <v>7957400000</v>
      </c>
      <c r="K10" s="256" t="s">
        <v>1346</v>
      </c>
    </row>
    <row r="11" spans="1:11" x14ac:dyDescent="0.3">
      <c r="A11" s="256">
        <v>4</v>
      </c>
      <c r="B11" s="257" t="s">
        <v>1392</v>
      </c>
      <c r="C11" s="276">
        <v>44472</v>
      </c>
      <c r="D11" s="257" t="s">
        <v>1352</v>
      </c>
      <c r="E11" s="256" t="s">
        <v>1571</v>
      </c>
      <c r="F11" s="256" t="s">
        <v>1608</v>
      </c>
      <c r="G11" s="258">
        <v>19890000000</v>
      </c>
      <c r="H11" s="265">
        <v>0.1</v>
      </c>
      <c r="I11" s="258">
        <v>1989000000</v>
      </c>
      <c r="J11" s="258">
        <v>21879000000</v>
      </c>
      <c r="K11" s="256" t="s">
        <v>1346</v>
      </c>
    </row>
    <row r="12" spans="1:11" x14ac:dyDescent="0.3">
      <c r="A12" s="256">
        <v>5</v>
      </c>
      <c r="B12" s="257" t="s">
        <v>1201</v>
      </c>
      <c r="C12" s="276">
        <v>44473</v>
      </c>
      <c r="D12" s="257" t="s">
        <v>1300</v>
      </c>
      <c r="E12" s="256" t="s">
        <v>1652</v>
      </c>
      <c r="F12" s="256" t="s">
        <v>1657</v>
      </c>
      <c r="G12" s="258">
        <v>8456000000</v>
      </c>
      <c r="H12" s="265">
        <v>0.1</v>
      </c>
      <c r="I12" s="258">
        <v>845600000</v>
      </c>
      <c r="J12" s="258">
        <v>9301600000</v>
      </c>
      <c r="K12" s="256" t="s">
        <v>1346</v>
      </c>
    </row>
    <row r="13" spans="1:11" x14ac:dyDescent="0.3">
      <c r="A13" s="256">
        <v>6</v>
      </c>
      <c r="B13" s="257" t="s">
        <v>1364</v>
      </c>
      <c r="C13" s="276">
        <v>44474</v>
      </c>
      <c r="D13" s="257" t="s">
        <v>1322</v>
      </c>
      <c r="E13" s="256" t="s">
        <v>1638</v>
      </c>
      <c r="F13" s="256" t="s">
        <v>1606</v>
      </c>
      <c r="G13" s="258">
        <v>20890000000</v>
      </c>
      <c r="H13" s="265">
        <v>0.1</v>
      </c>
      <c r="I13" s="258">
        <v>2089000000</v>
      </c>
      <c r="J13" s="258">
        <v>22979000000</v>
      </c>
      <c r="K13" s="256" t="s">
        <v>1346</v>
      </c>
    </row>
    <row r="14" spans="1:11" x14ac:dyDescent="0.3">
      <c r="A14" s="256">
        <v>7</v>
      </c>
      <c r="B14" s="257" t="s">
        <v>1362</v>
      </c>
      <c r="C14" s="276">
        <v>44475</v>
      </c>
      <c r="D14" s="257" t="s">
        <v>1289</v>
      </c>
      <c r="E14" s="256" t="s">
        <v>1640</v>
      </c>
      <c r="F14" s="256" t="s">
        <v>1655</v>
      </c>
      <c r="G14" s="258">
        <v>10234000000</v>
      </c>
      <c r="H14" s="265">
        <v>0.1</v>
      </c>
      <c r="I14" s="258">
        <v>1023400000</v>
      </c>
      <c r="J14" s="258">
        <v>11257400000</v>
      </c>
      <c r="K14" s="256" t="s">
        <v>1346</v>
      </c>
    </row>
    <row r="15" spans="1:11" x14ac:dyDescent="0.3">
      <c r="A15" s="256">
        <v>8</v>
      </c>
      <c r="B15" s="257" t="s">
        <v>1201</v>
      </c>
      <c r="C15" s="276">
        <v>44476</v>
      </c>
      <c r="D15" s="257" t="s">
        <v>1305</v>
      </c>
      <c r="E15" s="256" t="s">
        <v>1664</v>
      </c>
      <c r="F15" s="256" t="s">
        <v>1608</v>
      </c>
      <c r="G15" s="258">
        <v>18901000000</v>
      </c>
      <c r="H15" s="265">
        <v>0.1</v>
      </c>
      <c r="I15" s="258">
        <v>1890100000</v>
      </c>
      <c r="J15" s="258">
        <v>20791100000</v>
      </c>
      <c r="K15" s="256" t="s">
        <v>1346</v>
      </c>
    </row>
    <row r="16" spans="1:11" x14ac:dyDescent="0.3">
      <c r="A16" s="256">
        <v>9</v>
      </c>
      <c r="B16" s="257" t="s">
        <v>1205</v>
      </c>
      <c r="C16" s="276">
        <v>44477</v>
      </c>
      <c r="D16" s="257" t="s">
        <v>1283</v>
      </c>
      <c r="E16" s="256" t="s">
        <v>1588</v>
      </c>
      <c r="F16" s="256" t="s">
        <v>1657</v>
      </c>
      <c r="G16" s="258">
        <v>9234000000</v>
      </c>
      <c r="H16" s="265">
        <v>0.1</v>
      </c>
      <c r="I16" s="258">
        <v>923400000</v>
      </c>
      <c r="J16" s="258">
        <v>10157400000</v>
      </c>
      <c r="K16" s="256" t="s">
        <v>1348</v>
      </c>
    </row>
    <row r="17" spans="1:11" x14ac:dyDescent="0.3">
      <c r="A17" s="256">
        <v>10</v>
      </c>
      <c r="B17" s="257" t="s">
        <v>1205</v>
      </c>
      <c r="C17" s="276">
        <v>44478</v>
      </c>
      <c r="D17" s="257" t="s">
        <v>1262</v>
      </c>
      <c r="E17" s="256" t="s">
        <v>1556</v>
      </c>
      <c r="F17" s="256" t="s">
        <v>1606</v>
      </c>
      <c r="G17" s="258">
        <v>21890000000</v>
      </c>
      <c r="H17" s="265">
        <v>0.1</v>
      </c>
      <c r="I17" s="258">
        <v>2189000000</v>
      </c>
      <c r="J17" s="258">
        <v>24079000000</v>
      </c>
      <c r="K17" s="256" t="s">
        <v>1346</v>
      </c>
    </row>
    <row r="18" spans="1:11" x14ac:dyDescent="0.3">
      <c r="A18" s="256">
        <v>11</v>
      </c>
      <c r="B18" s="257" t="s">
        <v>1383</v>
      </c>
      <c r="C18" s="276">
        <v>44479</v>
      </c>
      <c r="D18" s="257" t="s">
        <v>1266</v>
      </c>
      <c r="E18" s="256" t="s">
        <v>1669</v>
      </c>
      <c r="F18" s="256" t="s">
        <v>1656</v>
      </c>
      <c r="G18" s="258">
        <v>7890000000</v>
      </c>
      <c r="H18" s="265">
        <v>0.1</v>
      </c>
      <c r="I18" s="258">
        <v>789000000</v>
      </c>
      <c r="J18" s="258">
        <v>8679000000</v>
      </c>
      <c r="K18" s="256" t="s">
        <v>1346</v>
      </c>
    </row>
    <row r="19" spans="1:11" x14ac:dyDescent="0.3">
      <c r="A19" s="256">
        <v>12</v>
      </c>
      <c r="B19" s="257" t="s">
        <v>1200</v>
      </c>
      <c r="C19" s="276">
        <v>44480</v>
      </c>
      <c r="D19" s="257" t="s">
        <v>1319</v>
      </c>
      <c r="E19" s="256" t="s">
        <v>1680</v>
      </c>
      <c r="F19" s="256" t="s">
        <v>1608</v>
      </c>
      <c r="G19" s="258">
        <v>19234000000</v>
      </c>
      <c r="H19" s="265">
        <v>0.1</v>
      </c>
      <c r="I19" s="258">
        <v>1923400000</v>
      </c>
      <c r="J19" s="258">
        <v>21157400000</v>
      </c>
      <c r="K19" s="256" t="s">
        <v>1346</v>
      </c>
    </row>
    <row r="20" spans="1:11" x14ac:dyDescent="0.3">
      <c r="A20" s="256">
        <v>13</v>
      </c>
      <c r="B20" s="257" t="s">
        <v>1371</v>
      </c>
      <c r="C20" s="276">
        <v>44481</v>
      </c>
      <c r="D20" s="257" t="s">
        <v>1257</v>
      </c>
      <c r="E20" s="256" t="s">
        <v>1574</v>
      </c>
      <c r="F20" s="256" t="s">
        <v>1655</v>
      </c>
      <c r="G20" s="258">
        <v>9890000000</v>
      </c>
      <c r="H20" s="265">
        <v>0.1</v>
      </c>
      <c r="I20" s="258">
        <v>989000000</v>
      </c>
      <c r="J20" s="258">
        <v>10879000000</v>
      </c>
      <c r="K20" s="256" t="s">
        <v>1346</v>
      </c>
    </row>
    <row r="21" spans="1:11" x14ac:dyDescent="0.3">
      <c r="A21" s="256">
        <v>14</v>
      </c>
      <c r="B21" s="257" t="s">
        <v>1368</v>
      </c>
      <c r="C21" s="276">
        <v>44211</v>
      </c>
      <c r="D21" s="257" t="s">
        <v>1258</v>
      </c>
      <c r="E21" s="256" t="s">
        <v>351</v>
      </c>
      <c r="F21" s="256" t="s">
        <v>1606</v>
      </c>
      <c r="G21" s="258">
        <v>22345000000</v>
      </c>
      <c r="H21" s="265">
        <v>0.1</v>
      </c>
      <c r="I21" s="258">
        <v>2234500000</v>
      </c>
      <c r="J21" s="258">
        <v>24579500000</v>
      </c>
      <c r="K21" s="256" t="s">
        <v>1346</v>
      </c>
    </row>
    <row r="22" spans="1:11" x14ac:dyDescent="0.3">
      <c r="A22" s="256">
        <v>15</v>
      </c>
      <c r="B22" s="257" t="s">
        <v>1401</v>
      </c>
      <c r="C22" s="276">
        <v>44242</v>
      </c>
      <c r="D22" s="257" t="s">
        <v>1281</v>
      </c>
      <c r="E22" s="256" t="s">
        <v>1559</v>
      </c>
      <c r="F22" s="256" t="s">
        <v>1657</v>
      </c>
      <c r="G22" s="258">
        <v>9678000000</v>
      </c>
      <c r="H22" s="265">
        <v>0.1</v>
      </c>
      <c r="I22" s="258">
        <v>967800000</v>
      </c>
      <c r="J22" s="258">
        <v>10645800000</v>
      </c>
      <c r="K22" s="256" t="s">
        <v>1346</v>
      </c>
    </row>
    <row r="23" spans="1:11" x14ac:dyDescent="0.3">
      <c r="A23" s="256">
        <v>16</v>
      </c>
      <c r="B23" s="257" t="s">
        <v>1362</v>
      </c>
      <c r="C23" s="276">
        <v>44270</v>
      </c>
      <c r="D23" s="257" t="s">
        <v>1308</v>
      </c>
      <c r="E23" s="256" t="s">
        <v>1639</v>
      </c>
      <c r="F23" s="256" t="s">
        <v>1608</v>
      </c>
      <c r="G23" s="258">
        <v>18234000000</v>
      </c>
      <c r="H23" s="265">
        <v>0.1</v>
      </c>
      <c r="I23" s="258">
        <v>1823400000</v>
      </c>
      <c r="J23" s="258">
        <v>20057400000</v>
      </c>
      <c r="K23" s="256" t="s">
        <v>1346</v>
      </c>
    </row>
    <row r="24" spans="1:11" x14ac:dyDescent="0.3">
      <c r="A24" s="256">
        <v>17</v>
      </c>
      <c r="B24" s="257" t="s">
        <v>1391</v>
      </c>
      <c r="C24" s="276">
        <v>44301</v>
      </c>
      <c r="D24" s="257" t="s">
        <v>1395</v>
      </c>
      <c r="E24" s="256" t="s">
        <v>1581</v>
      </c>
      <c r="F24" s="256" t="s">
        <v>1611</v>
      </c>
      <c r="G24" s="258">
        <v>10890000000</v>
      </c>
      <c r="H24" s="265">
        <v>0.1</v>
      </c>
      <c r="I24" s="258">
        <v>1089000000</v>
      </c>
      <c r="J24" s="258">
        <v>11979000000</v>
      </c>
      <c r="K24" s="256" t="s">
        <v>1346</v>
      </c>
    </row>
    <row r="25" spans="1:11" x14ac:dyDescent="0.3">
      <c r="A25" s="256">
        <v>18</v>
      </c>
      <c r="B25" s="257" t="s">
        <v>1200</v>
      </c>
      <c r="C25" s="276">
        <v>44331</v>
      </c>
      <c r="D25" s="257" t="s">
        <v>1320</v>
      </c>
      <c r="E25" s="256" t="s">
        <v>1681</v>
      </c>
      <c r="F25" s="256" t="s">
        <v>1606</v>
      </c>
      <c r="G25" s="258">
        <v>21234000000</v>
      </c>
      <c r="H25" s="265">
        <v>0.1</v>
      </c>
      <c r="I25" s="258">
        <v>2123400000</v>
      </c>
      <c r="J25" s="258">
        <v>23357400000</v>
      </c>
      <c r="K25" s="256" t="s">
        <v>1346</v>
      </c>
    </row>
    <row r="26" spans="1:11" x14ac:dyDescent="0.3">
      <c r="A26" s="256">
        <v>19</v>
      </c>
      <c r="B26" s="257" t="s">
        <v>1204</v>
      </c>
      <c r="C26" s="276">
        <v>44362</v>
      </c>
      <c r="D26" s="257" t="s">
        <v>1428</v>
      </c>
      <c r="E26" s="256" t="s">
        <v>1557</v>
      </c>
      <c r="F26" s="256" t="s">
        <v>1656</v>
      </c>
      <c r="G26" s="258">
        <v>8234000000</v>
      </c>
      <c r="H26" s="265">
        <v>0.1</v>
      </c>
      <c r="I26" s="258">
        <v>823400000</v>
      </c>
      <c r="J26" s="258">
        <v>9057400000</v>
      </c>
      <c r="K26" s="256" t="s">
        <v>1346</v>
      </c>
    </row>
    <row r="27" spans="1:11" x14ac:dyDescent="0.3">
      <c r="A27" s="256">
        <v>20</v>
      </c>
      <c r="B27" s="257" t="s">
        <v>1205</v>
      </c>
      <c r="C27" s="276">
        <v>44392</v>
      </c>
      <c r="D27" s="257" t="s">
        <v>1268</v>
      </c>
      <c r="E27" s="256" t="s">
        <v>1594</v>
      </c>
      <c r="F27" s="256" t="s">
        <v>1608</v>
      </c>
      <c r="G27" s="258">
        <v>19890000000</v>
      </c>
      <c r="H27" s="265">
        <v>0.1</v>
      </c>
      <c r="I27" s="258">
        <v>1989000000</v>
      </c>
      <c r="J27" s="258">
        <v>21879000000</v>
      </c>
      <c r="K27" s="256" t="s">
        <v>1346</v>
      </c>
    </row>
    <row r="28" spans="1:11" x14ac:dyDescent="0.3">
      <c r="A28" s="256">
        <v>21</v>
      </c>
      <c r="B28" s="257" t="s">
        <v>1201</v>
      </c>
      <c r="C28" s="276">
        <v>44423</v>
      </c>
      <c r="D28" s="257" t="s">
        <v>1307</v>
      </c>
      <c r="E28" s="256" t="s">
        <v>1659</v>
      </c>
      <c r="F28" s="256" t="s">
        <v>1657</v>
      </c>
      <c r="G28" s="258">
        <v>9890000000</v>
      </c>
      <c r="H28" s="265">
        <v>0.1</v>
      </c>
      <c r="I28" s="258">
        <v>989000000</v>
      </c>
      <c r="J28" s="258">
        <v>10879000000</v>
      </c>
      <c r="K28" s="256" t="s">
        <v>1346</v>
      </c>
    </row>
    <row r="29" spans="1:11" x14ac:dyDescent="0.3">
      <c r="A29" s="256">
        <v>22</v>
      </c>
      <c r="B29" s="257" t="s">
        <v>1200</v>
      </c>
      <c r="C29" s="276">
        <v>44454</v>
      </c>
      <c r="D29" s="257" t="s">
        <v>1298</v>
      </c>
      <c r="E29" s="256" t="s">
        <v>1682</v>
      </c>
      <c r="F29" s="256" t="s">
        <v>1606</v>
      </c>
      <c r="G29" s="258">
        <v>22890000000</v>
      </c>
      <c r="H29" s="265">
        <v>0.1</v>
      </c>
      <c r="I29" s="258">
        <v>2289000000</v>
      </c>
      <c r="J29" s="258">
        <v>25179000000</v>
      </c>
      <c r="K29" s="256" t="s">
        <v>1346</v>
      </c>
    </row>
    <row r="30" spans="1:11" x14ac:dyDescent="0.3">
      <c r="A30" s="256">
        <v>23</v>
      </c>
      <c r="B30" s="257" t="s">
        <v>1201</v>
      </c>
      <c r="C30" s="276">
        <v>44484</v>
      </c>
      <c r="D30" s="257" t="s">
        <v>1296</v>
      </c>
      <c r="E30" s="256" t="s">
        <v>1660</v>
      </c>
      <c r="F30" s="256" t="s">
        <v>1655</v>
      </c>
      <c r="G30" s="258">
        <v>10456000000</v>
      </c>
      <c r="H30" s="265">
        <v>0.1</v>
      </c>
      <c r="I30" s="258">
        <v>1045600000</v>
      </c>
      <c r="J30" s="258">
        <v>11501600000</v>
      </c>
      <c r="K30" s="256" t="s">
        <v>1346</v>
      </c>
    </row>
    <row r="31" spans="1:11" x14ac:dyDescent="0.3">
      <c r="A31" s="256">
        <v>24</v>
      </c>
      <c r="B31" s="257" t="s">
        <v>1200</v>
      </c>
      <c r="C31" s="276">
        <v>44515</v>
      </c>
      <c r="D31" s="257" t="s">
        <v>1311</v>
      </c>
      <c r="E31" s="256" t="s">
        <v>1683</v>
      </c>
      <c r="F31" s="256" t="s">
        <v>1608</v>
      </c>
      <c r="G31" s="258">
        <v>18901000000</v>
      </c>
      <c r="H31" s="265">
        <v>0.1</v>
      </c>
      <c r="I31" s="258">
        <v>1890100000</v>
      </c>
      <c r="J31" s="258">
        <v>20791100000</v>
      </c>
      <c r="K31" s="256" t="s">
        <v>1346</v>
      </c>
    </row>
    <row r="32" spans="1:11" x14ac:dyDescent="0.3">
      <c r="A32" s="256">
        <v>25</v>
      </c>
      <c r="B32" s="257" t="s">
        <v>1201</v>
      </c>
      <c r="C32" s="276">
        <v>44545</v>
      </c>
      <c r="D32" s="257" t="s">
        <v>1291</v>
      </c>
      <c r="E32" s="256" t="s">
        <v>1650</v>
      </c>
      <c r="F32" s="256" t="s">
        <v>1657</v>
      </c>
      <c r="G32" s="258">
        <v>9234000000</v>
      </c>
      <c r="H32" s="265">
        <v>0.1</v>
      </c>
      <c r="I32" s="258">
        <v>923400000</v>
      </c>
      <c r="J32" s="258">
        <v>10157400000</v>
      </c>
      <c r="K32" s="256" t="s">
        <v>1346</v>
      </c>
    </row>
    <row r="33" spans="1:11" x14ac:dyDescent="0.3">
      <c r="A33" s="256">
        <v>26</v>
      </c>
      <c r="B33" s="257" t="s">
        <v>1368</v>
      </c>
      <c r="C33" s="276">
        <v>44216</v>
      </c>
      <c r="D33" s="257" t="s">
        <v>1255</v>
      </c>
      <c r="E33" s="256" t="s">
        <v>1649</v>
      </c>
      <c r="F33" s="256" t="s">
        <v>1606</v>
      </c>
      <c r="G33" s="258">
        <v>22345000000</v>
      </c>
      <c r="H33" s="265">
        <v>0.1</v>
      </c>
      <c r="I33" s="258">
        <v>2234500000</v>
      </c>
      <c r="J33" s="258">
        <v>24579500000</v>
      </c>
      <c r="K33" s="256" t="s">
        <v>1346</v>
      </c>
    </row>
    <row r="34" spans="1:11" x14ac:dyDescent="0.3">
      <c r="A34" s="256">
        <v>27</v>
      </c>
      <c r="B34" s="257" t="s">
        <v>1383</v>
      </c>
      <c r="C34" s="276">
        <v>44247</v>
      </c>
      <c r="D34" s="257" t="s">
        <v>1272</v>
      </c>
      <c r="E34" s="256" t="s">
        <v>540</v>
      </c>
      <c r="F34" s="256" t="s">
        <v>1656</v>
      </c>
      <c r="G34" s="258">
        <v>8901000000</v>
      </c>
      <c r="H34" s="265">
        <v>0.1</v>
      </c>
      <c r="I34" s="258">
        <v>890100000</v>
      </c>
      <c r="J34" s="258">
        <v>9791100000</v>
      </c>
      <c r="K34" s="256" t="s">
        <v>1346</v>
      </c>
    </row>
    <row r="35" spans="1:11" x14ac:dyDescent="0.3">
      <c r="A35" s="256">
        <v>28</v>
      </c>
      <c r="B35" s="257" t="s">
        <v>1205</v>
      </c>
      <c r="C35" s="276">
        <v>44275</v>
      </c>
      <c r="D35" s="257" t="s">
        <v>1384</v>
      </c>
      <c r="E35" s="256" t="s">
        <v>1565</v>
      </c>
      <c r="F35" s="256" t="s">
        <v>1608</v>
      </c>
      <c r="G35" s="258">
        <v>19678000000</v>
      </c>
      <c r="H35" s="265">
        <v>0.1</v>
      </c>
      <c r="I35" s="258">
        <v>1967800000</v>
      </c>
      <c r="J35" s="258">
        <v>21645800000</v>
      </c>
      <c r="K35" s="256" t="s">
        <v>1346</v>
      </c>
    </row>
    <row r="36" spans="1:11" x14ac:dyDescent="0.3">
      <c r="A36" s="256">
        <v>29</v>
      </c>
      <c r="B36" s="257" t="s">
        <v>1204</v>
      </c>
      <c r="C36" s="276">
        <v>44306</v>
      </c>
      <c r="D36" s="257" t="s">
        <v>1416</v>
      </c>
      <c r="E36" s="256" t="s">
        <v>1562</v>
      </c>
      <c r="F36" s="256" t="s">
        <v>1611</v>
      </c>
      <c r="G36" s="258">
        <v>11234000000</v>
      </c>
      <c r="H36" s="265">
        <v>0.1</v>
      </c>
      <c r="I36" s="258">
        <v>1123400000</v>
      </c>
      <c r="J36" s="258">
        <v>12357400000</v>
      </c>
      <c r="K36" s="256" t="s">
        <v>1346</v>
      </c>
    </row>
    <row r="37" spans="1:11" x14ac:dyDescent="0.3">
      <c r="A37" s="256">
        <v>30</v>
      </c>
      <c r="B37" s="257" t="s">
        <v>1368</v>
      </c>
      <c r="C37" s="276">
        <v>44336</v>
      </c>
      <c r="D37" s="257" t="s">
        <v>1276</v>
      </c>
      <c r="E37" s="256" t="s">
        <v>1654</v>
      </c>
      <c r="F37" s="256" t="s">
        <v>1606</v>
      </c>
      <c r="G37" s="258">
        <v>23456000000</v>
      </c>
      <c r="H37" s="265">
        <v>0.1</v>
      </c>
      <c r="I37" s="258">
        <v>2345600000</v>
      </c>
      <c r="J37" s="258">
        <v>25801600000</v>
      </c>
      <c r="K37" s="256" t="s">
        <v>1346</v>
      </c>
    </row>
    <row r="38" spans="1:11" x14ac:dyDescent="0.3">
      <c r="A38" s="256">
        <v>31</v>
      </c>
      <c r="B38" s="257" t="s">
        <v>1360</v>
      </c>
      <c r="C38" s="276">
        <v>44367</v>
      </c>
      <c r="D38" s="257" t="s">
        <v>1254</v>
      </c>
      <c r="E38" s="256" t="s">
        <v>1668</v>
      </c>
      <c r="F38" s="256" t="s">
        <v>1657</v>
      </c>
      <c r="G38" s="258">
        <v>10234000000</v>
      </c>
      <c r="H38" s="265">
        <v>0.1</v>
      </c>
      <c r="I38" s="258">
        <v>1023400000</v>
      </c>
      <c r="J38" s="258">
        <v>11257400000</v>
      </c>
      <c r="K38" s="256" t="s">
        <v>1346</v>
      </c>
    </row>
    <row r="39" spans="1:11" x14ac:dyDescent="0.3">
      <c r="A39" s="256">
        <v>32</v>
      </c>
      <c r="B39" s="257" t="s">
        <v>1373</v>
      </c>
      <c r="C39" s="276">
        <v>44397</v>
      </c>
      <c r="D39" s="257" t="s">
        <v>1282</v>
      </c>
      <c r="E39" s="256" t="s">
        <v>1580</v>
      </c>
      <c r="F39" s="256" t="s">
        <v>1608</v>
      </c>
      <c r="G39" s="258">
        <v>18456000000</v>
      </c>
      <c r="H39" s="265">
        <v>0.1</v>
      </c>
      <c r="I39" s="258">
        <v>1845600000</v>
      </c>
      <c r="J39" s="258">
        <v>20301600000</v>
      </c>
      <c r="K39" s="256" t="s">
        <v>1346</v>
      </c>
    </row>
    <row r="40" spans="1:11" x14ac:dyDescent="0.3">
      <c r="A40" s="256">
        <v>33</v>
      </c>
      <c r="B40" s="257" t="s">
        <v>1381</v>
      </c>
      <c r="C40" s="276">
        <v>44428</v>
      </c>
      <c r="D40" s="257" t="s">
        <v>1389</v>
      </c>
      <c r="E40" s="256" t="s">
        <v>1555</v>
      </c>
      <c r="F40" s="256" t="s">
        <v>1655</v>
      </c>
      <c r="G40" s="258">
        <v>11890000000</v>
      </c>
      <c r="H40" s="265">
        <v>0.1</v>
      </c>
      <c r="I40" s="258">
        <v>1189000000</v>
      </c>
      <c r="J40" s="258">
        <v>13079000000</v>
      </c>
      <c r="K40" s="256" t="s">
        <v>1346</v>
      </c>
    </row>
    <row r="41" spans="1:11" x14ac:dyDescent="0.3">
      <c r="A41" s="256">
        <v>34</v>
      </c>
      <c r="B41" s="257" t="s">
        <v>1204</v>
      </c>
      <c r="C41" s="276">
        <v>44459</v>
      </c>
      <c r="D41" s="257" t="s">
        <v>1278</v>
      </c>
      <c r="E41" s="256" t="s">
        <v>1593</v>
      </c>
      <c r="F41" s="256" t="s">
        <v>1606</v>
      </c>
      <c r="G41" s="258">
        <v>23890000000</v>
      </c>
      <c r="H41" s="265">
        <v>0.1</v>
      </c>
      <c r="I41" s="258">
        <v>2389000000</v>
      </c>
      <c r="J41" s="258">
        <v>26279000000</v>
      </c>
      <c r="K41" s="256" t="s">
        <v>1346</v>
      </c>
    </row>
    <row r="42" spans="1:11" x14ac:dyDescent="0.3">
      <c r="A42" s="256">
        <v>35</v>
      </c>
      <c r="B42" s="257" t="s">
        <v>1204</v>
      </c>
      <c r="C42" s="276">
        <v>44489</v>
      </c>
      <c r="D42" s="257" t="s">
        <v>1263</v>
      </c>
      <c r="E42" s="256" t="s">
        <v>1579</v>
      </c>
      <c r="F42" s="256" t="s">
        <v>1656</v>
      </c>
      <c r="G42" s="258">
        <v>9234000000</v>
      </c>
      <c r="H42" s="265">
        <v>0.1</v>
      </c>
      <c r="I42" s="258">
        <v>923400000</v>
      </c>
      <c r="J42" s="258">
        <v>10157400000</v>
      </c>
      <c r="K42" s="256" t="s">
        <v>1346</v>
      </c>
    </row>
    <row r="43" spans="1:11" x14ac:dyDescent="0.3">
      <c r="A43" s="256">
        <v>36</v>
      </c>
      <c r="B43" s="257" t="s">
        <v>1203</v>
      </c>
      <c r="C43" s="276">
        <v>44520</v>
      </c>
      <c r="D43" s="257" t="s">
        <v>1259</v>
      </c>
      <c r="E43" s="256" t="s">
        <v>1569</v>
      </c>
      <c r="F43" s="256" t="s">
        <v>1608</v>
      </c>
      <c r="G43" s="258">
        <v>18901000000</v>
      </c>
      <c r="H43" s="265">
        <v>0.1</v>
      </c>
      <c r="I43" s="258">
        <v>1890100000</v>
      </c>
      <c r="J43" s="258">
        <v>20791100000</v>
      </c>
      <c r="K43" s="256" t="s">
        <v>1346</v>
      </c>
    </row>
    <row r="44" spans="1:11" x14ac:dyDescent="0.3">
      <c r="A44" s="256">
        <v>37</v>
      </c>
      <c r="B44" s="257" t="s">
        <v>1385</v>
      </c>
      <c r="C44" s="276">
        <v>44550</v>
      </c>
      <c r="D44" s="257" t="s">
        <v>1275</v>
      </c>
      <c r="E44" s="256" t="s">
        <v>1575</v>
      </c>
      <c r="F44" s="256" t="s">
        <v>1657</v>
      </c>
      <c r="G44" s="258">
        <v>10890000000</v>
      </c>
      <c r="H44" s="265">
        <v>0.1</v>
      </c>
      <c r="I44" s="258">
        <v>1089000000</v>
      </c>
      <c r="J44" s="258">
        <v>11979000000</v>
      </c>
      <c r="K44" s="256" t="s">
        <v>1346</v>
      </c>
    </row>
    <row r="45" spans="1:11" x14ac:dyDescent="0.3">
      <c r="A45" s="256">
        <v>38</v>
      </c>
      <c r="B45" s="257" t="s">
        <v>1203</v>
      </c>
      <c r="C45" s="276">
        <v>44221</v>
      </c>
      <c r="D45" s="257" t="s">
        <v>1264</v>
      </c>
      <c r="E45" s="256" t="s">
        <v>1584</v>
      </c>
      <c r="F45" s="256" t="s">
        <v>1606</v>
      </c>
      <c r="G45" s="258">
        <v>24234000000</v>
      </c>
      <c r="H45" s="265">
        <v>0.1</v>
      </c>
      <c r="I45" s="258">
        <v>2423400000</v>
      </c>
      <c r="J45" s="258">
        <v>26657400000</v>
      </c>
      <c r="K45" s="256" t="s">
        <v>1346</v>
      </c>
    </row>
    <row r="46" spans="1:11" x14ac:dyDescent="0.3">
      <c r="A46" s="256">
        <v>39</v>
      </c>
      <c r="B46" s="257" t="s">
        <v>1205</v>
      </c>
      <c r="C46" s="276">
        <v>44252</v>
      </c>
      <c r="D46" s="257" t="s">
        <v>1260</v>
      </c>
      <c r="E46" s="256" t="s">
        <v>1585</v>
      </c>
      <c r="F46" s="256" t="s">
        <v>1656</v>
      </c>
      <c r="G46" s="258">
        <v>9890000000</v>
      </c>
      <c r="H46" s="265">
        <v>0.1</v>
      </c>
      <c r="I46" s="258">
        <v>989000000</v>
      </c>
      <c r="J46" s="258">
        <v>10879000000</v>
      </c>
      <c r="K46" s="256" t="s">
        <v>1346</v>
      </c>
    </row>
    <row r="47" spans="1:11" x14ac:dyDescent="0.3">
      <c r="A47" s="256">
        <v>40</v>
      </c>
      <c r="B47" s="257" t="s">
        <v>1203</v>
      </c>
      <c r="C47" s="276">
        <v>44280</v>
      </c>
      <c r="D47" s="257" t="s">
        <v>1285</v>
      </c>
      <c r="E47" s="256" t="s">
        <v>1558</v>
      </c>
      <c r="F47" s="256" t="s">
        <v>1608</v>
      </c>
      <c r="G47" s="258">
        <v>19678000000</v>
      </c>
      <c r="H47" s="265">
        <v>0.1</v>
      </c>
      <c r="I47" s="258">
        <v>1967800000</v>
      </c>
      <c r="J47" s="258">
        <v>21645800000</v>
      </c>
      <c r="K47" s="256" t="s">
        <v>1346</v>
      </c>
    </row>
    <row r="48" spans="1:11" x14ac:dyDescent="0.3">
      <c r="A48" s="256">
        <v>41</v>
      </c>
      <c r="B48" s="257" t="s">
        <v>1203</v>
      </c>
      <c r="C48" s="276">
        <v>44311</v>
      </c>
      <c r="D48" s="257" t="s">
        <v>1435</v>
      </c>
      <c r="E48" s="256" t="s">
        <v>1577</v>
      </c>
      <c r="F48" s="256" t="s">
        <v>1655</v>
      </c>
      <c r="G48" s="258">
        <v>12234000000</v>
      </c>
      <c r="H48" s="265">
        <v>0.1</v>
      </c>
      <c r="I48" s="258">
        <v>1223400000</v>
      </c>
      <c r="J48" s="258">
        <v>13457400000</v>
      </c>
      <c r="K48" s="256" t="s">
        <v>1346</v>
      </c>
    </row>
    <row r="49" spans="1:11" x14ac:dyDescent="0.3">
      <c r="A49" s="256">
        <v>42</v>
      </c>
      <c r="B49" s="257" t="s">
        <v>1388</v>
      </c>
      <c r="C49" s="276">
        <v>44341</v>
      </c>
      <c r="D49" s="257" t="s">
        <v>1280</v>
      </c>
      <c r="E49" s="256" t="s">
        <v>618</v>
      </c>
      <c r="F49" s="256" t="s">
        <v>1606</v>
      </c>
      <c r="G49" s="258">
        <v>24890000000</v>
      </c>
      <c r="H49" s="265">
        <v>0.1</v>
      </c>
      <c r="I49" s="258">
        <v>2489000000</v>
      </c>
      <c r="J49" s="258">
        <v>27379000000</v>
      </c>
      <c r="K49" s="256" t="s">
        <v>1346</v>
      </c>
    </row>
    <row r="50" spans="1:11" x14ac:dyDescent="0.3">
      <c r="A50" s="256">
        <v>43</v>
      </c>
      <c r="B50" s="257" t="s">
        <v>1362</v>
      </c>
      <c r="C50" s="276">
        <v>44372</v>
      </c>
      <c r="D50" s="257" t="s">
        <v>1295</v>
      </c>
      <c r="E50" s="256" t="s">
        <v>1636</v>
      </c>
      <c r="F50" s="256" t="s">
        <v>1657</v>
      </c>
      <c r="G50" s="258">
        <v>11234000000</v>
      </c>
      <c r="H50" s="265">
        <v>0.1</v>
      </c>
      <c r="I50" s="258">
        <v>1123400000</v>
      </c>
      <c r="J50" s="258">
        <v>12357400000</v>
      </c>
      <c r="K50" s="256" t="s">
        <v>1346</v>
      </c>
    </row>
    <row r="51" spans="1:11" x14ac:dyDescent="0.3">
      <c r="A51" s="256">
        <v>44</v>
      </c>
      <c r="B51" s="257" t="s">
        <v>1205</v>
      </c>
      <c r="C51" s="276">
        <v>44402</v>
      </c>
      <c r="D51" s="257" t="s">
        <v>1274</v>
      </c>
      <c r="E51" s="256" t="s">
        <v>1592</v>
      </c>
      <c r="F51" s="256" t="s">
        <v>1608</v>
      </c>
      <c r="G51" s="258">
        <v>18901000000</v>
      </c>
      <c r="H51" s="265">
        <v>0.1</v>
      </c>
      <c r="I51" s="258">
        <v>1890100000</v>
      </c>
      <c r="J51" s="258">
        <v>20791100000</v>
      </c>
      <c r="K51" s="256" t="s">
        <v>1346</v>
      </c>
    </row>
    <row r="52" spans="1:11" x14ac:dyDescent="0.3">
      <c r="A52" s="256">
        <v>45</v>
      </c>
      <c r="B52" s="257" t="s">
        <v>1388</v>
      </c>
      <c r="C52" s="276">
        <v>44433</v>
      </c>
      <c r="D52" s="257" t="s">
        <v>1277</v>
      </c>
      <c r="E52" s="256" t="s">
        <v>1582</v>
      </c>
      <c r="F52" s="256" t="s">
        <v>1611</v>
      </c>
      <c r="G52" s="258">
        <v>12890000000</v>
      </c>
      <c r="H52" s="265">
        <v>0.1</v>
      </c>
      <c r="I52" s="258">
        <v>1289000000</v>
      </c>
      <c r="J52" s="258">
        <v>14179000000</v>
      </c>
      <c r="K52" s="256" t="s">
        <v>1346</v>
      </c>
    </row>
    <row r="53" spans="1:11" x14ac:dyDescent="0.3">
      <c r="A53" s="256">
        <v>46</v>
      </c>
      <c r="B53" s="257" t="s">
        <v>1388</v>
      </c>
      <c r="C53" s="276">
        <v>44464</v>
      </c>
      <c r="D53" s="257" t="s">
        <v>1284</v>
      </c>
      <c r="E53" s="256" t="s">
        <v>1552</v>
      </c>
      <c r="F53" s="256" t="s">
        <v>1606</v>
      </c>
      <c r="G53" s="258">
        <v>25456000000</v>
      </c>
      <c r="H53" s="265">
        <v>0.1</v>
      </c>
      <c r="I53" s="258">
        <v>2545600000</v>
      </c>
      <c r="J53" s="258">
        <v>28001600000</v>
      </c>
      <c r="K53" s="256" t="s">
        <v>1346</v>
      </c>
    </row>
    <row r="54" spans="1:11" x14ac:dyDescent="0.3">
      <c r="A54" s="256">
        <v>47</v>
      </c>
      <c r="B54" s="257" t="s">
        <v>1383</v>
      </c>
      <c r="C54" s="276">
        <v>44494</v>
      </c>
      <c r="D54" s="257" t="s">
        <v>1273</v>
      </c>
      <c r="E54" s="256" t="s">
        <v>1567</v>
      </c>
      <c r="F54" s="256" t="s">
        <v>1656</v>
      </c>
      <c r="G54" s="258">
        <v>10456000000</v>
      </c>
      <c r="H54" s="265">
        <v>0.1</v>
      </c>
      <c r="I54" s="258">
        <v>1045600000</v>
      </c>
      <c r="J54" s="258">
        <v>11501600000</v>
      </c>
      <c r="K54" s="256" t="s">
        <v>1346</v>
      </c>
    </row>
    <row r="55" spans="1:11" x14ac:dyDescent="0.3">
      <c r="A55" s="256">
        <v>48</v>
      </c>
      <c r="B55" s="257" t="s">
        <v>1364</v>
      </c>
      <c r="C55" s="276">
        <v>44525</v>
      </c>
      <c r="D55" s="257" t="s">
        <v>1287</v>
      </c>
      <c r="E55" s="256" t="s">
        <v>691</v>
      </c>
      <c r="F55" s="256" t="s">
        <v>1608</v>
      </c>
      <c r="G55" s="258">
        <v>19234000000</v>
      </c>
      <c r="H55" s="265">
        <v>0.1</v>
      </c>
      <c r="I55" s="258">
        <v>1923400000</v>
      </c>
      <c r="J55" s="258">
        <v>21157400000</v>
      </c>
      <c r="K55" s="256" t="s">
        <v>1346</v>
      </c>
    </row>
    <row r="56" spans="1:11" x14ac:dyDescent="0.3">
      <c r="A56" s="256">
        <v>49</v>
      </c>
      <c r="B56" s="257" t="s">
        <v>1362</v>
      </c>
      <c r="C56" s="276">
        <v>44224</v>
      </c>
      <c r="D56" s="257" t="s">
        <v>1261</v>
      </c>
      <c r="E56" s="256" t="s">
        <v>1572</v>
      </c>
      <c r="F56" s="256" t="s">
        <v>1657</v>
      </c>
      <c r="G56" s="258">
        <v>11890000000</v>
      </c>
      <c r="H56" s="265">
        <v>0.1</v>
      </c>
      <c r="I56" s="258">
        <v>1189000000</v>
      </c>
      <c r="J56" s="258">
        <v>13079000000</v>
      </c>
      <c r="K56" s="256" t="s">
        <v>1346</v>
      </c>
    </row>
    <row r="57" spans="1:11" x14ac:dyDescent="0.3">
      <c r="A57" s="256">
        <v>50</v>
      </c>
      <c r="B57" s="257" t="s">
        <v>1201</v>
      </c>
      <c r="C57" s="276">
        <v>44255</v>
      </c>
      <c r="D57" s="257" t="s">
        <v>1288</v>
      </c>
      <c r="E57" s="256" t="s">
        <v>1666</v>
      </c>
      <c r="F57" s="256" t="s">
        <v>1606</v>
      </c>
      <c r="G57" s="258">
        <v>26234000000</v>
      </c>
      <c r="H57" s="265">
        <v>0.1</v>
      </c>
      <c r="I57" s="258">
        <v>2623400000</v>
      </c>
      <c r="J57" s="258">
        <v>28857400000</v>
      </c>
      <c r="K57" s="256" t="s">
        <v>1346</v>
      </c>
    </row>
    <row r="58" spans="1:11" x14ac:dyDescent="0.3">
      <c r="A58" s="256">
        <v>51</v>
      </c>
      <c r="B58" s="257" t="s">
        <v>1366</v>
      </c>
      <c r="C58" s="276">
        <v>44283</v>
      </c>
      <c r="D58" s="257" t="s">
        <v>1314</v>
      </c>
      <c r="E58" s="256" t="s">
        <v>948</v>
      </c>
      <c r="F58" s="256" t="s">
        <v>1656</v>
      </c>
      <c r="G58" s="258">
        <v>10890000000</v>
      </c>
      <c r="H58" s="265">
        <v>0.1</v>
      </c>
      <c r="I58" s="258">
        <v>1089000000</v>
      </c>
      <c r="J58" s="258">
        <v>11979000000</v>
      </c>
      <c r="K58" s="256" t="s">
        <v>1346</v>
      </c>
    </row>
    <row r="59" spans="1:11" x14ac:dyDescent="0.3">
      <c r="A59" s="256">
        <v>52</v>
      </c>
      <c r="B59" s="257" t="s">
        <v>1364</v>
      </c>
      <c r="C59" s="276">
        <v>44405</v>
      </c>
      <c r="D59" s="257" t="s">
        <v>1269</v>
      </c>
      <c r="E59" s="256" t="s">
        <v>1641</v>
      </c>
      <c r="F59" s="256" t="s">
        <v>1608</v>
      </c>
      <c r="G59" s="258">
        <v>19890000000</v>
      </c>
      <c r="H59" s="265">
        <v>0.1</v>
      </c>
      <c r="I59" s="258">
        <v>1989000000</v>
      </c>
      <c r="J59" s="258">
        <v>21879000000</v>
      </c>
      <c r="K59" s="256" t="s">
        <v>1346</v>
      </c>
    </row>
    <row r="60" spans="1:11" x14ac:dyDescent="0.3">
      <c r="A60" s="256">
        <v>53</v>
      </c>
      <c r="B60" s="257" t="s">
        <v>1366</v>
      </c>
      <c r="C60" s="276">
        <v>44227</v>
      </c>
      <c r="D60" s="257" t="s">
        <v>1256</v>
      </c>
      <c r="E60" s="256" t="s">
        <v>1665</v>
      </c>
      <c r="F60" s="256" t="s">
        <v>1655</v>
      </c>
      <c r="G60" s="258">
        <v>12456000000</v>
      </c>
      <c r="H60" s="265">
        <v>0.1</v>
      </c>
      <c r="I60" s="258">
        <v>1245600000</v>
      </c>
      <c r="J60" s="258">
        <v>13701600000</v>
      </c>
      <c r="K60" s="256" t="s">
        <v>1346</v>
      </c>
    </row>
    <row r="61" spans="1:11" x14ac:dyDescent="0.3">
      <c r="A61" s="256">
        <v>54</v>
      </c>
      <c r="B61" s="257" t="s">
        <v>1394</v>
      </c>
      <c r="C61" s="276">
        <v>44286</v>
      </c>
      <c r="D61" s="257" t="s">
        <v>1352</v>
      </c>
      <c r="E61" s="256" t="s">
        <v>1571</v>
      </c>
      <c r="F61" s="256" t="s">
        <v>1606</v>
      </c>
      <c r="G61" s="258">
        <v>26890000000</v>
      </c>
      <c r="H61" s="265">
        <v>0.1</v>
      </c>
      <c r="I61" s="258">
        <v>2689000000</v>
      </c>
      <c r="J61" s="258">
        <v>29579000000</v>
      </c>
      <c r="K61" s="256" t="s">
        <v>1346</v>
      </c>
    </row>
    <row r="62" spans="1:11" x14ac:dyDescent="0.3">
      <c r="A62" s="256">
        <v>55</v>
      </c>
      <c r="B62" s="257" t="s">
        <v>1202</v>
      </c>
      <c r="C62" s="276">
        <v>44347</v>
      </c>
      <c r="D62" s="257" t="s">
        <v>1300</v>
      </c>
      <c r="E62" s="256" t="s">
        <v>1652</v>
      </c>
      <c r="F62" s="256" t="s">
        <v>1657</v>
      </c>
      <c r="G62" s="258">
        <v>12234000000</v>
      </c>
      <c r="H62" s="265">
        <v>0.1</v>
      </c>
      <c r="I62" s="258">
        <v>1223400000</v>
      </c>
      <c r="J62" s="258">
        <v>13457400000</v>
      </c>
      <c r="K62" s="256" t="s">
        <v>1346</v>
      </c>
    </row>
    <row r="63" spans="1:11" x14ac:dyDescent="0.3">
      <c r="A63" s="256">
        <v>56</v>
      </c>
      <c r="B63" s="257" t="s">
        <v>1366</v>
      </c>
      <c r="C63" s="276">
        <v>44408</v>
      </c>
      <c r="D63" s="257" t="s">
        <v>1322</v>
      </c>
      <c r="E63" s="256" t="s">
        <v>1638</v>
      </c>
      <c r="F63" s="256" t="s">
        <v>1608</v>
      </c>
      <c r="G63" s="258">
        <v>19234000000</v>
      </c>
      <c r="H63" s="265">
        <v>0.1</v>
      </c>
      <c r="I63" s="258">
        <v>1923400000</v>
      </c>
      <c r="J63" s="258">
        <v>21157400000</v>
      </c>
      <c r="K63" s="256" t="s">
        <v>1346</v>
      </c>
    </row>
    <row r="64" spans="1:11" x14ac:dyDescent="0.3">
      <c r="A64" s="256">
        <v>57</v>
      </c>
      <c r="B64" s="257" t="s">
        <v>1364</v>
      </c>
      <c r="C64" s="276">
        <v>44439</v>
      </c>
      <c r="D64" s="257" t="s">
        <v>1289</v>
      </c>
      <c r="E64" s="256" t="s">
        <v>1640</v>
      </c>
      <c r="F64" s="256" t="s">
        <v>1656</v>
      </c>
      <c r="G64" s="258">
        <v>11234000000</v>
      </c>
      <c r="H64" s="265">
        <v>0.1</v>
      </c>
      <c r="I64" s="258">
        <v>1123400000</v>
      </c>
      <c r="J64" s="258">
        <v>12357400000</v>
      </c>
      <c r="K64" s="256" t="s">
        <v>1346</v>
      </c>
    </row>
    <row r="65" spans="1:11" x14ac:dyDescent="0.3">
      <c r="A65" s="256">
        <v>58</v>
      </c>
      <c r="B65" s="257" t="s">
        <v>1202</v>
      </c>
      <c r="C65" s="276">
        <v>44500</v>
      </c>
      <c r="D65" s="257" t="s">
        <v>1305</v>
      </c>
      <c r="E65" s="256" t="s">
        <v>1664</v>
      </c>
      <c r="F65" s="256" t="s">
        <v>1606</v>
      </c>
      <c r="G65" s="258">
        <v>27234000000</v>
      </c>
      <c r="H65" s="265">
        <v>0.1</v>
      </c>
      <c r="I65" s="258">
        <v>2723400000</v>
      </c>
      <c r="J65" s="258">
        <v>29957400000</v>
      </c>
      <c r="K65" s="256" t="s">
        <v>1346</v>
      </c>
    </row>
    <row r="66" spans="1:11" x14ac:dyDescent="0.3">
      <c r="A66" s="256">
        <v>59</v>
      </c>
      <c r="B66" s="257" t="s">
        <v>1385</v>
      </c>
      <c r="C66" s="276">
        <v>44531</v>
      </c>
      <c r="D66" s="257" t="s">
        <v>1283</v>
      </c>
      <c r="E66" s="256" t="s">
        <v>1588</v>
      </c>
      <c r="F66" s="256" t="s">
        <v>1655</v>
      </c>
      <c r="G66" s="258">
        <v>13234000000</v>
      </c>
      <c r="H66" s="265">
        <v>0.1</v>
      </c>
      <c r="I66" s="258">
        <v>1323400000</v>
      </c>
      <c r="J66" s="258">
        <v>14557400000</v>
      </c>
      <c r="K66" s="256" t="s">
        <v>1346</v>
      </c>
    </row>
    <row r="67" spans="1:11" x14ac:dyDescent="0.3">
      <c r="A67" s="256">
        <v>60</v>
      </c>
      <c r="B67" s="257" t="s">
        <v>1385</v>
      </c>
      <c r="C67" s="276">
        <v>44561</v>
      </c>
      <c r="D67" s="257" t="s">
        <v>1262</v>
      </c>
      <c r="E67" s="256" t="s">
        <v>1556</v>
      </c>
      <c r="F67" s="256" t="s">
        <v>1608</v>
      </c>
      <c r="G67" s="258">
        <v>19890000000</v>
      </c>
      <c r="H67" s="265">
        <v>0.1</v>
      </c>
      <c r="I67" s="258">
        <v>1989000000</v>
      </c>
      <c r="J67" s="258">
        <v>21879000000</v>
      </c>
      <c r="K67" s="256" t="s">
        <v>1346</v>
      </c>
    </row>
    <row r="68" spans="1:11" x14ac:dyDescent="0.3">
      <c r="A68" s="266" t="s">
        <v>1351</v>
      </c>
      <c r="B68" s="266"/>
      <c r="C68" s="266"/>
      <c r="D68" s="266"/>
      <c r="E68" s="266"/>
      <c r="F68" s="266"/>
      <c r="G68" s="267">
        <f>SUM(G8:G67)</f>
        <v>956047000000</v>
      </c>
      <c r="H68" s="266"/>
      <c r="I68" s="267">
        <f>SUM(I8:I67)</f>
        <v>95604700000</v>
      </c>
      <c r="J68" s="267">
        <f>SUM(J8:J67)</f>
        <v>1051651700000</v>
      </c>
      <c r="K68" s="266"/>
    </row>
    <row r="69" spans="1:11" x14ac:dyDescent="0.3">
      <c r="A69" s="256"/>
      <c r="B69" s="256"/>
      <c r="C69" s="256"/>
      <c r="D69" s="256"/>
      <c r="E69" s="256"/>
      <c r="F69" s="256"/>
      <c r="G69" s="256"/>
      <c r="H69" s="256"/>
      <c r="I69" s="256"/>
      <c r="J69" s="256"/>
      <c r="K69" s="256"/>
    </row>
    <row r="70" spans="1:11" x14ac:dyDescent="0.3">
      <c r="A70" s="256" t="s">
        <v>1420</v>
      </c>
      <c r="B70" s="256"/>
      <c r="C70" s="256"/>
      <c r="D70" s="256"/>
      <c r="E70" s="256"/>
      <c r="F70" s="256"/>
      <c r="G70" s="256"/>
      <c r="H70" s="256"/>
      <c r="I70" s="256"/>
      <c r="J70" s="256"/>
      <c r="K70" s="256"/>
    </row>
    <row r="71" spans="1:11" x14ac:dyDescent="0.3">
      <c r="A71" s="266" t="s">
        <v>0</v>
      </c>
      <c r="B71" s="266" t="s">
        <v>212</v>
      </c>
      <c r="C71" s="266" t="s">
        <v>1535</v>
      </c>
      <c r="D71" s="266" t="s">
        <v>1586</v>
      </c>
      <c r="E71" s="266" t="s">
        <v>1684</v>
      </c>
      <c r="F71" s="266" t="s">
        <v>1537</v>
      </c>
      <c r="G71" s="266" t="s">
        <v>270</v>
      </c>
      <c r="H71" s="266" t="s">
        <v>1679</v>
      </c>
      <c r="I71" s="266" t="s">
        <v>1539</v>
      </c>
      <c r="J71" s="266" t="s">
        <v>1540</v>
      </c>
      <c r="K71" s="266" t="s">
        <v>1541</v>
      </c>
    </row>
    <row r="72" spans="1:11" x14ac:dyDescent="0.3">
      <c r="A72" s="256">
        <v>1</v>
      </c>
      <c r="B72" s="257" t="s">
        <v>1200</v>
      </c>
      <c r="C72" s="276">
        <v>44470</v>
      </c>
      <c r="D72" s="257" t="s">
        <v>1314</v>
      </c>
      <c r="E72" s="256" t="s">
        <v>948</v>
      </c>
      <c r="F72" s="256" t="s">
        <v>1612</v>
      </c>
      <c r="G72" s="258">
        <v>19234000000</v>
      </c>
      <c r="H72" s="265">
        <v>0.1</v>
      </c>
      <c r="I72" s="258">
        <v>1923400000</v>
      </c>
      <c r="J72" s="258">
        <v>21157400000</v>
      </c>
      <c r="K72" s="256" t="s">
        <v>1346</v>
      </c>
    </row>
    <row r="73" spans="1:11" x14ac:dyDescent="0.3">
      <c r="A73" s="256">
        <v>2</v>
      </c>
      <c r="B73" s="257" t="s">
        <v>1201</v>
      </c>
      <c r="C73" s="276">
        <v>44471</v>
      </c>
      <c r="D73" s="257" t="s">
        <v>1269</v>
      </c>
      <c r="E73" s="256" t="s">
        <v>1641</v>
      </c>
      <c r="F73" s="256" t="s">
        <v>1613</v>
      </c>
      <c r="G73" s="258">
        <v>14567000000</v>
      </c>
      <c r="H73" s="265">
        <v>0</v>
      </c>
      <c r="I73" s="258">
        <v>0</v>
      </c>
      <c r="J73" s="258">
        <v>14567000000</v>
      </c>
      <c r="K73" s="256" t="s">
        <v>1346</v>
      </c>
    </row>
    <row r="74" spans="1:11" x14ac:dyDescent="0.3">
      <c r="A74" s="256">
        <v>3</v>
      </c>
      <c r="B74" s="257" t="s">
        <v>1202</v>
      </c>
      <c r="C74" s="276">
        <v>44472</v>
      </c>
      <c r="D74" s="257" t="s">
        <v>1256</v>
      </c>
      <c r="E74" s="256" t="s">
        <v>1665</v>
      </c>
      <c r="F74" s="256" t="s">
        <v>1614</v>
      </c>
      <c r="G74" s="258">
        <v>21234000000</v>
      </c>
      <c r="H74" s="265">
        <v>0.1</v>
      </c>
      <c r="I74" s="258">
        <v>2123400000</v>
      </c>
      <c r="J74" s="258">
        <v>23357400000</v>
      </c>
      <c r="K74" s="256" t="s">
        <v>1346</v>
      </c>
    </row>
    <row r="75" spans="1:11" x14ac:dyDescent="0.3">
      <c r="A75" s="256">
        <v>4</v>
      </c>
      <c r="B75" s="257" t="s">
        <v>1355</v>
      </c>
      <c r="C75" s="276">
        <v>44473</v>
      </c>
      <c r="D75" s="257" t="s">
        <v>1352</v>
      </c>
      <c r="E75" s="256" t="s">
        <v>1571</v>
      </c>
      <c r="F75" s="256" t="s">
        <v>1612</v>
      </c>
      <c r="G75" s="258">
        <v>18901000000</v>
      </c>
      <c r="H75" s="265">
        <v>0.1</v>
      </c>
      <c r="I75" s="258">
        <v>1890100000</v>
      </c>
      <c r="J75" s="258">
        <v>20791100000</v>
      </c>
      <c r="K75" s="256" t="s">
        <v>1346</v>
      </c>
    </row>
    <row r="76" spans="1:11" x14ac:dyDescent="0.3">
      <c r="A76" s="256">
        <v>5</v>
      </c>
      <c r="B76" s="257" t="s">
        <v>1356</v>
      </c>
      <c r="C76" s="276">
        <v>44474</v>
      </c>
      <c r="D76" s="257" t="s">
        <v>1300</v>
      </c>
      <c r="E76" s="256" t="s">
        <v>1652</v>
      </c>
      <c r="F76" s="256" t="s">
        <v>1613</v>
      </c>
      <c r="G76" s="258">
        <v>16234000000</v>
      </c>
      <c r="H76" s="265">
        <v>0</v>
      </c>
      <c r="I76" s="258">
        <v>0</v>
      </c>
      <c r="J76" s="258">
        <v>16234000000</v>
      </c>
      <c r="K76" s="256" t="s">
        <v>1346</v>
      </c>
    </row>
    <row r="77" spans="1:11" x14ac:dyDescent="0.3">
      <c r="A77" s="256">
        <v>6</v>
      </c>
      <c r="B77" s="257" t="s">
        <v>1358</v>
      </c>
      <c r="C77" s="276">
        <v>44475</v>
      </c>
      <c r="D77" s="257" t="s">
        <v>1322</v>
      </c>
      <c r="E77" s="256" t="s">
        <v>1638</v>
      </c>
      <c r="F77" s="256" t="s">
        <v>1615</v>
      </c>
      <c r="G77" s="258">
        <v>22345000000</v>
      </c>
      <c r="H77" s="265">
        <v>0.1</v>
      </c>
      <c r="I77" s="258">
        <v>2234500000</v>
      </c>
      <c r="J77" s="258">
        <v>24579500000</v>
      </c>
      <c r="K77" s="256" t="s">
        <v>1346</v>
      </c>
    </row>
    <row r="78" spans="1:11" x14ac:dyDescent="0.3">
      <c r="A78" s="256">
        <v>7</v>
      </c>
      <c r="B78" s="257" t="s">
        <v>1360</v>
      </c>
      <c r="C78" s="276">
        <v>44476</v>
      </c>
      <c r="D78" s="257" t="s">
        <v>1289</v>
      </c>
      <c r="E78" s="256" t="s">
        <v>1640</v>
      </c>
      <c r="F78" s="256" t="s">
        <v>1612</v>
      </c>
      <c r="G78" s="258">
        <v>19890000000</v>
      </c>
      <c r="H78" s="265">
        <v>0.1</v>
      </c>
      <c r="I78" s="258">
        <v>1989000000</v>
      </c>
      <c r="J78" s="258">
        <v>21879000000</v>
      </c>
      <c r="K78" s="256" t="s">
        <v>1346</v>
      </c>
    </row>
    <row r="79" spans="1:11" x14ac:dyDescent="0.3">
      <c r="A79" s="256">
        <v>8</v>
      </c>
      <c r="B79" s="257" t="s">
        <v>1362</v>
      </c>
      <c r="C79" s="276">
        <v>44477</v>
      </c>
      <c r="D79" s="257" t="s">
        <v>1305</v>
      </c>
      <c r="E79" s="256" t="s">
        <v>1664</v>
      </c>
      <c r="F79" s="256" t="s">
        <v>1613</v>
      </c>
      <c r="G79" s="258">
        <v>17234000000</v>
      </c>
      <c r="H79" s="265">
        <v>0</v>
      </c>
      <c r="I79" s="258">
        <v>0</v>
      </c>
      <c r="J79" s="258">
        <v>17234000000</v>
      </c>
      <c r="K79" s="256" t="s">
        <v>1346</v>
      </c>
    </row>
    <row r="80" spans="1:11" x14ac:dyDescent="0.3">
      <c r="A80" s="256">
        <v>9</v>
      </c>
      <c r="B80" s="257" t="s">
        <v>1364</v>
      </c>
      <c r="C80" s="276">
        <v>44478</v>
      </c>
      <c r="D80" s="257" t="s">
        <v>1283</v>
      </c>
      <c r="E80" s="256" t="s">
        <v>1588</v>
      </c>
      <c r="F80" s="256" t="s">
        <v>1614</v>
      </c>
      <c r="G80" s="258">
        <v>23456000000</v>
      </c>
      <c r="H80" s="265">
        <v>0.1</v>
      </c>
      <c r="I80" s="258">
        <v>2345600000</v>
      </c>
      <c r="J80" s="258">
        <v>25801600000</v>
      </c>
      <c r="K80" s="256" t="s">
        <v>1346</v>
      </c>
    </row>
    <row r="81" spans="1:11" x14ac:dyDescent="0.3">
      <c r="A81" s="256">
        <v>10</v>
      </c>
      <c r="B81" s="257" t="s">
        <v>1366</v>
      </c>
      <c r="C81" s="276">
        <v>44479</v>
      </c>
      <c r="D81" s="257" t="s">
        <v>1262</v>
      </c>
      <c r="E81" s="256" t="s">
        <v>1556</v>
      </c>
      <c r="F81" s="256" t="s">
        <v>1612</v>
      </c>
      <c r="G81" s="258">
        <v>20234000000</v>
      </c>
      <c r="H81" s="265">
        <v>0.1</v>
      </c>
      <c r="I81" s="258">
        <v>2023400000</v>
      </c>
      <c r="J81" s="258">
        <v>22257400000</v>
      </c>
      <c r="K81" s="256" t="s">
        <v>1346</v>
      </c>
    </row>
    <row r="82" spans="1:11" x14ac:dyDescent="0.3">
      <c r="A82" s="256">
        <v>11</v>
      </c>
      <c r="B82" s="257" t="s">
        <v>1368</v>
      </c>
      <c r="C82" s="276">
        <v>44480</v>
      </c>
      <c r="D82" s="257" t="s">
        <v>1266</v>
      </c>
      <c r="E82" s="256" t="s">
        <v>1669</v>
      </c>
      <c r="F82" s="256" t="s">
        <v>1613</v>
      </c>
      <c r="G82" s="258">
        <v>17890000000</v>
      </c>
      <c r="H82" s="265">
        <v>0</v>
      </c>
      <c r="I82" s="258">
        <v>0</v>
      </c>
      <c r="J82" s="258">
        <v>17890000000</v>
      </c>
      <c r="K82" s="256" t="s">
        <v>1346</v>
      </c>
    </row>
    <row r="83" spans="1:11" x14ac:dyDescent="0.3">
      <c r="A83" s="256">
        <v>12</v>
      </c>
      <c r="B83" s="257" t="s">
        <v>1371</v>
      </c>
      <c r="C83" s="276">
        <v>44481</v>
      </c>
      <c r="D83" s="257" t="s">
        <v>1319</v>
      </c>
      <c r="E83" s="256" t="s">
        <v>1680</v>
      </c>
      <c r="F83" s="256" t="s">
        <v>1615</v>
      </c>
      <c r="G83" s="258">
        <v>24234000000</v>
      </c>
      <c r="H83" s="265">
        <v>0.1</v>
      </c>
      <c r="I83" s="258">
        <v>2423400000</v>
      </c>
      <c r="J83" s="258">
        <v>26657400000</v>
      </c>
      <c r="K83" s="256" t="s">
        <v>1346</v>
      </c>
    </row>
    <row r="84" spans="1:11" x14ac:dyDescent="0.3">
      <c r="A84" s="256">
        <v>13</v>
      </c>
      <c r="B84" s="257" t="s">
        <v>1373</v>
      </c>
      <c r="C84" s="276">
        <v>44211</v>
      </c>
      <c r="D84" s="257" t="s">
        <v>1257</v>
      </c>
      <c r="E84" s="256" t="s">
        <v>1574</v>
      </c>
      <c r="F84" s="256" t="s">
        <v>1612</v>
      </c>
      <c r="G84" s="258">
        <v>21234000000</v>
      </c>
      <c r="H84" s="265">
        <v>0.1</v>
      </c>
      <c r="I84" s="258">
        <v>2123400000</v>
      </c>
      <c r="J84" s="258">
        <v>23357400000</v>
      </c>
      <c r="K84" s="256" t="s">
        <v>1346</v>
      </c>
    </row>
    <row r="85" spans="1:11" x14ac:dyDescent="0.3">
      <c r="A85" s="256">
        <v>14</v>
      </c>
      <c r="B85" s="257" t="s">
        <v>1374</v>
      </c>
      <c r="C85" s="276">
        <v>44242</v>
      </c>
      <c r="D85" s="257" t="s">
        <v>1258</v>
      </c>
      <c r="E85" s="256" t="s">
        <v>351</v>
      </c>
      <c r="F85" s="256" t="s">
        <v>1613</v>
      </c>
      <c r="G85" s="258">
        <v>18901000000</v>
      </c>
      <c r="H85" s="265">
        <v>0</v>
      </c>
      <c r="I85" s="258">
        <v>0</v>
      </c>
      <c r="J85" s="258">
        <v>18901000000</v>
      </c>
      <c r="K85" s="256" t="s">
        <v>1346</v>
      </c>
    </row>
    <row r="86" spans="1:11" x14ac:dyDescent="0.3">
      <c r="A86" s="256">
        <v>15</v>
      </c>
      <c r="B86" s="257" t="s">
        <v>1376</v>
      </c>
      <c r="C86" s="276">
        <v>44270</v>
      </c>
      <c r="D86" s="257" t="s">
        <v>1281</v>
      </c>
      <c r="E86" s="256" t="s">
        <v>1559</v>
      </c>
      <c r="F86" s="256" t="s">
        <v>1614</v>
      </c>
      <c r="G86" s="258">
        <v>25234000000</v>
      </c>
      <c r="H86" s="265">
        <v>0.1</v>
      </c>
      <c r="I86" s="258">
        <v>2523400000</v>
      </c>
      <c r="J86" s="258">
        <v>27757400000</v>
      </c>
      <c r="K86" s="256" t="s">
        <v>1346</v>
      </c>
    </row>
    <row r="87" spans="1:11" x14ac:dyDescent="0.3">
      <c r="A87" s="256">
        <v>16</v>
      </c>
      <c r="B87" s="257" t="s">
        <v>1378</v>
      </c>
      <c r="C87" s="276">
        <v>44301</v>
      </c>
      <c r="D87" s="257" t="s">
        <v>1308</v>
      </c>
      <c r="E87" s="256" t="s">
        <v>1639</v>
      </c>
      <c r="F87" s="256" t="s">
        <v>1612</v>
      </c>
      <c r="G87" s="258">
        <v>21890000000</v>
      </c>
      <c r="H87" s="265">
        <v>0.1</v>
      </c>
      <c r="I87" s="258">
        <v>2189000000</v>
      </c>
      <c r="J87" s="258">
        <v>24079000000</v>
      </c>
      <c r="K87" s="256" t="s">
        <v>1346</v>
      </c>
    </row>
    <row r="88" spans="1:11" x14ac:dyDescent="0.3">
      <c r="A88" s="256">
        <v>17</v>
      </c>
      <c r="B88" s="257" t="s">
        <v>1379</v>
      </c>
      <c r="C88" s="276">
        <v>44331</v>
      </c>
      <c r="D88" s="257" t="s">
        <v>1395</v>
      </c>
      <c r="E88" s="256" t="s">
        <v>1581</v>
      </c>
      <c r="F88" s="256" t="s">
        <v>1613</v>
      </c>
      <c r="G88" s="258">
        <v>19234000000</v>
      </c>
      <c r="H88" s="265">
        <v>0</v>
      </c>
      <c r="I88" s="258">
        <v>0</v>
      </c>
      <c r="J88" s="258">
        <v>19234000000</v>
      </c>
      <c r="K88" s="256" t="s">
        <v>1346</v>
      </c>
    </row>
    <row r="89" spans="1:11" x14ac:dyDescent="0.3">
      <c r="A89" s="256">
        <v>18</v>
      </c>
      <c r="B89" s="257" t="s">
        <v>1381</v>
      </c>
      <c r="C89" s="276">
        <v>44362</v>
      </c>
      <c r="D89" s="257" t="s">
        <v>1320</v>
      </c>
      <c r="E89" s="256" t="s">
        <v>1681</v>
      </c>
      <c r="F89" s="256" t="s">
        <v>1615</v>
      </c>
      <c r="G89" s="258">
        <v>26234000000</v>
      </c>
      <c r="H89" s="265">
        <v>0.1</v>
      </c>
      <c r="I89" s="258">
        <v>2623400000</v>
      </c>
      <c r="J89" s="258">
        <v>28857400000</v>
      </c>
      <c r="K89" s="256" t="s">
        <v>1346</v>
      </c>
    </row>
    <row r="90" spans="1:11" x14ac:dyDescent="0.3">
      <c r="A90" s="256">
        <v>19</v>
      </c>
      <c r="B90" s="257" t="s">
        <v>1382</v>
      </c>
      <c r="C90" s="276">
        <v>44392</v>
      </c>
      <c r="D90" s="257" t="s">
        <v>1428</v>
      </c>
      <c r="E90" s="256" t="s">
        <v>1557</v>
      </c>
      <c r="F90" s="256" t="s">
        <v>1612</v>
      </c>
      <c r="G90" s="258">
        <v>22234000000</v>
      </c>
      <c r="H90" s="265">
        <v>0.1</v>
      </c>
      <c r="I90" s="258">
        <v>2223400000</v>
      </c>
      <c r="J90" s="258">
        <v>24457400000</v>
      </c>
      <c r="K90" s="256" t="s">
        <v>1346</v>
      </c>
    </row>
    <row r="91" spans="1:11" x14ac:dyDescent="0.3">
      <c r="A91" s="256">
        <v>20</v>
      </c>
      <c r="B91" s="257" t="s">
        <v>1383</v>
      </c>
      <c r="C91" s="276">
        <v>44423</v>
      </c>
      <c r="D91" s="257" t="s">
        <v>1268</v>
      </c>
      <c r="E91" s="256" t="s">
        <v>1594</v>
      </c>
      <c r="F91" s="256" t="s">
        <v>1613</v>
      </c>
      <c r="G91" s="258">
        <v>19890000000</v>
      </c>
      <c r="H91" s="265">
        <v>0</v>
      </c>
      <c r="I91" s="258">
        <v>0</v>
      </c>
      <c r="J91" s="258">
        <v>19890000000</v>
      </c>
      <c r="K91" s="256" t="s">
        <v>1346</v>
      </c>
    </row>
    <row r="92" spans="1:11" x14ac:dyDescent="0.3">
      <c r="A92" s="256">
        <v>21</v>
      </c>
      <c r="B92" s="257" t="s">
        <v>1203</v>
      </c>
      <c r="C92" s="276">
        <v>44454</v>
      </c>
      <c r="D92" s="257" t="s">
        <v>1307</v>
      </c>
      <c r="E92" s="256" t="s">
        <v>1659</v>
      </c>
      <c r="F92" s="256" t="s">
        <v>1614</v>
      </c>
      <c r="G92" s="258">
        <v>27234000000</v>
      </c>
      <c r="H92" s="265">
        <v>0.1</v>
      </c>
      <c r="I92" s="258">
        <v>2723400000</v>
      </c>
      <c r="J92" s="258">
        <v>29957400000</v>
      </c>
      <c r="K92" s="256" t="s">
        <v>1346</v>
      </c>
    </row>
    <row r="93" spans="1:11" x14ac:dyDescent="0.3">
      <c r="A93" s="256">
        <v>22</v>
      </c>
      <c r="B93" s="257" t="s">
        <v>1204</v>
      </c>
      <c r="C93" s="276">
        <v>44484</v>
      </c>
      <c r="D93" s="257" t="s">
        <v>1298</v>
      </c>
      <c r="E93" s="256" t="s">
        <v>1682</v>
      </c>
      <c r="F93" s="256" t="s">
        <v>1612</v>
      </c>
      <c r="G93" s="258">
        <v>22890000000</v>
      </c>
      <c r="H93" s="265">
        <v>0.1</v>
      </c>
      <c r="I93" s="258">
        <v>2289000000</v>
      </c>
      <c r="J93" s="258">
        <v>25179000000</v>
      </c>
      <c r="K93" s="256" t="s">
        <v>1346</v>
      </c>
    </row>
    <row r="94" spans="1:11" x14ac:dyDescent="0.3">
      <c r="A94" s="256">
        <v>23</v>
      </c>
      <c r="B94" s="257" t="s">
        <v>1205</v>
      </c>
      <c r="C94" s="276">
        <v>44515</v>
      </c>
      <c r="D94" s="257" t="s">
        <v>1296</v>
      </c>
      <c r="E94" s="256" t="s">
        <v>1660</v>
      </c>
      <c r="F94" s="256" t="s">
        <v>1613</v>
      </c>
      <c r="G94" s="258">
        <v>20234000000</v>
      </c>
      <c r="H94" s="265">
        <v>0</v>
      </c>
      <c r="I94" s="258">
        <v>0</v>
      </c>
      <c r="J94" s="258">
        <v>20234000000</v>
      </c>
      <c r="K94" s="256" t="s">
        <v>1346</v>
      </c>
    </row>
    <row r="95" spans="1:11" x14ac:dyDescent="0.3">
      <c r="A95" s="256">
        <v>24</v>
      </c>
      <c r="B95" s="257" t="s">
        <v>1385</v>
      </c>
      <c r="C95" s="276">
        <v>44545</v>
      </c>
      <c r="D95" s="257" t="s">
        <v>1311</v>
      </c>
      <c r="E95" s="256" t="s">
        <v>1683</v>
      </c>
      <c r="F95" s="256" t="s">
        <v>1615</v>
      </c>
      <c r="G95" s="258">
        <v>27890000000</v>
      </c>
      <c r="H95" s="265">
        <v>0.1</v>
      </c>
      <c r="I95" s="258">
        <v>2789000000</v>
      </c>
      <c r="J95" s="258">
        <v>30679000000</v>
      </c>
      <c r="K95" s="256" t="s">
        <v>1346</v>
      </c>
    </row>
    <row r="96" spans="1:11" x14ac:dyDescent="0.3">
      <c r="A96" s="256">
        <v>25</v>
      </c>
      <c r="B96" s="257" t="s">
        <v>1387</v>
      </c>
      <c r="C96" s="276">
        <v>44216</v>
      </c>
      <c r="D96" s="257" t="s">
        <v>1291</v>
      </c>
      <c r="E96" s="256" t="s">
        <v>1650</v>
      </c>
      <c r="F96" s="256" t="s">
        <v>1612</v>
      </c>
      <c r="G96" s="258">
        <v>23456000000</v>
      </c>
      <c r="H96" s="265">
        <v>0.1</v>
      </c>
      <c r="I96" s="258">
        <v>2345600000</v>
      </c>
      <c r="J96" s="258">
        <v>25801600000</v>
      </c>
      <c r="K96" s="256" t="s">
        <v>1346</v>
      </c>
    </row>
    <row r="97" spans="1:11" x14ac:dyDescent="0.3">
      <c r="A97" s="256">
        <v>26</v>
      </c>
      <c r="B97" s="257" t="s">
        <v>1388</v>
      </c>
      <c r="C97" s="276">
        <v>44247</v>
      </c>
      <c r="D97" s="257" t="s">
        <v>1255</v>
      </c>
      <c r="E97" s="256" t="s">
        <v>1649</v>
      </c>
      <c r="F97" s="256" t="s">
        <v>1613</v>
      </c>
      <c r="G97" s="258">
        <v>20890000000</v>
      </c>
      <c r="H97" s="265">
        <v>0</v>
      </c>
      <c r="I97" s="258">
        <v>0</v>
      </c>
      <c r="J97" s="258">
        <v>20890000000</v>
      </c>
      <c r="K97" s="256" t="s">
        <v>1346</v>
      </c>
    </row>
    <row r="98" spans="1:11" x14ac:dyDescent="0.3">
      <c r="A98" s="256">
        <v>27</v>
      </c>
      <c r="B98" s="257" t="s">
        <v>1391</v>
      </c>
      <c r="C98" s="276">
        <v>44275</v>
      </c>
      <c r="D98" s="257" t="s">
        <v>1272</v>
      </c>
      <c r="E98" s="256" t="s">
        <v>540</v>
      </c>
      <c r="F98" s="256" t="s">
        <v>1614</v>
      </c>
      <c r="G98" s="258">
        <v>28234000000</v>
      </c>
      <c r="H98" s="265">
        <v>0.1</v>
      </c>
      <c r="I98" s="258">
        <v>2823400000</v>
      </c>
      <c r="J98" s="258">
        <v>31057400000</v>
      </c>
      <c r="K98" s="256" t="s">
        <v>1346</v>
      </c>
    </row>
    <row r="99" spans="1:11" x14ac:dyDescent="0.3">
      <c r="A99" s="256">
        <v>28</v>
      </c>
      <c r="B99" s="257" t="s">
        <v>1392</v>
      </c>
      <c r="C99" s="276">
        <v>44306</v>
      </c>
      <c r="D99" s="257" t="s">
        <v>1384</v>
      </c>
      <c r="E99" s="256" t="s">
        <v>1565</v>
      </c>
      <c r="F99" s="256" t="s">
        <v>1612</v>
      </c>
      <c r="G99" s="258">
        <v>23890000000</v>
      </c>
      <c r="H99" s="265">
        <v>0.1</v>
      </c>
      <c r="I99" s="258">
        <v>2389000000</v>
      </c>
      <c r="J99" s="258">
        <v>26279000000</v>
      </c>
      <c r="K99" s="256" t="s">
        <v>1346</v>
      </c>
    </row>
    <row r="100" spans="1:11" x14ac:dyDescent="0.3">
      <c r="A100" s="256">
        <v>29</v>
      </c>
      <c r="B100" s="257" t="s">
        <v>1394</v>
      </c>
      <c r="C100" s="276">
        <v>44336</v>
      </c>
      <c r="D100" s="257" t="s">
        <v>1416</v>
      </c>
      <c r="E100" s="256" t="s">
        <v>1562</v>
      </c>
      <c r="F100" s="256" t="s">
        <v>1613</v>
      </c>
      <c r="G100" s="258">
        <v>21234000000</v>
      </c>
      <c r="H100" s="265">
        <v>0</v>
      </c>
      <c r="I100" s="258">
        <v>0</v>
      </c>
      <c r="J100" s="258">
        <v>21234000000</v>
      </c>
      <c r="K100" s="256" t="s">
        <v>1346</v>
      </c>
    </row>
    <row r="101" spans="1:11" x14ac:dyDescent="0.3">
      <c r="A101" s="256">
        <v>30</v>
      </c>
      <c r="B101" s="257" t="s">
        <v>1396</v>
      </c>
      <c r="C101" s="276">
        <v>44367</v>
      </c>
      <c r="D101" s="257" t="s">
        <v>1276</v>
      </c>
      <c r="E101" s="256" t="s">
        <v>1654</v>
      </c>
      <c r="F101" s="256" t="s">
        <v>1615</v>
      </c>
      <c r="G101" s="258">
        <v>28890000000</v>
      </c>
      <c r="H101" s="265">
        <v>0.1</v>
      </c>
      <c r="I101" s="258">
        <v>2889000000</v>
      </c>
      <c r="J101" s="258">
        <v>31779000000</v>
      </c>
      <c r="K101" s="256" t="s">
        <v>1346</v>
      </c>
    </row>
    <row r="102" spans="1:11" x14ac:dyDescent="0.3">
      <c r="A102" s="256">
        <v>31</v>
      </c>
      <c r="B102" s="257" t="s">
        <v>1397</v>
      </c>
      <c r="C102" s="276">
        <v>44397</v>
      </c>
      <c r="D102" s="257" t="s">
        <v>1254</v>
      </c>
      <c r="E102" s="256" t="s">
        <v>1668</v>
      </c>
      <c r="F102" s="256" t="s">
        <v>1612</v>
      </c>
      <c r="G102" s="258">
        <v>24234000000</v>
      </c>
      <c r="H102" s="265">
        <v>0.1</v>
      </c>
      <c r="I102" s="258">
        <v>2423400000</v>
      </c>
      <c r="J102" s="258">
        <v>26657400000</v>
      </c>
      <c r="K102" s="256" t="s">
        <v>1346</v>
      </c>
    </row>
    <row r="103" spans="1:11" x14ac:dyDescent="0.3">
      <c r="A103" s="256">
        <v>32</v>
      </c>
      <c r="B103" s="257" t="s">
        <v>1398</v>
      </c>
      <c r="C103" s="276">
        <v>44428</v>
      </c>
      <c r="D103" s="257" t="s">
        <v>1282</v>
      </c>
      <c r="E103" s="256" t="s">
        <v>1580</v>
      </c>
      <c r="F103" s="256" t="s">
        <v>1613</v>
      </c>
      <c r="G103" s="258">
        <v>21890000000</v>
      </c>
      <c r="H103" s="265">
        <v>0</v>
      </c>
      <c r="I103" s="258">
        <v>0</v>
      </c>
      <c r="J103" s="258">
        <v>21890000000</v>
      </c>
      <c r="K103" s="256" t="s">
        <v>1346</v>
      </c>
    </row>
    <row r="104" spans="1:11" x14ac:dyDescent="0.3">
      <c r="A104" s="256">
        <v>33</v>
      </c>
      <c r="B104" s="257" t="s">
        <v>1399</v>
      </c>
      <c r="C104" s="276">
        <v>44459</v>
      </c>
      <c r="D104" s="257" t="s">
        <v>1389</v>
      </c>
      <c r="E104" s="256" t="s">
        <v>1555</v>
      </c>
      <c r="F104" s="256" t="s">
        <v>1614</v>
      </c>
      <c r="G104" s="258">
        <v>29234000000</v>
      </c>
      <c r="H104" s="265">
        <v>0.1</v>
      </c>
      <c r="I104" s="258">
        <v>2923400000</v>
      </c>
      <c r="J104" s="258">
        <v>32157400000</v>
      </c>
      <c r="K104" s="256" t="s">
        <v>1346</v>
      </c>
    </row>
    <row r="105" spans="1:11" x14ac:dyDescent="0.3">
      <c r="A105" s="256">
        <v>34</v>
      </c>
      <c r="B105" s="257" t="s">
        <v>1401</v>
      </c>
      <c r="C105" s="276">
        <v>44489</v>
      </c>
      <c r="D105" s="257" t="s">
        <v>1278</v>
      </c>
      <c r="E105" s="256" t="s">
        <v>1593</v>
      </c>
      <c r="F105" s="256" t="s">
        <v>1612</v>
      </c>
      <c r="G105" s="258">
        <v>24890000000</v>
      </c>
      <c r="H105" s="265">
        <v>0.1</v>
      </c>
      <c r="I105" s="258">
        <v>2489000000</v>
      </c>
      <c r="J105" s="258">
        <v>27379000000</v>
      </c>
      <c r="K105" s="256" t="s">
        <v>1346</v>
      </c>
    </row>
    <row r="106" spans="1:11" x14ac:dyDescent="0.3">
      <c r="A106" s="256">
        <v>35</v>
      </c>
      <c r="B106" s="257" t="s">
        <v>1402</v>
      </c>
      <c r="C106" s="276">
        <v>44520</v>
      </c>
      <c r="D106" s="257" t="s">
        <v>1263</v>
      </c>
      <c r="E106" s="256" t="s">
        <v>1579</v>
      </c>
      <c r="F106" s="256" t="s">
        <v>1613</v>
      </c>
      <c r="G106" s="258">
        <v>22234000000</v>
      </c>
      <c r="H106" s="265">
        <v>0</v>
      </c>
      <c r="I106" s="258">
        <v>0</v>
      </c>
      <c r="J106" s="258">
        <v>22234000000</v>
      </c>
      <c r="K106" s="256" t="s">
        <v>1346</v>
      </c>
    </row>
    <row r="107" spans="1:11" x14ac:dyDescent="0.3">
      <c r="A107" s="256">
        <v>36</v>
      </c>
      <c r="B107" s="257" t="s">
        <v>1403</v>
      </c>
      <c r="C107" s="276">
        <v>44550</v>
      </c>
      <c r="D107" s="257" t="s">
        <v>1259</v>
      </c>
      <c r="E107" s="256" t="s">
        <v>1569</v>
      </c>
      <c r="F107" s="256" t="s">
        <v>1615</v>
      </c>
      <c r="G107" s="258">
        <v>29890000000</v>
      </c>
      <c r="H107" s="265">
        <v>0.1</v>
      </c>
      <c r="I107" s="258">
        <v>2989000000</v>
      </c>
      <c r="J107" s="258">
        <v>32879000000</v>
      </c>
      <c r="K107" s="256" t="s">
        <v>1346</v>
      </c>
    </row>
    <row r="108" spans="1:11" x14ac:dyDescent="0.3">
      <c r="A108" s="256">
        <v>37</v>
      </c>
      <c r="B108" s="257" t="s">
        <v>1404</v>
      </c>
      <c r="C108" s="276">
        <v>44221</v>
      </c>
      <c r="D108" s="257" t="s">
        <v>1275</v>
      </c>
      <c r="E108" s="256" t="s">
        <v>1575</v>
      </c>
      <c r="F108" s="256" t="s">
        <v>1612</v>
      </c>
      <c r="G108" s="258">
        <v>25234000000</v>
      </c>
      <c r="H108" s="265">
        <v>0.1</v>
      </c>
      <c r="I108" s="258">
        <v>2523400000</v>
      </c>
      <c r="J108" s="258">
        <v>27757400000</v>
      </c>
      <c r="K108" s="256" t="s">
        <v>1346</v>
      </c>
    </row>
    <row r="109" spans="1:11" x14ac:dyDescent="0.3">
      <c r="A109" s="256">
        <v>38</v>
      </c>
      <c r="B109" s="257" t="s">
        <v>1405</v>
      </c>
      <c r="C109" s="276">
        <v>44252</v>
      </c>
      <c r="D109" s="257" t="s">
        <v>1264</v>
      </c>
      <c r="E109" s="256" t="s">
        <v>1584</v>
      </c>
      <c r="F109" s="256" t="s">
        <v>1613</v>
      </c>
      <c r="G109" s="258">
        <v>22890000000</v>
      </c>
      <c r="H109" s="265">
        <v>0</v>
      </c>
      <c r="I109" s="258">
        <v>0</v>
      </c>
      <c r="J109" s="258">
        <v>22890000000</v>
      </c>
      <c r="K109" s="256" t="s">
        <v>1346</v>
      </c>
    </row>
    <row r="110" spans="1:11" x14ac:dyDescent="0.3">
      <c r="A110" s="256">
        <v>39</v>
      </c>
      <c r="B110" s="257" t="s">
        <v>1406</v>
      </c>
      <c r="C110" s="276">
        <v>44280</v>
      </c>
      <c r="D110" s="257" t="s">
        <v>1260</v>
      </c>
      <c r="E110" s="256" t="s">
        <v>1585</v>
      </c>
      <c r="F110" s="256" t="s">
        <v>1614</v>
      </c>
      <c r="G110" s="258">
        <v>30234000000</v>
      </c>
      <c r="H110" s="265">
        <v>0.1</v>
      </c>
      <c r="I110" s="258">
        <v>3023400000</v>
      </c>
      <c r="J110" s="258">
        <v>33257400000</v>
      </c>
      <c r="K110" s="256" t="s">
        <v>1346</v>
      </c>
    </row>
    <row r="111" spans="1:11" x14ac:dyDescent="0.3">
      <c r="A111" s="256">
        <v>40</v>
      </c>
      <c r="B111" s="257" t="s">
        <v>1408</v>
      </c>
      <c r="C111" s="276">
        <v>44311</v>
      </c>
      <c r="D111" s="257" t="s">
        <v>1285</v>
      </c>
      <c r="E111" s="256" t="s">
        <v>1558</v>
      </c>
      <c r="F111" s="256" t="s">
        <v>1612</v>
      </c>
      <c r="G111" s="258">
        <v>25890000000</v>
      </c>
      <c r="H111" s="265">
        <v>0.1</v>
      </c>
      <c r="I111" s="258">
        <v>2589000000</v>
      </c>
      <c r="J111" s="258">
        <v>28479000000</v>
      </c>
      <c r="K111" s="256" t="s">
        <v>1346</v>
      </c>
    </row>
    <row r="112" spans="1:11" x14ac:dyDescent="0.3">
      <c r="A112" s="256">
        <v>41</v>
      </c>
      <c r="B112" s="257" t="s">
        <v>1409</v>
      </c>
      <c r="C112" s="276">
        <v>44341</v>
      </c>
      <c r="D112" s="257" t="s">
        <v>1435</v>
      </c>
      <c r="E112" s="256" t="s">
        <v>1577</v>
      </c>
      <c r="F112" s="256" t="s">
        <v>1613</v>
      </c>
      <c r="G112" s="258">
        <v>23234000000</v>
      </c>
      <c r="H112" s="265">
        <v>0</v>
      </c>
      <c r="I112" s="258">
        <v>0</v>
      </c>
      <c r="J112" s="258">
        <v>23234000000</v>
      </c>
      <c r="K112" s="256" t="s">
        <v>1346</v>
      </c>
    </row>
    <row r="113" spans="1:11" x14ac:dyDescent="0.3">
      <c r="A113" s="256">
        <v>42</v>
      </c>
      <c r="B113" s="257" t="s">
        <v>1411</v>
      </c>
      <c r="C113" s="276">
        <v>44372</v>
      </c>
      <c r="D113" s="257" t="s">
        <v>1280</v>
      </c>
      <c r="E113" s="256" t="s">
        <v>618</v>
      </c>
      <c r="F113" s="256" t="s">
        <v>1615</v>
      </c>
      <c r="G113" s="258">
        <v>30890000000</v>
      </c>
      <c r="H113" s="265">
        <v>0.1</v>
      </c>
      <c r="I113" s="258">
        <v>3089000000</v>
      </c>
      <c r="J113" s="258">
        <v>33979000000</v>
      </c>
      <c r="K113" s="256" t="s">
        <v>1346</v>
      </c>
    </row>
    <row r="114" spans="1:11" x14ac:dyDescent="0.3">
      <c r="A114" s="256">
        <v>43</v>
      </c>
      <c r="B114" s="257" t="s">
        <v>1414</v>
      </c>
      <c r="C114" s="276">
        <v>44402</v>
      </c>
      <c r="D114" s="257" t="s">
        <v>1295</v>
      </c>
      <c r="E114" s="256" t="s">
        <v>1636</v>
      </c>
      <c r="F114" s="256" t="s">
        <v>1612</v>
      </c>
      <c r="G114" s="258">
        <v>26234000000</v>
      </c>
      <c r="H114" s="265">
        <v>0.1</v>
      </c>
      <c r="I114" s="258">
        <v>2623400000</v>
      </c>
      <c r="J114" s="258">
        <v>28857400000</v>
      </c>
      <c r="K114" s="256" t="s">
        <v>1346</v>
      </c>
    </row>
    <row r="115" spans="1:11" x14ac:dyDescent="0.3">
      <c r="A115" s="256">
        <v>44</v>
      </c>
      <c r="B115" s="257" t="s">
        <v>1415</v>
      </c>
      <c r="C115" s="276">
        <v>44433</v>
      </c>
      <c r="D115" s="257" t="s">
        <v>1274</v>
      </c>
      <c r="E115" s="256" t="s">
        <v>1592</v>
      </c>
      <c r="F115" s="256" t="s">
        <v>1613</v>
      </c>
      <c r="G115" s="258">
        <v>23890000000</v>
      </c>
      <c r="H115" s="265">
        <v>0</v>
      </c>
      <c r="I115" s="258">
        <v>0</v>
      </c>
      <c r="J115" s="258">
        <v>23890000000</v>
      </c>
      <c r="K115" s="256" t="s">
        <v>1346</v>
      </c>
    </row>
    <row r="116" spans="1:11" x14ac:dyDescent="0.3">
      <c r="A116" s="256">
        <v>45</v>
      </c>
      <c r="B116" s="257" t="s">
        <v>1206</v>
      </c>
      <c r="C116" s="276">
        <v>44464</v>
      </c>
      <c r="D116" s="257" t="s">
        <v>1277</v>
      </c>
      <c r="E116" s="256" t="s">
        <v>1582</v>
      </c>
      <c r="F116" s="256" t="s">
        <v>1614</v>
      </c>
      <c r="G116" s="258">
        <v>31234000000</v>
      </c>
      <c r="H116" s="265">
        <v>0.1</v>
      </c>
      <c r="I116" s="258">
        <v>3123400000</v>
      </c>
      <c r="J116" s="258">
        <v>34357400000</v>
      </c>
      <c r="K116" s="256" t="s">
        <v>1346</v>
      </c>
    </row>
    <row r="117" spans="1:11" x14ac:dyDescent="0.3">
      <c r="A117" s="256">
        <v>46</v>
      </c>
      <c r="B117" s="257" t="s">
        <v>1207</v>
      </c>
      <c r="C117" s="276">
        <v>44494</v>
      </c>
      <c r="D117" s="257" t="s">
        <v>1284</v>
      </c>
      <c r="E117" s="256" t="s">
        <v>1552</v>
      </c>
      <c r="F117" s="256" t="s">
        <v>1612</v>
      </c>
      <c r="G117" s="258">
        <v>26890000000</v>
      </c>
      <c r="H117" s="265">
        <v>0.1</v>
      </c>
      <c r="I117" s="258">
        <v>2689000000</v>
      </c>
      <c r="J117" s="258">
        <v>29579000000</v>
      </c>
      <c r="K117" s="256" t="s">
        <v>1346</v>
      </c>
    </row>
    <row r="118" spans="1:11" x14ac:dyDescent="0.3">
      <c r="A118" s="256">
        <v>47</v>
      </c>
      <c r="B118" s="257" t="s">
        <v>1208</v>
      </c>
      <c r="C118" s="276">
        <v>44525</v>
      </c>
      <c r="D118" s="257" t="s">
        <v>1273</v>
      </c>
      <c r="E118" s="256" t="s">
        <v>1567</v>
      </c>
      <c r="F118" s="256" t="s">
        <v>1613</v>
      </c>
      <c r="G118" s="258">
        <v>24234000000</v>
      </c>
      <c r="H118" s="265">
        <v>0</v>
      </c>
      <c r="I118" s="258">
        <v>0</v>
      </c>
      <c r="J118" s="258">
        <v>24234000000</v>
      </c>
      <c r="K118" s="256" t="s">
        <v>1346</v>
      </c>
    </row>
    <row r="119" spans="1:11" x14ac:dyDescent="0.3">
      <c r="A119" s="256">
        <v>48</v>
      </c>
      <c r="B119" s="257" t="s">
        <v>1209</v>
      </c>
      <c r="C119" s="276">
        <v>44555</v>
      </c>
      <c r="D119" s="257" t="s">
        <v>1287</v>
      </c>
      <c r="E119" s="256" t="s">
        <v>691</v>
      </c>
      <c r="F119" s="256" t="s">
        <v>1615</v>
      </c>
      <c r="G119" s="258">
        <v>31890000000</v>
      </c>
      <c r="H119" s="265">
        <v>0.1</v>
      </c>
      <c r="I119" s="258">
        <v>3189000000</v>
      </c>
      <c r="J119" s="258">
        <v>35079000000</v>
      </c>
      <c r="K119" s="256" t="s">
        <v>1346</v>
      </c>
    </row>
    <row r="120" spans="1:11" x14ac:dyDescent="0.3">
      <c r="A120" s="256">
        <v>49</v>
      </c>
      <c r="B120" s="257" t="s">
        <v>1418</v>
      </c>
      <c r="C120" s="276">
        <v>44255</v>
      </c>
      <c r="D120" s="257" t="s">
        <v>1261</v>
      </c>
      <c r="E120" s="256" t="s">
        <v>1572</v>
      </c>
      <c r="F120" s="256" t="s">
        <v>1612</v>
      </c>
      <c r="G120" s="258">
        <v>27234000000</v>
      </c>
      <c r="H120" s="265">
        <v>0.1</v>
      </c>
      <c r="I120" s="258">
        <v>2723400000</v>
      </c>
      <c r="J120" s="258">
        <v>29957400000</v>
      </c>
      <c r="K120" s="256" t="s">
        <v>1346</v>
      </c>
    </row>
    <row r="121" spans="1:11" x14ac:dyDescent="0.3">
      <c r="A121" s="256">
        <v>50</v>
      </c>
      <c r="B121" s="257" t="s">
        <v>1419</v>
      </c>
      <c r="C121" s="276">
        <v>44561</v>
      </c>
      <c r="D121" s="257" t="s">
        <v>1288</v>
      </c>
      <c r="E121" s="256" t="s">
        <v>1666</v>
      </c>
      <c r="F121" s="256" t="s">
        <v>1613</v>
      </c>
      <c r="G121" s="258">
        <v>24890000000</v>
      </c>
      <c r="H121" s="265">
        <v>0</v>
      </c>
      <c r="I121" s="258">
        <v>0</v>
      </c>
      <c r="J121" s="258">
        <v>24890000000</v>
      </c>
      <c r="K121" s="256" t="s">
        <v>1346</v>
      </c>
    </row>
    <row r="122" spans="1:11" x14ac:dyDescent="0.3">
      <c r="A122" s="266" t="s">
        <v>1351</v>
      </c>
      <c r="B122" s="266"/>
      <c r="C122" s="266"/>
      <c r="D122" s="266"/>
      <c r="E122" s="266"/>
      <c r="F122" s="266"/>
      <c r="G122" s="267">
        <f>SUM(G72:G121)</f>
        <v>1182386000000</v>
      </c>
      <c r="H122" s="266"/>
      <c r="I122" s="267">
        <f>SUM(I72:I121)</f>
        <v>83281600000</v>
      </c>
      <c r="J122" s="267">
        <f>SUM(J72:J121)</f>
        <v>1265667600000</v>
      </c>
      <c r="K122" s="26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498</v>
      </c>
      <c r="C1" s="256"/>
      <c r="D1" s="256"/>
      <c r="E1" s="256"/>
      <c r="F1" s="256"/>
      <c r="G1" s="256"/>
      <c r="H1" s="256"/>
      <c r="I1" s="256"/>
      <c r="J1" s="256"/>
      <c r="K1" s="256"/>
    </row>
    <row r="2" spans="1:11" x14ac:dyDescent="0.3">
      <c r="A2" s="256" t="s">
        <v>1339</v>
      </c>
      <c r="B2" s="257">
        <v>101437981</v>
      </c>
      <c r="C2" s="256"/>
      <c r="D2" s="256"/>
      <c r="E2" s="256"/>
      <c r="F2" s="256"/>
      <c r="G2" s="256"/>
      <c r="H2" s="256"/>
      <c r="I2" s="256"/>
      <c r="J2" s="256"/>
      <c r="K2" s="256"/>
    </row>
    <row r="3" spans="1:11" x14ac:dyDescent="0.3">
      <c r="A3" s="256" t="s">
        <v>1343</v>
      </c>
      <c r="B3" s="258">
        <v>3588660524367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1366</v>
      </c>
      <c r="C8" s="276">
        <v>44470</v>
      </c>
      <c r="D8" s="257" t="s">
        <v>1333</v>
      </c>
      <c r="E8" s="256" t="s">
        <v>1134</v>
      </c>
      <c r="F8" s="256" t="s">
        <v>1616</v>
      </c>
      <c r="G8" s="258">
        <v>95234000000</v>
      </c>
      <c r="H8" s="265">
        <v>0.1</v>
      </c>
      <c r="I8" s="258">
        <v>9523400000</v>
      </c>
      <c r="J8" s="258">
        <v>104757400000</v>
      </c>
      <c r="K8" s="256" t="s">
        <v>1346</v>
      </c>
    </row>
    <row r="9" spans="1:11" x14ac:dyDescent="0.3">
      <c r="A9" s="256">
        <v>2</v>
      </c>
      <c r="B9" s="257" t="s">
        <v>1366</v>
      </c>
      <c r="C9" s="276">
        <v>44471</v>
      </c>
      <c r="D9" s="257" t="s">
        <v>1269</v>
      </c>
      <c r="E9" s="256" t="s">
        <v>1641</v>
      </c>
      <c r="F9" s="256" t="s">
        <v>1617</v>
      </c>
      <c r="G9" s="258">
        <v>33456000000</v>
      </c>
      <c r="H9" s="265">
        <v>0.1</v>
      </c>
      <c r="I9" s="258">
        <v>3345600000</v>
      </c>
      <c r="J9" s="258">
        <v>36801600000</v>
      </c>
      <c r="K9" s="256" t="s">
        <v>1346</v>
      </c>
    </row>
    <row r="10" spans="1:11" x14ac:dyDescent="0.3">
      <c r="A10" s="256">
        <v>3</v>
      </c>
      <c r="B10" s="257" t="s">
        <v>1402</v>
      </c>
      <c r="C10" s="276">
        <v>44472</v>
      </c>
      <c r="D10" s="257" t="s">
        <v>1281</v>
      </c>
      <c r="E10" s="256" t="s">
        <v>1559</v>
      </c>
      <c r="F10" s="256" t="s">
        <v>1618</v>
      </c>
      <c r="G10" s="258">
        <v>58901000000</v>
      </c>
      <c r="H10" s="265">
        <v>0.1</v>
      </c>
      <c r="I10" s="258">
        <v>5890100000</v>
      </c>
      <c r="J10" s="258">
        <v>64791100000</v>
      </c>
      <c r="K10" s="256" t="s">
        <v>1346</v>
      </c>
    </row>
    <row r="11" spans="1:11" x14ac:dyDescent="0.3">
      <c r="A11" s="256">
        <v>4</v>
      </c>
      <c r="B11" s="257" t="s">
        <v>1355</v>
      </c>
      <c r="C11" s="276">
        <v>44473</v>
      </c>
      <c r="D11" s="257" t="s">
        <v>1305</v>
      </c>
      <c r="E11" s="256" t="s">
        <v>1664</v>
      </c>
      <c r="F11" s="256" t="s">
        <v>1546</v>
      </c>
      <c r="G11" s="258">
        <v>47234000000</v>
      </c>
      <c r="H11" s="265">
        <v>0</v>
      </c>
      <c r="I11" s="258">
        <v>0</v>
      </c>
      <c r="J11" s="258">
        <v>47234000000</v>
      </c>
      <c r="K11" s="256" t="s">
        <v>1346</v>
      </c>
    </row>
    <row r="12" spans="1:11" x14ac:dyDescent="0.3">
      <c r="A12" s="256">
        <v>5</v>
      </c>
      <c r="B12" s="257" t="s">
        <v>1362</v>
      </c>
      <c r="C12" s="276">
        <v>44474</v>
      </c>
      <c r="D12" s="257" t="s">
        <v>1270</v>
      </c>
      <c r="E12" s="256" t="s">
        <v>1393</v>
      </c>
      <c r="F12" s="256" t="s">
        <v>1619</v>
      </c>
      <c r="G12" s="258">
        <v>41234000000</v>
      </c>
      <c r="H12" s="265">
        <v>0.1</v>
      </c>
      <c r="I12" s="258">
        <v>4123400000</v>
      </c>
      <c r="J12" s="258">
        <v>45357400000</v>
      </c>
      <c r="K12" s="256" t="s">
        <v>1346</v>
      </c>
    </row>
    <row r="13" spans="1:11" x14ac:dyDescent="0.3">
      <c r="A13" s="256">
        <v>6</v>
      </c>
      <c r="B13" s="257" t="s">
        <v>1364</v>
      </c>
      <c r="C13" s="276">
        <v>44475</v>
      </c>
      <c r="D13" s="257" t="s">
        <v>1308</v>
      </c>
      <c r="E13" s="256" t="s">
        <v>1639</v>
      </c>
      <c r="F13" s="256" t="s">
        <v>1616</v>
      </c>
      <c r="G13" s="258">
        <v>97890000000</v>
      </c>
      <c r="H13" s="265">
        <v>0.1</v>
      </c>
      <c r="I13" s="258">
        <v>9789000000</v>
      </c>
      <c r="J13" s="258">
        <v>107679000000</v>
      </c>
      <c r="K13" s="256" t="s">
        <v>1346</v>
      </c>
    </row>
    <row r="14" spans="1:11" x14ac:dyDescent="0.3">
      <c r="A14" s="256">
        <v>7</v>
      </c>
      <c r="B14" s="257" t="s">
        <v>1200</v>
      </c>
      <c r="C14" s="276">
        <v>44476</v>
      </c>
      <c r="D14" s="257" t="s">
        <v>1318</v>
      </c>
      <c r="E14" s="256" t="s">
        <v>982</v>
      </c>
      <c r="F14" s="256" t="s">
        <v>1347</v>
      </c>
      <c r="G14" s="258">
        <v>28901000000</v>
      </c>
      <c r="H14" s="265">
        <v>0.1</v>
      </c>
      <c r="I14" s="258">
        <v>2890100000</v>
      </c>
      <c r="J14" s="258">
        <v>31791100000</v>
      </c>
      <c r="K14" s="256" t="s">
        <v>1346</v>
      </c>
    </row>
    <row r="15" spans="1:11" x14ac:dyDescent="0.3">
      <c r="A15" s="256">
        <v>8</v>
      </c>
      <c r="B15" s="257" t="s">
        <v>1360</v>
      </c>
      <c r="C15" s="276">
        <v>44477</v>
      </c>
      <c r="D15" s="257" t="s">
        <v>1327</v>
      </c>
      <c r="E15" s="256" t="s">
        <v>1645</v>
      </c>
      <c r="F15" s="256" t="s">
        <v>1616</v>
      </c>
      <c r="G15" s="258">
        <v>92345000000</v>
      </c>
      <c r="H15" s="265">
        <v>0.1</v>
      </c>
      <c r="I15" s="258">
        <v>9234500000</v>
      </c>
      <c r="J15" s="258">
        <v>101579500000</v>
      </c>
      <c r="K15" s="256" t="s">
        <v>1348</v>
      </c>
    </row>
    <row r="16" spans="1:11" x14ac:dyDescent="0.3">
      <c r="A16" s="256">
        <v>9</v>
      </c>
      <c r="B16" s="257" t="s">
        <v>1360</v>
      </c>
      <c r="C16" s="276">
        <v>44478</v>
      </c>
      <c r="D16" s="257" t="s">
        <v>1309</v>
      </c>
      <c r="E16" s="256" t="s">
        <v>1646</v>
      </c>
      <c r="F16" s="256" t="s">
        <v>1621</v>
      </c>
      <c r="G16" s="258">
        <v>35678000000</v>
      </c>
      <c r="H16" s="265">
        <v>0.1</v>
      </c>
      <c r="I16" s="258">
        <v>3567800000</v>
      </c>
      <c r="J16" s="258">
        <v>39245800000</v>
      </c>
      <c r="K16" s="256" t="s">
        <v>1346</v>
      </c>
    </row>
    <row r="17" spans="1:11" x14ac:dyDescent="0.3">
      <c r="A17" s="256">
        <v>10</v>
      </c>
      <c r="B17" s="257" t="s">
        <v>1366</v>
      </c>
      <c r="C17" s="276">
        <v>44479</v>
      </c>
      <c r="D17" s="257" t="s">
        <v>1287</v>
      </c>
      <c r="E17" s="256" t="s">
        <v>691</v>
      </c>
      <c r="F17" s="256" t="s">
        <v>1546</v>
      </c>
      <c r="G17" s="258">
        <v>49234000000</v>
      </c>
      <c r="H17" s="265">
        <v>0</v>
      </c>
      <c r="I17" s="258">
        <v>0</v>
      </c>
      <c r="J17" s="258">
        <v>49234000000</v>
      </c>
      <c r="K17" s="256" t="s">
        <v>1346</v>
      </c>
    </row>
    <row r="18" spans="1:11" x14ac:dyDescent="0.3">
      <c r="A18" s="256">
        <v>11</v>
      </c>
      <c r="B18" s="257" t="s">
        <v>1364</v>
      </c>
      <c r="C18" s="276">
        <v>44480</v>
      </c>
      <c r="D18" s="257" t="s">
        <v>1295</v>
      </c>
      <c r="E18" s="256" t="s">
        <v>1636</v>
      </c>
      <c r="F18" s="256" t="s">
        <v>1616</v>
      </c>
      <c r="G18" s="258">
        <v>88901000000</v>
      </c>
      <c r="H18" s="265">
        <v>0.1</v>
      </c>
      <c r="I18" s="258">
        <v>8890100000</v>
      </c>
      <c r="J18" s="258">
        <v>97791100000</v>
      </c>
      <c r="K18" s="256" t="s">
        <v>1346</v>
      </c>
    </row>
    <row r="19" spans="1:11" x14ac:dyDescent="0.3">
      <c r="A19" s="256">
        <v>12</v>
      </c>
      <c r="B19" s="257" t="s">
        <v>1200</v>
      </c>
      <c r="C19" s="276">
        <v>44481</v>
      </c>
      <c r="D19" s="257" t="s">
        <v>1303</v>
      </c>
      <c r="E19" s="256" t="s">
        <v>1685</v>
      </c>
      <c r="F19" s="256" t="s">
        <v>1622</v>
      </c>
      <c r="G19" s="258">
        <v>32345000000</v>
      </c>
      <c r="H19" s="265">
        <v>0.1</v>
      </c>
      <c r="I19" s="258">
        <v>3234500000</v>
      </c>
      <c r="J19" s="258">
        <v>35579500000</v>
      </c>
      <c r="K19" s="256" t="s">
        <v>1346</v>
      </c>
    </row>
    <row r="20" spans="1:11" x14ac:dyDescent="0.3">
      <c r="A20" s="256">
        <v>13</v>
      </c>
      <c r="B20" s="257" t="s">
        <v>1371</v>
      </c>
      <c r="C20" s="276">
        <v>44211</v>
      </c>
      <c r="D20" s="257" t="s">
        <v>1258</v>
      </c>
      <c r="E20" s="256" t="s">
        <v>351</v>
      </c>
      <c r="F20" s="256" t="s">
        <v>1616</v>
      </c>
      <c r="G20" s="258">
        <v>99234000000</v>
      </c>
      <c r="H20" s="265">
        <v>0.1</v>
      </c>
      <c r="I20" s="258">
        <v>9923400000</v>
      </c>
      <c r="J20" s="258">
        <v>109157400000</v>
      </c>
      <c r="K20" s="256" t="s">
        <v>1346</v>
      </c>
    </row>
    <row r="21" spans="1:11" x14ac:dyDescent="0.3">
      <c r="A21" s="256">
        <v>14</v>
      </c>
      <c r="B21" s="257" t="s">
        <v>1362</v>
      </c>
      <c r="C21" s="276">
        <v>44242</v>
      </c>
      <c r="D21" s="257" t="s">
        <v>1326</v>
      </c>
      <c r="E21" s="256" t="s">
        <v>1065</v>
      </c>
      <c r="F21" s="256" t="s">
        <v>1347</v>
      </c>
      <c r="G21" s="258">
        <v>27234000000</v>
      </c>
      <c r="H21" s="265">
        <v>0.1</v>
      </c>
      <c r="I21" s="258">
        <v>2723400000</v>
      </c>
      <c r="J21" s="258">
        <v>29957400000</v>
      </c>
      <c r="K21" s="256" t="s">
        <v>1346</v>
      </c>
    </row>
    <row r="22" spans="1:11" x14ac:dyDescent="0.3">
      <c r="A22" s="256">
        <v>15</v>
      </c>
      <c r="B22" s="257" t="s">
        <v>1368</v>
      </c>
      <c r="C22" s="276">
        <v>44270</v>
      </c>
      <c r="D22" s="257" t="s">
        <v>1322</v>
      </c>
      <c r="E22" s="256" t="s">
        <v>1638</v>
      </c>
      <c r="F22" s="256" t="s">
        <v>1616</v>
      </c>
      <c r="G22" s="258">
        <v>94234000000</v>
      </c>
      <c r="H22" s="265">
        <v>0.1</v>
      </c>
      <c r="I22" s="258">
        <v>9423400000</v>
      </c>
      <c r="J22" s="258">
        <v>103657400000</v>
      </c>
      <c r="K22" s="256" t="s">
        <v>1346</v>
      </c>
    </row>
    <row r="23" spans="1:11" x14ac:dyDescent="0.3">
      <c r="A23" s="256">
        <v>16</v>
      </c>
      <c r="B23" s="257" t="s">
        <v>1391</v>
      </c>
      <c r="C23" s="276">
        <v>44301</v>
      </c>
      <c r="D23" s="257" t="s">
        <v>1284</v>
      </c>
      <c r="E23" s="256" t="s">
        <v>1552</v>
      </c>
      <c r="F23" s="256" t="s">
        <v>1619</v>
      </c>
      <c r="G23" s="258">
        <v>43456000000</v>
      </c>
      <c r="H23" s="265">
        <v>0.1</v>
      </c>
      <c r="I23" s="258">
        <v>4345600000</v>
      </c>
      <c r="J23" s="258">
        <v>47801600000</v>
      </c>
      <c r="K23" s="256" t="s">
        <v>1346</v>
      </c>
    </row>
    <row r="24" spans="1:11" x14ac:dyDescent="0.3">
      <c r="A24" s="256">
        <v>17</v>
      </c>
      <c r="B24" s="257" t="s">
        <v>1385</v>
      </c>
      <c r="C24" s="276">
        <v>44331</v>
      </c>
      <c r="D24" s="257" t="s">
        <v>1268</v>
      </c>
      <c r="E24" s="256" t="s">
        <v>1594</v>
      </c>
      <c r="F24" s="256" t="s">
        <v>1546</v>
      </c>
      <c r="G24" s="258">
        <v>48901000000</v>
      </c>
      <c r="H24" s="265">
        <v>0</v>
      </c>
      <c r="I24" s="258">
        <v>0</v>
      </c>
      <c r="J24" s="258">
        <v>48901000000</v>
      </c>
      <c r="K24" s="256" t="s">
        <v>1346</v>
      </c>
    </row>
    <row r="25" spans="1:11" x14ac:dyDescent="0.3">
      <c r="A25" s="256">
        <v>18</v>
      </c>
      <c r="B25" s="257" t="s">
        <v>1391</v>
      </c>
      <c r="C25" s="276">
        <v>44362</v>
      </c>
      <c r="D25" s="257" t="s">
        <v>1280</v>
      </c>
      <c r="E25" s="256" t="s">
        <v>618</v>
      </c>
      <c r="F25" s="256" t="s">
        <v>1616</v>
      </c>
      <c r="G25" s="258">
        <v>97345000000</v>
      </c>
      <c r="H25" s="265">
        <v>0.1</v>
      </c>
      <c r="I25" s="258">
        <v>9734500000</v>
      </c>
      <c r="J25" s="258">
        <v>107079500000</v>
      </c>
      <c r="K25" s="256" t="s">
        <v>1346</v>
      </c>
    </row>
    <row r="26" spans="1:11" x14ac:dyDescent="0.3">
      <c r="A26" s="256">
        <v>19</v>
      </c>
      <c r="B26" s="257" t="s">
        <v>1360</v>
      </c>
      <c r="C26" s="276">
        <v>44392</v>
      </c>
      <c r="D26" s="257" t="s">
        <v>1297</v>
      </c>
      <c r="E26" s="256" t="s">
        <v>1643</v>
      </c>
      <c r="F26" s="256" t="s">
        <v>1621</v>
      </c>
      <c r="G26" s="258">
        <v>38901000000</v>
      </c>
      <c r="H26" s="265">
        <v>0.1</v>
      </c>
      <c r="I26" s="258">
        <v>3890100000</v>
      </c>
      <c r="J26" s="258">
        <v>42791100000</v>
      </c>
      <c r="K26" s="256" t="s">
        <v>1346</v>
      </c>
    </row>
    <row r="27" spans="1:11" x14ac:dyDescent="0.3">
      <c r="A27" s="256">
        <v>20</v>
      </c>
      <c r="B27" s="257" t="s">
        <v>1392</v>
      </c>
      <c r="C27" s="276">
        <v>44423</v>
      </c>
      <c r="D27" s="257" t="s">
        <v>1395</v>
      </c>
      <c r="E27" s="256" t="s">
        <v>1581</v>
      </c>
      <c r="F27" s="256" t="s">
        <v>1616</v>
      </c>
      <c r="G27" s="258">
        <v>91890000000</v>
      </c>
      <c r="H27" s="265">
        <v>0.1</v>
      </c>
      <c r="I27" s="258">
        <v>9189000000</v>
      </c>
      <c r="J27" s="258">
        <v>101079000000</v>
      </c>
      <c r="K27" s="256" t="s">
        <v>1346</v>
      </c>
    </row>
    <row r="28" spans="1:11" x14ac:dyDescent="0.3">
      <c r="A28" s="256">
        <v>21</v>
      </c>
      <c r="B28" s="257" t="s">
        <v>1385</v>
      </c>
      <c r="C28" s="276">
        <v>44454</v>
      </c>
      <c r="D28" s="257" t="s">
        <v>1260</v>
      </c>
      <c r="E28" s="256" t="s">
        <v>1585</v>
      </c>
      <c r="F28" s="256" t="s">
        <v>1618</v>
      </c>
      <c r="G28" s="258">
        <v>55678000000</v>
      </c>
      <c r="H28" s="265">
        <v>0.1</v>
      </c>
      <c r="I28" s="258">
        <v>5567800000</v>
      </c>
      <c r="J28" s="258">
        <v>61245800000</v>
      </c>
      <c r="K28" s="256" t="s">
        <v>1346</v>
      </c>
    </row>
    <row r="29" spans="1:11" x14ac:dyDescent="0.3">
      <c r="A29" s="256">
        <v>22</v>
      </c>
      <c r="B29" s="257" t="s">
        <v>1204</v>
      </c>
      <c r="C29" s="276">
        <v>44484</v>
      </c>
      <c r="D29" s="257" t="s">
        <v>1285</v>
      </c>
      <c r="E29" s="256" t="s">
        <v>1558</v>
      </c>
      <c r="F29" s="256" t="s">
        <v>1616</v>
      </c>
      <c r="G29" s="258">
        <v>98901000000</v>
      </c>
      <c r="H29" s="265">
        <v>0.1</v>
      </c>
      <c r="I29" s="258">
        <v>9890100000</v>
      </c>
      <c r="J29" s="258">
        <v>108791100000</v>
      </c>
      <c r="K29" s="256" t="s">
        <v>1346</v>
      </c>
    </row>
    <row r="30" spans="1:11" x14ac:dyDescent="0.3">
      <c r="A30" s="256">
        <v>23</v>
      </c>
      <c r="B30" s="257" t="s">
        <v>1368</v>
      </c>
      <c r="C30" s="276">
        <v>44515</v>
      </c>
      <c r="D30" s="257" t="s">
        <v>1256</v>
      </c>
      <c r="E30" s="256" t="s">
        <v>1665</v>
      </c>
      <c r="F30" s="256" t="s">
        <v>1622</v>
      </c>
      <c r="G30" s="258">
        <v>33456000000</v>
      </c>
      <c r="H30" s="265">
        <v>0.1</v>
      </c>
      <c r="I30" s="258">
        <v>3345600000</v>
      </c>
      <c r="J30" s="258">
        <v>36801600000</v>
      </c>
      <c r="K30" s="256" t="s">
        <v>1346</v>
      </c>
    </row>
    <row r="31" spans="1:11" x14ac:dyDescent="0.3">
      <c r="A31" s="256">
        <v>24</v>
      </c>
      <c r="B31" s="257" t="s">
        <v>1204</v>
      </c>
      <c r="C31" s="276">
        <v>44545</v>
      </c>
      <c r="D31" s="257" t="s">
        <v>1435</v>
      </c>
      <c r="E31" s="256" t="s">
        <v>1577</v>
      </c>
      <c r="F31" s="256" t="s">
        <v>1616</v>
      </c>
      <c r="G31" s="258">
        <v>93456000000</v>
      </c>
      <c r="H31" s="265">
        <v>0.1</v>
      </c>
      <c r="I31" s="258">
        <v>9345600000</v>
      </c>
      <c r="J31" s="258">
        <v>102801600000</v>
      </c>
      <c r="K31" s="256" t="s">
        <v>1346</v>
      </c>
    </row>
    <row r="32" spans="1:11" x14ac:dyDescent="0.3">
      <c r="A32" s="256">
        <v>25</v>
      </c>
      <c r="B32" s="257" t="s">
        <v>1362</v>
      </c>
      <c r="C32" s="276">
        <v>44216</v>
      </c>
      <c r="D32" s="257" t="s">
        <v>1315</v>
      </c>
      <c r="E32" s="256" t="s">
        <v>1637</v>
      </c>
      <c r="F32" s="256" t="s">
        <v>1347</v>
      </c>
      <c r="G32" s="258">
        <v>29890000000</v>
      </c>
      <c r="H32" s="265">
        <v>0.1</v>
      </c>
      <c r="I32" s="258">
        <v>2989000000</v>
      </c>
      <c r="J32" s="258">
        <v>32879000000</v>
      </c>
      <c r="K32" s="256" t="s">
        <v>1346</v>
      </c>
    </row>
    <row r="33" spans="1:11" x14ac:dyDescent="0.3">
      <c r="A33" s="256">
        <v>26</v>
      </c>
      <c r="B33" s="257" t="s">
        <v>1391</v>
      </c>
      <c r="C33" s="276">
        <v>44247</v>
      </c>
      <c r="D33" s="257" t="s">
        <v>1277</v>
      </c>
      <c r="E33" s="256" t="s">
        <v>1582</v>
      </c>
      <c r="F33" s="256" t="s">
        <v>1546</v>
      </c>
      <c r="G33" s="258">
        <v>50234000000</v>
      </c>
      <c r="H33" s="265">
        <v>0</v>
      </c>
      <c r="I33" s="258">
        <v>0</v>
      </c>
      <c r="J33" s="258">
        <v>50234000000</v>
      </c>
      <c r="K33" s="256" t="s">
        <v>1346</v>
      </c>
    </row>
    <row r="34" spans="1:11" x14ac:dyDescent="0.3">
      <c r="A34" s="256">
        <v>27</v>
      </c>
      <c r="B34" s="257" t="s">
        <v>1204</v>
      </c>
      <c r="C34" s="276">
        <v>44275</v>
      </c>
      <c r="D34" s="257" t="s">
        <v>1264</v>
      </c>
      <c r="E34" s="256" t="s">
        <v>1584</v>
      </c>
      <c r="F34" s="256" t="s">
        <v>1616</v>
      </c>
      <c r="G34" s="258">
        <v>96234000000</v>
      </c>
      <c r="H34" s="265">
        <v>0.1</v>
      </c>
      <c r="I34" s="258">
        <v>9623400000</v>
      </c>
      <c r="J34" s="258">
        <v>105857400000</v>
      </c>
      <c r="K34" s="256" t="s">
        <v>1346</v>
      </c>
    </row>
    <row r="35" spans="1:11" x14ac:dyDescent="0.3">
      <c r="A35" s="256">
        <v>28</v>
      </c>
      <c r="B35" s="257" t="s">
        <v>1387</v>
      </c>
      <c r="C35" s="276">
        <v>44306</v>
      </c>
      <c r="D35" s="257" t="s">
        <v>1275</v>
      </c>
      <c r="E35" s="256" t="s">
        <v>1575</v>
      </c>
      <c r="F35" s="256" t="s">
        <v>1619</v>
      </c>
      <c r="G35" s="258">
        <v>47234000000</v>
      </c>
      <c r="H35" s="265">
        <v>0.1</v>
      </c>
      <c r="I35" s="258">
        <v>4723400000</v>
      </c>
      <c r="J35" s="258">
        <v>51957400000</v>
      </c>
      <c r="K35" s="256" t="s">
        <v>1346</v>
      </c>
    </row>
    <row r="36" spans="1:11" x14ac:dyDescent="0.3">
      <c r="A36" s="256">
        <v>29</v>
      </c>
      <c r="B36" s="257" t="s">
        <v>1373</v>
      </c>
      <c r="C36" s="276">
        <v>44336</v>
      </c>
      <c r="D36" s="257" t="s">
        <v>1257</v>
      </c>
      <c r="E36" s="256" t="s">
        <v>1574</v>
      </c>
      <c r="F36" s="256" t="s">
        <v>1616</v>
      </c>
      <c r="G36" s="258">
        <v>100234000000</v>
      </c>
      <c r="H36" s="265">
        <v>0.1</v>
      </c>
      <c r="I36" s="258">
        <v>10023400000</v>
      </c>
      <c r="J36" s="258">
        <v>110257400000</v>
      </c>
      <c r="K36" s="256" t="s">
        <v>1346</v>
      </c>
    </row>
    <row r="37" spans="1:11" x14ac:dyDescent="0.3">
      <c r="A37" s="256">
        <v>30</v>
      </c>
      <c r="B37" s="257" t="s">
        <v>1205</v>
      </c>
      <c r="C37" s="276">
        <v>44367</v>
      </c>
      <c r="D37" s="257" t="s">
        <v>1278</v>
      </c>
      <c r="E37" s="256" t="s">
        <v>1593</v>
      </c>
      <c r="F37" s="256" t="s">
        <v>1621</v>
      </c>
      <c r="G37" s="258">
        <v>39890000000</v>
      </c>
      <c r="H37" s="265">
        <v>0.1</v>
      </c>
      <c r="I37" s="258">
        <v>3989000000</v>
      </c>
      <c r="J37" s="258">
        <v>43879000000</v>
      </c>
      <c r="K37" s="256" t="s">
        <v>1346</v>
      </c>
    </row>
    <row r="38" spans="1:11" x14ac:dyDescent="0.3">
      <c r="A38" s="256">
        <v>31</v>
      </c>
      <c r="B38" s="257" t="s">
        <v>1205</v>
      </c>
      <c r="C38" s="276">
        <v>44397</v>
      </c>
      <c r="D38" s="257" t="s">
        <v>1263</v>
      </c>
      <c r="E38" s="256" t="s">
        <v>1579</v>
      </c>
      <c r="F38" s="256" t="s">
        <v>1616</v>
      </c>
      <c r="G38" s="258">
        <v>94890000000</v>
      </c>
      <c r="H38" s="265">
        <v>0.1</v>
      </c>
      <c r="I38" s="258">
        <v>9489000000</v>
      </c>
      <c r="J38" s="258">
        <v>104379000000</v>
      </c>
      <c r="K38" s="256" t="s">
        <v>1346</v>
      </c>
    </row>
    <row r="39" spans="1:11" x14ac:dyDescent="0.3">
      <c r="A39" s="256">
        <v>32</v>
      </c>
      <c r="B39" s="257" t="s">
        <v>1366</v>
      </c>
      <c r="C39" s="276">
        <v>44428</v>
      </c>
      <c r="D39" s="257" t="s">
        <v>1308</v>
      </c>
      <c r="E39" s="256" t="s">
        <v>1639</v>
      </c>
      <c r="F39" s="256" t="s">
        <v>1618</v>
      </c>
      <c r="G39" s="258">
        <v>57890000000</v>
      </c>
      <c r="H39" s="265">
        <v>0.1</v>
      </c>
      <c r="I39" s="258">
        <v>5789000000</v>
      </c>
      <c r="J39" s="258">
        <v>63679000000</v>
      </c>
      <c r="K39" s="256" t="s">
        <v>1346</v>
      </c>
    </row>
    <row r="40" spans="1:11" x14ac:dyDescent="0.3">
      <c r="A40" s="256">
        <v>33</v>
      </c>
      <c r="B40" s="257" t="s">
        <v>1387</v>
      </c>
      <c r="C40" s="276">
        <v>44459</v>
      </c>
      <c r="D40" s="257" t="s">
        <v>1262</v>
      </c>
      <c r="E40" s="256" t="s">
        <v>1556</v>
      </c>
      <c r="F40" s="256" t="s">
        <v>1616</v>
      </c>
      <c r="G40" s="258">
        <v>92890000000</v>
      </c>
      <c r="H40" s="265">
        <v>0.1</v>
      </c>
      <c r="I40" s="258">
        <v>9289000000</v>
      </c>
      <c r="J40" s="258">
        <v>102179000000</v>
      </c>
      <c r="K40" s="256" t="s">
        <v>1346</v>
      </c>
    </row>
    <row r="41" spans="1:11" x14ac:dyDescent="0.3">
      <c r="A41" s="256">
        <v>34</v>
      </c>
      <c r="B41" s="257" t="s">
        <v>1385</v>
      </c>
      <c r="C41" s="276">
        <v>44489</v>
      </c>
      <c r="D41" s="257" t="s">
        <v>1384</v>
      </c>
      <c r="E41" s="256" t="s">
        <v>1565</v>
      </c>
      <c r="F41" s="256" t="s">
        <v>1622</v>
      </c>
      <c r="G41" s="258">
        <v>35678000000</v>
      </c>
      <c r="H41" s="265">
        <v>0.1</v>
      </c>
      <c r="I41" s="258">
        <v>3567800000</v>
      </c>
      <c r="J41" s="258">
        <v>39245800000</v>
      </c>
      <c r="K41" s="256" t="s">
        <v>1346</v>
      </c>
    </row>
    <row r="42" spans="1:11" x14ac:dyDescent="0.3">
      <c r="A42" s="256">
        <v>35</v>
      </c>
      <c r="B42" s="257" t="s">
        <v>1368</v>
      </c>
      <c r="C42" s="276">
        <v>44520</v>
      </c>
      <c r="D42" s="257" t="s">
        <v>1333</v>
      </c>
      <c r="E42" s="256" t="s">
        <v>1134</v>
      </c>
      <c r="F42" s="256" t="s">
        <v>1616</v>
      </c>
      <c r="G42" s="258">
        <v>96890000000</v>
      </c>
      <c r="H42" s="265">
        <v>0.1</v>
      </c>
      <c r="I42" s="258">
        <v>9689000000</v>
      </c>
      <c r="J42" s="258">
        <v>106579000000</v>
      </c>
      <c r="K42" s="256" t="s">
        <v>1346</v>
      </c>
    </row>
    <row r="43" spans="1:11" x14ac:dyDescent="0.3">
      <c r="A43" s="256">
        <v>36</v>
      </c>
      <c r="B43" s="257" t="s">
        <v>1204</v>
      </c>
      <c r="C43" s="276">
        <v>44550</v>
      </c>
      <c r="D43" s="257" t="s">
        <v>1259</v>
      </c>
      <c r="E43" s="256" t="s">
        <v>1569</v>
      </c>
      <c r="F43" s="256" t="s">
        <v>1347</v>
      </c>
      <c r="G43" s="258">
        <v>30890000000</v>
      </c>
      <c r="H43" s="265">
        <v>0.1</v>
      </c>
      <c r="I43" s="258">
        <v>3089000000</v>
      </c>
      <c r="J43" s="258">
        <v>33979000000</v>
      </c>
      <c r="K43" s="256" t="s">
        <v>1346</v>
      </c>
    </row>
    <row r="44" spans="1:11" x14ac:dyDescent="0.3">
      <c r="A44" s="256">
        <v>37</v>
      </c>
      <c r="B44" s="257" t="s">
        <v>1385</v>
      </c>
      <c r="C44" s="276">
        <v>44221</v>
      </c>
      <c r="D44" s="257" t="s">
        <v>1274</v>
      </c>
      <c r="E44" s="256" t="s">
        <v>1592</v>
      </c>
      <c r="F44" s="256" t="s">
        <v>1546</v>
      </c>
      <c r="G44" s="258">
        <v>51234000000</v>
      </c>
      <c r="H44" s="265">
        <v>0</v>
      </c>
      <c r="I44" s="258">
        <v>0</v>
      </c>
      <c r="J44" s="258">
        <v>51234000000</v>
      </c>
      <c r="K44" s="256" t="s">
        <v>1346</v>
      </c>
    </row>
    <row r="45" spans="1:11" x14ac:dyDescent="0.3">
      <c r="A45" s="256">
        <v>38</v>
      </c>
      <c r="B45" s="257" t="s">
        <v>1387</v>
      </c>
      <c r="C45" s="276">
        <v>44252</v>
      </c>
      <c r="D45" s="257" t="s">
        <v>1283</v>
      </c>
      <c r="E45" s="256" t="s">
        <v>1588</v>
      </c>
      <c r="F45" s="256" t="s">
        <v>1616</v>
      </c>
      <c r="G45" s="258">
        <v>98234000000</v>
      </c>
      <c r="H45" s="265">
        <v>0.1</v>
      </c>
      <c r="I45" s="258">
        <v>9823400000</v>
      </c>
      <c r="J45" s="258">
        <v>108057400000</v>
      </c>
      <c r="K45" s="256" t="s">
        <v>1346</v>
      </c>
    </row>
    <row r="46" spans="1:11" x14ac:dyDescent="0.3">
      <c r="A46" s="256">
        <v>39</v>
      </c>
      <c r="B46" s="257" t="s">
        <v>1203</v>
      </c>
      <c r="C46" s="276">
        <v>44280</v>
      </c>
      <c r="D46" s="257" t="s">
        <v>1273</v>
      </c>
      <c r="E46" s="256" t="s">
        <v>1567</v>
      </c>
      <c r="F46" s="256" t="s">
        <v>1619</v>
      </c>
      <c r="G46" s="258">
        <v>49234000000</v>
      </c>
      <c r="H46" s="265">
        <v>0.1</v>
      </c>
      <c r="I46" s="258">
        <v>4923400000</v>
      </c>
      <c r="J46" s="258">
        <v>54157400000</v>
      </c>
      <c r="K46" s="256" t="s">
        <v>1346</v>
      </c>
    </row>
    <row r="47" spans="1:11" x14ac:dyDescent="0.3">
      <c r="A47" s="256">
        <v>40</v>
      </c>
      <c r="B47" s="257" t="s">
        <v>1205</v>
      </c>
      <c r="C47" s="276">
        <v>44311</v>
      </c>
      <c r="D47" s="257" t="s">
        <v>1416</v>
      </c>
      <c r="E47" s="256" t="s">
        <v>1562</v>
      </c>
      <c r="F47" s="256" t="s">
        <v>1616</v>
      </c>
      <c r="G47" s="258">
        <v>95234000000</v>
      </c>
      <c r="H47" s="265">
        <v>0.1</v>
      </c>
      <c r="I47" s="258">
        <v>9523400000</v>
      </c>
      <c r="J47" s="258">
        <v>104757400000</v>
      </c>
      <c r="K47" s="256" t="s">
        <v>1346</v>
      </c>
    </row>
    <row r="48" spans="1:11" x14ac:dyDescent="0.3">
      <c r="A48" s="256">
        <v>41</v>
      </c>
      <c r="B48" s="257" t="s">
        <v>1403</v>
      </c>
      <c r="C48" s="276">
        <v>44341</v>
      </c>
      <c r="D48" s="257" t="s">
        <v>1281</v>
      </c>
      <c r="E48" s="256" t="s">
        <v>1559</v>
      </c>
      <c r="F48" s="256" t="s">
        <v>1621</v>
      </c>
      <c r="G48" s="258">
        <v>41890000000</v>
      </c>
      <c r="H48" s="265">
        <v>0.1</v>
      </c>
      <c r="I48" s="258">
        <v>4189000000</v>
      </c>
      <c r="J48" s="258">
        <v>46079000000</v>
      </c>
      <c r="K48" s="256" t="s">
        <v>1346</v>
      </c>
    </row>
    <row r="49" spans="1:11" x14ac:dyDescent="0.3">
      <c r="A49" s="256">
        <v>42</v>
      </c>
      <c r="B49" s="257" t="s">
        <v>1366</v>
      </c>
      <c r="C49" s="276">
        <v>44372</v>
      </c>
      <c r="D49" s="257" t="s">
        <v>1289</v>
      </c>
      <c r="E49" s="256" t="s">
        <v>1640</v>
      </c>
      <c r="F49" s="256" t="s">
        <v>1616</v>
      </c>
      <c r="G49" s="258">
        <v>92345000000</v>
      </c>
      <c r="H49" s="265">
        <v>0.1</v>
      </c>
      <c r="I49" s="258">
        <v>9234500000</v>
      </c>
      <c r="J49" s="258">
        <v>101579500000</v>
      </c>
      <c r="K49" s="256" t="s">
        <v>1346</v>
      </c>
    </row>
    <row r="50" spans="1:11" x14ac:dyDescent="0.3">
      <c r="A50" s="256">
        <v>43</v>
      </c>
      <c r="B50" s="257" t="s">
        <v>1368</v>
      </c>
      <c r="C50" s="276">
        <v>44402</v>
      </c>
      <c r="D50" s="257" t="s">
        <v>1269</v>
      </c>
      <c r="E50" s="256" t="s">
        <v>1641</v>
      </c>
      <c r="F50" s="256" t="s">
        <v>1618</v>
      </c>
      <c r="G50" s="258">
        <v>59890000000</v>
      </c>
      <c r="H50" s="265">
        <v>0.1</v>
      </c>
      <c r="I50" s="258">
        <v>5989000000</v>
      </c>
      <c r="J50" s="258">
        <v>65879000000</v>
      </c>
      <c r="K50" s="256" t="s">
        <v>1346</v>
      </c>
    </row>
    <row r="51" spans="1:11" x14ac:dyDescent="0.3">
      <c r="A51" s="256">
        <v>44</v>
      </c>
      <c r="B51" s="257" t="s">
        <v>1205</v>
      </c>
      <c r="C51" s="276">
        <v>44433</v>
      </c>
      <c r="D51" s="257" t="s">
        <v>1428</v>
      </c>
      <c r="E51" s="256" t="s">
        <v>1557</v>
      </c>
      <c r="F51" s="256" t="s">
        <v>1616</v>
      </c>
      <c r="G51" s="258">
        <v>94345000000</v>
      </c>
      <c r="H51" s="265">
        <v>0.1</v>
      </c>
      <c r="I51" s="258">
        <v>9434500000</v>
      </c>
      <c r="J51" s="258">
        <v>103779500000</v>
      </c>
      <c r="K51" s="256" t="s">
        <v>1346</v>
      </c>
    </row>
    <row r="52" spans="1:11" x14ac:dyDescent="0.3">
      <c r="A52" s="256">
        <v>45</v>
      </c>
      <c r="B52" s="257" t="s">
        <v>1360</v>
      </c>
      <c r="C52" s="276">
        <v>44464</v>
      </c>
      <c r="D52" s="257" t="s">
        <v>1313</v>
      </c>
      <c r="E52" s="256" t="s">
        <v>1642</v>
      </c>
      <c r="F52" s="256" t="s">
        <v>1622</v>
      </c>
      <c r="G52" s="258">
        <v>37234000000</v>
      </c>
      <c r="H52" s="265">
        <v>0.1</v>
      </c>
      <c r="I52" s="258">
        <v>3723400000</v>
      </c>
      <c r="J52" s="258">
        <v>40957400000</v>
      </c>
      <c r="K52" s="256" t="s">
        <v>1346</v>
      </c>
    </row>
    <row r="53" spans="1:11" x14ac:dyDescent="0.3">
      <c r="A53" s="256">
        <v>46</v>
      </c>
      <c r="B53" s="257" t="s">
        <v>1362</v>
      </c>
      <c r="C53" s="276">
        <v>44494</v>
      </c>
      <c r="D53" s="257" t="s">
        <v>1297</v>
      </c>
      <c r="E53" s="256" t="s">
        <v>1643</v>
      </c>
      <c r="F53" s="256" t="s">
        <v>1616</v>
      </c>
      <c r="G53" s="258">
        <v>91890000000</v>
      </c>
      <c r="H53" s="265">
        <v>0.1</v>
      </c>
      <c r="I53" s="258">
        <v>9189000000</v>
      </c>
      <c r="J53" s="258">
        <v>101079000000</v>
      </c>
      <c r="K53" s="256" t="s">
        <v>1346</v>
      </c>
    </row>
    <row r="54" spans="1:11" x14ac:dyDescent="0.3">
      <c r="A54" s="256">
        <v>47</v>
      </c>
      <c r="B54" s="257" t="s">
        <v>1362</v>
      </c>
      <c r="C54" s="276">
        <v>44525</v>
      </c>
      <c r="D54" s="257" t="s">
        <v>1254</v>
      </c>
      <c r="E54" s="256" t="s">
        <v>1668</v>
      </c>
      <c r="F54" s="256" t="s">
        <v>1546</v>
      </c>
      <c r="G54" s="258">
        <v>52345000000</v>
      </c>
      <c r="H54" s="265">
        <v>0</v>
      </c>
      <c r="I54" s="258">
        <v>0</v>
      </c>
      <c r="J54" s="258">
        <v>52345000000</v>
      </c>
      <c r="K54" s="256" t="s">
        <v>1346</v>
      </c>
    </row>
    <row r="55" spans="1:11" x14ac:dyDescent="0.3">
      <c r="A55" s="256">
        <v>48</v>
      </c>
      <c r="B55" s="257" t="s">
        <v>1362</v>
      </c>
      <c r="C55" s="276">
        <v>44555</v>
      </c>
      <c r="D55" s="257" t="s">
        <v>1327</v>
      </c>
      <c r="E55" s="256" t="s">
        <v>1645</v>
      </c>
      <c r="F55" s="256" t="s">
        <v>1616</v>
      </c>
      <c r="G55" s="258">
        <v>97345000000</v>
      </c>
      <c r="H55" s="265">
        <v>0.1</v>
      </c>
      <c r="I55" s="258">
        <v>9734500000</v>
      </c>
      <c r="J55" s="258">
        <v>107079500000</v>
      </c>
      <c r="K55" s="256" t="s">
        <v>1346</v>
      </c>
    </row>
    <row r="56" spans="1:11" x14ac:dyDescent="0.3">
      <c r="A56" s="256">
        <v>49</v>
      </c>
      <c r="B56" s="257" t="s">
        <v>1362</v>
      </c>
      <c r="C56" s="276">
        <v>44224</v>
      </c>
      <c r="D56" s="257" t="s">
        <v>1309</v>
      </c>
      <c r="E56" s="256" t="s">
        <v>1646</v>
      </c>
      <c r="F56" s="256" t="s">
        <v>1347</v>
      </c>
      <c r="G56" s="258">
        <v>31890000000</v>
      </c>
      <c r="H56" s="265">
        <v>0.1</v>
      </c>
      <c r="I56" s="258">
        <v>3189000000</v>
      </c>
      <c r="J56" s="258">
        <v>35079000000</v>
      </c>
      <c r="K56" s="256" t="s">
        <v>1346</v>
      </c>
    </row>
    <row r="57" spans="1:11" x14ac:dyDescent="0.3">
      <c r="A57" s="256">
        <v>50</v>
      </c>
      <c r="B57" s="257" t="s">
        <v>1203</v>
      </c>
      <c r="C57" s="276">
        <v>44255</v>
      </c>
      <c r="D57" s="257" t="s">
        <v>1266</v>
      </c>
      <c r="E57" s="256" t="s">
        <v>1669</v>
      </c>
      <c r="F57" s="256" t="s">
        <v>1616</v>
      </c>
      <c r="G57" s="258">
        <v>95234000000</v>
      </c>
      <c r="H57" s="265">
        <v>0.1</v>
      </c>
      <c r="I57" s="258">
        <v>9523400000</v>
      </c>
      <c r="J57" s="258">
        <v>104757400000</v>
      </c>
      <c r="K57" s="256" t="s">
        <v>1346</v>
      </c>
    </row>
    <row r="58" spans="1:11" x14ac:dyDescent="0.3">
      <c r="A58" s="266" t="s">
        <v>1351</v>
      </c>
      <c r="B58" s="266"/>
      <c r="C58" s="266"/>
      <c r="D58" s="266"/>
      <c r="E58" s="266"/>
      <c r="F58" s="266"/>
      <c r="G58" s="267">
        <f>SUM(G8:G57)</f>
        <v>3285227000000</v>
      </c>
      <c r="H58" s="266"/>
      <c r="I58" s="267">
        <f>SUM(I8:I57)</f>
        <v>298604500000</v>
      </c>
      <c r="J58" s="267">
        <f>SUM(J8:J57)</f>
        <v>3583831500000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44470</v>
      </c>
      <c r="D62" s="257" t="s">
        <v>1333</v>
      </c>
      <c r="E62" s="256" t="s">
        <v>1134</v>
      </c>
      <c r="F62" s="256" t="s">
        <v>1623</v>
      </c>
      <c r="G62" s="258">
        <v>88234000000</v>
      </c>
      <c r="H62" s="265">
        <v>0.1</v>
      </c>
      <c r="I62" s="258">
        <v>8823400000</v>
      </c>
      <c r="J62" s="258">
        <v>97057400000</v>
      </c>
      <c r="K62" s="256" t="s">
        <v>1346</v>
      </c>
    </row>
    <row r="63" spans="1:11" x14ac:dyDescent="0.3">
      <c r="A63" s="256">
        <v>2</v>
      </c>
      <c r="B63" s="257" t="s">
        <v>1201</v>
      </c>
      <c r="C63" s="276">
        <v>44471</v>
      </c>
      <c r="D63" s="257" t="s">
        <v>1269</v>
      </c>
      <c r="E63" s="256" t="s">
        <v>1641</v>
      </c>
      <c r="F63" s="256" t="s">
        <v>1647</v>
      </c>
      <c r="G63" s="258">
        <v>73456000000</v>
      </c>
      <c r="H63" s="265">
        <v>0.1</v>
      </c>
      <c r="I63" s="258">
        <v>7345600000</v>
      </c>
      <c r="J63" s="258">
        <v>80801600000</v>
      </c>
      <c r="K63" s="256" t="s">
        <v>1346</v>
      </c>
    </row>
    <row r="64" spans="1:11" x14ac:dyDescent="0.3">
      <c r="A64" s="256">
        <v>3</v>
      </c>
      <c r="B64" s="257" t="s">
        <v>1202</v>
      </c>
      <c r="C64" s="276">
        <v>44472</v>
      </c>
      <c r="D64" s="257" t="s">
        <v>1281</v>
      </c>
      <c r="E64" s="256" t="s">
        <v>1559</v>
      </c>
      <c r="F64" s="256" t="s">
        <v>1648</v>
      </c>
      <c r="G64" s="258">
        <v>58901000000</v>
      </c>
      <c r="H64" s="265">
        <v>0</v>
      </c>
      <c r="I64" s="258">
        <v>0</v>
      </c>
      <c r="J64" s="258">
        <v>58901000000</v>
      </c>
      <c r="K64" s="256" t="s">
        <v>1346</v>
      </c>
    </row>
    <row r="65" spans="1:11" x14ac:dyDescent="0.3">
      <c r="A65" s="256">
        <v>4</v>
      </c>
      <c r="B65" s="257" t="s">
        <v>1355</v>
      </c>
      <c r="C65" s="276">
        <v>44473</v>
      </c>
      <c r="D65" s="257" t="s">
        <v>1305</v>
      </c>
      <c r="E65" s="256" t="s">
        <v>1664</v>
      </c>
      <c r="F65" s="256" t="s">
        <v>1623</v>
      </c>
      <c r="G65" s="258">
        <v>84234000000</v>
      </c>
      <c r="H65" s="265">
        <v>0.1</v>
      </c>
      <c r="I65" s="258">
        <v>8423400000</v>
      </c>
      <c r="J65" s="258">
        <v>92657400000</v>
      </c>
      <c r="K65" s="256" t="s">
        <v>1346</v>
      </c>
    </row>
    <row r="66" spans="1:11" x14ac:dyDescent="0.3">
      <c r="A66" s="256">
        <v>5</v>
      </c>
      <c r="B66" s="257" t="s">
        <v>1356</v>
      </c>
      <c r="C66" s="276">
        <v>44474</v>
      </c>
      <c r="D66" s="257" t="s">
        <v>1270</v>
      </c>
      <c r="E66" s="256" t="s">
        <v>1393</v>
      </c>
      <c r="F66" s="256" t="s">
        <v>1647</v>
      </c>
      <c r="G66" s="258">
        <v>71234000000</v>
      </c>
      <c r="H66" s="265">
        <v>0.1</v>
      </c>
      <c r="I66" s="258">
        <v>7123400000</v>
      </c>
      <c r="J66" s="258">
        <v>78357400000</v>
      </c>
      <c r="K66" s="256" t="s">
        <v>1346</v>
      </c>
    </row>
    <row r="67" spans="1:11" x14ac:dyDescent="0.3">
      <c r="A67" s="256">
        <v>6</v>
      </c>
      <c r="B67" s="257" t="s">
        <v>1358</v>
      </c>
      <c r="C67" s="276">
        <v>44475</v>
      </c>
      <c r="D67" s="257" t="s">
        <v>1308</v>
      </c>
      <c r="E67" s="256" t="s">
        <v>1639</v>
      </c>
      <c r="F67" s="256" t="s">
        <v>1623</v>
      </c>
      <c r="G67" s="258">
        <v>89234000000</v>
      </c>
      <c r="H67" s="265">
        <v>0.1</v>
      </c>
      <c r="I67" s="258">
        <v>8923400000</v>
      </c>
      <c r="J67" s="258">
        <v>98157400000</v>
      </c>
      <c r="K67" s="256" t="s">
        <v>1346</v>
      </c>
    </row>
    <row r="68" spans="1:11" x14ac:dyDescent="0.3">
      <c r="A68" s="256">
        <v>7</v>
      </c>
      <c r="B68" s="257" t="s">
        <v>1360</v>
      </c>
      <c r="C68" s="276">
        <v>44476</v>
      </c>
      <c r="D68" s="257" t="s">
        <v>1318</v>
      </c>
      <c r="E68" s="256" t="s">
        <v>982</v>
      </c>
      <c r="F68" s="256" t="s">
        <v>1648</v>
      </c>
      <c r="G68" s="258">
        <v>60234000000</v>
      </c>
      <c r="H68" s="265">
        <v>0</v>
      </c>
      <c r="I68" s="258">
        <v>0</v>
      </c>
      <c r="J68" s="258">
        <v>60234000000</v>
      </c>
      <c r="K68" s="256" t="s">
        <v>1346</v>
      </c>
    </row>
    <row r="69" spans="1:11" x14ac:dyDescent="0.3">
      <c r="A69" s="256">
        <v>8</v>
      </c>
      <c r="B69" s="257" t="s">
        <v>1362</v>
      </c>
      <c r="C69" s="276">
        <v>44477</v>
      </c>
      <c r="D69" s="257" t="s">
        <v>1327</v>
      </c>
      <c r="E69" s="256" t="s">
        <v>1645</v>
      </c>
      <c r="F69" s="256" t="s">
        <v>1623</v>
      </c>
      <c r="G69" s="258">
        <v>85234000000</v>
      </c>
      <c r="H69" s="265">
        <v>0.1</v>
      </c>
      <c r="I69" s="258">
        <v>8523400000</v>
      </c>
      <c r="J69" s="258">
        <v>93757400000</v>
      </c>
      <c r="K69" s="256" t="s">
        <v>1346</v>
      </c>
    </row>
    <row r="70" spans="1:11" x14ac:dyDescent="0.3">
      <c r="A70" s="256">
        <v>9</v>
      </c>
      <c r="B70" s="257" t="s">
        <v>1364</v>
      </c>
      <c r="C70" s="276">
        <v>44478</v>
      </c>
      <c r="D70" s="257" t="s">
        <v>1309</v>
      </c>
      <c r="E70" s="256" t="s">
        <v>1646</v>
      </c>
      <c r="F70" s="256" t="s">
        <v>1647</v>
      </c>
      <c r="G70" s="258">
        <v>72345000000</v>
      </c>
      <c r="H70" s="265">
        <v>0.1</v>
      </c>
      <c r="I70" s="258">
        <v>7234500000</v>
      </c>
      <c r="J70" s="258">
        <v>79579500000</v>
      </c>
      <c r="K70" s="256" t="s">
        <v>1346</v>
      </c>
    </row>
    <row r="71" spans="1:11" x14ac:dyDescent="0.3">
      <c r="A71" s="256">
        <v>10</v>
      </c>
      <c r="B71" s="257" t="s">
        <v>1366</v>
      </c>
      <c r="C71" s="276">
        <v>44479</v>
      </c>
      <c r="D71" s="257" t="s">
        <v>1287</v>
      </c>
      <c r="E71" s="256" t="s">
        <v>691</v>
      </c>
      <c r="F71" s="256" t="s">
        <v>1623</v>
      </c>
      <c r="G71" s="258">
        <v>90234000000</v>
      </c>
      <c r="H71" s="265">
        <v>0.1</v>
      </c>
      <c r="I71" s="258">
        <v>9023400000</v>
      </c>
      <c r="J71" s="258">
        <v>99257400000</v>
      </c>
      <c r="K71" s="256" t="s">
        <v>1346</v>
      </c>
    </row>
    <row r="72" spans="1:11" x14ac:dyDescent="0.3">
      <c r="A72" s="256">
        <v>11</v>
      </c>
      <c r="B72" s="257" t="s">
        <v>1368</v>
      </c>
      <c r="C72" s="276">
        <v>44480</v>
      </c>
      <c r="D72" s="257" t="s">
        <v>1295</v>
      </c>
      <c r="E72" s="256" t="s">
        <v>1636</v>
      </c>
      <c r="F72" s="256" t="s">
        <v>1648</v>
      </c>
      <c r="G72" s="258">
        <v>61234000000</v>
      </c>
      <c r="H72" s="265">
        <v>0</v>
      </c>
      <c r="I72" s="258">
        <v>0</v>
      </c>
      <c r="J72" s="258">
        <v>61234000000</v>
      </c>
      <c r="K72" s="256" t="s">
        <v>1346</v>
      </c>
    </row>
    <row r="73" spans="1:11" x14ac:dyDescent="0.3">
      <c r="A73" s="256">
        <v>12</v>
      </c>
      <c r="B73" s="257" t="s">
        <v>1371</v>
      </c>
      <c r="C73" s="276">
        <v>44481</v>
      </c>
      <c r="D73" s="257" t="s">
        <v>1303</v>
      </c>
      <c r="E73" s="256" t="s">
        <v>1685</v>
      </c>
      <c r="F73" s="256" t="s">
        <v>1623</v>
      </c>
      <c r="G73" s="258">
        <v>86234000000</v>
      </c>
      <c r="H73" s="265">
        <v>0.1</v>
      </c>
      <c r="I73" s="258">
        <v>8623400000</v>
      </c>
      <c r="J73" s="258">
        <v>94857400000</v>
      </c>
      <c r="K73" s="256" t="s">
        <v>1346</v>
      </c>
    </row>
    <row r="74" spans="1:11" x14ac:dyDescent="0.3">
      <c r="A74" s="256">
        <v>13</v>
      </c>
      <c r="B74" s="257" t="s">
        <v>1373</v>
      </c>
      <c r="C74" s="276">
        <v>44211</v>
      </c>
      <c r="D74" s="257" t="s">
        <v>1258</v>
      </c>
      <c r="E74" s="256" t="s">
        <v>351</v>
      </c>
      <c r="F74" s="256" t="s">
        <v>1647</v>
      </c>
      <c r="G74" s="258">
        <v>73456000000</v>
      </c>
      <c r="H74" s="265">
        <v>0.1</v>
      </c>
      <c r="I74" s="258">
        <v>7345600000</v>
      </c>
      <c r="J74" s="258">
        <v>80801600000</v>
      </c>
      <c r="K74" s="256" t="s">
        <v>1346</v>
      </c>
    </row>
    <row r="75" spans="1:11" x14ac:dyDescent="0.3">
      <c r="A75" s="256">
        <v>14</v>
      </c>
      <c r="B75" s="257" t="s">
        <v>1374</v>
      </c>
      <c r="C75" s="276">
        <v>44242</v>
      </c>
      <c r="D75" s="257" t="s">
        <v>1326</v>
      </c>
      <c r="E75" s="256" t="s">
        <v>1065</v>
      </c>
      <c r="F75" s="256" t="s">
        <v>1623</v>
      </c>
      <c r="G75" s="258">
        <v>91234000000</v>
      </c>
      <c r="H75" s="265">
        <v>0.1</v>
      </c>
      <c r="I75" s="258">
        <v>9123400000</v>
      </c>
      <c r="J75" s="258">
        <v>100357400000</v>
      </c>
      <c r="K75" s="256" t="s">
        <v>1346</v>
      </c>
    </row>
    <row r="76" spans="1:11" x14ac:dyDescent="0.3">
      <c r="A76" s="256">
        <v>15</v>
      </c>
      <c r="B76" s="257" t="s">
        <v>1376</v>
      </c>
      <c r="C76" s="276">
        <v>44270</v>
      </c>
      <c r="D76" s="257" t="s">
        <v>1322</v>
      </c>
      <c r="E76" s="256" t="s">
        <v>1638</v>
      </c>
      <c r="F76" s="256" t="s">
        <v>1648</v>
      </c>
      <c r="G76" s="258">
        <v>62345000000</v>
      </c>
      <c r="H76" s="265">
        <v>0</v>
      </c>
      <c r="I76" s="258">
        <v>0</v>
      </c>
      <c r="J76" s="258">
        <v>62345000000</v>
      </c>
      <c r="K76" s="256" t="s">
        <v>1346</v>
      </c>
    </row>
    <row r="77" spans="1:11" x14ac:dyDescent="0.3">
      <c r="A77" s="256">
        <v>16</v>
      </c>
      <c r="B77" s="257" t="s">
        <v>1378</v>
      </c>
      <c r="C77" s="276">
        <v>44301</v>
      </c>
      <c r="D77" s="257" t="s">
        <v>1284</v>
      </c>
      <c r="E77" s="256" t="s">
        <v>1552</v>
      </c>
      <c r="F77" s="256" t="s">
        <v>1623</v>
      </c>
      <c r="G77" s="258">
        <v>87234000000</v>
      </c>
      <c r="H77" s="265">
        <v>0.1</v>
      </c>
      <c r="I77" s="258">
        <v>8723400000</v>
      </c>
      <c r="J77" s="258">
        <v>95957400000</v>
      </c>
      <c r="K77" s="256" t="s">
        <v>1346</v>
      </c>
    </row>
    <row r="78" spans="1:11" x14ac:dyDescent="0.3">
      <c r="A78" s="256">
        <v>17</v>
      </c>
      <c r="B78" s="257" t="s">
        <v>1379</v>
      </c>
      <c r="C78" s="276">
        <v>44331</v>
      </c>
      <c r="D78" s="257" t="s">
        <v>1268</v>
      </c>
      <c r="E78" s="256" t="s">
        <v>1594</v>
      </c>
      <c r="F78" s="256" t="s">
        <v>1647</v>
      </c>
      <c r="G78" s="258">
        <v>74234000000</v>
      </c>
      <c r="H78" s="265">
        <v>0.1</v>
      </c>
      <c r="I78" s="258">
        <v>7423400000</v>
      </c>
      <c r="J78" s="258">
        <v>81657400000</v>
      </c>
      <c r="K78" s="256" t="s">
        <v>1346</v>
      </c>
    </row>
    <row r="79" spans="1:11" x14ac:dyDescent="0.3">
      <c r="A79" s="256">
        <v>18</v>
      </c>
      <c r="B79" s="257" t="s">
        <v>1381</v>
      </c>
      <c r="C79" s="276">
        <v>44362</v>
      </c>
      <c r="D79" s="257" t="s">
        <v>1280</v>
      </c>
      <c r="E79" s="256" t="s">
        <v>618</v>
      </c>
      <c r="F79" s="256" t="s">
        <v>1623</v>
      </c>
      <c r="G79" s="258">
        <v>92345000000</v>
      </c>
      <c r="H79" s="265">
        <v>0.1</v>
      </c>
      <c r="I79" s="258">
        <v>9234500000</v>
      </c>
      <c r="J79" s="258">
        <v>101579500000</v>
      </c>
      <c r="K79" s="256" t="s">
        <v>1346</v>
      </c>
    </row>
    <row r="80" spans="1:11" x14ac:dyDescent="0.3">
      <c r="A80" s="256">
        <v>19</v>
      </c>
      <c r="B80" s="257" t="s">
        <v>1382</v>
      </c>
      <c r="C80" s="276">
        <v>44392</v>
      </c>
      <c r="D80" s="257" t="s">
        <v>1297</v>
      </c>
      <c r="E80" s="256" t="s">
        <v>1643</v>
      </c>
      <c r="F80" s="256" t="s">
        <v>1648</v>
      </c>
      <c r="G80" s="258">
        <v>63456000000</v>
      </c>
      <c r="H80" s="265">
        <v>0</v>
      </c>
      <c r="I80" s="258">
        <v>0</v>
      </c>
      <c r="J80" s="258">
        <v>63456000000</v>
      </c>
      <c r="K80" s="256" t="s">
        <v>1346</v>
      </c>
    </row>
    <row r="81" spans="1:11" x14ac:dyDescent="0.3">
      <c r="A81" s="256">
        <v>20</v>
      </c>
      <c r="B81" s="257" t="s">
        <v>1383</v>
      </c>
      <c r="C81" s="276">
        <v>44423</v>
      </c>
      <c r="D81" s="257" t="s">
        <v>1395</v>
      </c>
      <c r="E81" s="256" t="s">
        <v>1581</v>
      </c>
      <c r="F81" s="256" t="s">
        <v>1623</v>
      </c>
      <c r="G81" s="258">
        <v>88234000000</v>
      </c>
      <c r="H81" s="265">
        <v>0.1</v>
      </c>
      <c r="I81" s="258">
        <v>8823400000</v>
      </c>
      <c r="J81" s="258">
        <v>97057400000</v>
      </c>
      <c r="K81" s="256" t="s">
        <v>1346</v>
      </c>
    </row>
    <row r="82" spans="1:11" x14ac:dyDescent="0.3">
      <c r="A82" s="256">
        <v>21</v>
      </c>
      <c r="B82" s="257" t="s">
        <v>1203</v>
      </c>
      <c r="C82" s="276">
        <v>44454</v>
      </c>
      <c r="D82" s="257" t="s">
        <v>1260</v>
      </c>
      <c r="E82" s="256" t="s">
        <v>1585</v>
      </c>
      <c r="F82" s="256" t="s">
        <v>1647</v>
      </c>
      <c r="G82" s="258">
        <v>75234000000</v>
      </c>
      <c r="H82" s="265">
        <v>0.1</v>
      </c>
      <c r="I82" s="258">
        <v>7523400000</v>
      </c>
      <c r="J82" s="258">
        <v>82757400000</v>
      </c>
      <c r="K82" s="256" t="s">
        <v>1346</v>
      </c>
    </row>
    <row r="83" spans="1:11" x14ac:dyDescent="0.3">
      <c r="A83" s="256">
        <v>22</v>
      </c>
      <c r="B83" s="257" t="s">
        <v>1204</v>
      </c>
      <c r="C83" s="276">
        <v>44484</v>
      </c>
      <c r="D83" s="257" t="s">
        <v>1285</v>
      </c>
      <c r="E83" s="256" t="s">
        <v>1558</v>
      </c>
      <c r="F83" s="256" t="s">
        <v>1623</v>
      </c>
      <c r="G83" s="258">
        <v>93456000000</v>
      </c>
      <c r="H83" s="265">
        <v>0.1</v>
      </c>
      <c r="I83" s="258">
        <v>9345600000</v>
      </c>
      <c r="J83" s="258">
        <v>102801600000</v>
      </c>
      <c r="K83" s="256" t="s">
        <v>1346</v>
      </c>
    </row>
    <row r="84" spans="1:11" x14ac:dyDescent="0.3">
      <c r="A84" s="256">
        <v>23</v>
      </c>
      <c r="B84" s="257" t="s">
        <v>1205</v>
      </c>
      <c r="C84" s="276">
        <v>44515</v>
      </c>
      <c r="D84" s="257" t="s">
        <v>1256</v>
      </c>
      <c r="E84" s="256" t="s">
        <v>1665</v>
      </c>
      <c r="F84" s="256" t="s">
        <v>1648</v>
      </c>
      <c r="G84" s="258">
        <v>64234000000</v>
      </c>
      <c r="H84" s="265">
        <v>0</v>
      </c>
      <c r="I84" s="258">
        <v>0</v>
      </c>
      <c r="J84" s="258">
        <v>64234000000</v>
      </c>
      <c r="K84" s="256" t="s">
        <v>1346</v>
      </c>
    </row>
    <row r="85" spans="1:11" x14ac:dyDescent="0.3">
      <c r="A85" s="256">
        <v>24</v>
      </c>
      <c r="B85" s="257" t="s">
        <v>1385</v>
      </c>
      <c r="C85" s="276">
        <v>44545</v>
      </c>
      <c r="D85" s="257" t="s">
        <v>1435</v>
      </c>
      <c r="E85" s="256" t="s">
        <v>1577</v>
      </c>
      <c r="F85" s="256" t="s">
        <v>1623</v>
      </c>
      <c r="G85" s="258">
        <v>89345000000</v>
      </c>
      <c r="H85" s="265">
        <v>0.1</v>
      </c>
      <c r="I85" s="258">
        <v>8934500000</v>
      </c>
      <c r="J85" s="258">
        <v>98279500000</v>
      </c>
      <c r="K85" s="256" t="s">
        <v>1346</v>
      </c>
    </row>
    <row r="86" spans="1:11" x14ac:dyDescent="0.3">
      <c r="A86" s="256">
        <v>25</v>
      </c>
      <c r="B86" s="257" t="s">
        <v>1387</v>
      </c>
      <c r="C86" s="276">
        <v>44216</v>
      </c>
      <c r="D86" s="257" t="s">
        <v>1315</v>
      </c>
      <c r="E86" s="256" t="s">
        <v>1637</v>
      </c>
      <c r="F86" s="256" t="s">
        <v>1647</v>
      </c>
      <c r="G86" s="258">
        <v>76234000000</v>
      </c>
      <c r="H86" s="265">
        <v>0.1</v>
      </c>
      <c r="I86" s="258">
        <v>7623400000</v>
      </c>
      <c r="J86" s="258">
        <v>83857400000</v>
      </c>
      <c r="K86" s="256" t="s">
        <v>1346</v>
      </c>
    </row>
    <row r="87" spans="1:11" x14ac:dyDescent="0.3">
      <c r="A87" s="256">
        <v>26</v>
      </c>
      <c r="B87" s="257" t="s">
        <v>1388</v>
      </c>
      <c r="C87" s="276">
        <v>44247</v>
      </c>
      <c r="D87" s="257" t="s">
        <v>1277</v>
      </c>
      <c r="E87" s="256" t="s">
        <v>1582</v>
      </c>
      <c r="F87" s="256" t="s">
        <v>1623</v>
      </c>
      <c r="G87" s="258">
        <v>94234000000</v>
      </c>
      <c r="H87" s="265">
        <v>0.1</v>
      </c>
      <c r="I87" s="258">
        <v>9423400000</v>
      </c>
      <c r="J87" s="258">
        <v>103657400000</v>
      </c>
      <c r="K87" s="256" t="s">
        <v>1346</v>
      </c>
    </row>
    <row r="88" spans="1:11" x14ac:dyDescent="0.3">
      <c r="A88" s="256">
        <v>27</v>
      </c>
      <c r="B88" s="257" t="s">
        <v>1391</v>
      </c>
      <c r="C88" s="276">
        <v>44275</v>
      </c>
      <c r="D88" s="257" t="s">
        <v>1264</v>
      </c>
      <c r="E88" s="256" t="s">
        <v>1584</v>
      </c>
      <c r="F88" s="256" t="s">
        <v>1648</v>
      </c>
      <c r="G88" s="258">
        <v>65234000000</v>
      </c>
      <c r="H88" s="265">
        <v>0</v>
      </c>
      <c r="I88" s="258">
        <v>0</v>
      </c>
      <c r="J88" s="258">
        <v>65234000000</v>
      </c>
      <c r="K88" s="256" t="s">
        <v>1346</v>
      </c>
    </row>
    <row r="89" spans="1:11" x14ac:dyDescent="0.3">
      <c r="A89" s="256">
        <v>28</v>
      </c>
      <c r="B89" s="257" t="s">
        <v>1392</v>
      </c>
      <c r="C89" s="276">
        <v>44306</v>
      </c>
      <c r="D89" s="257" t="s">
        <v>1275</v>
      </c>
      <c r="E89" s="256" t="s">
        <v>1575</v>
      </c>
      <c r="F89" s="256" t="s">
        <v>1623</v>
      </c>
      <c r="G89" s="258">
        <v>90234000000</v>
      </c>
      <c r="H89" s="265">
        <v>0.1</v>
      </c>
      <c r="I89" s="258">
        <v>9023400000</v>
      </c>
      <c r="J89" s="258">
        <v>99257400000</v>
      </c>
      <c r="K89" s="256" t="s">
        <v>1346</v>
      </c>
    </row>
    <row r="90" spans="1:11" x14ac:dyDescent="0.3">
      <c r="A90" s="256">
        <v>29</v>
      </c>
      <c r="B90" s="257" t="s">
        <v>1394</v>
      </c>
      <c r="C90" s="276">
        <v>44336</v>
      </c>
      <c r="D90" s="257" t="s">
        <v>1257</v>
      </c>
      <c r="E90" s="256" t="s">
        <v>1574</v>
      </c>
      <c r="F90" s="256" t="s">
        <v>1647</v>
      </c>
      <c r="G90" s="258">
        <v>77345000000</v>
      </c>
      <c r="H90" s="265">
        <v>0.1</v>
      </c>
      <c r="I90" s="258">
        <v>7734500000</v>
      </c>
      <c r="J90" s="258">
        <v>85079500000</v>
      </c>
      <c r="K90" s="256" t="s">
        <v>1346</v>
      </c>
    </row>
    <row r="91" spans="1:11" x14ac:dyDescent="0.3">
      <c r="A91" s="256">
        <v>30</v>
      </c>
      <c r="B91" s="257" t="s">
        <v>1396</v>
      </c>
      <c r="C91" s="276">
        <v>44367</v>
      </c>
      <c r="D91" s="257" t="s">
        <v>1278</v>
      </c>
      <c r="E91" s="256" t="s">
        <v>1593</v>
      </c>
      <c r="F91" s="256" t="s">
        <v>1623</v>
      </c>
      <c r="G91" s="258">
        <v>95234000000</v>
      </c>
      <c r="H91" s="265">
        <v>0.1</v>
      </c>
      <c r="I91" s="258">
        <v>9523400000</v>
      </c>
      <c r="J91" s="258">
        <v>104757400000</v>
      </c>
      <c r="K91" s="256" t="s">
        <v>1346</v>
      </c>
    </row>
    <row r="92" spans="1:11" x14ac:dyDescent="0.3">
      <c r="A92" s="256">
        <v>31</v>
      </c>
      <c r="B92" s="257" t="s">
        <v>1397</v>
      </c>
      <c r="C92" s="276">
        <v>44397</v>
      </c>
      <c r="D92" s="257" t="s">
        <v>1263</v>
      </c>
      <c r="E92" s="256" t="s">
        <v>1579</v>
      </c>
      <c r="F92" s="256" t="s">
        <v>1648</v>
      </c>
      <c r="G92" s="258">
        <v>66234000000</v>
      </c>
      <c r="H92" s="265">
        <v>0</v>
      </c>
      <c r="I92" s="258">
        <v>0</v>
      </c>
      <c r="J92" s="258">
        <v>66234000000</v>
      </c>
      <c r="K92" s="256" t="s">
        <v>1346</v>
      </c>
    </row>
    <row r="93" spans="1:11" x14ac:dyDescent="0.3">
      <c r="A93" s="256">
        <v>32</v>
      </c>
      <c r="B93" s="257" t="s">
        <v>1398</v>
      </c>
      <c r="C93" s="276">
        <v>44428</v>
      </c>
      <c r="D93" s="257" t="s">
        <v>1308</v>
      </c>
      <c r="E93" s="256" t="s">
        <v>1639</v>
      </c>
      <c r="F93" s="256" t="s">
        <v>1623</v>
      </c>
      <c r="G93" s="258">
        <v>91234000000</v>
      </c>
      <c r="H93" s="265">
        <v>0.1</v>
      </c>
      <c r="I93" s="258">
        <v>9123400000</v>
      </c>
      <c r="J93" s="258">
        <v>100357400000</v>
      </c>
      <c r="K93" s="256" t="s">
        <v>1346</v>
      </c>
    </row>
    <row r="94" spans="1:11" x14ac:dyDescent="0.3">
      <c r="A94" s="256">
        <v>33</v>
      </c>
      <c r="B94" s="257" t="s">
        <v>1399</v>
      </c>
      <c r="C94" s="276">
        <v>44459</v>
      </c>
      <c r="D94" s="257" t="s">
        <v>1262</v>
      </c>
      <c r="E94" s="256" t="s">
        <v>1556</v>
      </c>
      <c r="F94" s="256" t="s">
        <v>1647</v>
      </c>
      <c r="G94" s="258">
        <v>78234000000</v>
      </c>
      <c r="H94" s="265">
        <v>0.1</v>
      </c>
      <c r="I94" s="258">
        <v>7823400000</v>
      </c>
      <c r="J94" s="258">
        <v>86057400000</v>
      </c>
      <c r="K94" s="256" t="s">
        <v>1346</v>
      </c>
    </row>
    <row r="95" spans="1:11" x14ac:dyDescent="0.3">
      <c r="A95" s="256">
        <v>34</v>
      </c>
      <c r="B95" s="257" t="s">
        <v>1401</v>
      </c>
      <c r="C95" s="276">
        <v>44489</v>
      </c>
      <c r="D95" s="257" t="s">
        <v>1384</v>
      </c>
      <c r="E95" s="256" t="s">
        <v>1565</v>
      </c>
      <c r="F95" s="256" t="s">
        <v>1623</v>
      </c>
      <c r="G95" s="258">
        <v>96234000000</v>
      </c>
      <c r="H95" s="265">
        <v>0.1</v>
      </c>
      <c r="I95" s="258">
        <v>9623400000</v>
      </c>
      <c r="J95" s="258">
        <v>105857400000</v>
      </c>
      <c r="K95" s="256" t="s">
        <v>1346</v>
      </c>
    </row>
    <row r="96" spans="1:11" x14ac:dyDescent="0.3">
      <c r="A96" s="256">
        <v>35</v>
      </c>
      <c r="B96" s="257" t="s">
        <v>1402</v>
      </c>
      <c r="C96" s="276">
        <v>44520</v>
      </c>
      <c r="D96" s="257" t="s">
        <v>1333</v>
      </c>
      <c r="E96" s="256" t="s">
        <v>1134</v>
      </c>
      <c r="F96" s="256" t="s">
        <v>1648</v>
      </c>
      <c r="G96" s="258">
        <v>67234000000</v>
      </c>
      <c r="H96" s="265">
        <v>0</v>
      </c>
      <c r="I96" s="258">
        <v>0</v>
      </c>
      <c r="J96" s="258">
        <v>67234000000</v>
      </c>
      <c r="K96" s="256" t="s">
        <v>1346</v>
      </c>
    </row>
    <row r="97" spans="1:11" x14ac:dyDescent="0.3">
      <c r="A97" s="256">
        <v>36</v>
      </c>
      <c r="B97" s="257" t="s">
        <v>1403</v>
      </c>
      <c r="C97" s="276">
        <v>44550</v>
      </c>
      <c r="D97" s="257" t="s">
        <v>1259</v>
      </c>
      <c r="E97" s="256" t="s">
        <v>1569</v>
      </c>
      <c r="F97" s="256" t="s">
        <v>1623</v>
      </c>
      <c r="G97" s="258">
        <v>92234000000</v>
      </c>
      <c r="H97" s="265">
        <v>0.1</v>
      </c>
      <c r="I97" s="258">
        <v>9223400000</v>
      </c>
      <c r="J97" s="258">
        <v>101457400000</v>
      </c>
      <c r="K97" s="256" t="s">
        <v>1346</v>
      </c>
    </row>
    <row r="98" spans="1:11" x14ac:dyDescent="0.3">
      <c r="A98" s="256">
        <v>37</v>
      </c>
      <c r="B98" s="257" t="s">
        <v>1404</v>
      </c>
      <c r="C98" s="276">
        <v>44221</v>
      </c>
      <c r="D98" s="257" t="s">
        <v>1274</v>
      </c>
      <c r="E98" s="256" t="s">
        <v>1592</v>
      </c>
      <c r="F98" s="256" t="s">
        <v>1647</v>
      </c>
      <c r="G98" s="258">
        <v>79234000000</v>
      </c>
      <c r="H98" s="265">
        <v>0.1</v>
      </c>
      <c r="I98" s="258">
        <v>7923400000</v>
      </c>
      <c r="J98" s="258">
        <v>87157400000</v>
      </c>
      <c r="K98" s="256" t="s">
        <v>1346</v>
      </c>
    </row>
    <row r="99" spans="1:11" x14ac:dyDescent="0.3">
      <c r="A99" s="256">
        <v>38</v>
      </c>
      <c r="B99" s="257" t="s">
        <v>1405</v>
      </c>
      <c r="C99" s="276">
        <v>44252</v>
      </c>
      <c r="D99" s="257" t="s">
        <v>1283</v>
      </c>
      <c r="E99" s="256" t="s">
        <v>1588</v>
      </c>
      <c r="F99" s="256" t="s">
        <v>1623</v>
      </c>
      <c r="G99" s="258">
        <v>97234000000</v>
      </c>
      <c r="H99" s="265">
        <v>0.1</v>
      </c>
      <c r="I99" s="258">
        <v>9723400000</v>
      </c>
      <c r="J99" s="258">
        <v>106957400000</v>
      </c>
      <c r="K99" s="256" t="s">
        <v>1346</v>
      </c>
    </row>
    <row r="100" spans="1:11" x14ac:dyDescent="0.3">
      <c r="A100" s="256">
        <v>39</v>
      </c>
      <c r="B100" s="257" t="s">
        <v>1406</v>
      </c>
      <c r="C100" s="276">
        <v>44280</v>
      </c>
      <c r="D100" s="257" t="s">
        <v>1273</v>
      </c>
      <c r="E100" s="256" t="s">
        <v>1567</v>
      </c>
      <c r="F100" s="256" t="s">
        <v>1648</v>
      </c>
      <c r="G100" s="258">
        <v>68234000000</v>
      </c>
      <c r="H100" s="265">
        <v>0</v>
      </c>
      <c r="I100" s="258">
        <v>0</v>
      </c>
      <c r="J100" s="258">
        <v>68234000000</v>
      </c>
      <c r="K100" s="256" t="s">
        <v>1346</v>
      </c>
    </row>
    <row r="101" spans="1:11" x14ac:dyDescent="0.3">
      <c r="A101" s="256">
        <v>40</v>
      </c>
      <c r="B101" s="257" t="s">
        <v>1408</v>
      </c>
      <c r="C101" s="276">
        <v>44311</v>
      </c>
      <c r="D101" s="257" t="s">
        <v>1416</v>
      </c>
      <c r="E101" s="256" t="s">
        <v>1562</v>
      </c>
      <c r="F101" s="256" t="s">
        <v>1623</v>
      </c>
      <c r="G101" s="258">
        <v>93234000000</v>
      </c>
      <c r="H101" s="265">
        <v>0.1</v>
      </c>
      <c r="I101" s="258">
        <v>9323400000</v>
      </c>
      <c r="J101" s="258">
        <v>102557400000</v>
      </c>
      <c r="K101" s="256" t="s">
        <v>1346</v>
      </c>
    </row>
    <row r="102" spans="1:11" x14ac:dyDescent="0.3">
      <c r="A102" s="256">
        <v>41</v>
      </c>
      <c r="B102" s="257" t="s">
        <v>1409</v>
      </c>
      <c r="C102" s="276">
        <v>44341</v>
      </c>
      <c r="D102" s="257" t="s">
        <v>1281</v>
      </c>
      <c r="E102" s="256" t="s">
        <v>1559</v>
      </c>
      <c r="F102" s="256" t="s">
        <v>1647</v>
      </c>
      <c r="G102" s="258">
        <v>80234000000</v>
      </c>
      <c r="H102" s="265">
        <v>0.1</v>
      </c>
      <c r="I102" s="258">
        <v>8023400000</v>
      </c>
      <c r="J102" s="258">
        <v>88257400000</v>
      </c>
      <c r="K102" s="256" t="s">
        <v>1346</v>
      </c>
    </row>
    <row r="103" spans="1:11" x14ac:dyDescent="0.3">
      <c r="A103" s="256">
        <v>42</v>
      </c>
      <c r="B103" s="257" t="s">
        <v>1411</v>
      </c>
      <c r="C103" s="276">
        <v>44372</v>
      </c>
      <c r="D103" s="257" t="s">
        <v>1289</v>
      </c>
      <c r="E103" s="256" t="s">
        <v>1640</v>
      </c>
      <c r="F103" s="256" t="s">
        <v>1623</v>
      </c>
      <c r="G103" s="258">
        <v>98234000000</v>
      </c>
      <c r="H103" s="265">
        <v>0.1</v>
      </c>
      <c r="I103" s="258">
        <v>9823400000</v>
      </c>
      <c r="J103" s="258">
        <v>108057400000</v>
      </c>
      <c r="K103" s="256" t="s">
        <v>1346</v>
      </c>
    </row>
    <row r="104" spans="1:11" x14ac:dyDescent="0.3">
      <c r="A104" s="256">
        <v>43</v>
      </c>
      <c r="B104" s="257" t="s">
        <v>1414</v>
      </c>
      <c r="C104" s="276">
        <v>44402</v>
      </c>
      <c r="D104" s="257" t="s">
        <v>1269</v>
      </c>
      <c r="E104" s="256" t="s">
        <v>1641</v>
      </c>
      <c r="F104" s="256" t="s">
        <v>1648</v>
      </c>
      <c r="G104" s="258">
        <v>69234000000</v>
      </c>
      <c r="H104" s="265">
        <v>0</v>
      </c>
      <c r="I104" s="258">
        <v>0</v>
      </c>
      <c r="J104" s="258">
        <v>69234000000</v>
      </c>
      <c r="K104" s="256" t="s">
        <v>1346</v>
      </c>
    </row>
    <row r="105" spans="1:11" x14ac:dyDescent="0.3">
      <c r="A105" s="256">
        <v>44</v>
      </c>
      <c r="B105" s="257" t="s">
        <v>1415</v>
      </c>
      <c r="C105" s="276">
        <v>44433</v>
      </c>
      <c r="D105" s="257" t="s">
        <v>1428</v>
      </c>
      <c r="E105" s="256" t="s">
        <v>1557</v>
      </c>
      <c r="F105" s="256" t="s">
        <v>1623</v>
      </c>
      <c r="G105" s="258">
        <v>94234000000</v>
      </c>
      <c r="H105" s="265">
        <v>0.1</v>
      </c>
      <c r="I105" s="258">
        <v>9423400000</v>
      </c>
      <c r="J105" s="258">
        <v>103657400000</v>
      </c>
      <c r="K105" s="256" t="s">
        <v>1346</v>
      </c>
    </row>
    <row r="106" spans="1:11" x14ac:dyDescent="0.3">
      <c r="A106" s="256">
        <v>45</v>
      </c>
      <c r="B106" s="257" t="s">
        <v>1206</v>
      </c>
      <c r="C106" s="276">
        <v>44464</v>
      </c>
      <c r="D106" s="257" t="s">
        <v>1313</v>
      </c>
      <c r="E106" s="256" t="s">
        <v>1642</v>
      </c>
      <c r="F106" s="256" t="s">
        <v>1647</v>
      </c>
      <c r="G106" s="258">
        <v>81234000000</v>
      </c>
      <c r="H106" s="265">
        <v>0.1</v>
      </c>
      <c r="I106" s="258">
        <v>8123400000</v>
      </c>
      <c r="J106" s="258">
        <v>89357400000</v>
      </c>
      <c r="K106" s="256" t="s">
        <v>1346</v>
      </c>
    </row>
    <row r="107" spans="1:11" x14ac:dyDescent="0.3">
      <c r="A107" s="256">
        <v>46</v>
      </c>
      <c r="B107" s="257" t="s">
        <v>1207</v>
      </c>
      <c r="C107" s="276">
        <v>44494</v>
      </c>
      <c r="D107" s="257" t="s">
        <v>1297</v>
      </c>
      <c r="E107" s="256" t="s">
        <v>1643</v>
      </c>
      <c r="F107" s="256" t="s">
        <v>1623</v>
      </c>
      <c r="G107" s="258">
        <v>99234000000</v>
      </c>
      <c r="H107" s="265">
        <v>0.1</v>
      </c>
      <c r="I107" s="258">
        <v>9923400000</v>
      </c>
      <c r="J107" s="258">
        <v>109157400000</v>
      </c>
      <c r="K107" s="256" t="s">
        <v>1346</v>
      </c>
    </row>
    <row r="108" spans="1:11" x14ac:dyDescent="0.3">
      <c r="A108" s="256">
        <v>47</v>
      </c>
      <c r="B108" s="257" t="s">
        <v>1208</v>
      </c>
      <c r="C108" s="276">
        <v>44525</v>
      </c>
      <c r="D108" s="257" t="s">
        <v>1310</v>
      </c>
      <c r="E108" s="256" t="s">
        <v>1635</v>
      </c>
      <c r="F108" s="256" t="s">
        <v>1648</v>
      </c>
      <c r="G108" s="258">
        <v>70234000000</v>
      </c>
      <c r="H108" s="265">
        <v>0</v>
      </c>
      <c r="I108" s="258">
        <v>0</v>
      </c>
      <c r="J108" s="258">
        <v>70234000000</v>
      </c>
      <c r="K108" s="256" t="s">
        <v>1346</v>
      </c>
    </row>
    <row r="109" spans="1:11" x14ac:dyDescent="0.3">
      <c r="A109" s="256">
        <v>48</v>
      </c>
      <c r="B109" s="257" t="s">
        <v>1209</v>
      </c>
      <c r="C109" s="276">
        <v>44555</v>
      </c>
      <c r="D109" s="257" t="s">
        <v>1290</v>
      </c>
      <c r="E109" s="256" t="s">
        <v>715</v>
      </c>
      <c r="F109" s="256" t="s">
        <v>1623</v>
      </c>
      <c r="G109" s="258">
        <v>95234000000</v>
      </c>
      <c r="H109" s="265">
        <v>0.1</v>
      </c>
      <c r="I109" s="258">
        <v>9523400000</v>
      </c>
      <c r="J109" s="258">
        <v>104757400000</v>
      </c>
      <c r="K109" s="256" t="s">
        <v>1346</v>
      </c>
    </row>
    <row r="110" spans="1:11" x14ac:dyDescent="0.3">
      <c r="A110" s="256">
        <v>49</v>
      </c>
      <c r="B110" s="257" t="s">
        <v>1418</v>
      </c>
      <c r="C110" s="276">
        <v>44255</v>
      </c>
      <c r="D110" s="257" t="s">
        <v>1273</v>
      </c>
      <c r="E110" s="256" t="s">
        <v>1567</v>
      </c>
      <c r="F110" s="256" t="s">
        <v>1647</v>
      </c>
      <c r="G110" s="258">
        <v>82234000000</v>
      </c>
      <c r="H110" s="265">
        <v>0.1</v>
      </c>
      <c r="I110" s="258">
        <v>8223400000</v>
      </c>
      <c r="J110" s="258">
        <v>90457400000</v>
      </c>
      <c r="K110" s="256" t="s">
        <v>1346</v>
      </c>
    </row>
    <row r="111" spans="1:11" x14ac:dyDescent="0.3">
      <c r="A111" s="256">
        <v>50</v>
      </c>
      <c r="B111" s="257" t="s">
        <v>1419</v>
      </c>
      <c r="C111" s="276">
        <v>44561</v>
      </c>
      <c r="D111" s="257" t="s">
        <v>1395</v>
      </c>
      <c r="E111" s="256" t="s">
        <v>1581</v>
      </c>
      <c r="F111" s="256" t="s">
        <v>1623</v>
      </c>
      <c r="G111" s="258">
        <v>100234000000</v>
      </c>
      <c r="H111" s="265">
        <v>0.1</v>
      </c>
      <c r="I111" s="258">
        <v>10023400000</v>
      </c>
      <c r="J111" s="258">
        <v>110257400000</v>
      </c>
      <c r="K111" s="256" t="s">
        <v>1346</v>
      </c>
    </row>
    <row r="112" spans="1:11" x14ac:dyDescent="0.3">
      <c r="A112" s="266" t="s">
        <v>1351</v>
      </c>
      <c r="B112" s="266"/>
      <c r="C112" s="266"/>
      <c r="D112" s="266"/>
      <c r="E112" s="266"/>
      <c r="F112" s="266"/>
      <c r="G112" s="267">
        <f>SUM(G62:G111)</f>
        <v>4073810000000</v>
      </c>
      <c r="H112" s="266"/>
      <c r="I112" s="267">
        <f>SUM(I62:I111)</f>
        <v>329700200000</v>
      </c>
      <c r="J112" s="267">
        <f>SUM(J62:J111)</f>
        <v>4403510200000</v>
      </c>
      <c r="K112" s="26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511</v>
      </c>
      <c r="C1" s="256"/>
      <c r="D1" s="256"/>
      <c r="E1" s="256"/>
      <c r="F1" s="256"/>
      <c r="G1" s="256"/>
      <c r="H1" s="256"/>
      <c r="I1" s="256"/>
      <c r="J1" s="256"/>
      <c r="K1" s="256"/>
    </row>
    <row r="2" spans="1:11" x14ac:dyDescent="0.3">
      <c r="A2" s="256" t="s">
        <v>1339</v>
      </c>
      <c r="B2" s="257">
        <v>101452549</v>
      </c>
      <c r="C2" s="256"/>
      <c r="D2" s="256"/>
      <c r="E2" s="256"/>
      <c r="F2" s="256"/>
      <c r="G2" s="256"/>
      <c r="H2" s="256"/>
      <c r="I2" s="256"/>
      <c r="J2" s="256"/>
      <c r="K2" s="256"/>
    </row>
    <row r="3" spans="1:11" x14ac:dyDescent="0.3">
      <c r="A3" s="256" t="s">
        <v>1343</v>
      </c>
      <c r="B3" s="258">
        <v>7132738085336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1204</v>
      </c>
      <c r="C8" s="276">
        <v>44317</v>
      </c>
      <c r="D8" s="257" t="s">
        <v>1266</v>
      </c>
      <c r="E8" s="256" t="s">
        <v>1686</v>
      </c>
      <c r="F8" s="256" t="s">
        <v>1687</v>
      </c>
      <c r="G8" s="258">
        <v>65606000000</v>
      </c>
      <c r="H8" s="265">
        <v>0.1</v>
      </c>
      <c r="I8" s="258">
        <v>6560600000</v>
      </c>
      <c r="J8" s="258">
        <v>72166600000</v>
      </c>
      <c r="K8" s="256" t="s">
        <v>1346</v>
      </c>
    </row>
    <row r="9" spans="1:11" x14ac:dyDescent="0.3">
      <c r="A9" s="256">
        <v>2</v>
      </c>
      <c r="B9" s="257" t="s">
        <v>1371</v>
      </c>
      <c r="C9" s="276">
        <v>44318</v>
      </c>
      <c r="D9" s="257" t="s">
        <v>1255</v>
      </c>
      <c r="E9" s="256" t="s">
        <v>1688</v>
      </c>
      <c r="F9" s="256" t="s">
        <v>1689</v>
      </c>
      <c r="G9" s="258">
        <v>52250000000</v>
      </c>
      <c r="H9" s="265">
        <v>0.1</v>
      </c>
      <c r="I9" s="258">
        <v>5225000000</v>
      </c>
      <c r="J9" s="258">
        <v>57475000000</v>
      </c>
      <c r="K9" s="256" t="s">
        <v>1346</v>
      </c>
    </row>
    <row r="10" spans="1:11" x14ac:dyDescent="0.3">
      <c r="A10" s="256">
        <v>3</v>
      </c>
      <c r="B10" s="257" t="s">
        <v>1205</v>
      </c>
      <c r="C10" s="276">
        <v>44319</v>
      </c>
      <c r="D10" s="257" t="s">
        <v>1266</v>
      </c>
      <c r="E10" s="256" t="s">
        <v>1686</v>
      </c>
      <c r="F10" s="256" t="s">
        <v>1690</v>
      </c>
      <c r="G10" s="258">
        <v>114520000000</v>
      </c>
      <c r="H10" s="265">
        <v>0.1</v>
      </c>
      <c r="I10" s="258">
        <v>11452000000</v>
      </c>
      <c r="J10" s="258">
        <v>125972000000</v>
      </c>
      <c r="K10" s="256" t="s">
        <v>1346</v>
      </c>
    </row>
    <row r="11" spans="1:11" x14ac:dyDescent="0.3">
      <c r="A11" s="256">
        <v>4</v>
      </c>
      <c r="B11" s="257" t="s">
        <v>1202</v>
      </c>
      <c r="C11" s="276">
        <v>44320</v>
      </c>
      <c r="D11" s="257" t="s">
        <v>1288</v>
      </c>
      <c r="E11" s="256" t="s">
        <v>1691</v>
      </c>
      <c r="F11" s="256" t="s">
        <v>1692</v>
      </c>
      <c r="G11" s="258">
        <v>77876000000</v>
      </c>
      <c r="H11" s="265">
        <v>0.1</v>
      </c>
      <c r="I11" s="258">
        <v>7787600000</v>
      </c>
      <c r="J11" s="258">
        <v>85663600000</v>
      </c>
      <c r="K11" s="256" t="s">
        <v>1346</v>
      </c>
    </row>
    <row r="12" spans="1:11" x14ac:dyDescent="0.3">
      <c r="A12" s="256">
        <v>5</v>
      </c>
      <c r="B12" s="257" t="s">
        <v>1201</v>
      </c>
      <c r="C12" s="276">
        <v>44322</v>
      </c>
      <c r="D12" s="257" t="s">
        <v>1292</v>
      </c>
      <c r="E12" s="256" t="s">
        <v>1693</v>
      </c>
      <c r="F12" s="256" t="s">
        <v>1687</v>
      </c>
      <c r="G12" s="258">
        <v>85000000000</v>
      </c>
      <c r="H12" s="265">
        <v>0.1</v>
      </c>
      <c r="I12" s="258">
        <v>8500000000</v>
      </c>
      <c r="J12" s="258">
        <v>93500000000</v>
      </c>
      <c r="K12" s="256" t="s">
        <v>1346</v>
      </c>
    </row>
    <row r="13" spans="1:11" x14ac:dyDescent="0.3">
      <c r="A13" s="256">
        <v>6</v>
      </c>
      <c r="B13" s="257" t="s">
        <v>1373</v>
      </c>
      <c r="C13" s="276">
        <v>44323</v>
      </c>
      <c r="D13" s="257" t="s">
        <v>1258</v>
      </c>
      <c r="E13" s="256" t="s">
        <v>1694</v>
      </c>
      <c r="F13" s="256" t="s">
        <v>1695</v>
      </c>
      <c r="G13" s="258">
        <v>132709000000</v>
      </c>
      <c r="H13" s="265">
        <v>0.1</v>
      </c>
      <c r="I13" s="258">
        <v>13270900000</v>
      </c>
      <c r="J13" s="258">
        <v>145979900000</v>
      </c>
      <c r="K13" s="256" t="s">
        <v>1346</v>
      </c>
    </row>
    <row r="14" spans="1:11" x14ac:dyDescent="0.3">
      <c r="A14" s="256">
        <v>7</v>
      </c>
      <c r="B14" s="257" t="s">
        <v>1371</v>
      </c>
      <c r="C14" s="276">
        <v>44324</v>
      </c>
      <c r="D14" s="257" t="s">
        <v>1276</v>
      </c>
      <c r="E14" s="256" t="s">
        <v>1696</v>
      </c>
      <c r="F14" s="256" t="s">
        <v>1695</v>
      </c>
      <c r="G14" s="258">
        <v>131887000000</v>
      </c>
      <c r="H14" s="265">
        <v>0.1</v>
      </c>
      <c r="I14" s="258">
        <v>13188700000</v>
      </c>
      <c r="J14" s="258">
        <v>145075700000</v>
      </c>
      <c r="K14" s="256" t="s">
        <v>1346</v>
      </c>
    </row>
    <row r="15" spans="1:11" x14ac:dyDescent="0.3">
      <c r="A15" s="256">
        <v>8</v>
      </c>
      <c r="B15" s="257" t="s">
        <v>1373</v>
      </c>
      <c r="C15" s="276">
        <v>44325</v>
      </c>
      <c r="D15" s="257" t="s">
        <v>1276</v>
      </c>
      <c r="E15" s="256" t="s">
        <v>1696</v>
      </c>
      <c r="F15" s="256" t="s">
        <v>1697</v>
      </c>
      <c r="G15" s="258">
        <v>104407000000</v>
      </c>
      <c r="H15" s="265">
        <v>0.1</v>
      </c>
      <c r="I15" s="258">
        <v>10440700000</v>
      </c>
      <c r="J15" s="258">
        <v>114847700000</v>
      </c>
      <c r="K15" s="256" t="s">
        <v>1346</v>
      </c>
    </row>
    <row r="16" spans="1:11" x14ac:dyDescent="0.3">
      <c r="A16" s="256">
        <v>9</v>
      </c>
      <c r="B16" s="257" t="s">
        <v>1371</v>
      </c>
      <c r="C16" s="276">
        <v>44327</v>
      </c>
      <c r="D16" s="257" t="s">
        <v>1256</v>
      </c>
      <c r="E16" s="256" t="s">
        <v>1698</v>
      </c>
      <c r="F16" s="256" t="s">
        <v>1699</v>
      </c>
      <c r="G16" s="258">
        <v>56309000000</v>
      </c>
      <c r="H16" s="265">
        <v>0.1</v>
      </c>
      <c r="I16" s="258">
        <v>5630900000</v>
      </c>
      <c r="J16" s="258">
        <v>61939900000</v>
      </c>
      <c r="K16" s="256" t="s">
        <v>1346</v>
      </c>
    </row>
    <row r="17" spans="1:11" x14ac:dyDescent="0.3">
      <c r="A17" s="256">
        <v>10</v>
      </c>
      <c r="B17" s="257" t="s">
        <v>1205</v>
      </c>
      <c r="C17" s="276">
        <v>44328</v>
      </c>
      <c r="D17" s="257" t="s">
        <v>1259</v>
      </c>
      <c r="E17" s="256" t="s">
        <v>1700</v>
      </c>
      <c r="F17" s="256" t="s">
        <v>1697</v>
      </c>
      <c r="G17" s="258">
        <v>137337000000</v>
      </c>
      <c r="H17" s="265">
        <v>0</v>
      </c>
      <c r="I17" s="258">
        <v>0</v>
      </c>
      <c r="J17" s="258">
        <v>137337000000</v>
      </c>
      <c r="K17" s="256" t="s">
        <v>1346</v>
      </c>
    </row>
    <row r="18" spans="1:11" x14ac:dyDescent="0.3">
      <c r="A18" s="256">
        <v>11</v>
      </c>
      <c r="B18" s="257" t="s">
        <v>1374</v>
      </c>
      <c r="C18" s="276">
        <v>44470</v>
      </c>
      <c r="D18" s="257" t="s">
        <v>1276</v>
      </c>
      <c r="E18" s="256" t="s">
        <v>1696</v>
      </c>
      <c r="F18" s="256" t="s">
        <v>1687</v>
      </c>
      <c r="G18" s="258">
        <v>105402000000</v>
      </c>
      <c r="H18" s="265">
        <v>0.1</v>
      </c>
      <c r="I18" s="258">
        <v>10540200000</v>
      </c>
      <c r="J18" s="258">
        <v>115942200000</v>
      </c>
      <c r="K18" s="256" t="s">
        <v>1346</v>
      </c>
    </row>
    <row r="19" spans="1:11" x14ac:dyDescent="0.3">
      <c r="A19" s="256">
        <v>12</v>
      </c>
      <c r="B19" s="257" t="s">
        <v>1378</v>
      </c>
      <c r="C19" s="276">
        <v>44471</v>
      </c>
      <c r="D19" s="257" t="s">
        <v>1267</v>
      </c>
      <c r="E19" s="256" t="s">
        <v>1701</v>
      </c>
      <c r="F19" s="256" t="s">
        <v>1697</v>
      </c>
      <c r="G19" s="258">
        <v>52195000000</v>
      </c>
      <c r="H19" s="265">
        <v>0.1</v>
      </c>
      <c r="I19" s="258">
        <v>5219500000</v>
      </c>
      <c r="J19" s="258">
        <v>57414500000</v>
      </c>
      <c r="K19" s="256" t="s">
        <v>1346</v>
      </c>
    </row>
    <row r="20" spans="1:11" x14ac:dyDescent="0.3">
      <c r="A20" s="256">
        <v>13</v>
      </c>
      <c r="B20" s="257" t="s">
        <v>1364</v>
      </c>
      <c r="C20" s="276">
        <v>44472</v>
      </c>
      <c r="D20" s="257" t="s">
        <v>1270</v>
      </c>
      <c r="E20" s="256" t="s">
        <v>1702</v>
      </c>
      <c r="F20" s="256" t="s">
        <v>1687</v>
      </c>
      <c r="G20" s="258">
        <v>77900000000</v>
      </c>
      <c r="H20" s="265">
        <v>0.1</v>
      </c>
      <c r="I20" s="258">
        <v>7790000000</v>
      </c>
      <c r="J20" s="258">
        <v>85690000000</v>
      </c>
      <c r="K20" s="256" t="s">
        <v>1346</v>
      </c>
    </row>
    <row r="21" spans="1:11" x14ac:dyDescent="0.3">
      <c r="A21" s="256">
        <v>14</v>
      </c>
      <c r="B21" s="257" t="s">
        <v>1368</v>
      </c>
      <c r="C21" s="276">
        <v>44474</v>
      </c>
      <c r="D21" s="257" t="s">
        <v>1289</v>
      </c>
      <c r="E21" s="256" t="s">
        <v>1703</v>
      </c>
      <c r="F21" s="256" t="s">
        <v>1697</v>
      </c>
      <c r="G21" s="258">
        <v>86248000000</v>
      </c>
      <c r="H21" s="265">
        <v>0.1</v>
      </c>
      <c r="I21" s="258">
        <v>8624800000</v>
      </c>
      <c r="J21" s="258">
        <v>94872800000</v>
      </c>
      <c r="K21" s="256" t="s">
        <v>1346</v>
      </c>
    </row>
    <row r="22" spans="1:11" x14ac:dyDescent="0.3">
      <c r="A22" s="256">
        <v>15</v>
      </c>
      <c r="B22" s="257" t="s">
        <v>1204</v>
      </c>
      <c r="C22" s="276">
        <v>44475</v>
      </c>
      <c r="D22" s="257" t="s">
        <v>1273</v>
      </c>
      <c r="E22" s="256" t="s">
        <v>1704</v>
      </c>
      <c r="F22" s="256" t="s">
        <v>1689</v>
      </c>
      <c r="G22" s="258">
        <v>152908000000</v>
      </c>
      <c r="H22" s="265">
        <v>0.1</v>
      </c>
      <c r="I22" s="258">
        <v>15290800000</v>
      </c>
      <c r="J22" s="258">
        <v>168198800000</v>
      </c>
      <c r="K22" s="256" t="s">
        <v>1346</v>
      </c>
    </row>
    <row r="23" spans="1:11" x14ac:dyDescent="0.3">
      <c r="A23" s="256">
        <v>16</v>
      </c>
      <c r="B23" s="257" t="s">
        <v>1356</v>
      </c>
      <c r="C23" s="276">
        <v>44476</v>
      </c>
      <c r="D23" s="257" t="s">
        <v>1265</v>
      </c>
      <c r="E23" s="256" t="s">
        <v>1705</v>
      </c>
      <c r="F23" s="256" t="s">
        <v>1690</v>
      </c>
      <c r="G23" s="258">
        <v>95885000000</v>
      </c>
      <c r="H23" s="265">
        <v>0</v>
      </c>
      <c r="I23" s="258">
        <v>0</v>
      </c>
      <c r="J23" s="258">
        <v>95885000000</v>
      </c>
      <c r="K23" s="256" t="s">
        <v>1346</v>
      </c>
    </row>
    <row r="24" spans="1:11" x14ac:dyDescent="0.3">
      <c r="A24" s="256">
        <v>17</v>
      </c>
      <c r="B24" s="257" t="s">
        <v>1358</v>
      </c>
      <c r="C24" s="276">
        <v>44477</v>
      </c>
      <c r="D24" s="257" t="s">
        <v>1265</v>
      </c>
      <c r="E24" s="256" t="s">
        <v>1705</v>
      </c>
      <c r="F24" s="256" t="s">
        <v>1697</v>
      </c>
      <c r="G24" s="258">
        <v>146070000000</v>
      </c>
      <c r="H24" s="265">
        <v>0.1</v>
      </c>
      <c r="I24" s="258">
        <v>14607000000</v>
      </c>
      <c r="J24" s="258">
        <v>160677000000</v>
      </c>
      <c r="K24" s="256" t="s">
        <v>1346</v>
      </c>
    </row>
    <row r="25" spans="1:11" x14ac:dyDescent="0.3">
      <c r="A25" s="256">
        <v>18</v>
      </c>
      <c r="B25" s="257" t="s">
        <v>1379</v>
      </c>
      <c r="C25" s="276">
        <v>44478</v>
      </c>
      <c r="D25" s="257" t="s">
        <v>1267</v>
      </c>
      <c r="E25" s="256" t="s">
        <v>1701</v>
      </c>
      <c r="F25" s="256" t="s">
        <v>1699</v>
      </c>
      <c r="G25" s="258">
        <v>112364000000</v>
      </c>
      <c r="H25" s="265">
        <v>0.1</v>
      </c>
      <c r="I25" s="258">
        <v>11236400000</v>
      </c>
      <c r="J25" s="258">
        <v>123600400000</v>
      </c>
      <c r="K25" s="256" t="s">
        <v>1346</v>
      </c>
    </row>
    <row r="26" spans="1:11" x14ac:dyDescent="0.3">
      <c r="A26" s="256">
        <v>19</v>
      </c>
      <c r="B26" s="257" t="s">
        <v>1392</v>
      </c>
      <c r="C26" s="276">
        <v>44479</v>
      </c>
      <c r="D26" s="257" t="s">
        <v>1284</v>
      </c>
      <c r="E26" s="256" t="s">
        <v>1706</v>
      </c>
      <c r="F26" s="256" t="s">
        <v>1697</v>
      </c>
      <c r="G26" s="258">
        <v>127652000000</v>
      </c>
      <c r="H26" s="265">
        <v>0.1</v>
      </c>
      <c r="I26" s="258">
        <v>12765200000</v>
      </c>
      <c r="J26" s="258">
        <v>140417200000</v>
      </c>
      <c r="K26" s="256" t="s">
        <v>1346</v>
      </c>
    </row>
    <row r="27" spans="1:11" x14ac:dyDescent="0.3">
      <c r="A27" s="256">
        <v>20</v>
      </c>
      <c r="B27" s="257" t="s">
        <v>1201</v>
      </c>
      <c r="C27" s="276">
        <v>44211</v>
      </c>
      <c r="D27" s="257" t="s">
        <v>1290</v>
      </c>
      <c r="E27" s="256" t="s">
        <v>1707</v>
      </c>
      <c r="F27" s="256" t="s">
        <v>1547</v>
      </c>
      <c r="G27" s="258">
        <v>130453000000</v>
      </c>
      <c r="H27" s="265">
        <v>0</v>
      </c>
      <c r="I27" s="258">
        <v>0</v>
      </c>
      <c r="J27" s="258">
        <v>130453000000</v>
      </c>
      <c r="K27" s="256" t="s">
        <v>1348</v>
      </c>
    </row>
    <row r="28" spans="1:11" x14ac:dyDescent="0.3">
      <c r="A28" s="256">
        <v>21</v>
      </c>
      <c r="B28" s="257" t="s">
        <v>1201</v>
      </c>
      <c r="C28" s="276">
        <v>44270</v>
      </c>
      <c r="D28" s="257" t="s">
        <v>1293</v>
      </c>
      <c r="E28" s="256" t="s">
        <v>1708</v>
      </c>
      <c r="F28" s="256" t="s">
        <v>1697</v>
      </c>
      <c r="G28" s="258">
        <v>83221000000</v>
      </c>
      <c r="H28" s="265">
        <v>0.1</v>
      </c>
      <c r="I28" s="258">
        <v>8322100000</v>
      </c>
      <c r="J28" s="258">
        <v>91543100000</v>
      </c>
      <c r="K28" s="256" t="s">
        <v>1346</v>
      </c>
    </row>
    <row r="29" spans="1:11" x14ac:dyDescent="0.3">
      <c r="A29" s="256">
        <v>22</v>
      </c>
      <c r="B29" s="257" t="s">
        <v>1205</v>
      </c>
      <c r="C29" s="276">
        <v>44301</v>
      </c>
      <c r="D29" s="257" t="s">
        <v>1285</v>
      </c>
      <c r="E29" s="256" t="s">
        <v>1709</v>
      </c>
      <c r="F29" s="256" t="s">
        <v>1692</v>
      </c>
      <c r="G29" s="258">
        <v>66637000000</v>
      </c>
      <c r="H29" s="265">
        <v>0.1</v>
      </c>
      <c r="I29" s="258">
        <v>6663700000</v>
      </c>
      <c r="J29" s="258">
        <v>73300700000</v>
      </c>
      <c r="K29" s="256" t="s">
        <v>1346</v>
      </c>
    </row>
    <row r="30" spans="1:11" x14ac:dyDescent="0.3">
      <c r="A30" s="256">
        <v>23</v>
      </c>
      <c r="B30" s="257" t="s">
        <v>1202</v>
      </c>
      <c r="C30" s="276">
        <v>44392</v>
      </c>
      <c r="D30" s="257" t="s">
        <v>1291</v>
      </c>
      <c r="E30" s="256" t="s">
        <v>1710</v>
      </c>
      <c r="F30" s="256" t="s">
        <v>1692</v>
      </c>
      <c r="G30" s="258">
        <v>111842000000</v>
      </c>
      <c r="H30" s="265">
        <v>0.1</v>
      </c>
      <c r="I30" s="258">
        <v>11184200000</v>
      </c>
      <c r="J30" s="258">
        <v>123026200000</v>
      </c>
      <c r="K30" s="256" t="s">
        <v>1346</v>
      </c>
    </row>
    <row r="31" spans="1:11" x14ac:dyDescent="0.3">
      <c r="A31" s="256">
        <v>24</v>
      </c>
      <c r="B31" s="257" t="s">
        <v>1392</v>
      </c>
      <c r="C31" s="276">
        <v>44423</v>
      </c>
      <c r="D31" s="257" t="s">
        <v>1277</v>
      </c>
      <c r="E31" s="256" t="s">
        <v>1711</v>
      </c>
      <c r="F31" s="256" t="s">
        <v>1689</v>
      </c>
      <c r="G31" s="258">
        <v>84732000000</v>
      </c>
      <c r="H31" s="265">
        <v>0.1</v>
      </c>
      <c r="I31" s="258">
        <v>8473200000</v>
      </c>
      <c r="J31" s="258">
        <v>93205200000</v>
      </c>
      <c r="K31" s="256" t="s">
        <v>1346</v>
      </c>
    </row>
    <row r="32" spans="1:11" x14ac:dyDescent="0.3">
      <c r="A32" s="256">
        <v>25</v>
      </c>
      <c r="B32" s="257" t="s">
        <v>1394</v>
      </c>
      <c r="C32" s="276">
        <v>44454</v>
      </c>
      <c r="D32" s="257" t="s">
        <v>1277</v>
      </c>
      <c r="E32" s="256" t="s">
        <v>1711</v>
      </c>
      <c r="F32" s="256" t="s">
        <v>1687</v>
      </c>
      <c r="G32" s="258">
        <v>98028000000</v>
      </c>
      <c r="H32" s="265">
        <v>0.1</v>
      </c>
      <c r="I32" s="258">
        <v>9802800000</v>
      </c>
      <c r="J32" s="258">
        <v>107830800000</v>
      </c>
      <c r="K32" s="256" t="s">
        <v>1346</v>
      </c>
    </row>
    <row r="33" spans="1:11" x14ac:dyDescent="0.3">
      <c r="A33" s="256">
        <v>26</v>
      </c>
      <c r="B33" s="257" t="s">
        <v>1385</v>
      </c>
      <c r="C33" s="276">
        <v>44484</v>
      </c>
      <c r="D33" s="257" t="s">
        <v>1259</v>
      </c>
      <c r="E33" s="256" t="s">
        <v>1700</v>
      </c>
      <c r="F33" s="256" t="s">
        <v>1689</v>
      </c>
      <c r="G33" s="258">
        <v>125104000000</v>
      </c>
      <c r="H33" s="265">
        <v>0.1</v>
      </c>
      <c r="I33" s="258">
        <v>12510400000</v>
      </c>
      <c r="J33" s="258">
        <v>137614400000</v>
      </c>
      <c r="K33" s="256" t="s">
        <v>1346</v>
      </c>
    </row>
    <row r="34" spans="1:11" x14ac:dyDescent="0.3">
      <c r="A34" s="256">
        <v>27</v>
      </c>
      <c r="B34" s="257" t="s">
        <v>1202</v>
      </c>
      <c r="C34" s="276">
        <v>44545</v>
      </c>
      <c r="D34" s="257" t="s">
        <v>1290</v>
      </c>
      <c r="E34" s="256" t="s">
        <v>1707</v>
      </c>
      <c r="F34" s="256" t="s">
        <v>1687</v>
      </c>
      <c r="G34" s="258">
        <v>128734000000</v>
      </c>
      <c r="H34" s="265">
        <v>0.1</v>
      </c>
      <c r="I34" s="258">
        <v>12873400000</v>
      </c>
      <c r="J34" s="258">
        <v>141607400000</v>
      </c>
      <c r="K34" s="256" t="s">
        <v>1346</v>
      </c>
    </row>
    <row r="35" spans="1:11" x14ac:dyDescent="0.3">
      <c r="A35" s="256">
        <v>28</v>
      </c>
      <c r="B35" s="257" t="s">
        <v>1203</v>
      </c>
      <c r="C35" s="276">
        <v>44275</v>
      </c>
      <c r="D35" s="257" t="s">
        <v>1272</v>
      </c>
      <c r="E35" s="256" t="s">
        <v>1712</v>
      </c>
      <c r="F35" s="256" t="s">
        <v>1695</v>
      </c>
      <c r="G35" s="258">
        <v>140403000000</v>
      </c>
      <c r="H35" s="265">
        <v>0</v>
      </c>
      <c r="I35" s="258">
        <v>0</v>
      </c>
      <c r="J35" s="258">
        <v>140403000000</v>
      </c>
      <c r="K35" s="256" t="s">
        <v>1346</v>
      </c>
    </row>
    <row r="36" spans="1:11" x14ac:dyDescent="0.3">
      <c r="A36" s="256">
        <v>29</v>
      </c>
      <c r="B36" s="257" t="s">
        <v>1366</v>
      </c>
      <c r="C36" s="276">
        <v>44306</v>
      </c>
      <c r="D36" s="257" t="s">
        <v>1270</v>
      </c>
      <c r="E36" s="256" t="s">
        <v>1702</v>
      </c>
      <c r="F36" s="256" t="s">
        <v>1692</v>
      </c>
      <c r="G36" s="258">
        <v>131534000000</v>
      </c>
      <c r="H36" s="265">
        <v>0.1</v>
      </c>
      <c r="I36" s="258">
        <v>13153400000</v>
      </c>
      <c r="J36" s="258">
        <v>144687400000</v>
      </c>
      <c r="K36" s="256" t="s">
        <v>1346</v>
      </c>
    </row>
    <row r="37" spans="1:11" x14ac:dyDescent="0.3">
      <c r="A37" s="256">
        <v>30</v>
      </c>
      <c r="B37" s="257" t="s">
        <v>1387</v>
      </c>
      <c r="C37" s="276">
        <v>44367</v>
      </c>
      <c r="D37" s="257" t="s">
        <v>1279</v>
      </c>
      <c r="E37" s="256" t="s">
        <v>1713</v>
      </c>
      <c r="F37" s="256" t="s">
        <v>1687</v>
      </c>
      <c r="G37" s="258">
        <v>128792000000</v>
      </c>
      <c r="H37" s="265">
        <v>0.1</v>
      </c>
      <c r="I37" s="258">
        <v>12879200000</v>
      </c>
      <c r="J37" s="258">
        <v>141671200000</v>
      </c>
      <c r="K37" s="256" t="s">
        <v>1346</v>
      </c>
    </row>
    <row r="38" spans="1:11" x14ac:dyDescent="0.3">
      <c r="A38" s="256">
        <v>31</v>
      </c>
      <c r="B38" s="257" t="s">
        <v>1385</v>
      </c>
      <c r="C38" s="276">
        <v>44397</v>
      </c>
      <c r="D38" s="257" t="s">
        <v>1278</v>
      </c>
      <c r="E38" s="256" t="s">
        <v>1714</v>
      </c>
      <c r="F38" s="256" t="s">
        <v>1687</v>
      </c>
      <c r="G38" s="258">
        <v>117809000000</v>
      </c>
      <c r="H38" s="265">
        <v>0.1</v>
      </c>
      <c r="I38" s="258">
        <v>11780900000</v>
      </c>
      <c r="J38" s="258">
        <v>129589900000</v>
      </c>
      <c r="K38" s="256" t="s">
        <v>1346</v>
      </c>
    </row>
    <row r="39" spans="1:11" x14ac:dyDescent="0.3">
      <c r="A39" s="256">
        <v>32</v>
      </c>
      <c r="B39" s="257" t="s">
        <v>1371</v>
      </c>
      <c r="C39" s="276">
        <v>44428</v>
      </c>
      <c r="D39" s="257" t="s">
        <v>1289</v>
      </c>
      <c r="E39" s="256" t="s">
        <v>1703</v>
      </c>
      <c r="F39" s="256" t="s">
        <v>1699</v>
      </c>
      <c r="G39" s="258">
        <v>116604000000</v>
      </c>
      <c r="H39" s="265">
        <v>0.1</v>
      </c>
      <c r="I39" s="258">
        <v>11660400000</v>
      </c>
      <c r="J39" s="258">
        <v>128264400000</v>
      </c>
      <c r="K39" s="256" t="s">
        <v>1346</v>
      </c>
    </row>
    <row r="40" spans="1:11" x14ac:dyDescent="0.3">
      <c r="A40" s="256">
        <v>33</v>
      </c>
      <c r="B40" s="257" t="s">
        <v>1368</v>
      </c>
      <c r="C40" s="276">
        <v>44459</v>
      </c>
      <c r="D40" s="257" t="s">
        <v>1270</v>
      </c>
      <c r="E40" s="256" t="s">
        <v>1702</v>
      </c>
      <c r="F40" s="256" t="s">
        <v>1695</v>
      </c>
      <c r="G40" s="258">
        <v>77174000000</v>
      </c>
      <c r="H40" s="265">
        <v>0</v>
      </c>
      <c r="I40" s="258">
        <v>0</v>
      </c>
      <c r="J40" s="258">
        <v>77174000000</v>
      </c>
      <c r="K40" s="256" t="s">
        <v>1346</v>
      </c>
    </row>
    <row r="41" spans="1:11" x14ac:dyDescent="0.3">
      <c r="A41" s="256">
        <v>34</v>
      </c>
      <c r="B41" s="257" t="s">
        <v>1373</v>
      </c>
      <c r="C41" s="276">
        <v>44520</v>
      </c>
      <c r="D41" s="257" t="s">
        <v>1256</v>
      </c>
      <c r="E41" s="256" t="s">
        <v>1698</v>
      </c>
      <c r="F41" s="256" t="s">
        <v>1699</v>
      </c>
      <c r="G41" s="258">
        <v>148724000000</v>
      </c>
      <c r="H41" s="265">
        <v>0.1</v>
      </c>
      <c r="I41" s="258">
        <v>14872400000</v>
      </c>
      <c r="J41" s="258">
        <v>163596400000</v>
      </c>
      <c r="K41" s="256" t="s">
        <v>1346</v>
      </c>
    </row>
    <row r="42" spans="1:11" x14ac:dyDescent="0.3">
      <c r="A42" s="256">
        <v>35</v>
      </c>
      <c r="B42" s="257" t="s">
        <v>1387</v>
      </c>
      <c r="C42" s="276">
        <v>44221</v>
      </c>
      <c r="D42" s="257" t="s">
        <v>1278</v>
      </c>
      <c r="E42" s="256" t="s">
        <v>1714</v>
      </c>
      <c r="F42" s="256" t="s">
        <v>1687</v>
      </c>
      <c r="G42" s="258">
        <v>95853000000</v>
      </c>
      <c r="H42" s="265">
        <v>0.1</v>
      </c>
      <c r="I42" s="258">
        <v>9585300000</v>
      </c>
      <c r="J42" s="258">
        <v>105438300000</v>
      </c>
      <c r="K42" s="256" t="s">
        <v>1346</v>
      </c>
    </row>
    <row r="43" spans="1:11" x14ac:dyDescent="0.3">
      <c r="A43" s="256">
        <v>36</v>
      </c>
      <c r="B43" s="257" t="s">
        <v>1371</v>
      </c>
      <c r="C43" s="276">
        <v>44252</v>
      </c>
      <c r="D43" s="257" t="s">
        <v>1269</v>
      </c>
      <c r="E43" s="256" t="s">
        <v>1715</v>
      </c>
      <c r="F43" s="256" t="s">
        <v>1689</v>
      </c>
      <c r="G43" s="258">
        <v>86048000000</v>
      </c>
      <c r="H43" s="265">
        <v>0.1</v>
      </c>
      <c r="I43" s="258">
        <v>8604800000</v>
      </c>
      <c r="J43" s="258">
        <v>94652800000</v>
      </c>
      <c r="K43" s="256" t="s">
        <v>1346</v>
      </c>
    </row>
    <row r="44" spans="1:11" x14ac:dyDescent="0.3">
      <c r="A44" s="256">
        <v>37</v>
      </c>
      <c r="B44" s="257" t="s">
        <v>1387</v>
      </c>
      <c r="C44" s="276">
        <v>44280</v>
      </c>
      <c r="D44" s="257" t="s">
        <v>1260</v>
      </c>
      <c r="E44" s="256" t="s">
        <v>1716</v>
      </c>
      <c r="F44" s="256" t="s">
        <v>1547</v>
      </c>
      <c r="G44" s="258">
        <v>107506000000</v>
      </c>
      <c r="H44" s="265">
        <v>0.1</v>
      </c>
      <c r="I44" s="258">
        <v>10750600000</v>
      </c>
      <c r="J44" s="258">
        <v>118256600000</v>
      </c>
      <c r="K44" s="256" t="s">
        <v>1348</v>
      </c>
    </row>
    <row r="45" spans="1:11" x14ac:dyDescent="0.3">
      <c r="A45" s="256">
        <v>38</v>
      </c>
      <c r="B45" s="257" t="s">
        <v>1388</v>
      </c>
      <c r="C45" s="276">
        <v>44311</v>
      </c>
      <c r="D45" s="257" t="s">
        <v>1279</v>
      </c>
      <c r="E45" s="256" t="s">
        <v>1713</v>
      </c>
      <c r="F45" s="256" t="s">
        <v>1695</v>
      </c>
      <c r="G45" s="258">
        <v>66939000000</v>
      </c>
      <c r="H45" s="265">
        <v>0.1</v>
      </c>
      <c r="I45" s="258">
        <v>6693900000</v>
      </c>
      <c r="J45" s="258">
        <v>73632900000</v>
      </c>
      <c r="K45" s="256" t="s">
        <v>1346</v>
      </c>
    </row>
    <row r="46" spans="1:11" x14ac:dyDescent="0.3">
      <c r="A46" s="256">
        <v>39</v>
      </c>
      <c r="B46" s="257" t="s">
        <v>1394</v>
      </c>
      <c r="C46" s="276">
        <v>44372</v>
      </c>
      <c r="D46" s="257" t="s">
        <v>1284</v>
      </c>
      <c r="E46" s="256" t="s">
        <v>1706</v>
      </c>
      <c r="F46" s="256" t="s">
        <v>1690</v>
      </c>
      <c r="G46" s="258">
        <v>71820000000</v>
      </c>
      <c r="H46" s="265">
        <v>0.1</v>
      </c>
      <c r="I46" s="258">
        <v>7182000000</v>
      </c>
      <c r="J46" s="258">
        <v>79002000000</v>
      </c>
      <c r="K46" s="256" t="s">
        <v>1346</v>
      </c>
    </row>
    <row r="47" spans="1:11" x14ac:dyDescent="0.3">
      <c r="A47" s="256">
        <v>40</v>
      </c>
      <c r="B47" s="257" t="s">
        <v>1385</v>
      </c>
      <c r="C47" s="276">
        <v>44433</v>
      </c>
      <c r="D47" s="257" t="s">
        <v>1263</v>
      </c>
      <c r="E47" s="256" t="s">
        <v>1717</v>
      </c>
      <c r="F47" s="256" t="s">
        <v>1697</v>
      </c>
      <c r="G47" s="258">
        <v>54603000000</v>
      </c>
      <c r="H47" s="265">
        <v>0.1</v>
      </c>
      <c r="I47" s="258">
        <v>5460300000</v>
      </c>
      <c r="J47" s="258">
        <v>60063300000</v>
      </c>
      <c r="K47" s="256" t="s">
        <v>1346</v>
      </c>
    </row>
    <row r="48" spans="1:11" x14ac:dyDescent="0.3">
      <c r="A48" s="256">
        <v>41</v>
      </c>
      <c r="B48" s="257" t="s">
        <v>1376</v>
      </c>
      <c r="C48" s="276">
        <v>44494</v>
      </c>
      <c r="D48" s="257" t="s">
        <v>1276</v>
      </c>
      <c r="E48" s="256" t="s">
        <v>1696</v>
      </c>
      <c r="F48" s="256" t="s">
        <v>1690</v>
      </c>
      <c r="G48" s="258">
        <v>114562000000</v>
      </c>
      <c r="H48" s="265">
        <v>0.1</v>
      </c>
      <c r="I48" s="258">
        <v>11456200000</v>
      </c>
      <c r="J48" s="258">
        <v>126018200000</v>
      </c>
      <c r="K48" s="256" t="s">
        <v>1346</v>
      </c>
    </row>
    <row r="49" spans="1:11" x14ac:dyDescent="0.3">
      <c r="A49" s="256">
        <v>42</v>
      </c>
      <c r="B49" s="257" t="s">
        <v>1374</v>
      </c>
      <c r="C49" s="276">
        <v>44555</v>
      </c>
      <c r="D49" s="257" t="s">
        <v>1256</v>
      </c>
      <c r="E49" s="256" t="s">
        <v>1698</v>
      </c>
      <c r="F49" s="256" t="s">
        <v>1692</v>
      </c>
      <c r="G49" s="258">
        <v>59397000000</v>
      </c>
      <c r="H49" s="265">
        <v>0.1</v>
      </c>
      <c r="I49" s="258">
        <v>5939700000</v>
      </c>
      <c r="J49" s="258">
        <v>65336700000</v>
      </c>
      <c r="K49" s="256" t="s">
        <v>1346</v>
      </c>
    </row>
    <row r="50" spans="1:11" x14ac:dyDescent="0.3">
      <c r="A50" s="256">
        <v>43</v>
      </c>
      <c r="B50" s="257" t="s">
        <v>1387</v>
      </c>
      <c r="C50" s="276">
        <v>44255</v>
      </c>
      <c r="D50" s="257" t="s">
        <v>1263</v>
      </c>
      <c r="E50" s="256" t="s">
        <v>1717</v>
      </c>
      <c r="F50" s="256" t="s">
        <v>1689</v>
      </c>
      <c r="G50" s="258">
        <v>89808000000</v>
      </c>
      <c r="H50" s="265">
        <v>0.1</v>
      </c>
      <c r="I50" s="258">
        <v>8980800000</v>
      </c>
      <c r="J50" s="258">
        <v>98788800000</v>
      </c>
      <c r="K50" s="256" t="s">
        <v>1346</v>
      </c>
    </row>
    <row r="51" spans="1:11" x14ac:dyDescent="0.3">
      <c r="A51" s="256">
        <v>44</v>
      </c>
      <c r="B51" s="257" t="s">
        <v>1373</v>
      </c>
      <c r="C51" s="276">
        <v>44316</v>
      </c>
      <c r="D51" s="257" t="s">
        <v>1289</v>
      </c>
      <c r="E51" s="256" t="s">
        <v>1703</v>
      </c>
      <c r="F51" s="256" t="s">
        <v>1690</v>
      </c>
      <c r="G51" s="258">
        <v>90590000000</v>
      </c>
      <c r="H51" s="265">
        <v>0.1</v>
      </c>
      <c r="I51" s="258">
        <v>9059000000</v>
      </c>
      <c r="J51" s="258">
        <v>99649000000</v>
      </c>
      <c r="K51" s="256" t="s">
        <v>1346</v>
      </c>
    </row>
    <row r="52" spans="1:11" x14ac:dyDescent="0.3">
      <c r="A52" s="256">
        <v>45</v>
      </c>
      <c r="B52" s="257" t="s">
        <v>1387</v>
      </c>
      <c r="C52" s="276">
        <v>44377</v>
      </c>
      <c r="D52" s="257" t="s">
        <v>1268</v>
      </c>
      <c r="E52" s="256" t="s">
        <v>1718</v>
      </c>
      <c r="F52" s="256" t="s">
        <v>1692</v>
      </c>
      <c r="G52" s="258">
        <v>65322000000</v>
      </c>
      <c r="H52" s="265">
        <v>0.1</v>
      </c>
      <c r="I52" s="258">
        <v>6532200000</v>
      </c>
      <c r="J52" s="258">
        <v>71854200000</v>
      </c>
      <c r="K52" s="256" t="s">
        <v>1346</v>
      </c>
    </row>
    <row r="53" spans="1:11" x14ac:dyDescent="0.3">
      <c r="A53" s="256">
        <v>46</v>
      </c>
      <c r="B53" s="257" t="s">
        <v>1368</v>
      </c>
      <c r="C53" s="276">
        <v>44469</v>
      </c>
      <c r="D53" s="257" t="s">
        <v>1271</v>
      </c>
      <c r="E53" s="256" t="s">
        <v>1719</v>
      </c>
      <c r="F53" s="256" t="s">
        <v>1687</v>
      </c>
      <c r="G53" s="258">
        <v>76945000000</v>
      </c>
      <c r="H53" s="265">
        <v>0.1</v>
      </c>
      <c r="I53" s="258">
        <v>7694500000</v>
      </c>
      <c r="J53" s="258">
        <v>84639500000</v>
      </c>
      <c r="K53" s="256" t="s">
        <v>1346</v>
      </c>
    </row>
    <row r="54" spans="1:11" x14ac:dyDescent="0.3">
      <c r="A54" s="256">
        <v>47</v>
      </c>
      <c r="B54" s="257" t="s">
        <v>1388</v>
      </c>
      <c r="C54" s="276">
        <v>44286</v>
      </c>
      <c r="D54" s="257" t="s">
        <v>1275</v>
      </c>
      <c r="E54" s="256" t="s">
        <v>1720</v>
      </c>
      <c r="F54" s="256" t="s">
        <v>1697</v>
      </c>
      <c r="G54" s="258">
        <v>105696000000</v>
      </c>
      <c r="H54" s="265">
        <v>0.1</v>
      </c>
      <c r="I54" s="258">
        <v>10569600000</v>
      </c>
      <c r="J54" s="258">
        <v>116265600000</v>
      </c>
      <c r="K54" s="256" t="s">
        <v>1346</v>
      </c>
    </row>
    <row r="55" spans="1:11" x14ac:dyDescent="0.3">
      <c r="A55" s="256">
        <v>48</v>
      </c>
      <c r="B55" s="257" t="s">
        <v>1202</v>
      </c>
      <c r="C55" s="276">
        <v>44347</v>
      </c>
      <c r="D55" s="257" t="s">
        <v>1293</v>
      </c>
      <c r="E55" s="256" t="s">
        <v>1708</v>
      </c>
      <c r="F55" s="256" t="s">
        <v>1689</v>
      </c>
      <c r="G55" s="258">
        <v>90529000000</v>
      </c>
      <c r="H55" s="265">
        <v>0.1</v>
      </c>
      <c r="I55" s="258">
        <v>9052900000</v>
      </c>
      <c r="J55" s="258">
        <v>99581900000</v>
      </c>
      <c r="K55" s="256" t="s">
        <v>1346</v>
      </c>
    </row>
    <row r="56" spans="1:11" x14ac:dyDescent="0.3">
      <c r="A56" s="256">
        <v>49</v>
      </c>
      <c r="B56" s="257" t="s">
        <v>1378</v>
      </c>
      <c r="C56" s="276">
        <v>44500</v>
      </c>
      <c r="D56" s="257" t="s">
        <v>1276</v>
      </c>
      <c r="E56" s="256" t="s">
        <v>1696</v>
      </c>
      <c r="F56" s="256" t="s">
        <v>1692</v>
      </c>
      <c r="G56" s="258">
        <v>140441000000</v>
      </c>
      <c r="H56" s="265">
        <v>0.1</v>
      </c>
      <c r="I56" s="258">
        <v>14044100000</v>
      </c>
      <c r="J56" s="258">
        <v>154485100000</v>
      </c>
      <c r="K56" s="256" t="s">
        <v>1346</v>
      </c>
    </row>
    <row r="57" spans="1:11" x14ac:dyDescent="0.3">
      <c r="A57" s="256">
        <v>50</v>
      </c>
      <c r="B57" s="257" t="s">
        <v>1373</v>
      </c>
      <c r="C57" s="276">
        <v>44561</v>
      </c>
      <c r="D57" s="257" t="s">
        <v>1255</v>
      </c>
      <c r="E57" s="256" t="s">
        <v>1688</v>
      </c>
      <c r="F57" s="256" t="s">
        <v>1699</v>
      </c>
      <c r="G57" s="258">
        <v>108709000000</v>
      </c>
      <c r="H57" s="265">
        <v>0.1</v>
      </c>
      <c r="I57" s="258">
        <v>10870900000</v>
      </c>
      <c r="J57" s="258">
        <v>119579900000</v>
      </c>
      <c r="K57" s="256" t="s">
        <v>1346</v>
      </c>
    </row>
    <row r="58" spans="1:11" x14ac:dyDescent="0.3">
      <c r="A58" s="266" t="s">
        <v>1351</v>
      </c>
      <c r="B58" s="266"/>
      <c r="C58" s="266"/>
      <c r="D58" s="266"/>
      <c r="E58" s="266"/>
      <c r="F58" s="266"/>
      <c r="G58" s="267">
        <f>SUM(G8:G57)</f>
        <v>5029084000000</v>
      </c>
      <c r="H58" s="266"/>
      <c r="I58" s="267">
        <f>SUM(I8:I57)</f>
        <v>444783200000</v>
      </c>
      <c r="J58" s="267">
        <f>SUM(J8:J57)</f>
        <v>5473867200000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1281</v>
      </c>
      <c r="E62" s="256" t="s">
        <v>1721</v>
      </c>
      <c r="F62" s="256" t="s">
        <v>1648</v>
      </c>
      <c r="G62" s="258">
        <v>85850000000</v>
      </c>
      <c r="H62" s="265">
        <v>0.1</v>
      </c>
      <c r="I62" s="258">
        <v>8585000000</v>
      </c>
      <c r="J62" s="258">
        <v>94435000000</v>
      </c>
      <c r="K62" s="256" t="s">
        <v>1346</v>
      </c>
    </row>
    <row r="63" spans="1:11" x14ac:dyDescent="0.3">
      <c r="A63" s="256">
        <v>2</v>
      </c>
      <c r="B63" s="257" t="s">
        <v>1201</v>
      </c>
      <c r="C63" s="276">
        <v>44318</v>
      </c>
      <c r="D63" s="257" t="s">
        <v>1274</v>
      </c>
      <c r="E63" s="256" t="s">
        <v>1722</v>
      </c>
      <c r="F63" s="256" t="s">
        <v>1723</v>
      </c>
      <c r="G63" s="258">
        <v>116303000000</v>
      </c>
      <c r="H63" s="265">
        <v>0.1</v>
      </c>
      <c r="I63" s="258">
        <v>11630300000</v>
      </c>
      <c r="J63" s="258">
        <v>127933300000</v>
      </c>
      <c r="K63" s="256" t="s">
        <v>1346</v>
      </c>
    </row>
    <row r="64" spans="1:11" x14ac:dyDescent="0.3">
      <c r="A64" s="256">
        <v>3</v>
      </c>
      <c r="B64" s="257" t="s">
        <v>1202</v>
      </c>
      <c r="C64" s="276">
        <v>44319</v>
      </c>
      <c r="D64" s="257" t="s">
        <v>1259</v>
      </c>
      <c r="E64" s="256" t="s">
        <v>1700</v>
      </c>
      <c r="F64" s="256" t="s">
        <v>1648</v>
      </c>
      <c r="G64" s="258">
        <v>211138000000</v>
      </c>
      <c r="H64" s="265">
        <v>0.1</v>
      </c>
      <c r="I64" s="258">
        <v>21113800000</v>
      </c>
      <c r="J64" s="258">
        <v>232251800000</v>
      </c>
      <c r="K64" s="256" t="s">
        <v>1346</v>
      </c>
    </row>
    <row r="65" spans="1:11" x14ac:dyDescent="0.3">
      <c r="A65" s="256">
        <v>4</v>
      </c>
      <c r="B65" s="257" t="s">
        <v>1355</v>
      </c>
      <c r="C65" s="276">
        <v>44320</v>
      </c>
      <c r="D65" s="257" t="s">
        <v>1278</v>
      </c>
      <c r="E65" s="256" t="s">
        <v>1714</v>
      </c>
      <c r="F65" s="256" t="s">
        <v>1724</v>
      </c>
      <c r="G65" s="258">
        <v>122464000000</v>
      </c>
      <c r="H65" s="265">
        <v>0.1</v>
      </c>
      <c r="I65" s="258">
        <v>12246400000</v>
      </c>
      <c r="J65" s="258">
        <v>134710400000</v>
      </c>
      <c r="K65" s="256" t="s">
        <v>1346</v>
      </c>
    </row>
    <row r="66" spans="1:11" x14ac:dyDescent="0.3">
      <c r="A66" s="256">
        <v>5</v>
      </c>
      <c r="B66" s="257" t="s">
        <v>1356</v>
      </c>
      <c r="C66" s="276">
        <v>44321</v>
      </c>
      <c r="D66" s="257" t="s">
        <v>1258</v>
      </c>
      <c r="E66" s="256" t="s">
        <v>1694</v>
      </c>
      <c r="F66" s="256" t="s">
        <v>1725</v>
      </c>
      <c r="G66" s="258">
        <v>73379000000</v>
      </c>
      <c r="H66" s="265">
        <v>0.1</v>
      </c>
      <c r="I66" s="258">
        <v>7337900000</v>
      </c>
      <c r="J66" s="258">
        <v>80716900000</v>
      </c>
      <c r="K66" s="256" t="s">
        <v>1346</v>
      </c>
    </row>
    <row r="67" spans="1:11" x14ac:dyDescent="0.3">
      <c r="A67" s="256">
        <v>6</v>
      </c>
      <c r="B67" s="257" t="s">
        <v>1358</v>
      </c>
      <c r="C67" s="276">
        <v>44322</v>
      </c>
      <c r="D67" s="257" t="s">
        <v>1280</v>
      </c>
      <c r="E67" s="256" t="s">
        <v>1726</v>
      </c>
      <c r="F67" s="256" t="s">
        <v>1723</v>
      </c>
      <c r="G67" s="258">
        <v>196060000000</v>
      </c>
      <c r="H67" s="265">
        <v>0.1</v>
      </c>
      <c r="I67" s="258">
        <v>19606000000</v>
      </c>
      <c r="J67" s="258">
        <v>215666000000</v>
      </c>
      <c r="K67" s="256" t="s">
        <v>1348</v>
      </c>
    </row>
    <row r="68" spans="1:11" x14ac:dyDescent="0.3">
      <c r="A68" s="256">
        <v>7</v>
      </c>
      <c r="B68" s="257" t="s">
        <v>1360</v>
      </c>
      <c r="C68" s="276">
        <v>44323</v>
      </c>
      <c r="D68" s="257" t="s">
        <v>1283</v>
      </c>
      <c r="E68" s="256" t="s">
        <v>1727</v>
      </c>
      <c r="F68" s="256" t="s">
        <v>1725</v>
      </c>
      <c r="G68" s="258">
        <v>202075000000</v>
      </c>
      <c r="H68" s="265">
        <v>0.1</v>
      </c>
      <c r="I68" s="258">
        <v>20207500000</v>
      </c>
      <c r="J68" s="258">
        <v>222282500000</v>
      </c>
      <c r="K68" s="256" t="s">
        <v>1346</v>
      </c>
    </row>
    <row r="69" spans="1:11" x14ac:dyDescent="0.3">
      <c r="A69" s="256">
        <v>8</v>
      </c>
      <c r="B69" s="257" t="s">
        <v>1362</v>
      </c>
      <c r="C69" s="276">
        <v>44324</v>
      </c>
      <c r="D69" s="257" t="s">
        <v>1256</v>
      </c>
      <c r="E69" s="256" t="s">
        <v>1698</v>
      </c>
      <c r="F69" s="256" t="s">
        <v>1723</v>
      </c>
      <c r="G69" s="258">
        <v>147514000000</v>
      </c>
      <c r="H69" s="265">
        <v>0.1</v>
      </c>
      <c r="I69" s="258">
        <v>14751400000</v>
      </c>
      <c r="J69" s="258">
        <v>162265400000</v>
      </c>
      <c r="K69" s="256" t="s">
        <v>1346</v>
      </c>
    </row>
    <row r="70" spans="1:11" x14ac:dyDescent="0.3">
      <c r="A70" s="256">
        <v>9</v>
      </c>
      <c r="B70" s="257" t="s">
        <v>1364</v>
      </c>
      <c r="C70" s="276">
        <v>44325</v>
      </c>
      <c r="D70" s="257" t="s">
        <v>1269</v>
      </c>
      <c r="E70" s="256" t="s">
        <v>1715</v>
      </c>
      <c r="F70" s="256" t="s">
        <v>1723</v>
      </c>
      <c r="G70" s="258">
        <v>184401000000</v>
      </c>
      <c r="H70" s="265">
        <v>0.1</v>
      </c>
      <c r="I70" s="258">
        <v>18440100000</v>
      </c>
      <c r="J70" s="258">
        <v>202841100000</v>
      </c>
      <c r="K70" s="256" t="s">
        <v>1346</v>
      </c>
    </row>
    <row r="71" spans="1:11" x14ac:dyDescent="0.3">
      <c r="A71" s="256">
        <v>10</v>
      </c>
      <c r="B71" s="257" t="s">
        <v>1366</v>
      </c>
      <c r="C71" s="276">
        <v>44326</v>
      </c>
      <c r="D71" s="257" t="s">
        <v>1255</v>
      </c>
      <c r="E71" s="256" t="s">
        <v>1688</v>
      </c>
      <c r="F71" s="256" t="s">
        <v>1724</v>
      </c>
      <c r="G71" s="258">
        <v>202412000000</v>
      </c>
      <c r="H71" s="265">
        <v>0.1</v>
      </c>
      <c r="I71" s="258">
        <v>20241200000</v>
      </c>
      <c r="J71" s="258">
        <v>222653200000</v>
      </c>
      <c r="K71" s="256" t="s">
        <v>1348</v>
      </c>
    </row>
    <row r="72" spans="1:11" x14ac:dyDescent="0.3">
      <c r="A72" s="256">
        <v>11</v>
      </c>
      <c r="B72" s="257" t="s">
        <v>1368</v>
      </c>
      <c r="C72" s="276">
        <v>44327</v>
      </c>
      <c r="D72" s="257" t="s">
        <v>1277</v>
      </c>
      <c r="E72" s="256" t="s">
        <v>1711</v>
      </c>
      <c r="F72" s="256" t="s">
        <v>1725</v>
      </c>
      <c r="G72" s="258">
        <v>103851000000</v>
      </c>
      <c r="H72" s="265">
        <v>0.1</v>
      </c>
      <c r="I72" s="258">
        <v>10385100000</v>
      </c>
      <c r="J72" s="258">
        <v>114236100000</v>
      </c>
      <c r="K72" s="256" t="s">
        <v>1346</v>
      </c>
    </row>
    <row r="73" spans="1:11" x14ac:dyDescent="0.3">
      <c r="A73" s="256">
        <v>12</v>
      </c>
      <c r="B73" s="257" t="s">
        <v>1371</v>
      </c>
      <c r="C73" s="276">
        <v>44471</v>
      </c>
      <c r="D73" s="257" t="s">
        <v>1283</v>
      </c>
      <c r="E73" s="256" t="s">
        <v>1727</v>
      </c>
      <c r="F73" s="256" t="s">
        <v>1648</v>
      </c>
      <c r="G73" s="258">
        <v>198579000000</v>
      </c>
      <c r="H73" s="265">
        <v>0</v>
      </c>
      <c r="I73" s="258">
        <v>0</v>
      </c>
      <c r="J73" s="258">
        <v>198579000000</v>
      </c>
      <c r="K73" s="256" t="s">
        <v>1346</v>
      </c>
    </row>
    <row r="74" spans="1:11" x14ac:dyDescent="0.3">
      <c r="A74" s="256">
        <v>13</v>
      </c>
      <c r="B74" s="257" t="s">
        <v>1373</v>
      </c>
      <c r="C74" s="276">
        <v>44472</v>
      </c>
      <c r="D74" s="257" t="s">
        <v>1277</v>
      </c>
      <c r="E74" s="256" t="s">
        <v>1711</v>
      </c>
      <c r="F74" s="256" t="s">
        <v>1648</v>
      </c>
      <c r="G74" s="258">
        <v>90090000000</v>
      </c>
      <c r="H74" s="265">
        <v>0.1</v>
      </c>
      <c r="I74" s="258">
        <v>9009000000</v>
      </c>
      <c r="J74" s="258">
        <v>99099000000</v>
      </c>
      <c r="K74" s="256" t="s">
        <v>1346</v>
      </c>
    </row>
    <row r="75" spans="1:11" x14ac:dyDescent="0.3">
      <c r="A75" s="256">
        <v>14</v>
      </c>
      <c r="B75" s="257" t="s">
        <v>1374</v>
      </c>
      <c r="C75" s="276">
        <v>44474</v>
      </c>
      <c r="D75" s="257" t="s">
        <v>1256</v>
      </c>
      <c r="E75" s="256" t="s">
        <v>1698</v>
      </c>
      <c r="F75" s="256" t="s">
        <v>1724</v>
      </c>
      <c r="G75" s="258">
        <v>211037000000</v>
      </c>
      <c r="H75" s="265">
        <v>0.1</v>
      </c>
      <c r="I75" s="258">
        <v>21103700000</v>
      </c>
      <c r="J75" s="258">
        <v>232140700000</v>
      </c>
      <c r="K75" s="256" t="s">
        <v>1348</v>
      </c>
    </row>
    <row r="76" spans="1:11" x14ac:dyDescent="0.3">
      <c r="A76" s="256">
        <v>15</v>
      </c>
      <c r="B76" s="257" t="s">
        <v>1376</v>
      </c>
      <c r="C76" s="276">
        <v>44476</v>
      </c>
      <c r="D76" s="257" t="s">
        <v>1284</v>
      </c>
      <c r="E76" s="256" t="s">
        <v>1706</v>
      </c>
      <c r="F76" s="256" t="s">
        <v>1724</v>
      </c>
      <c r="G76" s="258">
        <v>123670000000</v>
      </c>
      <c r="H76" s="265">
        <v>0.1</v>
      </c>
      <c r="I76" s="258">
        <v>12367000000</v>
      </c>
      <c r="J76" s="258">
        <v>136037000000</v>
      </c>
      <c r="K76" s="256" t="s">
        <v>1346</v>
      </c>
    </row>
    <row r="77" spans="1:11" x14ac:dyDescent="0.3">
      <c r="A77" s="256">
        <v>16</v>
      </c>
      <c r="B77" s="257" t="s">
        <v>1378</v>
      </c>
      <c r="C77" s="276">
        <v>44477</v>
      </c>
      <c r="D77" s="257" t="s">
        <v>1262</v>
      </c>
      <c r="E77" s="256" t="s">
        <v>1728</v>
      </c>
      <c r="F77" s="256" t="s">
        <v>1648</v>
      </c>
      <c r="G77" s="258">
        <v>83154000000</v>
      </c>
      <c r="H77" s="265">
        <v>0.1</v>
      </c>
      <c r="I77" s="258">
        <v>8315400000</v>
      </c>
      <c r="J77" s="258">
        <v>91469400000</v>
      </c>
      <c r="K77" s="256" t="s">
        <v>1346</v>
      </c>
    </row>
    <row r="78" spans="1:11" x14ac:dyDescent="0.3">
      <c r="A78" s="256">
        <v>17</v>
      </c>
      <c r="B78" s="257" t="s">
        <v>1379</v>
      </c>
      <c r="C78" s="276">
        <v>44478</v>
      </c>
      <c r="D78" s="257" t="s">
        <v>1267</v>
      </c>
      <c r="E78" s="256" t="s">
        <v>1701</v>
      </c>
      <c r="F78" s="256" t="s">
        <v>1723</v>
      </c>
      <c r="G78" s="258">
        <v>110757000000</v>
      </c>
      <c r="H78" s="265">
        <v>0.1</v>
      </c>
      <c r="I78" s="258">
        <v>11075700000</v>
      </c>
      <c r="J78" s="258">
        <v>121832700000</v>
      </c>
      <c r="K78" s="256" t="s">
        <v>1346</v>
      </c>
    </row>
    <row r="79" spans="1:11" x14ac:dyDescent="0.3">
      <c r="A79" s="256">
        <v>18</v>
      </c>
      <c r="B79" s="257" t="s">
        <v>1381</v>
      </c>
      <c r="C79" s="276">
        <v>44479</v>
      </c>
      <c r="D79" s="257" t="s">
        <v>1283</v>
      </c>
      <c r="E79" s="256" t="s">
        <v>1727</v>
      </c>
      <c r="F79" s="256" t="s">
        <v>1725</v>
      </c>
      <c r="G79" s="258">
        <v>93419000000</v>
      </c>
      <c r="H79" s="265">
        <v>0.1</v>
      </c>
      <c r="I79" s="258">
        <v>9341900000</v>
      </c>
      <c r="J79" s="258">
        <v>102760900000</v>
      </c>
      <c r="K79" s="256" t="s">
        <v>1348</v>
      </c>
    </row>
    <row r="80" spans="1:11" x14ac:dyDescent="0.3">
      <c r="A80" s="256">
        <v>19</v>
      </c>
      <c r="B80" s="257" t="s">
        <v>1382</v>
      </c>
      <c r="C80" s="276">
        <v>44480</v>
      </c>
      <c r="D80" s="257" t="s">
        <v>1263</v>
      </c>
      <c r="E80" s="256" t="s">
        <v>1717</v>
      </c>
      <c r="F80" s="256" t="s">
        <v>1648</v>
      </c>
      <c r="G80" s="258">
        <v>100611000000</v>
      </c>
      <c r="H80" s="265">
        <v>0.1</v>
      </c>
      <c r="I80" s="258">
        <v>10061100000</v>
      </c>
      <c r="J80" s="258">
        <v>110672100000</v>
      </c>
      <c r="K80" s="256" t="s">
        <v>1346</v>
      </c>
    </row>
    <row r="81" spans="1:11" x14ac:dyDescent="0.3">
      <c r="A81" s="256">
        <v>20</v>
      </c>
      <c r="B81" s="257" t="s">
        <v>1383</v>
      </c>
      <c r="C81" s="276">
        <v>44211</v>
      </c>
      <c r="D81" s="257" t="s">
        <v>1268</v>
      </c>
      <c r="E81" s="256" t="s">
        <v>1718</v>
      </c>
      <c r="F81" s="256" t="s">
        <v>1725</v>
      </c>
      <c r="G81" s="258">
        <v>108322000000</v>
      </c>
      <c r="H81" s="265">
        <v>0.1</v>
      </c>
      <c r="I81" s="258">
        <v>10832200000</v>
      </c>
      <c r="J81" s="258">
        <v>119154200000</v>
      </c>
      <c r="K81" s="256" t="s">
        <v>1346</v>
      </c>
    </row>
    <row r="82" spans="1:11" x14ac:dyDescent="0.3">
      <c r="A82" s="256">
        <v>21</v>
      </c>
      <c r="B82" s="257" t="s">
        <v>1203</v>
      </c>
      <c r="C82" s="276">
        <v>44242</v>
      </c>
      <c r="D82" s="257" t="s">
        <v>1281</v>
      </c>
      <c r="E82" s="256" t="s">
        <v>1721</v>
      </c>
      <c r="F82" s="256" t="s">
        <v>1648</v>
      </c>
      <c r="G82" s="258">
        <v>132661000000</v>
      </c>
      <c r="H82" s="265">
        <v>0.1</v>
      </c>
      <c r="I82" s="258">
        <v>13266100000</v>
      </c>
      <c r="J82" s="258">
        <v>145927100000</v>
      </c>
      <c r="K82" s="256" t="s">
        <v>1346</v>
      </c>
    </row>
    <row r="83" spans="1:11" x14ac:dyDescent="0.3">
      <c r="A83" s="256">
        <v>22</v>
      </c>
      <c r="B83" s="257" t="s">
        <v>1204</v>
      </c>
      <c r="C83" s="276">
        <v>44362</v>
      </c>
      <c r="D83" s="257" t="s">
        <v>1291</v>
      </c>
      <c r="E83" s="256" t="s">
        <v>1710</v>
      </c>
      <c r="F83" s="256" t="s">
        <v>1648</v>
      </c>
      <c r="G83" s="258">
        <v>174757000000</v>
      </c>
      <c r="H83" s="265">
        <v>0.1</v>
      </c>
      <c r="I83" s="258">
        <v>17475700000</v>
      </c>
      <c r="J83" s="258">
        <v>192232700000</v>
      </c>
      <c r="K83" s="256" t="s">
        <v>1346</v>
      </c>
    </row>
    <row r="84" spans="1:11" x14ac:dyDescent="0.3">
      <c r="A84" s="256">
        <v>23</v>
      </c>
      <c r="B84" s="257" t="s">
        <v>1205</v>
      </c>
      <c r="C84" s="276">
        <v>44423</v>
      </c>
      <c r="D84" s="257" t="s">
        <v>1273</v>
      </c>
      <c r="E84" s="256" t="s">
        <v>1704</v>
      </c>
      <c r="F84" s="256" t="s">
        <v>1648</v>
      </c>
      <c r="G84" s="258">
        <v>175246000000</v>
      </c>
      <c r="H84" s="265">
        <v>0.1</v>
      </c>
      <c r="I84" s="258">
        <v>17524600000</v>
      </c>
      <c r="J84" s="258">
        <v>192770600000</v>
      </c>
      <c r="K84" s="256" t="s">
        <v>1346</v>
      </c>
    </row>
    <row r="85" spans="1:11" x14ac:dyDescent="0.3">
      <c r="A85" s="256">
        <v>24</v>
      </c>
      <c r="B85" s="257" t="s">
        <v>1385</v>
      </c>
      <c r="C85" s="276">
        <v>44484</v>
      </c>
      <c r="D85" s="257" t="s">
        <v>1284</v>
      </c>
      <c r="E85" s="256" t="s">
        <v>1706</v>
      </c>
      <c r="F85" s="256" t="s">
        <v>1725</v>
      </c>
      <c r="G85" s="258">
        <v>153050000000</v>
      </c>
      <c r="H85" s="265">
        <v>0.1</v>
      </c>
      <c r="I85" s="258">
        <v>15305000000</v>
      </c>
      <c r="J85" s="258">
        <v>168355000000</v>
      </c>
      <c r="K85" s="256" t="s">
        <v>1346</v>
      </c>
    </row>
    <row r="86" spans="1:11" x14ac:dyDescent="0.3">
      <c r="A86" s="256">
        <v>25</v>
      </c>
      <c r="B86" s="257" t="s">
        <v>1387</v>
      </c>
      <c r="C86" s="276">
        <v>44515</v>
      </c>
      <c r="D86" s="257" t="s">
        <v>1267</v>
      </c>
      <c r="E86" s="256" t="s">
        <v>1701</v>
      </c>
      <c r="F86" s="256" t="s">
        <v>1723</v>
      </c>
      <c r="G86" s="258">
        <v>129310000000</v>
      </c>
      <c r="H86" s="265">
        <v>0.1</v>
      </c>
      <c r="I86" s="258">
        <v>12931000000</v>
      </c>
      <c r="J86" s="258">
        <v>142241000000</v>
      </c>
      <c r="K86" s="256" t="s">
        <v>1346</v>
      </c>
    </row>
    <row r="87" spans="1:11" x14ac:dyDescent="0.3">
      <c r="A87" s="256">
        <v>26</v>
      </c>
      <c r="B87" s="257" t="s">
        <v>1388</v>
      </c>
      <c r="C87" s="276">
        <v>44545</v>
      </c>
      <c r="D87" s="257" t="s">
        <v>1263</v>
      </c>
      <c r="E87" s="256" t="s">
        <v>1717</v>
      </c>
      <c r="F87" s="256" t="s">
        <v>1724</v>
      </c>
      <c r="G87" s="258">
        <v>189428000000</v>
      </c>
      <c r="H87" s="265">
        <v>0.1</v>
      </c>
      <c r="I87" s="258">
        <v>18942800000</v>
      </c>
      <c r="J87" s="258">
        <v>208370800000</v>
      </c>
      <c r="K87" s="256" t="s">
        <v>1346</v>
      </c>
    </row>
    <row r="88" spans="1:11" x14ac:dyDescent="0.3">
      <c r="A88" s="256">
        <v>27</v>
      </c>
      <c r="B88" s="257" t="s">
        <v>1391</v>
      </c>
      <c r="C88" s="276">
        <v>44336</v>
      </c>
      <c r="D88" s="257" t="s">
        <v>1256</v>
      </c>
      <c r="E88" s="256" t="s">
        <v>1698</v>
      </c>
      <c r="F88" s="256" t="s">
        <v>1724</v>
      </c>
      <c r="G88" s="258">
        <v>194088000000</v>
      </c>
      <c r="H88" s="265">
        <v>0.1</v>
      </c>
      <c r="I88" s="258">
        <v>19408800000</v>
      </c>
      <c r="J88" s="258">
        <v>213496800000</v>
      </c>
      <c r="K88" s="256" t="s">
        <v>1346</v>
      </c>
    </row>
    <row r="89" spans="1:11" x14ac:dyDescent="0.3">
      <c r="A89" s="256">
        <v>28</v>
      </c>
      <c r="B89" s="257" t="s">
        <v>1392</v>
      </c>
      <c r="C89" s="276">
        <v>44367</v>
      </c>
      <c r="D89" s="257" t="s">
        <v>1277</v>
      </c>
      <c r="E89" s="256" t="s">
        <v>1711</v>
      </c>
      <c r="F89" s="256" t="s">
        <v>1723</v>
      </c>
      <c r="G89" s="258">
        <v>167023000000</v>
      </c>
      <c r="H89" s="265">
        <v>0.1</v>
      </c>
      <c r="I89" s="258">
        <v>16702300000</v>
      </c>
      <c r="J89" s="258">
        <v>183725300000</v>
      </c>
      <c r="K89" s="256" t="s">
        <v>1346</v>
      </c>
    </row>
    <row r="90" spans="1:11" x14ac:dyDescent="0.3">
      <c r="A90" s="256">
        <v>29</v>
      </c>
      <c r="B90" s="257" t="s">
        <v>1394</v>
      </c>
      <c r="C90" s="276">
        <v>44397</v>
      </c>
      <c r="D90" s="257" t="s">
        <v>1273</v>
      </c>
      <c r="E90" s="256" t="s">
        <v>1704</v>
      </c>
      <c r="F90" s="256" t="s">
        <v>1648</v>
      </c>
      <c r="G90" s="258">
        <v>157694000000</v>
      </c>
      <c r="H90" s="265">
        <v>0.1</v>
      </c>
      <c r="I90" s="258">
        <v>15769400000</v>
      </c>
      <c r="J90" s="258">
        <v>173463400000</v>
      </c>
      <c r="K90" s="256" t="s">
        <v>1346</v>
      </c>
    </row>
    <row r="91" spans="1:11" x14ac:dyDescent="0.3">
      <c r="A91" s="256">
        <v>30</v>
      </c>
      <c r="B91" s="257" t="s">
        <v>1396</v>
      </c>
      <c r="C91" s="276">
        <v>44428</v>
      </c>
      <c r="D91" s="257" t="s">
        <v>1283</v>
      </c>
      <c r="E91" s="256" t="s">
        <v>1727</v>
      </c>
      <c r="F91" s="256" t="s">
        <v>1723</v>
      </c>
      <c r="G91" s="258">
        <v>113278000000</v>
      </c>
      <c r="H91" s="265">
        <v>0.1</v>
      </c>
      <c r="I91" s="258">
        <v>11327800000</v>
      </c>
      <c r="J91" s="258">
        <v>124605800000</v>
      </c>
      <c r="K91" s="256" t="s">
        <v>1346</v>
      </c>
    </row>
    <row r="92" spans="1:11" x14ac:dyDescent="0.3">
      <c r="A92" s="256">
        <v>31</v>
      </c>
      <c r="B92" s="257" t="s">
        <v>1397</v>
      </c>
      <c r="C92" s="276">
        <v>44459</v>
      </c>
      <c r="D92" s="257" t="s">
        <v>1289</v>
      </c>
      <c r="E92" s="256" t="s">
        <v>1703</v>
      </c>
      <c r="F92" s="256" t="s">
        <v>1648</v>
      </c>
      <c r="G92" s="258">
        <v>185243000000</v>
      </c>
      <c r="H92" s="265">
        <v>0.1</v>
      </c>
      <c r="I92" s="258">
        <v>18524300000</v>
      </c>
      <c r="J92" s="258">
        <v>203767300000</v>
      </c>
      <c r="K92" s="256" t="s">
        <v>1346</v>
      </c>
    </row>
    <row r="93" spans="1:11" x14ac:dyDescent="0.3">
      <c r="A93" s="256">
        <v>32</v>
      </c>
      <c r="B93" s="257" t="s">
        <v>1398</v>
      </c>
      <c r="C93" s="276">
        <v>44550</v>
      </c>
      <c r="D93" s="257" t="s">
        <v>1262</v>
      </c>
      <c r="E93" s="256" t="s">
        <v>1728</v>
      </c>
      <c r="F93" s="256" t="s">
        <v>1723</v>
      </c>
      <c r="G93" s="258">
        <v>81434000000</v>
      </c>
      <c r="H93" s="265">
        <v>0</v>
      </c>
      <c r="I93" s="258">
        <v>0</v>
      </c>
      <c r="J93" s="258">
        <v>81434000000</v>
      </c>
      <c r="K93" s="256" t="s">
        <v>1346</v>
      </c>
    </row>
    <row r="94" spans="1:11" x14ac:dyDescent="0.3">
      <c r="A94" s="256">
        <v>33</v>
      </c>
      <c r="B94" s="257" t="s">
        <v>1399</v>
      </c>
      <c r="C94" s="276">
        <v>44221</v>
      </c>
      <c r="D94" s="257" t="s">
        <v>1281</v>
      </c>
      <c r="E94" s="256" t="s">
        <v>1721</v>
      </c>
      <c r="F94" s="256" t="s">
        <v>1724</v>
      </c>
      <c r="G94" s="258">
        <v>130103000000</v>
      </c>
      <c r="H94" s="265">
        <v>0.1</v>
      </c>
      <c r="I94" s="258">
        <v>13010300000</v>
      </c>
      <c r="J94" s="258">
        <v>143113300000</v>
      </c>
      <c r="K94" s="256" t="s">
        <v>1346</v>
      </c>
    </row>
    <row r="95" spans="1:11" x14ac:dyDescent="0.3">
      <c r="A95" s="256">
        <v>34</v>
      </c>
      <c r="B95" s="257" t="s">
        <v>1401</v>
      </c>
      <c r="C95" s="276">
        <v>44252</v>
      </c>
      <c r="D95" s="257" t="s">
        <v>1273</v>
      </c>
      <c r="E95" s="256" t="s">
        <v>1704</v>
      </c>
      <c r="F95" s="256" t="s">
        <v>1648</v>
      </c>
      <c r="G95" s="258">
        <v>97232000000</v>
      </c>
      <c r="H95" s="265">
        <v>0.1</v>
      </c>
      <c r="I95" s="258">
        <v>9723200000</v>
      </c>
      <c r="J95" s="258">
        <v>106955200000</v>
      </c>
      <c r="K95" s="256" t="s">
        <v>1346</v>
      </c>
    </row>
    <row r="96" spans="1:11" x14ac:dyDescent="0.3">
      <c r="A96" s="256">
        <v>35</v>
      </c>
      <c r="B96" s="257" t="s">
        <v>1402</v>
      </c>
      <c r="C96" s="276">
        <v>44311</v>
      </c>
      <c r="D96" s="257" t="s">
        <v>1289</v>
      </c>
      <c r="E96" s="256" t="s">
        <v>1703</v>
      </c>
      <c r="F96" s="256" t="s">
        <v>1648</v>
      </c>
      <c r="G96" s="258">
        <v>103753000000</v>
      </c>
      <c r="H96" s="265">
        <v>0.1</v>
      </c>
      <c r="I96" s="258">
        <v>10375300000</v>
      </c>
      <c r="J96" s="258">
        <v>114128300000</v>
      </c>
      <c r="K96" s="256" t="s">
        <v>1346</v>
      </c>
    </row>
    <row r="97" spans="1:11" x14ac:dyDescent="0.3">
      <c r="A97" s="256">
        <v>36</v>
      </c>
      <c r="B97" s="257" t="s">
        <v>1403</v>
      </c>
      <c r="C97" s="276">
        <v>44341</v>
      </c>
      <c r="D97" s="257" t="s">
        <v>1262</v>
      </c>
      <c r="E97" s="256" t="s">
        <v>1728</v>
      </c>
      <c r="F97" s="256" t="s">
        <v>1723</v>
      </c>
      <c r="G97" s="258">
        <v>158704000000</v>
      </c>
      <c r="H97" s="265">
        <v>0.1</v>
      </c>
      <c r="I97" s="258">
        <v>15870400000</v>
      </c>
      <c r="J97" s="258">
        <v>174574400000</v>
      </c>
      <c r="K97" s="256" t="s">
        <v>1346</v>
      </c>
    </row>
    <row r="98" spans="1:11" x14ac:dyDescent="0.3">
      <c r="A98" s="256">
        <v>37</v>
      </c>
      <c r="B98" s="257" t="s">
        <v>1404</v>
      </c>
      <c r="C98" s="276">
        <v>44372</v>
      </c>
      <c r="D98" s="257" t="s">
        <v>1276</v>
      </c>
      <c r="E98" s="256" t="s">
        <v>1696</v>
      </c>
      <c r="F98" s="256" t="s">
        <v>1724</v>
      </c>
      <c r="G98" s="258">
        <v>201011000000</v>
      </c>
      <c r="H98" s="265">
        <v>0.1</v>
      </c>
      <c r="I98" s="258">
        <v>20101100000</v>
      </c>
      <c r="J98" s="258">
        <v>221112100000</v>
      </c>
      <c r="K98" s="256" t="s">
        <v>1346</v>
      </c>
    </row>
    <row r="99" spans="1:11" x14ac:dyDescent="0.3">
      <c r="A99" s="256">
        <v>38</v>
      </c>
      <c r="B99" s="257" t="s">
        <v>1405</v>
      </c>
      <c r="C99" s="276">
        <v>44402</v>
      </c>
      <c r="D99" s="257" t="s">
        <v>1286</v>
      </c>
      <c r="E99" s="256" t="s">
        <v>1729</v>
      </c>
      <c r="F99" s="256" t="s">
        <v>1725</v>
      </c>
      <c r="G99" s="258">
        <v>132083000000</v>
      </c>
      <c r="H99" s="265">
        <v>0.1</v>
      </c>
      <c r="I99" s="258">
        <v>13208300000</v>
      </c>
      <c r="J99" s="258">
        <v>145291300000</v>
      </c>
      <c r="K99" s="256" t="s">
        <v>1346</v>
      </c>
    </row>
    <row r="100" spans="1:11" x14ac:dyDescent="0.3">
      <c r="A100" s="256">
        <v>39</v>
      </c>
      <c r="B100" s="257" t="s">
        <v>1406</v>
      </c>
      <c r="C100" s="276">
        <v>44433</v>
      </c>
      <c r="D100" s="257" t="s">
        <v>1268</v>
      </c>
      <c r="E100" s="256" t="s">
        <v>1718</v>
      </c>
      <c r="F100" s="256" t="s">
        <v>1724</v>
      </c>
      <c r="G100" s="258">
        <v>102653000000</v>
      </c>
      <c r="H100" s="265">
        <v>0.1</v>
      </c>
      <c r="I100" s="258">
        <v>10265300000</v>
      </c>
      <c r="J100" s="258">
        <v>112918300000</v>
      </c>
      <c r="K100" s="256" t="s">
        <v>1346</v>
      </c>
    </row>
    <row r="101" spans="1:11" x14ac:dyDescent="0.3">
      <c r="A101" s="256">
        <v>40</v>
      </c>
      <c r="B101" s="257" t="s">
        <v>1408</v>
      </c>
      <c r="C101" s="276">
        <v>44464</v>
      </c>
      <c r="D101" s="257" t="s">
        <v>1266</v>
      </c>
      <c r="E101" s="256" t="s">
        <v>1686</v>
      </c>
      <c r="F101" s="256" t="s">
        <v>1723</v>
      </c>
      <c r="G101" s="258">
        <v>199977000000</v>
      </c>
      <c r="H101" s="265">
        <v>0.1</v>
      </c>
      <c r="I101" s="258">
        <v>19997700000</v>
      </c>
      <c r="J101" s="258">
        <v>219974700000</v>
      </c>
      <c r="K101" s="256" t="s">
        <v>1346</v>
      </c>
    </row>
    <row r="102" spans="1:11" x14ac:dyDescent="0.3">
      <c r="A102" s="256">
        <v>41</v>
      </c>
      <c r="B102" s="257" t="s">
        <v>1409</v>
      </c>
      <c r="C102" s="276">
        <v>44494</v>
      </c>
      <c r="D102" s="257" t="s">
        <v>1286</v>
      </c>
      <c r="E102" s="256" t="s">
        <v>1729</v>
      </c>
      <c r="F102" s="256" t="s">
        <v>1725</v>
      </c>
      <c r="G102" s="258">
        <v>134727000000</v>
      </c>
      <c r="H102" s="265">
        <v>0.1</v>
      </c>
      <c r="I102" s="258">
        <v>13472700000</v>
      </c>
      <c r="J102" s="258">
        <v>148199700000</v>
      </c>
      <c r="K102" s="256" t="s">
        <v>1346</v>
      </c>
    </row>
    <row r="103" spans="1:11" x14ac:dyDescent="0.3">
      <c r="A103" s="256">
        <v>42</v>
      </c>
      <c r="B103" s="257" t="s">
        <v>1411</v>
      </c>
      <c r="C103" s="276">
        <v>44555</v>
      </c>
      <c r="D103" s="257" t="s">
        <v>1262</v>
      </c>
      <c r="E103" s="256" t="s">
        <v>1728</v>
      </c>
      <c r="F103" s="256" t="s">
        <v>1648</v>
      </c>
      <c r="G103" s="258">
        <v>124415000000</v>
      </c>
      <c r="H103" s="265">
        <v>0.1</v>
      </c>
      <c r="I103" s="258">
        <v>12441500000</v>
      </c>
      <c r="J103" s="258">
        <v>136856500000</v>
      </c>
      <c r="K103" s="256" t="s">
        <v>1346</v>
      </c>
    </row>
    <row r="104" spans="1:11" x14ac:dyDescent="0.3">
      <c r="A104" s="256">
        <v>43</v>
      </c>
      <c r="B104" s="257" t="s">
        <v>1414</v>
      </c>
      <c r="C104" s="276">
        <v>44377</v>
      </c>
      <c r="D104" s="257" t="s">
        <v>1292</v>
      </c>
      <c r="E104" s="256" t="s">
        <v>1693</v>
      </c>
      <c r="F104" s="256" t="s">
        <v>1725</v>
      </c>
      <c r="G104" s="258">
        <v>96531000000</v>
      </c>
      <c r="H104" s="265">
        <v>0.1</v>
      </c>
      <c r="I104" s="258">
        <v>9653100000</v>
      </c>
      <c r="J104" s="258">
        <v>106184100000</v>
      </c>
      <c r="K104" s="256" t="s">
        <v>1346</v>
      </c>
    </row>
    <row r="105" spans="1:11" x14ac:dyDescent="0.3">
      <c r="A105" s="256">
        <v>44</v>
      </c>
      <c r="B105" s="257" t="s">
        <v>1415</v>
      </c>
      <c r="C105" s="276">
        <v>44469</v>
      </c>
      <c r="D105" s="257" t="s">
        <v>1265</v>
      </c>
      <c r="E105" s="256" t="s">
        <v>1705</v>
      </c>
      <c r="F105" s="256" t="s">
        <v>1723</v>
      </c>
      <c r="G105" s="258">
        <v>213222000000</v>
      </c>
      <c r="H105" s="265">
        <v>0.1</v>
      </c>
      <c r="I105" s="258">
        <v>21322200000</v>
      </c>
      <c r="J105" s="258">
        <v>234544200000</v>
      </c>
      <c r="K105" s="256" t="s">
        <v>1346</v>
      </c>
    </row>
    <row r="106" spans="1:11" x14ac:dyDescent="0.3">
      <c r="A106" s="256">
        <v>45</v>
      </c>
      <c r="B106" s="257" t="s">
        <v>1206</v>
      </c>
      <c r="C106" s="276">
        <v>44530</v>
      </c>
      <c r="D106" s="257" t="s">
        <v>1268</v>
      </c>
      <c r="E106" s="256" t="s">
        <v>1718</v>
      </c>
      <c r="F106" s="256" t="s">
        <v>1648</v>
      </c>
      <c r="G106" s="258">
        <v>83371000000</v>
      </c>
      <c r="H106" s="265">
        <v>0.1</v>
      </c>
      <c r="I106" s="258">
        <v>8337100000</v>
      </c>
      <c r="J106" s="258">
        <v>91708100000</v>
      </c>
      <c r="K106" s="256" t="s">
        <v>1346</v>
      </c>
    </row>
    <row r="107" spans="1:11" x14ac:dyDescent="0.3">
      <c r="A107" s="256">
        <v>46</v>
      </c>
      <c r="B107" s="257" t="s">
        <v>1207</v>
      </c>
      <c r="C107" s="276">
        <v>44347</v>
      </c>
      <c r="D107" s="257" t="s">
        <v>1258</v>
      </c>
      <c r="E107" s="256" t="s">
        <v>1694</v>
      </c>
      <c r="F107" s="256" t="s">
        <v>1725</v>
      </c>
      <c r="G107" s="258">
        <v>200444000000</v>
      </c>
      <c r="H107" s="265">
        <v>0</v>
      </c>
      <c r="I107" s="258">
        <v>0</v>
      </c>
      <c r="J107" s="258">
        <v>200444000000</v>
      </c>
      <c r="K107" s="256" t="s">
        <v>1346</v>
      </c>
    </row>
    <row r="108" spans="1:11" x14ac:dyDescent="0.3">
      <c r="A108" s="256">
        <v>47</v>
      </c>
      <c r="B108" s="257" t="s">
        <v>1208</v>
      </c>
      <c r="C108" s="276">
        <v>44408</v>
      </c>
      <c r="D108" s="257" t="s">
        <v>1259</v>
      </c>
      <c r="E108" s="256" t="s">
        <v>1700</v>
      </c>
      <c r="F108" s="256" t="s">
        <v>1725</v>
      </c>
      <c r="G108" s="258">
        <v>165424000000</v>
      </c>
      <c r="H108" s="265">
        <v>0.1</v>
      </c>
      <c r="I108" s="258">
        <v>16542400000</v>
      </c>
      <c r="J108" s="258">
        <v>181966400000</v>
      </c>
      <c r="K108" s="256" t="s">
        <v>1346</v>
      </c>
    </row>
    <row r="109" spans="1:11" x14ac:dyDescent="0.3">
      <c r="A109" s="256">
        <v>48</v>
      </c>
      <c r="B109" s="257" t="s">
        <v>1209</v>
      </c>
      <c r="C109" s="276">
        <v>44439</v>
      </c>
      <c r="D109" s="257" t="s">
        <v>1263</v>
      </c>
      <c r="E109" s="256" t="s">
        <v>1717</v>
      </c>
      <c r="F109" s="256" t="s">
        <v>1724</v>
      </c>
      <c r="G109" s="258">
        <v>156878000000</v>
      </c>
      <c r="H109" s="265">
        <v>0.1</v>
      </c>
      <c r="I109" s="258">
        <v>15687800000</v>
      </c>
      <c r="J109" s="258">
        <v>172565800000</v>
      </c>
      <c r="K109" s="256" t="s">
        <v>1346</v>
      </c>
    </row>
    <row r="110" spans="1:11" x14ac:dyDescent="0.3">
      <c r="A110" s="256">
        <v>49</v>
      </c>
      <c r="B110" s="257" t="s">
        <v>1418</v>
      </c>
      <c r="C110" s="276">
        <v>44500</v>
      </c>
      <c r="D110" s="257" t="s">
        <v>1259</v>
      </c>
      <c r="E110" s="256" t="s">
        <v>1700</v>
      </c>
      <c r="F110" s="256" t="s">
        <v>1724</v>
      </c>
      <c r="G110" s="258">
        <v>131180000000</v>
      </c>
      <c r="H110" s="265">
        <v>0.1</v>
      </c>
      <c r="I110" s="258">
        <v>13118000000</v>
      </c>
      <c r="J110" s="258">
        <v>144298000000</v>
      </c>
      <c r="K110" s="256" t="s">
        <v>1348</v>
      </c>
    </row>
    <row r="111" spans="1:11" x14ac:dyDescent="0.3">
      <c r="A111" s="256">
        <v>50</v>
      </c>
      <c r="B111" s="257" t="s">
        <v>1419</v>
      </c>
      <c r="C111" s="276">
        <v>44561</v>
      </c>
      <c r="D111" s="257" t="s">
        <v>1281</v>
      </c>
      <c r="E111" s="256" t="s">
        <v>1721</v>
      </c>
      <c r="F111" s="256" t="s">
        <v>1723</v>
      </c>
      <c r="G111" s="258">
        <v>129367000000</v>
      </c>
      <c r="H111" s="265">
        <v>0.1</v>
      </c>
      <c r="I111" s="258">
        <v>12936700000</v>
      </c>
      <c r="J111" s="258">
        <v>142303700000</v>
      </c>
      <c r="K111" s="256" t="s">
        <v>1346</v>
      </c>
    </row>
    <row r="112" spans="1:11" x14ac:dyDescent="0.3">
      <c r="A112" s="266" t="s">
        <v>1351</v>
      </c>
      <c r="B112" s="266"/>
      <c r="C112" s="266"/>
      <c r="D112" s="266"/>
      <c r="E112" s="266"/>
      <c r="F112" s="266"/>
      <c r="G112" s="267">
        <f>SUM(G62:G111)</f>
        <v>7179373000000</v>
      </c>
      <c r="H112" s="266"/>
      <c r="I112" s="267">
        <f>SUM(I62:I111)</f>
        <v>669891600000</v>
      </c>
      <c r="J112" s="267">
        <f>SUM(J62:J111)</f>
        <v>7849264600000</v>
      </c>
      <c r="K112" s="2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1393</v>
      </c>
      <c r="C1" s="256"/>
      <c r="D1" s="256"/>
      <c r="E1" s="256"/>
      <c r="F1" s="256"/>
      <c r="G1" s="256"/>
      <c r="H1" s="256"/>
      <c r="I1" s="256"/>
      <c r="J1" s="256"/>
      <c r="K1" s="256"/>
    </row>
    <row r="2" spans="1:11" x14ac:dyDescent="0.3">
      <c r="A2" s="256" t="s">
        <v>1339</v>
      </c>
      <c r="B2" s="257">
        <v>101454070</v>
      </c>
      <c r="C2" s="256"/>
      <c r="D2" s="256"/>
      <c r="E2" s="256"/>
      <c r="F2" s="256"/>
      <c r="G2" s="256"/>
      <c r="H2" s="256"/>
      <c r="I2" s="256"/>
      <c r="J2" s="256"/>
      <c r="K2" s="256"/>
    </row>
    <row r="3" spans="1:11" x14ac:dyDescent="0.3">
      <c r="A3" s="256" t="s">
        <v>1343</v>
      </c>
      <c r="B3" s="258">
        <v>220106676044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1385</v>
      </c>
      <c r="C8" s="276">
        <v>44317</v>
      </c>
      <c r="D8" s="257" t="s">
        <v>1266</v>
      </c>
      <c r="E8" s="256" t="s">
        <v>1686</v>
      </c>
      <c r="F8" s="256" t="s">
        <v>1730</v>
      </c>
      <c r="G8" s="258">
        <v>2025000000</v>
      </c>
      <c r="H8" s="265">
        <v>0.1</v>
      </c>
      <c r="I8" s="258">
        <v>202500000</v>
      </c>
      <c r="J8" s="258">
        <v>2227500000</v>
      </c>
      <c r="K8" s="256" t="s">
        <v>1346</v>
      </c>
    </row>
    <row r="9" spans="1:11" x14ac:dyDescent="0.3">
      <c r="A9" s="256">
        <v>2</v>
      </c>
      <c r="B9" s="257" t="s">
        <v>1374</v>
      </c>
      <c r="C9" s="276">
        <v>44318</v>
      </c>
      <c r="D9" s="257" t="s">
        <v>1255</v>
      </c>
      <c r="E9" s="256" t="s">
        <v>1688</v>
      </c>
      <c r="F9" s="256" t="s">
        <v>1731</v>
      </c>
      <c r="G9" s="258">
        <v>1613000000</v>
      </c>
      <c r="H9" s="265">
        <v>0.1</v>
      </c>
      <c r="I9" s="258">
        <v>161300000</v>
      </c>
      <c r="J9" s="258">
        <v>1774300000</v>
      </c>
      <c r="K9" s="256" t="s">
        <v>1346</v>
      </c>
    </row>
    <row r="10" spans="1:11" x14ac:dyDescent="0.3">
      <c r="A10" s="256">
        <v>3</v>
      </c>
      <c r="B10" s="257" t="s">
        <v>1387</v>
      </c>
      <c r="C10" s="276">
        <v>44319</v>
      </c>
      <c r="D10" s="257" t="s">
        <v>1266</v>
      </c>
      <c r="E10" s="256" t="s">
        <v>1686</v>
      </c>
      <c r="F10" s="256" t="s">
        <v>1732</v>
      </c>
      <c r="G10" s="258">
        <v>3534000000</v>
      </c>
      <c r="H10" s="265">
        <v>0.1</v>
      </c>
      <c r="I10" s="258">
        <v>353400000</v>
      </c>
      <c r="J10" s="258">
        <v>3887400000</v>
      </c>
      <c r="K10" s="256" t="s">
        <v>1346</v>
      </c>
    </row>
    <row r="11" spans="1:11" x14ac:dyDescent="0.3">
      <c r="A11" s="256">
        <v>4</v>
      </c>
      <c r="B11" s="257" t="s">
        <v>1355</v>
      </c>
      <c r="C11" s="276">
        <v>44320</v>
      </c>
      <c r="D11" s="257" t="s">
        <v>1288</v>
      </c>
      <c r="E11" s="256" t="s">
        <v>1691</v>
      </c>
      <c r="F11" s="256" t="s">
        <v>1733</v>
      </c>
      <c r="G11" s="258">
        <v>2404000000</v>
      </c>
      <c r="H11" s="265">
        <v>0.1</v>
      </c>
      <c r="I11" s="258">
        <v>240400000</v>
      </c>
      <c r="J11" s="258">
        <v>2644400000</v>
      </c>
      <c r="K11" s="256" t="s">
        <v>1346</v>
      </c>
    </row>
    <row r="12" spans="1:11" x14ac:dyDescent="0.3">
      <c r="A12" s="256">
        <v>5</v>
      </c>
      <c r="B12" s="257" t="s">
        <v>1202</v>
      </c>
      <c r="C12" s="276">
        <v>44322</v>
      </c>
      <c r="D12" s="257" t="s">
        <v>1292</v>
      </c>
      <c r="E12" s="256" t="s">
        <v>1693</v>
      </c>
      <c r="F12" s="256" t="s">
        <v>1730</v>
      </c>
      <c r="G12" s="258">
        <v>2623000000</v>
      </c>
      <c r="H12" s="265">
        <v>0.1</v>
      </c>
      <c r="I12" s="258">
        <v>262300000</v>
      </c>
      <c r="J12" s="258">
        <v>2885300000</v>
      </c>
      <c r="K12" s="256" t="s">
        <v>1346</v>
      </c>
    </row>
    <row r="13" spans="1:11" x14ac:dyDescent="0.3">
      <c r="A13" s="256">
        <v>6</v>
      </c>
      <c r="B13" s="257" t="s">
        <v>1374</v>
      </c>
      <c r="C13" s="276">
        <v>44323</v>
      </c>
      <c r="D13" s="257" t="s">
        <v>1258</v>
      </c>
      <c r="E13" s="256" t="s">
        <v>1694</v>
      </c>
      <c r="F13" s="256" t="s">
        <v>1734</v>
      </c>
      <c r="G13" s="258">
        <v>4096000000</v>
      </c>
      <c r="H13" s="265">
        <v>0.1</v>
      </c>
      <c r="I13" s="258">
        <v>409600000</v>
      </c>
      <c r="J13" s="258">
        <v>4505600000</v>
      </c>
      <c r="K13" s="256" t="s">
        <v>1346</v>
      </c>
    </row>
    <row r="14" spans="1:11" x14ac:dyDescent="0.3">
      <c r="A14" s="256">
        <v>7</v>
      </c>
      <c r="B14" s="257" t="s">
        <v>1379</v>
      </c>
      <c r="C14" s="276">
        <v>44324</v>
      </c>
      <c r="D14" s="257" t="s">
        <v>1276</v>
      </c>
      <c r="E14" s="256" t="s">
        <v>1696</v>
      </c>
      <c r="F14" s="256" t="s">
        <v>1734</v>
      </c>
      <c r="G14" s="258">
        <v>4070000000</v>
      </c>
      <c r="H14" s="265">
        <v>0.1</v>
      </c>
      <c r="I14" s="258">
        <v>407000000</v>
      </c>
      <c r="J14" s="258">
        <v>4477000000</v>
      </c>
      <c r="K14" s="256" t="s">
        <v>1346</v>
      </c>
    </row>
    <row r="15" spans="1:11" x14ac:dyDescent="0.3">
      <c r="A15" s="256">
        <v>8</v>
      </c>
      <c r="B15" s="257" t="s">
        <v>1381</v>
      </c>
      <c r="C15" s="276">
        <v>44325</v>
      </c>
      <c r="D15" s="257" t="s">
        <v>1276</v>
      </c>
      <c r="E15" s="256" t="s">
        <v>1696</v>
      </c>
      <c r="F15" s="256" t="s">
        <v>1732</v>
      </c>
      <c r="G15" s="258">
        <v>3222000000</v>
      </c>
      <c r="H15" s="265">
        <v>0.1</v>
      </c>
      <c r="I15" s="258">
        <v>322200000</v>
      </c>
      <c r="J15" s="258">
        <v>3544200000</v>
      </c>
      <c r="K15" s="256" t="s">
        <v>1346</v>
      </c>
    </row>
    <row r="16" spans="1:11" x14ac:dyDescent="0.3">
      <c r="A16" s="256">
        <v>9</v>
      </c>
      <c r="B16" s="257" t="s">
        <v>1376</v>
      </c>
      <c r="C16" s="276">
        <v>44327</v>
      </c>
      <c r="D16" s="257" t="s">
        <v>1256</v>
      </c>
      <c r="E16" s="256" t="s">
        <v>1698</v>
      </c>
      <c r="F16" s="256" t="s">
        <v>1731</v>
      </c>
      <c r="G16" s="258">
        <v>1738000000</v>
      </c>
      <c r="H16" s="265">
        <v>0.1</v>
      </c>
      <c r="I16" s="258">
        <v>173800000</v>
      </c>
      <c r="J16" s="258">
        <v>1911800000</v>
      </c>
      <c r="K16" s="256" t="s">
        <v>1346</v>
      </c>
    </row>
    <row r="17" spans="1:11" x14ac:dyDescent="0.3">
      <c r="A17" s="256">
        <v>10</v>
      </c>
      <c r="B17" s="257" t="s">
        <v>1387</v>
      </c>
      <c r="C17" s="276">
        <v>44328</v>
      </c>
      <c r="D17" s="257" t="s">
        <v>1259</v>
      </c>
      <c r="E17" s="256" t="s">
        <v>1700</v>
      </c>
      <c r="F17" s="256" t="s">
        <v>1732</v>
      </c>
      <c r="G17" s="258">
        <v>4239000000</v>
      </c>
      <c r="H17" s="265">
        <v>0</v>
      </c>
      <c r="I17" s="258">
        <v>0</v>
      </c>
      <c r="J17" s="258">
        <v>4239000000</v>
      </c>
      <c r="K17" s="256" t="s">
        <v>1346</v>
      </c>
    </row>
    <row r="18" spans="1:11" x14ac:dyDescent="0.3">
      <c r="A18" s="256">
        <v>11</v>
      </c>
      <c r="B18" s="257" t="s">
        <v>1382</v>
      </c>
      <c r="C18" s="276">
        <v>44470</v>
      </c>
      <c r="D18" s="257" t="s">
        <v>1276</v>
      </c>
      <c r="E18" s="256" t="s">
        <v>1696</v>
      </c>
      <c r="F18" s="256" t="s">
        <v>1730</v>
      </c>
      <c r="G18" s="258">
        <v>3253000000</v>
      </c>
      <c r="H18" s="265">
        <v>0.1</v>
      </c>
      <c r="I18" s="258">
        <v>325300000</v>
      </c>
      <c r="J18" s="258">
        <v>3578300000</v>
      </c>
      <c r="K18" s="256" t="s">
        <v>1346</v>
      </c>
    </row>
    <row r="19" spans="1:11" x14ac:dyDescent="0.3">
      <c r="A19" s="256">
        <v>12</v>
      </c>
      <c r="B19" s="257" t="s">
        <v>1381</v>
      </c>
      <c r="C19" s="276">
        <v>44471</v>
      </c>
      <c r="D19" s="257" t="s">
        <v>1267</v>
      </c>
      <c r="E19" s="256" t="s">
        <v>1701</v>
      </c>
      <c r="F19" s="256" t="s">
        <v>1732</v>
      </c>
      <c r="G19" s="258">
        <v>1611000000</v>
      </c>
      <c r="H19" s="265">
        <v>0.1</v>
      </c>
      <c r="I19" s="258">
        <v>161100000</v>
      </c>
      <c r="J19" s="258">
        <v>1772100000</v>
      </c>
      <c r="K19" s="256" t="s">
        <v>1346</v>
      </c>
    </row>
    <row r="20" spans="1:11" x14ac:dyDescent="0.3">
      <c r="A20" s="256">
        <v>13</v>
      </c>
      <c r="B20" s="257" t="s">
        <v>1371</v>
      </c>
      <c r="C20" s="276">
        <v>44472</v>
      </c>
      <c r="D20" s="257" t="s">
        <v>1270</v>
      </c>
      <c r="E20" s="256" t="s">
        <v>1702</v>
      </c>
      <c r="F20" s="256" t="s">
        <v>1730</v>
      </c>
      <c r="G20" s="258">
        <v>2404000000</v>
      </c>
      <c r="H20" s="265">
        <v>0.1</v>
      </c>
      <c r="I20" s="258">
        <v>240400000</v>
      </c>
      <c r="J20" s="258">
        <v>2644400000</v>
      </c>
      <c r="K20" s="256" t="s">
        <v>1346</v>
      </c>
    </row>
    <row r="21" spans="1:11" x14ac:dyDescent="0.3">
      <c r="A21" s="256">
        <v>14</v>
      </c>
      <c r="B21" s="257" t="s">
        <v>1374</v>
      </c>
      <c r="C21" s="276">
        <v>44474</v>
      </c>
      <c r="D21" s="257" t="s">
        <v>1289</v>
      </c>
      <c r="E21" s="256" t="s">
        <v>1703</v>
      </c>
      <c r="F21" s="256" t="s">
        <v>1732</v>
      </c>
      <c r="G21" s="258">
        <v>2662000000</v>
      </c>
      <c r="H21" s="265">
        <v>0.1</v>
      </c>
      <c r="I21" s="258">
        <v>266200000</v>
      </c>
      <c r="J21" s="258">
        <v>2928200000</v>
      </c>
      <c r="K21" s="256" t="s">
        <v>1346</v>
      </c>
    </row>
    <row r="22" spans="1:11" x14ac:dyDescent="0.3">
      <c r="A22" s="256">
        <v>15</v>
      </c>
      <c r="B22" s="257" t="s">
        <v>1205</v>
      </c>
      <c r="C22" s="276">
        <v>44475</v>
      </c>
      <c r="D22" s="257" t="s">
        <v>1273</v>
      </c>
      <c r="E22" s="256" t="s">
        <v>1704</v>
      </c>
      <c r="F22" s="256" t="s">
        <v>1735</v>
      </c>
      <c r="G22" s="258">
        <v>4719000000</v>
      </c>
      <c r="H22" s="265">
        <v>0.1</v>
      </c>
      <c r="I22" s="258">
        <v>471900000</v>
      </c>
      <c r="J22" s="258">
        <v>5190900000</v>
      </c>
      <c r="K22" s="256" t="s">
        <v>1346</v>
      </c>
    </row>
    <row r="23" spans="1:11" x14ac:dyDescent="0.3">
      <c r="A23" s="256">
        <v>16</v>
      </c>
      <c r="B23" s="257" t="s">
        <v>1360</v>
      </c>
      <c r="C23" s="276">
        <v>44476</v>
      </c>
      <c r="D23" s="257" t="s">
        <v>1265</v>
      </c>
      <c r="E23" s="256" t="s">
        <v>1705</v>
      </c>
      <c r="F23" s="256" t="s">
        <v>1734</v>
      </c>
      <c r="G23" s="258">
        <v>2959000000</v>
      </c>
      <c r="H23" s="265">
        <v>0</v>
      </c>
      <c r="I23" s="258">
        <v>0</v>
      </c>
      <c r="J23" s="258">
        <v>2959000000</v>
      </c>
      <c r="K23" s="256" t="s">
        <v>1346</v>
      </c>
    </row>
    <row r="24" spans="1:11" x14ac:dyDescent="0.3">
      <c r="A24" s="256">
        <v>17</v>
      </c>
      <c r="B24" s="257" t="s">
        <v>1362</v>
      </c>
      <c r="C24" s="276">
        <v>44477</v>
      </c>
      <c r="D24" s="257" t="s">
        <v>1265</v>
      </c>
      <c r="E24" s="256" t="s">
        <v>1705</v>
      </c>
      <c r="F24" s="256" t="s">
        <v>1732</v>
      </c>
      <c r="G24" s="258">
        <v>4508000000</v>
      </c>
      <c r="H24" s="265">
        <v>0.1</v>
      </c>
      <c r="I24" s="258">
        <v>450800000</v>
      </c>
      <c r="J24" s="258">
        <v>4958800000</v>
      </c>
      <c r="K24" s="256" t="s">
        <v>1346</v>
      </c>
    </row>
    <row r="25" spans="1:11" x14ac:dyDescent="0.3">
      <c r="A25" s="256">
        <v>18</v>
      </c>
      <c r="B25" s="257" t="s">
        <v>1382</v>
      </c>
      <c r="C25" s="276">
        <v>44478</v>
      </c>
      <c r="D25" s="257" t="s">
        <v>1267</v>
      </c>
      <c r="E25" s="256" t="s">
        <v>1701</v>
      </c>
      <c r="F25" s="256" t="s">
        <v>1731</v>
      </c>
      <c r="G25" s="258">
        <v>3468000000</v>
      </c>
      <c r="H25" s="265">
        <v>0.1</v>
      </c>
      <c r="I25" s="258">
        <v>346800000</v>
      </c>
      <c r="J25" s="258">
        <v>3814800000</v>
      </c>
      <c r="K25" s="256" t="s">
        <v>1346</v>
      </c>
    </row>
    <row r="26" spans="1:11" x14ac:dyDescent="0.3">
      <c r="A26" s="256">
        <v>19</v>
      </c>
      <c r="B26" s="257" t="s">
        <v>1396</v>
      </c>
      <c r="C26" s="276">
        <v>44479</v>
      </c>
      <c r="D26" s="257" t="s">
        <v>1284</v>
      </c>
      <c r="E26" s="256" t="s">
        <v>1706</v>
      </c>
      <c r="F26" s="256" t="s">
        <v>1732</v>
      </c>
      <c r="G26" s="258">
        <v>3940000000</v>
      </c>
      <c r="H26" s="265">
        <v>0.1</v>
      </c>
      <c r="I26" s="258">
        <v>394000000</v>
      </c>
      <c r="J26" s="258">
        <v>4334000000</v>
      </c>
      <c r="K26" s="256" t="s">
        <v>1346</v>
      </c>
    </row>
    <row r="27" spans="1:11" x14ac:dyDescent="0.3">
      <c r="A27" s="256">
        <v>20</v>
      </c>
      <c r="B27" s="257" t="s">
        <v>1355</v>
      </c>
      <c r="C27" s="276">
        <v>44211</v>
      </c>
      <c r="D27" s="257" t="s">
        <v>1290</v>
      </c>
      <c r="E27" s="256" t="s">
        <v>1707</v>
      </c>
      <c r="F27" s="256" t="s">
        <v>1735</v>
      </c>
      <c r="G27" s="258">
        <v>4026000000</v>
      </c>
      <c r="H27" s="265">
        <v>0</v>
      </c>
      <c r="I27" s="258">
        <v>0</v>
      </c>
      <c r="J27" s="258">
        <v>4026000000</v>
      </c>
      <c r="K27" s="256" t="s">
        <v>1348</v>
      </c>
    </row>
    <row r="28" spans="1:11" x14ac:dyDescent="0.3">
      <c r="A28" s="256">
        <v>21</v>
      </c>
      <c r="B28" s="257" t="s">
        <v>1355</v>
      </c>
      <c r="C28" s="276">
        <v>44270</v>
      </c>
      <c r="D28" s="257" t="s">
        <v>1293</v>
      </c>
      <c r="E28" s="256" t="s">
        <v>1708</v>
      </c>
      <c r="F28" s="256" t="s">
        <v>1732</v>
      </c>
      <c r="G28" s="258">
        <v>2568000000</v>
      </c>
      <c r="H28" s="265">
        <v>0.1</v>
      </c>
      <c r="I28" s="258">
        <v>256800000</v>
      </c>
      <c r="J28" s="258">
        <v>2824800000</v>
      </c>
      <c r="K28" s="256" t="s">
        <v>1346</v>
      </c>
    </row>
    <row r="29" spans="1:11" x14ac:dyDescent="0.3">
      <c r="A29" s="256">
        <v>22</v>
      </c>
      <c r="B29" s="257" t="s">
        <v>1385</v>
      </c>
      <c r="C29" s="276">
        <v>44301</v>
      </c>
      <c r="D29" s="257" t="s">
        <v>1285</v>
      </c>
      <c r="E29" s="256" t="s">
        <v>1709</v>
      </c>
      <c r="F29" s="256" t="s">
        <v>1733</v>
      </c>
      <c r="G29" s="258">
        <v>2057000000</v>
      </c>
      <c r="H29" s="265">
        <v>0.1</v>
      </c>
      <c r="I29" s="258">
        <v>205700000</v>
      </c>
      <c r="J29" s="258">
        <v>2262700000</v>
      </c>
      <c r="K29" s="256" t="s">
        <v>1346</v>
      </c>
    </row>
    <row r="30" spans="1:11" x14ac:dyDescent="0.3">
      <c r="A30" s="256">
        <v>23</v>
      </c>
      <c r="B30" s="257" t="s">
        <v>1355</v>
      </c>
      <c r="C30" s="276">
        <v>44392</v>
      </c>
      <c r="D30" s="257" t="s">
        <v>1291</v>
      </c>
      <c r="E30" s="256" t="s">
        <v>1710</v>
      </c>
      <c r="F30" s="256" t="s">
        <v>1733</v>
      </c>
      <c r="G30" s="258">
        <v>3452000000</v>
      </c>
      <c r="H30" s="265">
        <v>0.1</v>
      </c>
      <c r="I30" s="258">
        <v>345200000</v>
      </c>
      <c r="J30" s="258">
        <v>3797200000</v>
      </c>
      <c r="K30" s="256" t="s">
        <v>1346</v>
      </c>
    </row>
    <row r="31" spans="1:11" x14ac:dyDescent="0.3">
      <c r="A31" s="256">
        <v>24</v>
      </c>
      <c r="B31" s="257" t="s">
        <v>1396</v>
      </c>
      <c r="C31" s="276">
        <v>44423</v>
      </c>
      <c r="D31" s="257" t="s">
        <v>1277</v>
      </c>
      <c r="E31" s="256" t="s">
        <v>1711</v>
      </c>
      <c r="F31" s="256" t="s">
        <v>1735</v>
      </c>
      <c r="G31" s="258">
        <v>2615000000</v>
      </c>
      <c r="H31" s="265">
        <v>0.1</v>
      </c>
      <c r="I31" s="258">
        <v>261500000</v>
      </c>
      <c r="J31" s="258">
        <v>2876500000</v>
      </c>
      <c r="K31" s="256" t="s">
        <v>1346</v>
      </c>
    </row>
    <row r="32" spans="1:11" x14ac:dyDescent="0.3">
      <c r="A32" s="256">
        <v>25</v>
      </c>
      <c r="B32" s="257" t="s">
        <v>1397</v>
      </c>
      <c r="C32" s="276">
        <v>44454</v>
      </c>
      <c r="D32" s="257" t="s">
        <v>1277</v>
      </c>
      <c r="E32" s="256" t="s">
        <v>1711</v>
      </c>
      <c r="F32" s="256" t="s">
        <v>1730</v>
      </c>
      <c r="G32" s="258">
        <v>3025000000</v>
      </c>
      <c r="H32" s="265">
        <v>0.1</v>
      </c>
      <c r="I32" s="258">
        <v>302500000</v>
      </c>
      <c r="J32" s="258">
        <v>3327500000</v>
      </c>
      <c r="K32" s="256" t="s">
        <v>1346</v>
      </c>
    </row>
    <row r="33" spans="1:11" x14ac:dyDescent="0.3">
      <c r="A33" s="256">
        <v>26</v>
      </c>
      <c r="B33" s="257" t="s">
        <v>1388</v>
      </c>
      <c r="C33" s="276">
        <v>44484</v>
      </c>
      <c r="D33" s="257" t="s">
        <v>1259</v>
      </c>
      <c r="E33" s="256" t="s">
        <v>1700</v>
      </c>
      <c r="F33" s="256" t="s">
        <v>1731</v>
      </c>
      <c r="G33" s="258">
        <v>3861000000</v>
      </c>
      <c r="H33" s="265">
        <v>0.1</v>
      </c>
      <c r="I33" s="258">
        <v>386100000</v>
      </c>
      <c r="J33" s="258">
        <v>4247100000</v>
      </c>
      <c r="K33" s="256" t="s">
        <v>1346</v>
      </c>
    </row>
    <row r="34" spans="1:11" x14ac:dyDescent="0.3">
      <c r="A34" s="256">
        <v>27</v>
      </c>
      <c r="B34" s="257" t="s">
        <v>1356</v>
      </c>
      <c r="C34" s="276">
        <v>44545</v>
      </c>
      <c r="D34" s="257" t="s">
        <v>1290</v>
      </c>
      <c r="E34" s="256" t="s">
        <v>1707</v>
      </c>
      <c r="F34" s="256" t="s">
        <v>1730</v>
      </c>
      <c r="G34" s="258">
        <v>3973000000</v>
      </c>
      <c r="H34" s="265">
        <v>0.1</v>
      </c>
      <c r="I34" s="258">
        <v>397300000</v>
      </c>
      <c r="J34" s="258">
        <v>4370300000</v>
      </c>
      <c r="K34" s="256" t="s">
        <v>1346</v>
      </c>
    </row>
    <row r="35" spans="1:11" x14ac:dyDescent="0.3">
      <c r="A35" s="256">
        <v>28</v>
      </c>
      <c r="B35" s="257" t="s">
        <v>1204</v>
      </c>
      <c r="C35" s="276">
        <v>44275</v>
      </c>
      <c r="D35" s="257" t="s">
        <v>1272</v>
      </c>
      <c r="E35" s="256" t="s">
        <v>1712</v>
      </c>
      <c r="F35" s="256" t="s">
        <v>1734</v>
      </c>
      <c r="G35" s="258">
        <v>4333000000</v>
      </c>
      <c r="H35" s="265">
        <v>0</v>
      </c>
      <c r="I35" s="258">
        <v>0</v>
      </c>
      <c r="J35" s="258">
        <v>4333000000</v>
      </c>
      <c r="K35" s="256" t="s">
        <v>1346</v>
      </c>
    </row>
    <row r="36" spans="1:11" x14ac:dyDescent="0.3">
      <c r="A36" s="256">
        <v>29</v>
      </c>
      <c r="B36" s="257" t="s">
        <v>1373</v>
      </c>
      <c r="C36" s="276">
        <v>44306</v>
      </c>
      <c r="D36" s="257" t="s">
        <v>1270</v>
      </c>
      <c r="E36" s="256" t="s">
        <v>1702</v>
      </c>
      <c r="F36" s="256" t="s">
        <v>1733</v>
      </c>
      <c r="G36" s="258">
        <v>4060000000</v>
      </c>
      <c r="H36" s="265">
        <v>0.1</v>
      </c>
      <c r="I36" s="258">
        <v>406000000</v>
      </c>
      <c r="J36" s="258">
        <v>4466000000</v>
      </c>
      <c r="K36" s="256" t="s">
        <v>1346</v>
      </c>
    </row>
    <row r="37" spans="1:11" x14ac:dyDescent="0.3">
      <c r="A37" s="256">
        <v>30</v>
      </c>
      <c r="B37" s="257" t="s">
        <v>1391</v>
      </c>
      <c r="C37" s="276">
        <v>44367</v>
      </c>
      <c r="D37" s="257" t="s">
        <v>1279</v>
      </c>
      <c r="E37" s="256" t="s">
        <v>1713</v>
      </c>
      <c r="F37" s="256" t="s">
        <v>1730</v>
      </c>
      <c r="G37" s="258">
        <v>3975000000</v>
      </c>
      <c r="H37" s="265">
        <v>0.1</v>
      </c>
      <c r="I37" s="258">
        <v>397500000</v>
      </c>
      <c r="J37" s="258">
        <v>4372500000</v>
      </c>
      <c r="K37" s="256" t="s">
        <v>1346</v>
      </c>
    </row>
    <row r="38" spans="1:11" x14ac:dyDescent="0.3">
      <c r="A38" s="256">
        <v>31</v>
      </c>
      <c r="B38" s="257" t="s">
        <v>1388</v>
      </c>
      <c r="C38" s="276">
        <v>44397</v>
      </c>
      <c r="D38" s="257" t="s">
        <v>1278</v>
      </c>
      <c r="E38" s="256" t="s">
        <v>1714</v>
      </c>
      <c r="F38" s="256" t="s">
        <v>1730</v>
      </c>
      <c r="G38" s="258">
        <v>3636000000</v>
      </c>
      <c r="H38" s="265">
        <v>0.1</v>
      </c>
      <c r="I38" s="258">
        <v>363600000</v>
      </c>
      <c r="J38" s="258">
        <v>3999600000</v>
      </c>
      <c r="K38" s="256" t="s">
        <v>1346</v>
      </c>
    </row>
    <row r="39" spans="1:11" x14ac:dyDescent="0.3">
      <c r="A39" s="256">
        <v>32</v>
      </c>
      <c r="B39" s="257" t="s">
        <v>1376</v>
      </c>
      <c r="C39" s="276">
        <v>44428</v>
      </c>
      <c r="D39" s="257" t="s">
        <v>1289</v>
      </c>
      <c r="E39" s="256" t="s">
        <v>1703</v>
      </c>
      <c r="F39" s="256" t="s">
        <v>1731</v>
      </c>
      <c r="G39" s="258">
        <v>3599000000</v>
      </c>
      <c r="H39" s="265">
        <v>0.1</v>
      </c>
      <c r="I39" s="258">
        <v>359900000</v>
      </c>
      <c r="J39" s="258">
        <v>3958900000</v>
      </c>
      <c r="K39" s="256" t="s">
        <v>1346</v>
      </c>
    </row>
    <row r="40" spans="1:11" x14ac:dyDescent="0.3">
      <c r="A40" s="256">
        <v>33</v>
      </c>
      <c r="B40" s="257" t="s">
        <v>1374</v>
      </c>
      <c r="C40" s="276">
        <v>44459</v>
      </c>
      <c r="D40" s="257" t="s">
        <v>1270</v>
      </c>
      <c r="E40" s="256" t="s">
        <v>1702</v>
      </c>
      <c r="F40" s="256" t="s">
        <v>1734</v>
      </c>
      <c r="G40" s="258">
        <v>2382000000</v>
      </c>
      <c r="H40" s="265">
        <v>0</v>
      </c>
      <c r="I40" s="258">
        <v>0</v>
      </c>
      <c r="J40" s="258">
        <v>2382000000</v>
      </c>
      <c r="K40" s="256" t="s">
        <v>1346</v>
      </c>
    </row>
    <row r="41" spans="1:11" x14ac:dyDescent="0.3">
      <c r="A41" s="256">
        <v>34</v>
      </c>
      <c r="B41" s="257" t="s">
        <v>1378</v>
      </c>
      <c r="C41" s="276">
        <v>44520</v>
      </c>
      <c r="D41" s="257" t="s">
        <v>1256</v>
      </c>
      <c r="E41" s="256" t="s">
        <v>1698</v>
      </c>
      <c r="F41" s="256" t="s">
        <v>1731</v>
      </c>
      <c r="G41" s="258">
        <v>4590000000</v>
      </c>
      <c r="H41" s="265">
        <v>0.1</v>
      </c>
      <c r="I41" s="258">
        <v>459000000</v>
      </c>
      <c r="J41" s="258">
        <v>5049000000</v>
      </c>
      <c r="K41" s="256" t="s">
        <v>1346</v>
      </c>
    </row>
    <row r="42" spans="1:11" x14ac:dyDescent="0.3">
      <c r="A42" s="256">
        <v>35</v>
      </c>
      <c r="B42" s="257" t="s">
        <v>1391</v>
      </c>
      <c r="C42" s="276">
        <v>44221</v>
      </c>
      <c r="D42" s="257" t="s">
        <v>1278</v>
      </c>
      <c r="E42" s="256" t="s">
        <v>1714</v>
      </c>
      <c r="F42" s="256" t="s">
        <v>1730</v>
      </c>
      <c r="G42" s="258">
        <v>2958000000</v>
      </c>
      <c r="H42" s="265">
        <v>0.1</v>
      </c>
      <c r="I42" s="258">
        <v>295800000</v>
      </c>
      <c r="J42" s="258">
        <v>3253800000</v>
      </c>
      <c r="K42" s="256" t="s">
        <v>1346</v>
      </c>
    </row>
    <row r="43" spans="1:11" x14ac:dyDescent="0.3">
      <c r="A43" s="256">
        <v>36</v>
      </c>
      <c r="B43" s="257" t="s">
        <v>1373</v>
      </c>
      <c r="C43" s="276">
        <v>44252</v>
      </c>
      <c r="D43" s="257" t="s">
        <v>1269</v>
      </c>
      <c r="E43" s="256" t="s">
        <v>1715</v>
      </c>
      <c r="F43" s="256" t="s">
        <v>1735</v>
      </c>
      <c r="G43" s="258">
        <v>2656000000</v>
      </c>
      <c r="H43" s="265">
        <v>0.1</v>
      </c>
      <c r="I43" s="258">
        <v>265600000</v>
      </c>
      <c r="J43" s="258">
        <v>2921600000</v>
      </c>
      <c r="K43" s="256" t="s">
        <v>1346</v>
      </c>
    </row>
    <row r="44" spans="1:11" x14ac:dyDescent="0.3">
      <c r="A44" s="256">
        <v>37</v>
      </c>
      <c r="B44" s="257" t="s">
        <v>1388</v>
      </c>
      <c r="C44" s="276">
        <v>44280</v>
      </c>
      <c r="D44" s="257" t="s">
        <v>1260</v>
      </c>
      <c r="E44" s="256" t="s">
        <v>1716</v>
      </c>
      <c r="F44" s="256" t="s">
        <v>1735</v>
      </c>
      <c r="G44" s="258">
        <v>3318000000</v>
      </c>
      <c r="H44" s="265">
        <v>0.1</v>
      </c>
      <c r="I44" s="258">
        <v>331800000</v>
      </c>
      <c r="J44" s="258">
        <v>3649800000</v>
      </c>
      <c r="K44" s="256" t="s">
        <v>1348</v>
      </c>
    </row>
    <row r="45" spans="1:11" x14ac:dyDescent="0.3">
      <c r="A45" s="256">
        <v>38</v>
      </c>
      <c r="B45" s="257" t="s">
        <v>1392</v>
      </c>
      <c r="C45" s="276">
        <v>44311</v>
      </c>
      <c r="D45" s="257" t="s">
        <v>1279</v>
      </c>
      <c r="E45" s="256" t="s">
        <v>1713</v>
      </c>
      <c r="F45" s="256" t="s">
        <v>1734</v>
      </c>
      <c r="G45" s="258">
        <v>2066000000</v>
      </c>
      <c r="H45" s="265">
        <v>0.1</v>
      </c>
      <c r="I45" s="258">
        <v>206600000</v>
      </c>
      <c r="J45" s="258">
        <v>2272600000</v>
      </c>
      <c r="K45" s="256" t="s">
        <v>1346</v>
      </c>
    </row>
    <row r="46" spans="1:11" x14ac:dyDescent="0.3">
      <c r="A46" s="256">
        <v>39</v>
      </c>
      <c r="B46" s="257" t="s">
        <v>1397</v>
      </c>
      <c r="C46" s="276">
        <v>44372</v>
      </c>
      <c r="D46" s="257" t="s">
        <v>1284</v>
      </c>
      <c r="E46" s="256" t="s">
        <v>1706</v>
      </c>
      <c r="F46" s="256" t="s">
        <v>1734</v>
      </c>
      <c r="G46" s="258">
        <v>2217000000</v>
      </c>
      <c r="H46" s="265">
        <v>0.1</v>
      </c>
      <c r="I46" s="258">
        <v>221700000</v>
      </c>
      <c r="J46" s="258">
        <v>2438700000</v>
      </c>
      <c r="K46" s="256" t="s">
        <v>1346</v>
      </c>
    </row>
    <row r="47" spans="1:11" x14ac:dyDescent="0.3">
      <c r="A47" s="256">
        <v>40</v>
      </c>
      <c r="B47" s="257" t="s">
        <v>1388</v>
      </c>
      <c r="C47" s="276">
        <v>44433</v>
      </c>
      <c r="D47" s="257" t="s">
        <v>1263</v>
      </c>
      <c r="E47" s="256" t="s">
        <v>1717</v>
      </c>
      <c r="F47" s="256" t="s">
        <v>1732</v>
      </c>
      <c r="G47" s="258">
        <v>1685000000</v>
      </c>
      <c r="H47" s="265">
        <v>0.1</v>
      </c>
      <c r="I47" s="258">
        <v>168500000</v>
      </c>
      <c r="J47" s="258">
        <v>1853500000</v>
      </c>
      <c r="K47" s="256" t="s">
        <v>1346</v>
      </c>
    </row>
    <row r="48" spans="1:11" x14ac:dyDescent="0.3">
      <c r="A48" s="256">
        <v>41</v>
      </c>
      <c r="B48" s="257" t="s">
        <v>1383</v>
      </c>
      <c r="C48" s="276">
        <v>44494</v>
      </c>
      <c r="D48" s="257" t="s">
        <v>1276</v>
      </c>
      <c r="E48" s="256" t="s">
        <v>1696</v>
      </c>
      <c r="F48" s="256" t="s">
        <v>1732</v>
      </c>
      <c r="G48" s="258">
        <v>3536000000</v>
      </c>
      <c r="H48" s="265">
        <v>0.1</v>
      </c>
      <c r="I48" s="258">
        <v>353600000</v>
      </c>
      <c r="J48" s="258">
        <v>3889600000</v>
      </c>
      <c r="K48" s="256" t="s">
        <v>1346</v>
      </c>
    </row>
    <row r="49" spans="1:11" x14ac:dyDescent="0.3">
      <c r="A49" s="256">
        <v>42</v>
      </c>
      <c r="B49" s="257" t="s">
        <v>1379</v>
      </c>
      <c r="C49" s="276">
        <v>44555</v>
      </c>
      <c r="D49" s="257" t="s">
        <v>1256</v>
      </c>
      <c r="E49" s="256" t="s">
        <v>1698</v>
      </c>
      <c r="F49" s="256" t="s">
        <v>1733</v>
      </c>
      <c r="G49" s="258">
        <v>1833000000</v>
      </c>
      <c r="H49" s="265">
        <v>0.1</v>
      </c>
      <c r="I49" s="258">
        <v>183300000</v>
      </c>
      <c r="J49" s="258">
        <v>2016300000</v>
      </c>
      <c r="K49" s="256" t="s">
        <v>1346</v>
      </c>
    </row>
    <row r="50" spans="1:11" x14ac:dyDescent="0.3">
      <c r="A50" s="256">
        <v>43</v>
      </c>
      <c r="B50" s="257" t="s">
        <v>1391</v>
      </c>
      <c r="C50" s="276">
        <v>44255</v>
      </c>
      <c r="D50" s="257" t="s">
        <v>1263</v>
      </c>
      <c r="E50" s="256" t="s">
        <v>1717</v>
      </c>
      <c r="F50" s="256" t="s">
        <v>1731</v>
      </c>
      <c r="G50" s="258">
        <v>2772000000</v>
      </c>
      <c r="H50" s="265">
        <v>0.1</v>
      </c>
      <c r="I50" s="258">
        <v>277200000</v>
      </c>
      <c r="J50" s="258">
        <v>3049200000</v>
      </c>
      <c r="K50" s="256" t="s">
        <v>1346</v>
      </c>
    </row>
    <row r="51" spans="1:11" x14ac:dyDescent="0.3">
      <c r="A51" s="256">
        <v>44</v>
      </c>
      <c r="B51" s="257" t="s">
        <v>1378</v>
      </c>
      <c r="C51" s="276">
        <v>44316</v>
      </c>
      <c r="D51" s="257" t="s">
        <v>1289</v>
      </c>
      <c r="E51" s="256" t="s">
        <v>1703</v>
      </c>
      <c r="F51" s="256" t="s">
        <v>1734</v>
      </c>
      <c r="G51" s="258">
        <v>2796000000</v>
      </c>
      <c r="H51" s="265">
        <v>0.1</v>
      </c>
      <c r="I51" s="258">
        <v>279600000</v>
      </c>
      <c r="J51" s="258">
        <v>3075600000</v>
      </c>
      <c r="K51" s="256" t="s">
        <v>1346</v>
      </c>
    </row>
    <row r="52" spans="1:11" x14ac:dyDescent="0.3">
      <c r="A52" s="256">
        <v>45</v>
      </c>
      <c r="B52" s="257" t="s">
        <v>1388</v>
      </c>
      <c r="C52" s="276">
        <v>44377</v>
      </c>
      <c r="D52" s="257" t="s">
        <v>1268</v>
      </c>
      <c r="E52" s="256" t="s">
        <v>1718</v>
      </c>
      <c r="F52" s="256" t="s">
        <v>1733</v>
      </c>
      <c r="G52" s="258">
        <v>2016000000</v>
      </c>
      <c r="H52" s="265">
        <v>0.1</v>
      </c>
      <c r="I52" s="258">
        <v>201600000</v>
      </c>
      <c r="J52" s="258">
        <v>2217600000</v>
      </c>
      <c r="K52" s="256" t="s">
        <v>1346</v>
      </c>
    </row>
    <row r="53" spans="1:11" x14ac:dyDescent="0.3">
      <c r="A53" s="256">
        <v>46</v>
      </c>
      <c r="B53" s="257" t="s">
        <v>1371</v>
      </c>
      <c r="C53" s="276">
        <v>44469</v>
      </c>
      <c r="D53" s="257" t="s">
        <v>1271</v>
      </c>
      <c r="E53" s="256" t="s">
        <v>1719</v>
      </c>
      <c r="F53" s="256" t="s">
        <v>1730</v>
      </c>
      <c r="G53" s="258">
        <v>2375000000</v>
      </c>
      <c r="H53" s="265">
        <v>0.1</v>
      </c>
      <c r="I53" s="258">
        <v>237500000</v>
      </c>
      <c r="J53" s="258">
        <v>2612500000</v>
      </c>
      <c r="K53" s="256" t="s">
        <v>1346</v>
      </c>
    </row>
    <row r="54" spans="1:11" x14ac:dyDescent="0.3">
      <c r="A54" s="256">
        <v>47</v>
      </c>
      <c r="B54" s="257" t="s">
        <v>1391</v>
      </c>
      <c r="C54" s="276">
        <v>44286</v>
      </c>
      <c r="D54" s="257" t="s">
        <v>1275</v>
      </c>
      <c r="E54" s="256" t="s">
        <v>1720</v>
      </c>
      <c r="F54" s="256" t="s">
        <v>1732</v>
      </c>
      <c r="G54" s="258">
        <v>3262000000</v>
      </c>
      <c r="H54" s="265">
        <v>0.1</v>
      </c>
      <c r="I54" s="258">
        <v>326200000</v>
      </c>
      <c r="J54" s="258">
        <v>3588200000</v>
      </c>
      <c r="K54" s="256" t="s">
        <v>1346</v>
      </c>
    </row>
    <row r="55" spans="1:11" x14ac:dyDescent="0.3">
      <c r="A55" s="256">
        <v>48</v>
      </c>
      <c r="B55" s="257" t="s">
        <v>1356</v>
      </c>
      <c r="C55" s="276">
        <v>44347</v>
      </c>
      <c r="D55" s="257" t="s">
        <v>1293</v>
      </c>
      <c r="E55" s="256" t="s">
        <v>1708</v>
      </c>
      <c r="F55" s="256" t="s">
        <v>1731</v>
      </c>
      <c r="G55" s="258">
        <v>2794000000</v>
      </c>
      <c r="H55" s="265">
        <v>0.1</v>
      </c>
      <c r="I55" s="258">
        <v>279400000</v>
      </c>
      <c r="J55" s="258">
        <v>3073400000</v>
      </c>
      <c r="K55" s="256" t="s">
        <v>1346</v>
      </c>
    </row>
    <row r="56" spans="1:11" x14ac:dyDescent="0.3">
      <c r="A56" s="256">
        <v>49</v>
      </c>
      <c r="B56" s="257" t="s">
        <v>1203</v>
      </c>
      <c r="C56" s="276">
        <v>44500</v>
      </c>
      <c r="D56" s="257" t="s">
        <v>1276</v>
      </c>
      <c r="E56" s="256" t="s">
        <v>1696</v>
      </c>
      <c r="F56" s="256" t="s">
        <v>1733</v>
      </c>
      <c r="G56" s="258">
        <v>4334000000</v>
      </c>
      <c r="H56" s="265">
        <v>0.1</v>
      </c>
      <c r="I56" s="258">
        <v>433400000</v>
      </c>
      <c r="J56" s="258">
        <v>4767400000</v>
      </c>
      <c r="K56" s="256" t="s">
        <v>1346</v>
      </c>
    </row>
    <row r="57" spans="1:11" x14ac:dyDescent="0.3">
      <c r="A57" s="256">
        <v>50</v>
      </c>
      <c r="B57" s="257" t="s">
        <v>1376</v>
      </c>
      <c r="C57" s="276">
        <v>44561</v>
      </c>
      <c r="D57" s="257" t="s">
        <v>1255</v>
      </c>
      <c r="E57" s="256" t="s">
        <v>1688</v>
      </c>
      <c r="F57" s="256" t="s">
        <v>1731</v>
      </c>
      <c r="G57" s="258">
        <v>3355000000</v>
      </c>
      <c r="H57" s="265">
        <v>0.1</v>
      </c>
      <c r="I57" s="258">
        <v>335500000</v>
      </c>
      <c r="J57" s="258">
        <v>3690500000</v>
      </c>
      <c r="K57" s="256" t="s">
        <v>1346</v>
      </c>
    </row>
    <row r="58" spans="1:11" x14ac:dyDescent="0.3">
      <c r="A58" s="266" t="s">
        <v>1351</v>
      </c>
      <c r="B58" s="266"/>
      <c r="C58" s="266"/>
      <c r="D58" s="266"/>
      <c r="E58" s="266"/>
      <c r="F58" s="266"/>
      <c r="G58" s="267">
        <f>SUM(G8:G57)</f>
        <v>155213000000</v>
      </c>
      <c r="H58" s="266"/>
      <c r="I58" s="267">
        <f>SUM(I8:I57)</f>
        <v>13727400000</v>
      </c>
      <c r="J58" s="267">
        <f>SUM(J8:J57)</f>
        <v>168940400000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1281</v>
      </c>
      <c r="E62" s="256" t="s">
        <v>1721</v>
      </c>
      <c r="F62" s="256" t="s">
        <v>1736</v>
      </c>
      <c r="G62" s="258">
        <v>2649000000</v>
      </c>
      <c r="H62" s="265">
        <v>0.1</v>
      </c>
      <c r="I62" s="258">
        <v>264900000</v>
      </c>
      <c r="J62" s="258">
        <v>2913900000</v>
      </c>
      <c r="K62" s="256" t="s">
        <v>1346</v>
      </c>
    </row>
    <row r="63" spans="1:11" x14ac:dyDescent="0.3">
      <c r="A63" s="256">
        <v>2</v>
      </c>
      <c r="B63" s="257" t="s">
        <v>1201</v>
      </c>
      <c r="C63" s="276">
        <v>44318</v>
      </c>
      <c r="D63" s="257" t="s">
        <v>1274</v>
      </c>
      <c r="E63" s="256" t="s">
        <v>1722</v>
      </c>
      <c r="F63" s="256" t="s">
        <v>1737</v>
      </c>
      <c r="G63" s="258">
        <v>3589000000</v>
      </c>
      <c r="H63" s="265">
        <v>0.1</v>
      </c>
      <c r="I63" s="258">
        <v>358900000</v>
      </c>
      <c r="J63" s="258">
        <v>3947900000</v>
      </c>
      <c r="K63" s="256" t="s">
        <v>1346</v>
      </c>
    </row>
    <row r="64" spans="1:11" x14ac:dyDescent="0.3">
      <c r="A64" s="256">
        <v>3</v>
      </c>
      <c r="B64" s="257" t="s">
        <v>1202</v>
      </c>
      <c r="C64" s="276">
        <v>44319</v>
      </c>
      <c r="D64" s="257" t="s">
        <v>1259</v>
      </c>
      <c r="E64" s="256" t="s">
        <v>1700</v>
      </c>
      <c r="F64" s="256" t="s">
        <v>1736</v>
      </c>
      <c r="G64" s="258">
        <v>6515000000</v>
      </c>
      <c r="H64" s="265">
        <v>0.1</v>
      </c>
      <c r="I64" s="258">
        <v>651500000</v>
      </c>
      <c r="J64" s="258">
        <v>7166500000</v>
      </c>
      <c r="K64" s="256" t="s">
        <v>1346</v>
      </c>
    </row>
    <row r="65" spans="1:11" x14ac:dyDescent="0.3">
      <c r="A65" s="256">
        <v>4</v>
      </c>
      <c r="B65" s="257" t="s">
        <v>1355</v>
      </c>
      <c r="C65" s="276">
        <v>44320</v>
      </c>
      <c r="D65" s="257" t="s">
        <v>1278</v>
      </c>
      <c r="E65" s="256" t="s">
        <v>1714</v>
      </c>
      <c r="F65" s="256" t="s">
        <v>1738</v>
      </c>
      <c r="G65" s="258">
        <v>3779000000</v>
      </c>
      <c r="H65" s="265">
        <v>0.1</v>
      </c>
      <c r="I65" s="258">
        <v>377900000</v>
      </c>
      <c r="J65" s="258">
        <v>4156900000</v>
      </c>
      <c r="K65" s="256" t="s">
        <v>1346</v>
      </c>
    </row>
    <row r="66" spans="1:11" x14ac:dyDescent="0.3">
      <c r="A66" s="256">
        <v>5</v>
      </c>
      <c r="B66" s="257" t="s">
        <v>1356</v>
      </c>
      <c r="C66" s="276">
        <v>44321</v>
      </c>
      <c r="D66" s="257" t="s">
        <v>1258</v>
      </c>
      <c r="E66" s="256" t="s">
        <v>1694</v>
      </c>
      <c r="F66" s="256" t="s">
        <v>1739</v>
      </c>
      <c r="G66" s="258">
        <v>2264000000</v>
      </c>
      <c r="H66" s="265">
        <v>0.1</v>
      </c>
      <c r="I66" s="258">
        <v>226400000</v>
      </c>
      <c r="J66" s="258">
        <v>2490400000</v>
      </c>
      <c r="K66" s="256" t="s">
        <v>1346</v>
      </c>
    </row>
    <row r="67" spans="1:11" x14ac:dyDescent="0.3">
      <c r="A67" s="256">
        <v>6</v>
      </c>
      <c r="B67" s="257" t="s">
        <v>1358</v>
      </c>
      <c r="C67" s="276">
        <v>44322</v>
      </c>
      <c r="D67" s="257" t="s">
        <v>1280</v>
      </c>
      <c r="E67" s="256" t="s">
        <v>1726</v>
      </c>
      <c r="F67" s="256" t="s">
        <v>1737</v>
      </c>
      <c r="G67" s="258">
        <v>6050000000</v>
      </c>
      <c r="H67" s="265">
        <v>0.1</v>
      </c>
      <c r="I67" s="258">
        <v>605000000</v>
      </c>
      <c r="J67" s="258">
        <v>6655000000</v>
      </c>
      <c r="K67" s="256" t="s">
        <v>1348</v>
      </c>
    </row>
    <row r="68" spans="1:11" x14ac:dyDescent="0.3">
      <c r="A68" s="256">
        <v>7</v>
      </c>
      <c r="B68" s="257" t="s">
        <v>1360</v>
      </c>
      <c r="C68" s="276">
        <v>44323</v>
      </c>
      <c r="D68" s="257" t="s">
        <v>1283</v>
      </c>
      <c r="E68" s="256" t="s">
        <v>1727</v>
      </c>
      <c r="F68" s="256" t="s">
        <v>1739</v>
      </c>
      <c r="G68" s="258">
        <v>6236000000</v>
      </c>
      <c r="H68" s="265">
        <v>0.1</v>
      </c>
      <c r="I68" s="258">
        <v>623600000</v>
      </c>
      <c r="J68" s="258">
        <v>6859600000</v>
      </c>
      <c r="K68" s="256" t="s">
        <v>1346</v>
      </c>
    </row>
    <row r="69" spans="1:11" x14ac:dyDescent="0.3">
      <c r="A69" s="256">
        <v>8</v>
      </c>
      <c r="B69" s="257" t="s">
        <v>1362</v>
      </c>
      <c r="C69" s="276">
        <v>44324</v>
      </c>
      <c r="D69" s="257" t="s">
        <v>1256</v>
      </c>
      <c r="E69" s="256" t="s">
        <v>1698</v>
      </c>
      <c r="F69" s="256" t="s">
        <v>1737</v>
      </c>
      <c r="G69" s="258">
        <v>4552000000</v>
      </c>
      <c r="H69" s="265">
        <v>0.1</v>
      </c>
      <c r="I69" s="258">
        <v>455200000</v>
      </c>
      <c r="J69" s="258">
        <v>5007200000</v>
      </c>
      <c r="K69" s="256" t="s">
        <v>1346</v>
      </c>
    </row>
    <row r="70" spans="1:11" x14ac:dyDescent="0.3">
      <c r="A70" s="256">
        <v>9</v>
      </c>
      <c r="B70" s="257" t="s">
        <v>1364</v>
      </c>
      <c r="C70" s="276">
        <v>44325</v>
      </c>
      <c r="D70" s="257" t="s">
        <v>1269</v>
      </c>
      <c r="E70" s="256" t="s">
        <v>1715</v>
      </c>
      <c r="F70" s="256" t="s">
        <v>1737</v>
      </c>
      <c r="G70" s="258">
        <v>5690000000</v>
      </c>
      <c r="H70" s="265">
        <v>0.1</v>
      </c>
      <c r="I70" s="258">
        <v>569000000</v>
      </c>
      <c r="J70" s="258">
        <v>6259000000</v>
      </c>
      <c r="K70" s="256" t="s">
        <v>1346</v>
      </c>
    </row>
    <row r="71" spans="1:11" x14ac:dyDescent="0.3">
      <c r="A71" s="256">
        <v>10</v>
      </c>
      <c r="B71" s="257" t="s">
        <v>1366</v>
      </c>
      <c r="C71" s="276">
        <v>44326</v>
      </c>
      <c r="D71" s="257" t="s">
        <v>1255</v>
      </c>
      <c r="E71" s="256" t="s">
        <v>1688</v>
      </c>
      <c r="F71" s="256" t="s">
        <v>1738</v>
      </c>
      <c r="G71" s="258">
        <v>6246000000</v>
      </c>
      <c r="H71" s="265">
        <v>0.1</v>
      </c>
      <c r="I71" s="258">
        <v>624600000</v>
      </c>
      <c r="J71" s="258">
        <v>6870600000</v>
      </c>
      <c r="K71" s="256" t="s">
        <v>1348</v>
      </c>
    </row>
    <row r="72" spans="1:11" x14ac:dyDescent="0.3">
      <c r="A72" s="256">
        <v>11</v>
      </c>
      <c r="B72" s="257" t="s">
        <v>1368</v>
      </c>
      <c r="C72" s="276">
        <v>44327</v>
      </c>
      <c r="D72" s="257" t="s">
        <v>1277</v>
      </c>
      <c r="E72" s="256" t="s">
        <v>1711</v>
      </c>
      <c r="F72" s="256" t="s">
        <v>1739</v>
      </c>
      <c r="G72" s="258">
        <v>3205000000</v>
      </c>
      <c r="H72" s="265">
        <v>0.1</v>
      </c>
      <c r="I72" s="258">
        <v>320500000</v>
      </c>
      <c r="J72" s="258">
        <v>3525500000</v>
      </c>
      <c r="K72" s="256" t="s">
        <v>1346</v>
      </c>
    </row>
    <row r="73" spans="1:11" x14ac:dyDescent="0.3">
      <c r="A73" s="256">
        <v>12</v>
      </c>
      <c r="B73" s="257" t="s">
        <v>1371</v>
      </c>
      <c r="C73" s="276">
        <v>44471</v>
      </c>
      <c r="D73" s="257" t="s">
        <v>1283</v>
      </c>
      <c r="E73" s="256" t="s">
        <v>1727</v>
      </c>
      <c r="F73" s="256" t="s">
        <v>1736</v>
      </c>
      <c r="G73" s="258">
        <v>6128000000</v>
      </c>
      <c r="H73" s="265">
        <v>0</v>
      </c>
      <c r="I73" s="258">
        <v>0</v>
      </c>
      <c r="J73" s="258">
        <v>6128000000</v>
      </c>
      <c r="K73" s="256" t="s">
        <v>1346</v>
      </c>
    </row>
    <row r="74" spans="1:11" x14ac:dyDescent="0.3">
      <c r="A74" s="256">
        <v>13</v>
      </c>
      <c r="B74" s="257" t="s">
        <v>1373</v>
      </c>
      <c r="C74" s="276">
        <v>44472</v>
      </c>
      <c r="D74" s="257" t="s">
        <v>1277</v>
      </c>
      <c r="E74" s="256" t="s">
        <v>1711</v>
      </c>
      <c r="F74" s="256" t="s">
        <v>1736</v>
      </c>
      <c r="G74" s="258">
        <v>2780000000</v>
      </c>
      <c r="H74" s="265">
        <v>0.1</v>
      </c>
      <c r="I74" s="258">
        <v>278000000</v>
      </c>
      <c r="J74" s="258">
        <v>3058000000</v>
      </c>
      <c r="K74" s="256" t="s">
        <v>1346</v>
      </c>
    </row>
    <row r="75" spans="1:11" x14ac:dyDescent="0.3">
      <c r="A75" s="256">
        <v>14</v>
      </c>
      <c r="B75" s="257" t="s">
        <v>1374</v>
      </c>
      <c r="C75" s="276">
        <v>44474</v>
      </c>
      <c r="D75" s="257" t="s">
        <v>1256</v>
      </c>
      <c r="E75" s="256" t="s">
        <v>1698</v>
      </c>
      <c r="F75" s="256" t="s">
        <v>1738</v>
      </c>
      <c r="G75" s="258">
        <v>6512000000</v>
      </c>
      <c r="H75" s="265">
        <v>0.1</v>
      </c>
      <c r="I75" s="258">
        <v>651200000</v>
      </c>
      <c r="J75" s="258">
        <v>7163200000</v>
      </c>
      <c r="K75" s="256" t="s">
        <v>1348</v>
      </c>
    </row>
    <row r="76" spans="1:11" x14ac:dyDescent="0.3">
      <c r="A76" s="256">
        <v>15</v>
      </c>
      <c r="B76" s="257" t="s">
        <v>1376</v>
      </c>
      <c r="C76" s="276">
        <v>44476</v>
      </c>
      <c r="D76" s="257" t="s">
        <v>1284</v>
      </c>
      <c r="E76" s="256" t="s">
        <v>1706</v>
      </c>
      <c r="F76" s="256" t="s">
        <v>1738</v>
      </c>
      <c r="G76" s="258">
        <v>3816000000</v>
      </c>
      <c r="H76" s="265">
        <v>0.1</v>
      </c>
      <c r="I76" s="258">
        <v>381600000</v>
      </c>
      <c r="J76" s="258">
        <v>4197600000</v>
      </c>
      <c r="K76" s="256" t="s">
        <v>1346</v>
      </c>
    </row>
    <row r="77" spans="1:11" x14ac:dyDescent="0.3">
      <c r="A77" s="256">
        <v>16</v>
      </c>
      <c r="B77" s="257" t="s">
        <v>1378</v>
      </c>
      <c r="C77" s="276">
        <v>44477</v>
      </c>
      <c r="D77" s="257" t="s">
        <v>1262</v>
      </c>
      <c r="E77" s="256" t="s">
        <v>1728</v>
      </c>
      <c r="F77" s="256" t="s">
        <v>1736</v>
      </c>
      <c r="G77" s="258">
        <v>2566000000</v>
      </c>
      <c r="H77" s="265">
        <v>0.1</v>
      </c>
      <c r="I77" s="258">
        <v>256600000</v>
      </c>
      <c r="J77" s="258">
        <v>2822600000</v>
      </c>
      <c r="K77" s="256" t="s">
        <v>1346</v>
      </c>
    </row>
    <row r="78" spans="1:11" x14ac:dyDescent="0.3">
      <c r="A78" s="256">
        <v>17</v>
      </c>
      <c r="B78" s="257" t="s">
        <v>1379</v>
      </c>
      <c r="C78" s="276">
        <v>44478</v>
      </c>
      <c r="D78" s="257" t="s">
        <v>1267</v>
      </c>
      <c r="E78" s="256" t="s">
        <v>1701</v>
      </c>
      <c r="F78" s="256" t="s">
        <v>1737</v>
      </c>
      <c r="G78" s="258">
        <v>3418000000</v>
      </c>
      <c r="H78" s="265">
        <v>0.1</v>
      </c>
      <c r="I78" s="258">
        <v>341800000</v>
      </c>
      <c r="J78" s="258">
        <v>3759800000</v>
      </c>
      <c r="K78" s="256" t="s">
        <v>1346</v>
      </c>
    </row>
    <row r="79" spans="1:11" x14ac:dyDescent="0.3">
      <c r="A79" s="256">
        <v>18</v>
      </c>
      <c r="B79" s="257" t="s">
        <v>1381</v>
      </c>
      <c r="C79" s="276">
        <v>44479</v>
      </c>
      <c r="D79" s="257" t="s">
        <v>1283</v>
      </c>
      <c r="E79" s="256" t="s">
        <v>1727</v>
      </c>
      <c r="F79" s="256" t="s">
        <v>1739</v>
      </c>
      <c r="G79" s="258">
        <v>2883000000</v>
      </c>
      <c r="H79" s="265">
        <v>0.1</v>
      </c>
      <c r="I79" s="258">
        <v>288300000</v>
      </c>
      <c r="J79" s="258">
        <v>3171300000</v>
      </c>
      <c r="K79" s="256" t="s">
        <v>1348</v>
      </c>
    </row>
    <row r="80" spans="1:11" x14ac:dyDescent="0.3">
      <c r="A80" s="256">
        <v>19</v>
      </c>
      <c r="B80" s="257" t="s">
        <v>1382</v>
      </c>
      <c r="C80" s="276">
        <v>44480</v>
      </c>
      <c r="D80" s="257" t="s">
        <v>1263</v>
      </c>
      <c r="E80" s="256" t="s">
        <v>1717</v>
      </c>
      <c r="F80" s="256" t="s">
        <v>1736</v>
      </c>
      <c r="G80" s="258">
        <v>3105000000</v>
      </c>
      <c r="H80" s="265">
        <v>0.1</v>
      </c>
      <c r="I80" s="258">
        <v>310500000</v>
      </c>
      <c r="J80" s="258">
        <v>3415500000</v>
      </c>
      <c r="K80" s="256" t="s">
        <v>1346</v>
      </c>
    </row>
    <row r="81" spans="1:11" x14ac:dyDescent="0.3">
      <c r="A81" s="256">
        <v>20</v>
      </c>
      <c r="B81" s="257" t="s">
        <v>1383</v>
      </c>
      <c r="C81" s="276">
        <v>44211</v>
      </c>
      <c r="D81" s="257" t="s">
        <v>1268</v>
      </c>
      <c r="E81" s="256" t="s">
        <v>1718</v>
      </c>
      <c r="F81" s="256" t="s">
        <v>1739</v>
      </c>
      <c r="G81" s="258">
        <v>3343000000</v>
      </c>
      <c r="H81" s="265">
        <v>0.1</v>
      </c>
      <c r="I81" s="258">
        <v>334300000</v>
      </c>
      <c r="J81" s="258">
        <v>3677300000</v>
      </c>
      <c r="K81" s="256" t="s">
        <v>1346</v>
      </c>
    </row>
    <row r="82" spans="1:11" x14ac:dyDescent="0.3">
      <c r="A82" s="256">
        <v>21</v>
      </c>
      <c r="B82" s="257" t="s">
        <v>1203</v>
      </c>
      <c r="C82" s="276">
        <v>44242</v>
      </c>
      <c r="D82" s="257" t="s">
        <v>1281</v>
      </c>
      <c r="E82" s="256" t="s">
        <v>1721</v>
      </c>
      <c r="F82" s="256" t="s">
        <v>1736</v>
      </c>
      <c r="G82" s="258">
        <v>4094000000</v>
      </c>
      <c r="H82" s="265">
        <v>0.1</v>
      </c>
      <c r="I82" s="258">
        <v>409400000</v>
      </c>
      <c r="J82" s="258">
        <v>4503400000</v>
      </c>
      <c r="K82" s="256" t="s">
        <v>1346</v>
      </c>
    </row>
    <row r="83" spans="1:11" x14ac:dyDescent="0.3">
      <c r="A83" s="256">
        <v>22</v>
      </c>
      <c r="B83" s="257" t="s">
        <v>1204</v>
      </c>
      <c r="C83" s="276">
        <v>44362</v>
      </c>
      <c r="D83" s="257" t="s">
        <v>1291</v>
      </c>
      <c r="E83" s="256" t="s">
        <v>1710</v>
      </c>
      <c r="F83" s="256" t="s">
        <v>1736</v>
      </c>
      <c r="G83" s="258">
        <v>5393000000</v>
      </c>
      <c r="H83" s="265">
        <v>0.1</v>
      </c>
      <c r="I83" s="258">
        <v>539300000</v>
      </c>
      <c r="J83" s="258">
        <v>5932300000</v>
      </c>
      <c r="K83" s="256" t="s">
        <v>1346</v>
      </c>
    </row>
    <row r="84" spans="1:11" x14ac:dyDescent="0.3">
      <c r="A84" s="256">
        <v>23</v>
      </c>
      <c r="B84" s="257" t="s">
        <v>1205</v>
      </c>
      <c r="C84" s="276">
        <v>44423</v>
      </c>
      <c r="D84" s="257" t="s">
        <v>1273</v>
      </c>
      <c r="E84" s="256" t="s">
        <v>1704</v>
      </c>
      <c r="F84" s="256" t="s">
        <v>1736</v>
      </c>
      <c r="G84" s="258">
        <v>5408000000</v>
      </c>
      <c r="H84" s="265">
        <v>0.1</v>
      </c>
      <c r="I84" s="258">
        <v>540800000</v>
      </c>
      <c r="J84" s="258">
        <v>5948800000</v>
      </c>
      <c r="K84" s="256" t="s">
        <v>1346</v>
      </c>
    </row>
    <row r="85" spans="1:11" x14ac:dyDescent="0.3">
      <c r="A85" s="256">
        <v>24</v>
      </c>
      <c r="B85" s="257" t="s">
        <v>1385</v>
      </c>
      <c r="C85" s="276">
        <v>44484</v>
      </c>
      <c r="D85" s="257" t="s">
        <v>1284</v>
      </c>
      <c r="E85" s="256" t="s">
        <v>1706</v>
      </c>
      <c r="F85" s="256" t="s">
        <v>1739</v>
      </c>
      <c r="G85" s="258">
        <v>4723000000</v>
      </c>
      <c r="H85" s="265">
        <v>0.1</v>
      </c>
      <c r="I85" s="258">
        <v>472300000</v>
      </c>
      <c r="J85" s="258">
        <v>5195300000</v>
      </c>
      <c r="K85" s="256" t="s">
        <v>1346</v>
      </c>
    </row>
    <row r="86" spans="1:11" x14ac:dyDescent="0.3">
      <c r="A86" s="256">
        <v>25</v>
      </c>
      <c r="B86" s="257" t="s">
        <v>1387</v>
      </c>
      <c r="C86" s="276">
        <v>44515</v>
      </c>
      <c r="D86" s="257" t="s">
        <v>1267</v>
      </c>
      <c r="E86" s="256" t="s">
        <v>1701</v>
      </c>
      <c r="F86" s="256" t="s">
        <v>1737</v>
      </c>
      <c r="G86" s="258">
        <v>3990000000</v>
      </c>
      <c r="H86" s="265">
        <v>0.1</v>
      </c>
      <c r="I86" s="258">
        <v>399000000</v>
      </c>
      <c r="J86" s="258">
        <v>4389000000</v>
      </c>
      <c r="K86" s="256" t="s">
        <v>1346</v>
      </c>
    </row>
    <row r="87" spans="1:11" x14ac:dyDescent="0.3">
      <c r="A87" s="256">
        <v>26</v>
      </c>
      <c r="B87" s="257" t="s">
        <v>1388</v>
      </c>
      <c r="C87" s="276">
        <v>44545</v>
      </c>
      <c r="D87" s="257" t="s">
        <v>1263</v>
      </c>
      <c r="E87" s="256" t="s">
        <v>1717</v>
      </c>
      <c r="F87" s="256" t="s">
        <v>1738</v>
      </c>
      <c r="G87" s="258">
        <v>5845000000</v>
      </c>
      <c r="H87" s="265">
        <v>0.1</v>
      </c>
      <c r="I87" s="258">
        <v>584500000</v>
      </c>
      <c r="J87" s="258">
        <v>6429500000</v>
      </c>
      <c r="K87" s="256" t="s">
        <v>1346</v>
      </c>
    </row>
    <row r="88" spans="1:11" x14ac:dyDescent="0.3">
      <c r="A88" s="256">
        <v>27</v>
      </c>
      <c r="B88" s="257" t="s">
        <v>1391</v>
      </c>
      <c r="C88" s="276">
        <v>44336</v>
      </c>
      <c r="D88" s="257" t="s">
        <v>1256</v>
      </c>
      <c r="E88" s="256" t="s">
        <v>1698</v>
      </c>
      <c r="F88" s="256" t="s">
        <v>1738</v>
      </c>
      <c r="G88" s="258">
        <v>5989000000</v>
      </c>
      <c r="H88" s="265">
        <v>0.1</v>
      </c>
      <c r="I88" s="258">
        <v>598900000</v>
      </c>
      <c r="J88" s="258">
        <v>6587900000</v>
      </c>
      <c r="K88" s="256" t="s">
        <v>1346</v>
      </c>
    </row>
    <row r="89" spans="1:11" x14ac:dyDescent="0.3">
      <c r="A89" s="256">
        <v>28</v>
      </c>
      <c r="B89" s="257" t="s">
        <v>1392</v>
      </c>
      <c r="C89" s="276">
        <v>44367</v>
      </c>
      <c r="D89" s="257" t="s">
        <v>1277</v>
      </c>
      <c r="E89" s="256" t="s">
        <v>1711</v>
      </c>
      <c r="F89" s="256" t="s">
        <v>1737</v>
      </c>
      <c r="G89" s="258">
        <v>5154000000</v>
      </c>
      <c r="H89" s="265">
        <v>0.1</v>
      </c>
      <c r="I89" s="258">
        <v>515400000</v>
      </c>
      <c r="J89" s="258">
        <v>5669400000</v>
      </c>
      <c r="K89" s="256" t="s">
        <v>1346</v>
      </c>
    </row>
    <row r="90" spans="1:11" x14ac:dyDescent="0.3">
      <c r="A90" s="256">
        <v>29</v>
      </c>
      <c r="B90" s="257" t="s">
        <v>1394</v>
      </c>
      <c r="C90" s="276">
        <v>44397</v>
      </c>
      <c r="D90" s="257" t="s">
        <v>1273</v>
      </c>
      <c r="E90" s="256" t="s">
        <v>1704</v>
      </c>
      <c r="F90" s="256" t="s">
        <v>1736</v>
      </c>
      <c r="G90" s="258">
        <v>4866000000</v>
      </c>
      <c r="H90" s="265">
        <v>0.1</v>
      </c>
      <c r="I90" s="258">
        <v>486600000</v>
      </c>
      <c r="J90" s="258">
        <v>5352600000</v>
      </c>
      <c r="K90" s="256" t="s">
        <v>1346</v>
      </c>
    </row>
    <row r="91" spans="1:11" x14ac:dyDescent="0.3">
      <c r="A91" s="256">
        <v>30</v>
      </c>
      <c r="B91" s="257" t="s">
        <v>1396</v>
      </c>
      <c r="C91" s="276">
        <v>44428</v>
      </c>
      <c r="D91" s="257" t="s">
        <v>1283</v>
      </c>
      <c r="E91" s="256" t="s">
        <v>1727</v>
      </c>
      <c r="F91" s="256" t="s">
        <v>1737</v>
      </c>
      <c r="G91" s="258">
        <v>3495000000</v>
      </c>
      <c r="H91" s="265">
        <v>0.1</v>
      </c>
      <c r="I91" s="258">
        <v>349500000</v>
      </c>
      <c r="J91" s="258">
        <v>3844500000</v>
      </c>
      <c r="K91" s="256" t="s">
        <v>1346</v>
      </c>
    </row>
    <row r="92" spans="1:11" x14ac:dyDescent="0.3">
      <c r="A92" s="256">
        <v>31</v>
      </c>
      <c r="B92" s="257" t="s">
        <v>1397</v>
      </c>
      <c r="C92" s="276">
        <v>44459</v>
      </c>
      <c r="D92" s="257" t="s">
        <v>1289</v>
      </c>
      <c r="E92" s="256" t="s">
        <v>1703</v>
      </c>
      <c r="F92" s="256" t="s">
        <v>1736</v>
      </c>
      <c r="G92" s="258">
        <v>5716000000</v>
      </c>
      <c r="H92" s="265">
        <v>0.1</v>
      </c>
      <c r="I92" s="258">
        <v>571600000</v>
      </c>
      <c r="J92" s="258">
        <v>6287600000</v>
      </c>
      <c r="K92" s="256" t="s">
        <v>1346</v>
      </c>
    </row>
    <row r="93" spans="1:11" x14ac:dyDescent="0.3">
      <c r="A93" s="256">
        <v>32</v>
      </c>
      <c r="B93" s="257" t="s">
        <v>1398</v>
      </c>
      <c r="C93" s="276">
        <v>44550</v>
      </c>
      <c r="D93" s="257" t="s">
        <v>1262</v>
      </c>
      <c r="E93" s="256" t="s">
        <v>1728</v>
      </c>
      <c r="F93" s="256" t="s">
        <v>1737</v>
      </c>
      <c r="G93" s="258">
        <v>2513000000</v>
      </c>
      <c r="H93" s="265">
        <v>0</v>
      </c>
      <c r="I93" s="258">
        <v>0</v>
      </c>
      <c r="J93" s="258">
        <v>2513000000</v>
      </c>
      <c r="K93" s="256" t="s">
        <v>1346</v>
      </c>
    </row>
    <row r="94" spans="1:11" x14ac:dyDescent="0.3">
      <c r="A94" s="256">
        <v>33</v>
      </c>
      <c r="B94" s="257" t="s">
        <v>1399</v>
      </c>
      <c r="C94" s="276">
        <v>44221</v>
      </c>
      <c r="D94" s="257" t="s">
        <v>1281</v>
      </c>
      <c r="E94" s="256" t="s">
        <v>1721</v>
      </c>
      <c r="F94" s="256" t="s">
        <v>1738</v>
      </c>
      <c r="G94" s="258">
        <v>4015000000</v>
      </c>
      <c r="H94" s="265">
        <v>0.1</v>
      </c>
      <c r="I94" s="258">
        <v>401500000</v>
      </c>
      <c r="J94" s="258">
        <v>4416500000</v>
      </c>
      <c r="K94" s="256" t="s">
        <v>1346</v>
      </c>
    </row>
    <row r="95" spans="1:11" x14ac:dyDescent="0.3">
      <c r="A95" s="256">
        <v>34</v>
      </c>
      <c r="B95" s="257" t="s">
        <v>1401</v>
      </c>
      <c r="C95" s="276">
        <v>44252</v>
      </c>
      <c r="D95" s="257" t="s">
        <v>1273</v>
      </c>
      <c r="E95" s="256" t="s">
        <v>1704</v>
      </c>
      <c r="F95" s="256" t="s">
        <v>1736</v>
      </c>
      <c r="G95" s="258">
        <v>3000000000</v>
      </c>
      <c r="H95" s="265">
        <v>0.1</v>
      </c>
      <c r="I95" s="258">
        <v>300000000</v>
      </c>
      <c r="J95" s="258">
        <v>3300000000</v>
      </c>
      <c r="K95" s="256" t="s">
        <v>1346</v>
      </c>
    </row>
    <row r="96" spans="1:11" x14ac:dyDescent="0.3">
      <c r="A96" s="256">
        <v>35</v>
      </c>
      <c r="B96" s="257" t="s">
        <v>1402</v>
      </c>
      <c r="C96" s="276">
        <v>44311</v>
      </c>
      <c r="D96" s="257" t="s">
        <v>1289</v>
      </c>
      <c r="E96" s="256" t="s">
        <v>1703</v>
      </c>
      <c r="F96" s="256" t="s">
        <v>1736</v>
      </c>
      <c r="G96" s="258">
        <v>3202000000</v>
      </c>
      <c r="H96" s="265">
        <v>0.1</v>
      </c>
      <c r="I96" s="258">
        <v>320200000</v>
      </c>
      <c r="J96" s="258">
        <v>3522200000</v>
      </c>
      <c r="K96" s="256" t="s">
        <v>1346</v>
      </c>
    </row>
    <row r="97" spans="1:11" x14ac:dyDescent="0.3">
      <c r="A97" s="256">
        <v>36</v>
      </c>
      <c r="B97" s="257" t="s">
        <v>1403</v>
      </c>
      <c r="C97" s="276">
        <v>44341</v>
      </c>
      <c r="D97" s="257" t="s">
        <v>1262</v>
      </c>
      <c r="E97" s="256" t="s">
        <v>1728</v>
      </c>
      <c r="F97" s="256" t="s">
        <v>1737</v>
      </c>
      <c r="G97" s="258">
        <v>4897000000</v>
      </c>
      <c r="H97" s="265">
        <v>0.1</v>
      </c>
      <c r="I97" s="258">
        <v>489700000</v>
      </c>
      <c r="J97" s="258">
        <v>5386700000</v>
      </c>
      <c r="K97" s="256" t="s">
        <v>1346</v>
      </c>
    </row>
    <row r="98" spans="1:11" x14ac:dyDescent="0.3">
      <c r="A98" s="256">
        <v>37</v>
      </c>
      <c r="B98" s="257" t="s">
        <v>1404</v>
      </c>
      <c r="C98" s="276">
        <v>44372</v>
      </c>
      <c r="D98" s="257" t="s">
        <v>1276</v>
      </c>
      <c r="E98" s="256" t="s">
        <v>1696</v>
      </c>
      <c r="F98" s="256" t="s">
        <v>1738</v>
      </c>
      <c r="G98" s="258">
        <v>6203000000</v>
      </c>
      <c r="H98" s="265">
        <v>0.1</v>
      </c>
      <c r="I98" s="258">
        <v>620300000</v>
      </c>
      <c r="J98" s="258">
        <v>6823300000</v>
      </c>
      <c r="K98" s="256" t="s">
        <v>1346</v>
      </c>
    </row>
    <row r="99" spans="1:11" x14ac:dyDescent="0.3">
      <c r="A99" s="256">
        <v>38</v>
      </c>
      <c r="B99" s="257" t="s">
        <v>1405</v>
      </c>
      <c r="C99" s="276">
        <v>44402</v>
      </c>
      <c r="D99" s="257" t="s">
        <v>1286</v>
      </c>
      <c r="E99" s="256" t="s">
        <v>1729</v>
      </c>
      <c r="F99" s="256" t="s">
        <v>1739</v>
      </c>
      <c r="G99" s="258">
        <v>4076000000</v>
      </c>
      <c r="H99" s="265">
        <v>0.1</v>
      </c>
      <c r="I99" s="258">
        <v>407600000</v>
      </c>
      <c r="J99" s="258">
        <v>4483600000</v>
      </c>
      <c r="K99" s="256" t="s">
        <v>1346</v>
      </c>
    </row>
    <row r="100" spans="1:11" x14ac:dyDescent="0.3">
      <c r="A100" s="256">
        <v>39</v>
      </c>
      <c r="B100" s="257" t="s">
        <v>1406</v>
      </c>
      <c r="C100" s="276">
        <v>44433</v>
      </c>
      <c r="D100" s="257" t="s">
        <v>1268</v>
      </c>
      <c r="E100" s="256" t="s">
        <v>1718</v>
      </c>
      <c r="F100" s="256" t="s">
        <v>1738</v>
      </c>
      <c r="G100" s="258">
        <v>3168000000</v>
      </c>
      <c r="H100" s="265">
        <v>0.1</v>
      </c>
      <c r="I100" s="258">
        <v>316800000</v>
      </c>
      <c r="J100" s="258">
        <v>3484800000</v>
      </c>
      <c r="K100" s="256" t="s">
        <v>1346</v>
      </c>
    </row>
    <row r="101" spans="1:11" x14ac:dyDescent="0.3">
      <c r="A101" s="256">
        <v>40</v>
      </c>
      <c r="B101" s="257" t="s">
        <v>1408</v>
      </c>
      <c r="C101" s="276">
        <v>44464</v>
      </c>
      <c r="D101" s="257" t="s">
        <v>1266</v>
      </c>
      <c r="E101" s="256" t="s">
        <v>1686</v>
      </c>
      <c r="F101" s="256" t="s">
        <v>1737</v>
      </c>
      <c r="G101" s="258">
        <v>6171000000</v>
      </c>
      <c r="H101" s="265">
        <v>0.1</v>
      </c>
      <c r="I101" s="258">
        <v>617100000</v>
      </c>
      <c r="J101" s="258">
        <v>6788100000</v>
      </c>
      <c r="K101" s="256" t="s">
        <v>1346</v>
      </c>
    </row>
    <row r="102" spans="1:11" x14ac:dyDescent="0.3">
      <c r="A102" s="256">
        <v>41</v>
      </c>
      <c r="B102" s="257" t="s">
        <v>1409</v>
      </c>
      <c r="C102" s="276">
        <v>44494</v>
      </c>
      <c r="D102" s="257" t="s">
        <v>1286</v>
      </c>
      <c r="E102" s="256" t="s">
        <v>1729</v>
      </c>
      <c r="F102" s="256" t="s">
        <v>1739</v>
      </c>
      <c r="G102" s="258">
        <v>4157000000</v>
      </c>
      <c r="H102" s="265">
        <v>0.1</v>
      </c>
      <c r="I102" s="258">
        <v>415700000</v>
      </c>
      <c r="J102" s="258">
        <v>4572700000</v>
      </c>
      <c r="K102" s="256" t="s">
        <v>1346</v>
      </c>
    </row>
    <row r="103" spans="1:11" x14ac:dyDescent="0.3">
      <c r="A103" s="256">
        <v>42</v>
      </c>
      <c r="B103" s="257" t="s">
        <v>1411</v>
      </c>
      <c r="C103" s="276">
        <v>44555</v>
      </c>
      <c r="D103" s="257" t="s">
        <v>1262</v>
      </c>
      <c r="E103" s="256" t="s">
        <v>1728</v>
      </c>
      <c r="F103" s="256" t="s">
        <v>1736</v>
      </c>
      <c r="G103" s="258">
        <v>3839000000</v>
      </c>
      <c r="H103" s="265">
        <v>0.1</v>
      </c>
      <c r="I103" s="258">
        <v>383900000</v>
      </c>
      <c r="J103" s="258">
        <v>4222900000</v>
      </c>
      <c r="K103" s="256" t="s">
        <v>1346</v>
      </c>
    </row>
    <row r="104" spans="1:11" x14ac:dyDescent="0.3">
      <c r="A104" s="256">
        <v>43</v>
      </c>
      <c r="B104" s="257" t="s">
        <v>1414</v>
      </c>
      <c r="C104" s="276">
        <v>44377</v>
      </c>
      <c r="D104" s="257" t="s">
        <v>1292</v>
      </c>
      <c r="E104" s="256" t="s">
        <v>1693</v>
      </c>
      <c r="F104" s="256" t="s">
        <v>1739</v>
      </c>
      <c r="G104" s="258">
        <v>2979000000</v>
      </c>
      <c r="H104" s="265">
        <v>0.1</v>
      </c>
      <c r="I104" s="258">
        <v>297900000</v>
      </c>
      <c r="J104" s="258">
        <v>3276900000</v>
      </c>
      <c r="K104" s="256" t="s">
        <v>1346</v>
      </c>
    </row>
    <row r="105" spans="1:11" x14ac:dyDescent="0.3">
      <c r="A105" s="256">
        <v>44</v>
      </c>
      <c r="B105" s="257" t="s">
        <v>1415</v>
      </c>
      <c r="C105" s="276">
        <v>44469</v>
      </c>
      <c r="D105" s="257" t="s">
        <v>1265</v>
      </c>
      <c r="E105" s="256" t="s">
        <v>1705</v>
      </c>
      <c r="F105" s="256" t="s">
        <v>1737</v>
      </c>
      <c r="G105" s="258">
        <v>6580000000</v>
      </c>
      <c r="H105" s="265">
        <v>0.1</v>
      </c>
      <c r="I105" s="258">
        <v>658000000</v>
      </c>
      <c r="J105" s="258">
        <v>7238000000</v>
      </c>
      <c r="K105" s="256" t="s">
        <v>1346</v>
      </c>
    </row>
    <row r="106" spans="1:11" x14ac:dyDescent="0.3">
      <c r="A106" s="256">
        <v>45</v>
      </c>
      <c r="B106" s="257" t="s">
        <v>1206</v>
      </c>
      <c r="C106" s="276">
        <v>44530</v>
      </c>
      <c r="D106" s="257" t="s">
        <v>1268</v>
      </c>
      <c r="E106" s="256" t="s">
        <v>1718</v>
      </c>
      <c r="F106" s="256" t="s">
        <v>1736</v>
      </c>
      <c r="G106" s="258">
        <v>2573000000</v>
      </c>
      <c r="H106" s="265">
        <v>0.1</v>
      </c>
      <c r="I106" s="258">
        <v>257300000</v>
      </c>
      <c r="J106" s="258">
        <v>2830300000</v>
      </c>
      <c r="K106" s="256" t="s">
        <v>1346</v>
      </c>
    </row>
    <row r="107" spans="1:11" x14ac:dyDescent="0.3">
      <c r="A107" s="256">
        <v>46</v>
      </c>
      <c r="B107" s="257" t="s">
        <v>1207</v>
      </c>
      <c r="C107" s="276">
        <v>44347</v>
      </c>
      <c r="D107" s="257" t="s">
        <v>1258</v>
      </c>
      <c r="E107" s="256" t="s">
        <v>1694</v>
      </c>
      <c r="F107" s="256" t="s">
        <v>1739</v>
      </c>
      <c r="G107" s="258">
        <v>6185000000</v>
      </c>
      <c r="H107" s="265">
        <v>0</v>
      </c>
      <c r="I107" s="258">
        <v>0</v>
      </c>
      <c r="J107" s="258">
        <v>6185000000</v>
      </c>
      <c r="K107" s="256" t="s">
        <v>1346</v>
      </c>
    </row>
    <row r="108" spans="1:11" x14ac:dyDescent="0.3">
      <c r="A108" s="256">
        <v>47</v>
      </c>
      <c r="B108" s="257" t="s">
        <v>1208</v>
      </c>
      <c r="C108" s="276">
        <v>44408</v>
      </c>
      <c r="D108" s="257" t="s">
        <v>1259</v>
      </c>
      <c r="E108" s="256" t="s">
        <v>1700</v>
      </c>
      <c r="F108" s="256" t="s">
        <v>1739</v>
      </c>
      <c r="G108" s="258">
        <v>5105000000</v>
      </c>
      <c r="H108" s="265">
        <v>0.1</v>
      </c>
      <c r="I108" s="258">
        <v>510500000</v>
      </c>
      <c r="J108" s="258">
        <v>5615500000</v>
      </c>
      <c r="K108" s="256" t="s">
        <v>1346</v>
      </c>
    </row>
    <row r="109" spans="1:11" x14ac:dyDescent="0.3">
      <c r="A109" s="256">
        <v>48</v>
      </c>
      <c r="B109" s="257" t="s">
        <v>1209</v>
      </c>
      <c r="C109" s="276">
        <v>44439</v>
      </c>
      <c r="D109" s="257" t="s">
        <v>1263</v>
      </c>
      <c r="E109" s="256" t="s">
        <v>1717</v>
      </c>
      <c r="F109" s="256" t="s">
        <v>1738</v>
      </c>
      <c r="G109" s="258">
        <v>4841000000</v>
      </c>
      <c r="H109" s="265">
        <v>0.1</v>
      </c>
      <c r="I109" s="258">
        <v>484100000</v>
      </c>
      <c r="J109" s="258">
        <v>5325100000</v>
      </c>
      <c r="K109" s="256" t="s">
        <v>1346</v>
      </c>
    </row>
    <row r="110" spans="1:11" x14ac:dyDescent="0.3">
      <c r="A110" s="256">
        <v>49</v>
      </c>
      <c r="B110" s="257" t="s">
        <v>1418</v>
      </c>
      <c r="C110" s="276">
        <v>44500</v>
      </c>
      <c r="D110" s="257" t="s">
        <v>1259</v>
      </c>
      <c r="E110" s="256" t="s">
        <v>1700</v>
      </c>
      <c r="F110" s="256" t="s">
        <v>1738</v>
      </c>
      <c r="G110" s="258">
        <v>4048000000</v>
      </c>
      <c r="H110" s="265">
        <v>0.1</v>
      </c>
      <c r="I110" s="258">
        <v>404800000</v>
      </c>
      <c r="J110" s="258">
        <v>4452800000</v>
      </c>
      <c r="K110" s="256" t="s">
        <v>1348</v>
      </c>
    </row>
    <row r="111" spans="1:11" x14ac:dyDescent="0.3">
      <c r="A111" s="256">
        <v>50</v>
      </c>
      <c r="B111" s="257" t="s">
        <v>1419</v>
      </c>
      <c r="C111" s="276">
        <v>44561</v>
      </c>
      <c r="D111" s="257" t="s">
        <v>1281</v>
      </c>
      <c r="E111" s="256" t="s">
        <v>1721</v>
      </c>
      <c r="F111" s="256" t="s">
        <v>1737</v>
      </c>
      <c r="G111" s="258">
        <v>3992000000</v>
      </c>
      <c r="H111" s="265">
        <v>0.1</v>
      </c>
      <c r="I111" s="258">
        <v>399200000</v>
      </c>
      <c r="J111" s="258">
        <v>4391200000</v>
      </c>
      <c r="K111" s="256" t="s">
        <v>1346</v>
      </c>
    </row>
    <row r="112" spans="1:11" x14ac:dyDescent="0.3">
      <c r="A112" s="266" t="s">
        <v>1351</v>
      </c>
      <c r="B112" s="266"/>
      <c r="C112" s="266"/>
      <c r="D112" s="266"/>
      <c r="E112" s="266"/>
      <c r="F112" s="266"/>
      <c r="G112" s="267">
        <f>SUM(G62:G111)</f>
        <v>221543000000</v>
      </c>
      <c r="H112" s="266"/>
      <c r="I112" s="267">
        <f>SUM(I62:I111)</f>
        <v>20671700000</v>
      </c>
      <c r="J112" s="267">
        <f>SUM(J62:J111)</f>
        <v>242214700000</v>
      </c>
      <c r="K112" s="26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1740</v>
      </c>
      <c r="C1" s="256"/>
      <c r="D1" s="256"/>
      <c r="E1" s="256"/>
      <c r="F1" s="256"/>
      <c r="G1" s="256"/>
      <c r="H1" s="256"/>
      <c r="I1" s="256"/>
      <c r="J1" s="256"/>
      <c r="K1" s="256"/>
    </row>
    <row r="2" spans="1:11" x14ac:dyDescent="0.3">
      <c r="A2" s="256" t="s">
        <v>1339</v>
      </c>
      <c r="B2" s="257">
        <v>101598393</v>
      </c>
      <c r="C2" s="256"/>
      <c r="D2" s="256"/>
      <c r="E2" s="256"/>
      <c r="F2" s="256"/>
      <c r="G2" s="256"/>
      <c r="H2" s="256"/>
      <c r="I2" s="256"/>
      <c r="J2" s="256"/>
      <c r="K2" s="256"/>
    </row>
    <row r="3" spans="1:11" x14ac:dyDescent="0.3">
      <c r="A3" s="256" t="s">
        <v>1343</v>
      </c>
      <c r="B3" s="258">
        <v>1558754280956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1388</v>
      </c>
      <c r="C8" s="276">
        <v>44317</v>
      </c>
      <c r="D8" s="257" t="s">
        <v>1266</v>
      </c>
      <c r="E8" s="256" t="s">
        <v>1686</v>
      </c>
      <c r="F8" s="256" t="s">
        <v>1741</v>
      </c>
      <c r="G8" s="258">
        <v>14337000000</v>
      </c>
      <c r="H8" s="265">
        <v>0.1</v>
      </c>
      <c r="I8" s="258">
        <v>1433700000</v>
      </c>
      <c r="J8" s="258">
        <v>15770700000</v>
      </c>
      <c r="K8" s="256" t="s">
        <v>1346</v>
      </c>
    </row>
    <row r="9" spans="1:11" x14ac:dyDescent="0.3">
      <c r="A9" s="256">
        <v>2</v>
      </c>
      <c r="B9" s="257" t="s">
        <v>1378</v>
      </c>
      <c r="C9" s="276">
        <v>44318</v>
      </c>
      <c r="D9" s="257" t="s">
        <v>1255</v>
      </c>
      <c r="E9" s="256" t="s">
        <v>1688</v>
      </c>
      <c r="F9" s="256" t="s">
        <v>1742</v>
      </c>
      <c r="G9" s="258">
        <v>11419000000</v>
      </c>
      <c r="H9" s="265">
        <v>0.1</v>
      </c>
      <c r="I9" s="258">
        <v>1141900000</v>
      </c>
      <c r="J9" s="258">
        <v>12560900000</v>
      </c>
      <c r="K9" s="256" t="s">
        <v>1346</v>
      </c>
    </row>
    <row r="10" spans="1:11" x14ac:dyDescent="0.3">
      <c r="A10" s="256">
        <v>3</v>
      </c>
      <c r="B10" s="257" t="s">
        <v>1391</v>
      </c>
      <c r="C10" s="276">
        <v>44319</v>
      </c>
      <c r="D10" s="257" t="s">
        <v>1266</v>
      </c>
      <c r="E10" s="256" t="s">
        <v>1686</v>
      </c>
      <c r="F10" s="256" t="s">
        <v>1743</v>
      </c>
      <c r="G10" s="258">
        <v>25027000000</v>
      </c>
      <c r="H10" s="265">
        <v>0.1</v>
      </c>
      <c r="I10" s="258">
        <v>2502700000</v>
      </c>
      <c r="J10" s="258">
        <v>27529700000</v>
      </c>
      <c r="K10" s="256" t="s">
        <v>1346</v>
      </c>
    </row>
    <row r="11" spans="1:11" x14ac:dyDescent="0.3">
      <c r="A11" s="256">
        <v>4</v>
      </c>
      <c r="B11" s="257" t="s">
        <v>1356</v>
      </c>
      <c r="C11" s="276">
        <v>44320</v>
      </c>
      <c r="D11" s="257" t="s">
        <v>1288</v>
      </c>
      <c r="E11" s="256" t="s">
        <v>1691</v>
      </c>
      <c r="F11" s="256" t="s">
        <v>1744</v>
      </c>
      <c r="G11" s="258">
        <v>17019000000</v>
      </c>
      <c r="H11" s="265">
        <v>0.1</v>
      </c>
      <c r="I11" s="258">
        <v>1701900000</v>
      </c>
      <c r="J11" s="258">
        <v>18720900000</v>
      </c>
      <c r="K11" s="256" t="s">
        <v>1346</v>
      </c>
    </row>
    <row r="12" spans="1:11" x14ac:dyDescent="0.3">
      <c r="A12" s="256">
        <v>5</v>
      </c>
      <c r="B12" s="257" t="s">
        <v>1355</v>
      </c>
      <c r="C12" s="276">
        <v>44322</v>
      </c>
      <c r="D12" s="257" t="s">
        <v>1292</v>
      </c>
      <c r="E12" s="256" t="s">
        <v>1693</v>
      </c>
      <c r="F12" s="256" t="s">
        <v>1741</v>
      </c>
      <c r="G12" s="258">
        <v>18575000000</v>
      </c>
      <c r="H12" s="265">
        <v>0.1</v>
      </c>
      <c r="I12" s="258">
        <v>1857500000</v>
      </c>
      <c r="J12" s="258">
        <v>20432500000</v>
      </c>
      <c r="K12" s="256" t="s">
        <v>1346</v>
      </c>
    </row>
    <row r="13" spans="1:11" x14ac:dyDescent="0.3">
      <c r="A13" s="256">
        <v>6</v>
      </c>
      <c r="B13" s="257" t="s">
        <v>1376</v>
      </c>
      <c r="C13" s="276">
        <v>44323</v>
      </c>
      <c r="D13" s="257" t="s">
        <v>1258</v>
      </c>
      <c r="E13" s="256" t="s">
        <v>1694</v>
      </c>
      <c r="F13" s="256" t="s">
        <v>1745</v>
      </c>
      <c r="G13" s="258">
        <v>29002000000</v>
      </c>
      <c r="H13" s="265">
        <v>0.1</v>
      </c>
      <c r="I13" s="258">
        <v>2900200000</v>
      </c>
      <c r="J13" s="258">
        <v>31902200000</v>
      </c>
      <c r="K13" s="256" t="s">
        <v>1346</v>
      </c>
    </row>
    <row r="14" spans="1:11" x14ac:dyDescent="0.3">
      <c r="A14" s="256">
        <v>7</v>
      </c>
      <c r="B14" s="257" t="s">
        <v>1204</v>
      </c>
      <c r="C14" s="276">
        <v>44324</v>
      </c>
      <c r="D14" s="257" t="s">
        <v>1276</v>
      </c>
      <c r="E14" s="256" t="s">
        <v>1696</v>
      </c>
      <c r="F14" s="256" t="s">
        <v>1745</v>
      </c>
      <c r="G14" s="258">
        <v>28822000000</v>
      </c>
      <c r="H14" s="265">
        <v>0.1</v>
      </c>
      <c r="I14" s="258">
        <v>2882200000</v>
      </c>
      <c r="J14" s="258">
        <v>31704200000</v>
      </c>
      <c r="K14" s="256" t="s">
        <v>1346</v>
      </c>
    </row>
    <row r="15" spans="1:11" x14ac:dyDescent="0.3">
      <c r="A15" s="256">
        <v>8</v>
      </c>
      <c r="B15" s="257" t="s">
        <v>1205</v>
      </c>
      <c r="C15" s="276">
        <v>44325</v>
      </c>
      <c r="D15" s="257" t="s">
        <v>1276</v>
      </c>
      <c r="E15" s="256" t="s">
        <v>1696</v>
      </c>
      <c r="F15" s="256" t="s">
        <v>1743</v>
      </c>
      <c r="G15" s="258">
        <v>22817000000</v>
      </c>
      <c r="H15" s="265">
        <v>0.1</v>
      </c>
      <c r="I15" s="258">
        <v>2281700000</v>
      </c>
      <c r="J15" s="258">
        <v>25098700000</v>
      </c>
      <c r="K15" s="256" t="s">
        <v>1346</v>
      </c>
    </row>
    <row r="16" spans="1:11" x14ac:dyDescent="0.3">
      <c r="A16" s="256">
        <v>9</v>
      </c>
      <c r="B16" s="257" t="s">
        <v>1381</v>
      </c>
      <c r="C16" s="276">
        <v>44327</v>
      </c>
      <c r="D16" s="257" t="s">
        <v>1256</v>
      </c>
      <c r="E16" s="256" t="s">
        <v>1698</v>
      </c>
      <c r="F16" s="256" t="s">
        <v>1742</v>
      </c>
      <c r="G16" s="258">
        <v>12305000000</v>
      </c>
      <c r="H16" s="265">
        <v>0.1</v>
      </c>
      <c r="I16" s="258">
        <v>1230500000</v>
      </c>
      <c r="J16" s="258">
        <v>13535500000</v>
      </c>
      <c r="K16" s="256" t="s">
        <v>1346</v>
      </c>
    </row>
    <row r="17" spans="1:11" x14ac:dyDescent="0.3">
      <c r="A17" s="256">
        <v>10</v>
      </c>
      <c r="B17" s="257" t="s">
        <v>1391</v>
      </c>
      <c r="C17" s="276">
        <v>44328</v>
      </c>
      <c r="D17" s="257" t="s">
        <v>1259</v>
      </c>
      <c r="E17" s="256" t="s">
        <v>1700</v>
      </c>
      <c r="F17" s="256" t="s">
        <v>1743</v>
      </c>
      <c r="G17" s="258">
        <v>30013000000</v>
      </c>
      <c r="H17" s="265">
        <v>0</v>
      </c>
      <c r="I17" s="258">
        <v>0</v>
      </c>
      <c r="J17" s="258">
        <v>30013000000</v>
      </c>
      <c r="K17" s="256" t="s">
        <v>1346</v>
      </c>
    </row>
    <row r="18" spans="1:11" x14ac:dyDescent="0.3">
      <c r="A18" s="256">
        <v>11</v>
      </c>
      <c r="B18" s="257" t="s">
        <v>1385</v>
      </c>
      <c r="C18" s="276">
        <v>44470</v>
      </c>
      <c r="D18" s="257" t="s">
        <v>1276</v>
      </c>
      <c r="E18" s="256" t="s">
        <v>1696</v>
      </c>
      <c r="F18" s="256" t="s">
        <v>1741</v>
      </c>
      <c r="G18" s="258">
        <v>23034000000</v>
      </c>
      <c r="H18" s="265">
        <v>0.1</v>
      </c>
      <c r="I18" s="258">
        <v>2303400000</v>
      </c>
      <c r="J18" s="258">
        <v>25337400000</v>
      </c>
      <c r="K18" s="256" t="s">
        <v>1346</v>
      </c>
    </row>
    <row r="19" spans="1:11" x14ac:dyDescent="0.3">
      <c r="A19" s="256">
        <v>12</v>
      </c>
      <c r="B19" s="257" t="s">
        <v>1383</v>
      </c>
      <c r="C19" s="276">
        <v>44471</v>
      </c>
      <c r="D19" s="257" t="s">
        <v>1267</v>
      </c>
      <c r="E19" s="256" t="s">
        <v>1701</v>
      </c>
      <c r="F19" s="256" t="s">
        <v>1743</v>
      </c>
      <c r="G19" s="258">
        <v>11406000000</v>
      </c>
      <c r="H19" s="265">
        <v>0.1</v>
      </c>
      <c r="I19" s="258">
        <v>1140600000</v>
      </c>
      <c r="J19" s="258">
        <v>12546600000</v>
      </c>
      <c r="K19" s="256" t="s">
        <v>1346</v>
      </c>
    </row>
    <row r="20" spans="1:11" x14ac:dyDescent="0.3">
      <c r="A20" s="256">
        <v>13</v>
      </c>
      <c r="B20" s="257" t="s">
        <v>1376</v>
      </c>
      <c r="C20" s="276">
        <v>44472</v>
      </c>
      <c r="D20" s="257" t="s">
        <v>1270</v>
      </c>
      <c r="E20" s="256" t="s">
        <v>1702</v>
      </c>
      <c r="F20" s="256" t="s">
        <v>1741</v>
      </c>
      <c r="G20" s="258">
        <v>17024000000</v>
      </c>
      <c r="H20" s="265">
        <v>0.1</v>
      </c>
      <c r="I20" s="258">
        <v>1702400000</v>
      </c>
      <c r="J20" s="258">
        <v>18726400000</v>
      </c>
      <c r="K20" s="256" t="s">
        <v>1346</v>
      </c>
    </row>
    <row r="21" spans="1:11" x14ac:dyDescent="0.3">
      <c r="A21" s="256">
        <v>14</v>
      </c>
      <c r="B21" s="257" t="s">
        <v>1379</v>
      </c>
      <c r="C21" s="276">
        <v>44474</v>
      </c>
      <c r="D21" s="257" t="s">
        <v>1289</v>
      </c>
      <c r="E21" s="256" t="s">
        <v>1703</v>
      </c>
      <c r="F21" s="256" t="s">
        <v>1743</v>
      </c>
      <c r="G21" s="258">
        <v>18848000000</v>
      </c>
      <c r="H21" s="265">
        <v>0.1</v>
      </c>
      <c r="I21" s="258">
        <v>1884800000</v>
      </c>
      <c r="J21" s="258">
        <v>20732800000</v>
      </c>
      <c r="K21" s="256" t="s">
        <v>1346</v>
      </c>
    </row>
    <row r="22" spans="1:11" x14ac:dyDescent="0.3">
      <c r="A22" s="256">
        <v>15</v>
      </c>
      <c r="B22" s="257" t="s">
        <v>1385</v>
      </c>
      <c r="C22" s="276">
        <v>44475</v>
      </c>
      <c r="D22" s="257" t="s">
        <v>1273</v>
      </c>
      <c r="E22" s="256" t="s">
        <v>1704</v>
      </c>
      <c r="F22" s="256" t="s">
        <v>1746</v>
      </c>
      <c r="G22" s="258">
        <v>33416000000</v>
      </c>
      <c r="H22" s="265">
        <v>0.1</v>
      </c>
      <c r="I22" s="258">
        <v>3341600000</v>
      </c>
      <c r="J22" s="258">
        <v>36757600000</v>
      </c>
      <c r="K22" s="256" t="s">
        <v>1346</v>
      </c>
    </row>
    <row r="23" spans="1:11" x14ac:dyDescent="0.3">
      <c r="A23" s="256">
        <v>16</v>
      </c>
      <c r="B23" s="257" t="s">
        <v>1364</v>
      </c>
      <c r="C23" s="276">
        <v>44476</v>
      </c>
      <c r="D23" s="257" t="s">
        <v>1265</v>
      </c>
      <c r="E23" s="256" t="s">
        <v>1705</v>
      </c>
      <c r="F23" s="256" t="s">
        <v>1745</v>
      </c>
      <c r="G23" s="258">
        <v>20954000000</v>
      </c>
      <c r="H23" s="265">
        <v>0</v>
      </c>
      <c r="I23" s="258">
        <v>0</v>
      </c>
      <c r="J23" s="258">
        <v>20954000000</v>
      </c>
      <c r="K23" s="256" t="s">
        <v>1346</v>
      </c>
    </row>
    <row r="24" spans="1:11" x14ac:dyDescent="0.3">
      <c r="A24" s="256">
        <v>17</v>
      </c>
      <c r="B24" s="257" t="s">
        <v>1366</v>
      </c>
      <c r="C24" s="276">
        <v>44477</v>
      </c>
      <c r="D24" s="257" t="s">
        <v>1265</v>
      </c>
      <c r="E24" s="256" t="s">
        <v>1705</v>
      </c>
      <c r="F24" s="256" t="s">
        <v>1743</v>
      </c>
      <c r="G24" s="258">
        <v>31921000000</v>
      </c>
      <c r="H24" s="265">
        <v>0.1</v>
      </c>
      <c r="I24" s="258">
        <v>3192100000</v>
      </c>
      <c r="J24" s="258">
        <v>35113100000</v>
      </c>
      <c r="K24" s="256" t="s">
        <v>1346</v>
      </c>
    </row>
    <row r="25" spans="1:11" x14ac:dyDescent="0.3">
      <c r="A25" s="256">
        <v>18</v>
      </c>
      <c r="B25" s="257" t="s">
        <v>1203</v>
      </c>
      <c r="C25" s="276">
        <v>44478</v>
      </c>
      <c r="D25" s="257" t="s">
        <v>1267</v>
      </c>
      <c r="E25" s="256" t="s">
        <v>1701</v>
      </c>
      <c r="F25" s="256" t="s">
        <v>1742</v>
      </c>
      <c r="G25" s="258">
        <v>24555000000</v>
      </c>
      <c r="H25" s="265">
        <v>0.1</v>
      </c>
      <c r="I25" s="258">
        <v>2455500000</v>
      </c>
      <c r="J25" s="258">
        <v>27010500000</v>
      </c>
      <c r="K25" s="256" t="s">
        <v>1346</v>
      </c>
    </row>
    <row r="26" spans="1:11" x14ac:dyDescent="0.3">
      <c r="A26" s="256">
        <v>19</v>
      </c>
      <c r="B26" s="257" t="s">
        <v>1398</v>
      </c>
      <c r="C26" s="276">
        <v>44479</v>
      </c>
      <c r="D26" s="257" t="s">
        <v>1284</v>
      </c>
      <c r="E26" s="256" t="s">
        <v>1706</v>
      </c>
      <c r="F26" s="256" t="s">
        <v>1743</v>
      </c>
      <c r="G26" s="258">
        <v>27897000000</v>
      </c>
      <c r="H26" s="265">
        <v>0.1</v>
      </c>
      <c r="I26" s="258">
        <v>2789700000</v>
      </c>
      <c r="J26" s="258">
        <v>30686700000</v>
      </c>
      <c r="K26" s="256" t="s">
        <v>1346</v>
      </c>
    </row>
    <row r="27" spans="1:11" x14ac:dyDescent="0.3">
      <c r="A27" s="256">
        <v>20</v>
      </c>
      <c r="B27" s="257" t="s">
        <v>1358</v>
      </c>
      <c r="C27" s="276">
        <v>44211</v>
      </c>
      <c r="D27" s="257" t="s">
        <v>1290</v>
      </c>
      <c r="E27" s="256" t="s">
        <v>1707</v>
      </c>
      <c r="F27" s="256" t="s">
        <v>1746</v>
      </c>
      <c r="G27" s="258">
        <v>28509000000</v>
      </c>
      <c r="H27" s="265">
        <v>0</v>
      </c>
      <c r="I27" s="258">
        <v>0</v>
      </c>
      <c r="J27" s="258">
        <v>28509000000</v>
      </c>
      <c r="K27" s="256" t="s">
        <v>1348</v>
      </c>
    </row>
    <row r="28" spans="1:11" x14ac:dyDescent="0.3">
      <c r="A28" s="256">
        <v>21</v>
      </c>
      <c r="B28" s="257" t="s">
        <v>1358</v>
      </c>
      <c r="C28" s="276">
        <v>44270</v>
      </c>
      <c r="D28" s="257" t="s">
        <v>1293</v>
      </c>
      <c r="E28" s="256" t="s">
        <v>1708</v>
      </c>
      <c r="F28" s="256" t="s">
        <v>1743</v>
      </c>
      <c r="G28" s="258">
        <v>18187000000</v>
      </c>
      <c r="H28" s="265">
        <v>0.1</v>
      </c>
      <c r="I28" s="258">
        <v>1818700000</v>
      </c>
      <c r="J28" s="258">
        <v>20005700000</v>
      </c>
      <c r="K28" s="256" t="s">
        <v>1346</v>
      </c>
    </row>
    <row r="29" spans="1:11" x14ac:dyDescent="0.3">
      <c r="A29" s="256">
        <v>22</v>
      </c>
      <c r="B29" s="257" t="s">
        <v>1387</v>
      </c>
      <c r="C29" s="276">
        <v>44301</v>
      </c>
      <c r="D29" s="257" t="s">
        <v>1285</v>
      </c>
      <c r="E29" s="256" t="s">
        <v>1709</v>
      </c>
      <c r="F29" s="256" t="s">
        <v>1744</v>
      </c>
      <c r="G29" s="258">
        <v>14563000000</v>
      </c>
      <c r="H29" s="265">
        <v>0.1</v>
      </c>
      <c r="I29" s="258">
        <v>1456300000</v>
      </c>
      <c r="J29" s="258">
        <v>16019300000</v>
      </c>
      <c r="K29" s="256" t="s">
        <v>1346</v>
      </c>
    </row>
    <row r="30" spans="1:11" x14ac:dyDescent="0.3">
      <c r="A30" s="256">
        <v>23</v>
      </c>
      <c r="B30" s="257" t="s">
        <v>1356</v>
      </c>
      <c r="C30" s="276">
        <v>44392</v>
      </c>
      <c r="D30" s="257" t="s">
        <v>1291</v>
      </c>
      <c r="E30" s="256" t="s">
        <v>1710</v>
      </c>
      <c r="F30" s="256" t="s">
        <v>1744</v>
      </c>
      <c r="G30" s="258">
        <v>24441000000</v>
      </c>
      <c r="H30" s="265">
        <v>0.1</v>
      </c>
      <c r="I30" s="258">
        <v>2444100000</v>
      </c>
      <c r="J30" s="258">
        <v>26885100000</v>
      </c>
      <c r="K30" s="256" t="s">
        <v>1346</v>
      </c>
    </row>
    <row r="31" spans="1:11" x14ac:dyDescent="0.3">
      <c r="A31" s="256">
        <v>24</v>
      </c>
      <c r="B31" s="257" t="s">
        <v>1398</v>
      </c>
      <c r="C31" s="276">
        <v>44423</v>
      </c>
      <c r="D31" s="257" t="s">
        <v>1277</v>
      </c>
      <c r="E31" s="256" t="s">
        <v>1711</v>
      </c>
      <c r="F31" s="256" t="s">
        <v>1746</v>
      </c>
      <c r="G31" s="258">
        <v>18517000000</v>
      </c>
      <c r="H31" s="265">
        <v>0.1</v>
      </c>
      <c r="I31" s="258">
        <v>1851700000</v>
      </c>
      <c r="J31" s="258">
        <v>20368700000</v>
      </c>
      <c r="K31" s="256" t="s">
        <v>1346</v>
      </c>
    </row>
    <row r="32" spans="1:11" x14ac:dyDescent="0.3">
      <c r="A32" s="256">
        <v>25</v>
      </c>
      <c r="B32" s="257" t="s">
        <v>1399</v>
      </c>
      <c r="C32" s="276">
        <v>44454</v>
      </c>
      <c r="D32" s="257" t="s">
        <v>1277</v>
      </c>
      <c r="E32" s="256" t="s">
        <v>1711</v>
      </c>
      <c r="F32" s="256" t="s">
        <v>1741</v>
      </c>
      <c r="G32" s="258">
        <v>21423000000</v>
      </c>
      <c r="H32" s="265">
        <v>0.1</v>
      </c>
      <c r="I32" s="258">
        <v>2142300000</v>
      </c>
      <c r="J32" s="258">
        <v>23565300000</v>
      </c>
      <c r="K32" s="256" t="s">
        <v>1346</v>
      </c>
    </row>
    <row r="33" spans="1:11" x14ac:dyDescent="0.3">
      <c r="A33" s="256">
        <v>26</v>
      </c>
      <c r="B33" s="257" t="s">
        <v>1392</v>
      </c>
      <c r="C33" s="276">
        <v>44484</v>
      </c>
      <c r="D33" s="257" t="s">
        <v>1259</v>
      </c>
      <c r="E33" s="256" t="s">
        <v>1700</v>
      </c>
      <c r="F33" s="256" t="s">
        <v>1742</v>
      </c>
      <c r="G33" s="258">
        <v>27340000000</v>
      </c>
      <c r="H33" s="265">
        <v>0.1</v>
      </c>
      <c r="I33" s="258">
        <v>2734000000</v>
      </c>
      <c r="J33" s="258">
        <v>30074000000</v>
      </c>
      <c r="K33" s="256" t="s">
        <v>1346</v>
      </c>
    </row>
    <row r="34" spans="1:11" x14ac:dyDescent="0.3">
      <c r="A34" s="256">
        <v>27</v>
      </c>
      <c r="B34" s="257" t="s">
        <v>1360</v>
      </c>
      <c r="C34" s="276">
        <v>44545</v>
      </c>
      <c r="D34" s="257" t="s">
        <v>1290</v>
      </c>
      <c r="E34" s="256" t="s">
        <v>1707</v>
      </c>
      <c r="F34" s="256" t="s">
        <v>1741</v>
      </c>
      <c r="G34" s="258">
        <v>28133000000</v>
      </c>
      <c r="H34" s="265">
        <v>0.1</v>
      </c>
      <c r="I34" s="258">
        <v>2813300000</v>
      </c>
      <c r="J34" s="258">
        <v>30946300000</v>
      </c>
      <c r="K34" s="256" t="s">
        <v>1346</v>
      </c>
    </row>
    <row r="35" spans="1:11" x14ac:dyDescent="0.3">
      <c r="A35" s="256">
        <v>28</v>
      </c>
      <c r="B35" s="257" t="s">
        <v>1205</v>
      </c>
      <c r="C35" s="276">
        <v>44275</v>
      </c>
      <c r="D35" s="257" t="s">
        <v>1272</v>
      </c>
      <c r="E35" s="256" t="s">
        <v>1712</v>
      </c>
      <c r="F35" s="256" t="s">
        <v>1745</v>
      </c>
      <c r="G35" s="258">
        <v>30683000000</v>
      </c>
      <c r="H35" s="265">
        <v>0</v>
      </c>
      <c r="I35" s="258">
        <v>0</v>
      </c>
      <c r="J35" s="258">
        <v>30683000000</v>
      </c>
      <c r="K35" s="256" t="s">
        <v>1346</v>
      </c>
    </row>
    <row r="36" spans="1:11" x14ac:dyDescent="0.3">
      <c r="A36" s="256">
        <v>29</v>
      </c>
      <c r="B36" s="257" t="s">
        <v>1378</v>
      </c>
      <c r="C36" s="276">
        <v>44306</v>
      </c>
      <c r="D36" s="257" t="s">
        <v>1270</v>
      </c>
      <c r="E36" s="256" t="s">
        <v>1702</v>
      </c>
      <c r="F36" s="256" t="s">
        <v>1744</v>
      </c>
      <c r="G36" s="258">
        <v>28745000000</v>
      </c>
      <c r="H36" s="265">
        <v>0.1</v>
      </c>
      <c r="I36" s="258">
        <v>2874500000</v>
      </c>
      <c r="J36" s="258">
        <v>31619500000</v>
      </c>
      <c r="K36" s="256" t="s">
        <v>1346</v>
      </c>
    </row>
    <row r="37" spans="1:11" x14ac:dyDescent="0.3">
      <c r="A37" s="256">
        <v>30</v>
      </c>
      <c r="B37" s="257" t="s">
        <v>1394</v>
      </c>
      <c r="C37" s="276">
        <v>44367</v>
      </c>
      <c r="D37" s="257" t="s">
        <v>1279</v>
      </c>
      <c r="E37" s="256" t="s">
        <v>1713</v>
      </c>
      <c r="F37" s="256" t="s">
        <v>1741</v>
      </c>
      <c r="G37" s="258">
        <v>28146000000</v>
      </c>
      <c r="H37" s="265">
        <v>0.1</v>
      </c>
      <c r="I37" s="258">
        <v>2814600000</v>
      </c>
      <c r="J37" s="258">
        <v>30960600000</v>
      </c>
      <c r="K37" s="256" t="s">
        <v>1346</v>
      </c>
    </row>
    <row r="38" spans="1:11" x14ac:dyDescent="0.3">
      <c r="A38" s="256">
        <v>31</v>
      </c>
      <c r="B38" s="257" t="s">
        <v>1392</v>
      </c>
      <c r="C38" s="276">
        <v>44397</v>
      </c>
      <c r="D38" s="257" t="s">
        <v>1278</v>
      </c>
      <c r="E38" s="256" t="s">
        <v>1714</v>
      </c>
      <c r="F38" s="256" t="s">
        <v>1741</v>
      </c>
      <c r="G38" s="258">
        <v>25745000000</v>
      </c>
      <c r="H38" s="265">
        <v>0.1</v>
      </c>
      <c r="I38" s="258">
        <v>2574500000</v>
      </c>
      <c r="J38" s="258">
        <v>28319500000</v>
      </c>
      <c r="K38" s="256" t="s">
        <v>1346</v>
      </c>
    </row>
    <row r="39" spans="1:11" x14ac:dyDescent="0.3">
      <c r="A39" s="256">
        <v>32</v>
      </c>
      <c r="B39" s="257" t="s">
        <v>1381</v>
      </c>
      <c r="C39" s="276">
        <v>44428</v>
      </c>
      <c r="D39" s="257" t="s">
        <v>1289</v>
      </c>
      <c r="E39" s="256" t="s">
        <v>1703</v>
      </c>
      <c r="F39" s="256" t="s">
        <v>1742</v>
      </c>
      <c r="G39" s="258">
        <v>25482000000</v>
      </c>
      <c r="H39" s="265">
        <v>0.1</v>
      </c>
      <c r="I39" s="258">
        <v>2548200000</v>
      </c>
      <c r="J39" s="258">
        <v>28030200000</v>
      </c>
      <c r="K39" s="256" t="s">
        <v>1346</v>
      </c>
    </row>
    <row r="40" spans="1:11" x14ac:dyDescent="0.3">
      <c r="A40" s="256">
        <v>33</v>
      </c>
      <c r="B40" s="257" t="s">
        <v>1379</v>
      </c>
      <c r="C40" s="276">
        <v>44459</v>
      </c>
      <c r="D40" s="257" t="s">
        <v>1270</v>
      </c>
      <c r="E40" s="256" t="s">
        <v>1702</v>
      </c>
      <c r="F40" s="256" t="s">
        <v>1745</v>
      </c>
      <c r="G40" s="258">
        <v>16865000000</v>
      </c>
      <c r="H40" s="265">
        <v>0</v>
      </c>
      <c r="I40" s="258">
        <v>0</v>
      </c>
      <c r="J40" s="258">
        <v>16865000000</v>
      </c>
      <c r="K40" s="256" t="s">
        <v>1346</v>
      </c>
    </row>
    <row r="41" spans="1:11" x14ac:dyDescent="0.3">
      <c r="A41" s="256">
        <v>34</v>
      </c>
      <c r="B41" s="257" t="s">
        <v>1382</v>
      </c>
      <c r="C41" s="276">
        <v>44520</v>
      </c>
      <c r="D41" s="257" t="s">
        <v>1256</v>
      </c>
      <c r="E41" s="256" t="s">
        <v>1698</v>
      </c>
      <c r="F41" s="256" t="s">
        <v>1742</v>
      </c>
      <c r="G41" s="258">
        <v>32501000000</v>
      </c>
      <c r="H41" s="265">
        <v>0.1</v>
      </c>
      <c r="I41" s="258">
        <v>3250100000</v>
      </c>
      <c r="J41" s="258">
        <v>35751100000</v>
      </c>
      <c r="K41" s="256" t="s">
        <v>1346</v>
      </c>
    </row>
    <row r="42" spans="1:11" x14ac:dyDescent="0.3">
      <c r="A42" s="256">
        <v>35</v>
      </c>
      <c r="B42" s="257" t="s">
        <v>1394</v>
      </c>
      <c r="C42" s="276">
        <v>44221</v>
      </c>
      <c r="D42" s="257" t="s">
        <v>1278</v>
      </c>
      <c r="E42" s="256" t="s">
        <v>1714</v>
      </c>
      <c r="F42" s="256" t="s">
        <v>1741</v>
      </c>
      <c r="G42" s="258">
        <v>20947000000</v>
      </c>
      <c r="H42" s="265">
        <v>0.1</v>
      </c>
      <c r="I42" s="258">
        <v>2094700000</v>
      </c>
      <c r="J42" s="258">
        <v>23041700000</v>
      </c>
      <c r="K42" s="256" t="s">
        <v>1346</v>
      </c>
    </row>
    <row r="43" spans="1:11" x14ac:dyDescent="0.3">
      <c r="A43" s="256">
        <v>36</v>
      </c>
      <c r="B43" s="257" t="s">
        <v>1374</v>
      </c>
      <c r="C43" s="276">
        <v>44252</v>
      </c>
      <c r="D43" s="257" t="s">
        <v>1269</v>
      </c>
      <c r="E43" s="256" t="s">
        <v>1715</v>
      </c>
      <c r="F43" s="256" t="s">
        <v>1746</v>
      </c>
      <c r="G43" s="258">
        <v>18804000000</v>
      </c>
      <c r="H43" s="265">
        <v>0.1</v>
      </c>
      <c r="I43" s="258">
        <v>1880400000</v>
      </c>
      <c r="J43" s="258">
        <v>20684400000</v>
      </c>
      <c r="K43" s="256" t="s">
        <v>1346</v>
      </c>
    </row>
    <row r="44" spans="1:11" x14ac:dyDescent="0.3">
      <c r="A44" s="256">
        <v>37</v>
      </c>
      <c r="B44" s="257" t="s">
        <v>1391</v>
      </c>
      <c r="C44" s="276">
        <v>44280</v>
      </c>
      <c r="D44" s="257" t="s">
        <v>1260</v>
      </c>
      <c r="E44" s="256" t="s">
        <v>1716</v>
      </c>
      <c r="F44" s="256" t="s">
        <v>1746</v>
      </c>
      <c r="G44" s="258">
        <v>23494000000</v>
      </c>
      <c r="H44" s="265">
        <v>0.1</v>
      </c>
      <c r="I44" s="258">
        <v>2349400000</v>
      </c>
      <c r="J44" s="258">
        <v>25843400000</v>
      </c>
      <c r="K44" s="256" t="s">
        <v>1348</v>
      </c>
    </row>
    <row r="45" spans="1:11" x14ac:dyDescent="0.3">
      <c r="A45" s="256">
        <v>38</v>
      </c>
      <c r="B45" s="257" t="s">
        <v>1396</v>
      </c>
      <c r="C45" s="276">
        <v>44311</v>
      </c>
      <c r="D45" s="257" t="s">
        <v>1279</v>
      </c>
      <c r="E45" s="256" t="s">
        <v>1713</v>
      </c>
      <c r="F45" s="256" t="s">
        <v>1745</v>
      </c>
      <c r="G45" s="258">
        <v>14629000000</v>
      </c>
      <c r="H45" s="265">
        <v>0.1</v>
      </c>
      <c r="I45" s="258">
        <v>1462900000</v>
      </c>
      <c r="J45" s="258">
        <v>16091900000</v>
      </c>
      <c r="K45" s="256" t="s">
        <v>1346</v>
      </c>
    </row>
    <row r="46" spans="1:11" x14ac:dyDescent="0.3">
      <c r="A46" s="256">
        <v>39</v>
      </c>
      <c r="B46" s="257" t="s">
        <v>1399</v>
      </c>
      <c r="C46" s="276">
        <v>44372</v>
      </c>
      <c r="D46" s="257" t="s">
        <v>1284</v>
      </c>
      <c r="E46" s="256" t="s">
        <v>1706</v>
      </c>
      <c r="F46" s="256" t="s">
        <v>1745</v>
      </c>
      <c r="G46" s="258">
        <v>15695000000</v>
      </c>
      <c r="H46" s="265">
        <v>0.1</v>
      </c>
      <c r="I46" s="258">
        <v>1569500000</v>
      </c>
      <c r="J46" s="258">
        <v>17264500000</v>
      </c>
      <c r="K46" s="256" t="s">
        <v>1346</v>
      </c>
    </row>
    <row r="47" spans="1:11" x14ac:dyDescent="0.3">
      <c r="A47" s="256">
        <v>40</v>
      </c>
      <c r="B47" s="257" t="s">
        <v>1392</v>
      </c>
      <c r="C47" s="276">
        <v>44433</v>
      </c>
      <c r="D47" s="257" t="s">
        <v>1263</v>
      </c>
      <c r="E47" s="256" t="s">
        <v>1717</v>
      </c>
      <c r="F47" s="256" t="s">
        <v>1743</v>
      </c>
      <c r="G47" s="258">
        <v>11933000000</v>
      </c>
      <c r="H47" s="265">
        <v>0.1</v>
      </c>
      <c r="I47" s="258">
        <v>1193300000</v>
      </c>
      <c r="J47" s="258">
        <v>13126300000</v>
      </c>
      <c r="K47" s="256" t="s">
        <v>1346</v>
      </c>
    </row>
    <row r="48" spans="1:11" x14ac:dyDescent="0.3">
      <c r="A48" s="256">
        <v>41</v>
      </c>
      <c r="B48" s="257" t="s">
        <v>1387</v>
      </c>
      <c r="C48" s="276">
        <v>44494</v>
      </c>
      <c r="D48" s="257" t="s">
        <v>1276</v>
      </c>
      <c r="E48" s="256" t="s">
        <v>1696</v>
      </c>
      <c r="F48" s="256" t="s">
        <v>1743</v>
      </c>
      <c r="G48" s="258">
        <v>25036000000</v>
      </c>
      <c r="H48" s="265">
        <v>0.1</v>
      </c>
      <c r="I48" s="258">
        <v>2503600000</v>
      </c>
      <c r="J48" s="258">
        <v>27539600000</v>
      </c>
      <c r="K48" s="256" t="s">
        <v>1346</v>
      </c>
    </row>
    <row r="49" spans="1:11" x14ac:dyDescent="0.3">
      <c r="A49" s="256">
        <v>42</v>
      </c>
      <c r="B49" s="257" t="s">
        <v>1383</v>
      </c>
      <c r="C49" s="276">
        <v>44555</v>
      </c>
      <c r="D49" s="257" t="s">
        <v>1256</v>
      </c>
      <c r="E49" s="256" t="s">
        <v>1698</v>
      </c>
      <c r="F49" s="256" t="s">
        <v>1744</v>
      </c>
      <c r="G49" s="258">
        <v>12980000000</v>
      </c>
      <c r="H49" s="265">
        <v>0.1</v>
      </c>
      <c r="I49" s="258">
        <v>1298000000</v>
      </c>
      <c r="J49" s="258">
        <v>14278000000</v>
      </c>
      <c r="K49" s="256" t="s">
        <v>1346</v>
      </c>
    </row>
    <row r="50" spans="1:11" x14ac:dyDescent="0.3">
      <c r="A50" s="256">
        <v>43</v>
      </c>
      <c r="B50" s="257" t="s">
        <v>1394</v>
      </c>
      <c r="C50" s="276">
        <v>44255</v>
      </c>
      <c r="D50" s="257" t="s">
        <v>1263</v>
      </c>
      <c r="E50" s="256" t="s">
        <v>1717</v>
      </c>
      <c r="F50" s="256" t="s">
        <v>1742</v>
      </c>
      <c r="G50" s="258">
        <v>19626000000</v>
      </c>
      <c r="H50" s="265">
        <v>0.1</v>
      </c>
      <c r="I50" s="258">
        <v>1962600000</v>
      </c>
      <c r="J50" s="258">
        <v>21588600000</v>
      </c>
      <c r="K50" s="256" t="s">
        <v>1346</v>
      </c>
    </row>
    <row r="51" spans="1:11" x14ac:dyDescent="0.3">
      <c r="A51" s="256">
        <v>44</v>
      </c>
      <c r="B51" s="257" t="s">
        <v>1382</v>
      </c>
      <c r="C51" s="276">
        <v>44316</v>
      </c>
      <c r="D51" s="257" t="s">
        <v>1289</v>
      </c>
      <c r="E51" s="256" t="s">
        <v>1703</v>
      </c>
      <c r="F51" s="256" t="s">
        <v>1745</v>
      </c>
      <c r="G51" s="258">
        <v>19797000000</v>
      </c>
      <c r="H51" s="265">
        <v>0.1</v>
      </c>
      <c r="I51" s="258">
        <v>1979700000</v>
      </c>
      <c r="J51" s="258">
        <v>21776700000</v>
      </c>
      <c r="K51" s="256" t="s">
        <v>1346</v>
      </c>
    </row>
    <row r="52" spans="1:11" x14ac:dyDescent="0.3">
      <c r="A52" s="256">
        <v>45</v>
      </c>
      <c r="B52" s="257" t="s">
        <v>1391</v>
      </c>
      <c r="C52" s="276">
        <v>44377</v>
      </c>
      <c r="D52" s="257" t="s">
        <v>1268</v>
      </c>
      <c r="E52" s="256" t="s">
        <v>1718</v>
      </c>
      <c r="F52" s="256" t="s">
        <v>1744</v>
      </c>
      <c r="G52" s="258">
        <v>14275000000</v>
      </c>
      <c r="H52" s="265">
        <v>0.1</v>
      </c>
      <c r="I52" s="258">
        <v>1427500000</v>
      </c>
      <c r="J52" s="258">
        <v>15702500000</v>
      </c>
      <c r="K52" s="256" t="s">
        <v>1346</v>
      </c>
    </row>
    <row r="53" spans="1:11" x14ac:dyDescent="0.3">
      <c r="A53" s="256">
        <v>46</v>
      </c>
      <c r="B53" s="257" t="s">
        <v>1373</v>
      </c>
      <c r="C53" s="276">
        <v>44469</v>
      </c>
      <c r="D53" s="257" t="s">
        <v>1271</v>
      </c>
      <c r="E53" s="256" t="s">
        <v>1719</v>
      </c>
      <c r="F53" s="256" t="s">
        <v>1741</v>
      </c>
      <c r="G53" s="258">
        <v>16815000000</v>
      </c>
      <c r="H53" s="265">
        <v>0.1</v>
      </c>
      <c r="I53" s="258">
        <v>1681500000</v>
      </c>
      <c r="J53" s="258">
        <v>18496500000</v>
      </c>
      <c r="K53" s="256" t="s">
        <v>1346</v>
      </c>
    </row>
    <row r="54" spans="1:11" x14ac:dyDescent="0.3">
      <c r="A54" s="256">
        <v>47</v>
      </c>
      <c r="B54" s="257" t="s">
        <v>1392</v>
      </c>
      <c r="C54" s="276">
        <v>44286</v>
      </c>
      <c r="D54" s="257" t="s">
        <v>1275</v>
      </c>
      <c r="E54" s="256" t="s">
        <v>1720</v>
      </c>
      <c r="F54" s="256" t="s">
        <v>1743</v>
      </c>
      <c r="G54" s="258">
        <v>23098000000</v>
      </c>
      <c r="H54" s="265">
        <v>0.1</v>
      </c>
      <c r="I54" s="258">
        <v>2309800000</v>
      </c>
      <c r="J54" s="258">
        <v>25407800000</v>
      </c>
      <c r="K54" s="256" t="s">
        <v>1346</v>
      </c>
    </row>
    <row r="55" spans="1:11" x14ac:dyDescent="0.3">
      <c r="A55" s="256">
        <v>48</v>
      </c>
      <c r="B55" s="257" t="s">
        <v>1360</v>
      </c>
      <c r="C55" s="276">
        <v>44347</v>
      </c>
      <c r="D55" s="257" t="s">
        <v>1293</v>
      </c>
      <c r="E55" s="256" t="s">
        <v>1708</v>
      </c>
      <c r="F55" s="256" t="s">
        <v>1742</v>
      </c>
      <c r="G55" s="258">
        <v>19784000000</v>
      </c>
      <c r="H55" s="265">
        <v>0.1</v>
      </c>
      <c r="I55" s="258">
        <v>1978400000</v>
      </c>
      <c r="J55" s="258">
        <v>21762400000</v>
      </c>
      <c r="K55" s="256" t="s">
        <v>1346</v>
      </c>
    </row>
    <row r="56" spans="1:11" x14ac:dyDescent="0.3">
      <c r="A56" s="256">
        <v>49</v>
      </c>
      <c r="B56" s="257" t="s">
        <v>1388</v>
      </c>
      <c r="C56" s="276">
        <v>44500</v>
      </c>
      <c r="D56" s="257" t="s">
        <v>1276</v>
      </c>
      <c r="E56" s="256" t="s">
        <v>1696</v>
      </c>
      <c r="F56" s="256" t="s">
        <v>1744</v>
      </c>
      <c r="G56" s="258">
        <v>30691000000</v>
      </c>
      <c r="H56" s="265">
        <v>0.1</v>
      </c>
      <c r="I56" s="258">
        <v>3069100000</v>
      </c>
      <c r="J56" s="258">
        <v>33760100000</v>
      </c>
      <c r="K56" s="256" t="s">
        <v>1346</v>
      </c>
    </row>
    <row r="57" spans="1:11" x14ac:dyDescent="0.3">
      <c r="A57" s="256">
        <v>50</v>
      </c>
      <c r="B57" s="257" t="s">
        <v>1379</v>
      </c>
      <c r="C57" s="276">
        <v>44561</v>
      </c>
      <c r="D57" s="257" t="s">
        <v>1255</v>
      </c>
      <c r="E57" s="256" t="s">
        <v>1688</v>
      </c>
      <c r="F57" s="256" t="s">
        <v>1742</v>
      </c>
      <c r="G57" s="258">
        <v>23757000000</v>
      </c>
      <c r="H57" s="265">
        <v>0.1</v>
      </c>
      <c r="I57" s="258">
        <v>2375700000</v>
      </c>
      <c r="J57" s="258">
        <v>26132700000</v>
      </c>
      <c r="K57" s="256" t="s">
        <v>1346</v>
      </c>
    </row>
    <row r="58" spans="1:11" x14ac:dyDescent="0.3">
      <c r="A58" s="266" t="s">
        <v>1351</v>
      </c>
      <c r="B58" s="266"/>
      <c r="C58" s="266"/>
      <c r="D58" s="266"/>
      <c r="E58" s="266"/>
      <c r="F58" s="266"/>
      <c r="G58" s="267">
        <f>SUM(G8:G57)</f>
        <v>1099032000000</v>
      </c>
      <c r="H58" s="266"/>
      <c r="I58" s="267">
        <f>SUM(I8:I57)</f>
        <v>97200800000</v>
      </c>
      <c r="J58" s="267">
        <f>SUM(J8:J57)</f>
        <v>1196232800000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44321</v>
      </c>
      <c r="D62" s="257" t="s">
        <v>1271</v>
      </c>
      <c r="E62" s="256" t="s">
        <v>1719</v>
      </c>
      <c r="F62" s="256" t="s">
        <v>1747</v>
      </c>
      <c r="G62" s="258">
        <v>23034000000</v>
      </c>
      <c r="H62" s="265">
        <v>0.1</v>
      </c>
      <c r="I62" s="258">
        <v>2303400000</v>
      </c>
      <c r="J62" s="258">
        <v>25337400000</v>
      </c>
      <c r="K62" s="256" t="s">
        <v>1346</v>
      </c>
    </row>
    <row r="63" spans="1:11" x14ac:dyDescent="0.3">
      <c r="A63" s="256">
        <v>2</v>
      </c>
      <c r="B63" s="257" t="s">
        <v>1201</v>
      </c>
      <c r="C63" s="276">
        <v>44323</v>
      </c>
      <c r="D63" s="257" t="s">
        <v>1293</v>
      </c>
      <c r="E63" s="256" t="s">
        <v>1708</v>
      </c>
      <c r="F63" s="256" t="s">
        <v>1747</v>
      </c>
      <c r="G63" s="258">
        <v>29085000000</v>
      </c>
      <c r="H63" s="265">
        <v>0.1</v>
      </c>
      <c r="I63" s="258">
        <v>2908500000</v>
      </c>
      <c r="J63" s="258">
        <v>31993500000</v>
      </c>
      <c r="K63" s="256" t="s">
        <v>1346</v>
      </c>
    </row>
    <row r="64" spans="1:11" x14ac:dyDescent="0.3">
      <c r="A64" s="256">
        <v>3</v>
      </c>
      <c r="B64" s="257" t="s">
        <v>1202</v>
      </c>
      <c r="C64" s="276">
        <v>44324</v>
      </c>
      <c r="D64" s="257" t="s">
        <v>1286</v>
      </c>
      <c r="E64" s="256" t="s">
        <v>1729</v>
      </c>
      <c r="F64" s="256" t="s">
        <v>1747</v>
      </c>
      <c r="G64" s="258">
        <v>26721000000</v>
      </c>
      <c r="H64" s="265">
        <v>0.1</v>
      </c>
      <c r="I64" s="258">
        <v>2672100000</v>
      </c>
      <c r="J64" s="258">
        <v>29393100000</v>
      </c>
      <c r="K64" s="256" t="s">
        <v>1346</v>
      </c>
    </row>
    <row r="65" spans="1:11" x14ac:dyDescent="0.3">
      <c r="A65" s="256">
        <v>4</v>
      </c>
      <c r="B65" s="257" t="s">
        <v>1355</v>
      </c>
      <c r="C65" s="276">
        <v>44325</v>
      </c>
      <c r="D65" s="257" t="s">
        <v>1260</v>
      </c>
      <c r="E65" s="256" t="s">
        <v>1716</v>
      </c>
      <c r="F65" s="256" t="s">
        <v>1747</v>
      </c>
      <c r="G65" s="258">
        <v>21422000000</v>
      </c>
      <c r="H65" s="265">
        <v>0.1</v>
      </c>
      <c r="I65" s="258">
        <v>2142200000</v>
      </c>
      <c r="J65" s="258">
        <v>23564200000</v>
      </c>
      <c r="K65" s="256" t="s">
        <v>1346</v>
      </c>
    </row>
    <row r="66" spans="1:11" x14ac:dyDescent="0.3">
      <c r="A66" s="256">
        <v>5</v>
      </c>
      <c r="B66" s="257" t="s">
        <v>1356</v>
      </c>
      <c r="C66" s="276">
        <v>44326</v>
      </c>
      <c r="D66" s="257" t="s">
        <v>1275</v>
      </c>
      <c r="E66" s="256" t="s">
        <v>1720</v>
      </c>
      <c r="F66" s="256" t="s">
        <v>1747</v>
      </c>
      <c r="G66" s="258">
        <v>44793000000</v>
      </c>
      <c r="H66" s="265">
        <v>0.1</v>
      </c>
      <c r="I66" s="258">
        <v>4479300000</v>
      </c>
      <c r="J66" s="258">
        <v>49272300000</v>
      </c>
      <c r="K66" s="256" t="s">
        <v>1346</v>
      </c>
    </row>
    <row r="67" spans="1:11" x14ac:dyDescent="0.3">
      <c r="A67" s="256">
        <v>6</v>
      </c>
      <c r="B67" s="257" t="s">
        <v>1358</v>
      </c>
      <c r="C67" s="276">
        <v>44327</v>
      </c>
      <c r="D67" s="257" t="s">
        <v>1277</v>
      </c>
      <c r="E67" s="256" t="s">
        <v>1711</v>
      </c>
      <c r="F67" s="256" t="s">
        <v>1748</v>
      </c>
      <c r="G67" s="258">
        <v>44303000000</v>
      </c>
      <c r="H67" s="265">
        <v>0</v>
      </c>
      <c r="I67" s="258">
        <v>0</v>
      </c>
      <c r="J67" s="258">
        <v>44303000000</v>
      </c>
      <c r="K67" s="256" t="s">
        <v>1346</v>
      </c>
    </row>
    <row r="68" spans="1:11" x14ac:dyDescent="0.3">
      <c r="A68" s="256">
        <v>7</v>
      </c>
      <c r="B68" s="257" t="s">
        <v>1360</v>
      </c>
      <c r="C68" s="276">
        <v>44328</v>
      </c>
      <c r="D68" s="257" t="s">
        <v>1264</v>
      </c>
      <c r="E68" s="256" t="s">
        <v>1749</v>
      </c>
      <c r="F68" s="256" t="s">
        <v>1750</v>
      </c>
      <c r="G68" s="258">
        <v>21856000000</v>
      </c>
      <c r="H68" s="265">
        <v>0.1</v>
      </c>
      <c r="I68" s="258">
        <v>2185600000</v>
      </c>
      <c r="J68" s="258">
        <v>24041600000</v>
      </c>
      <c r="K68" s="256" t="s">
        <v>1346</v>
      </c>
    </row>
    <row r="69" spans="1:11" x14ac:dyDescent="0.3">
      <c r="A69" s="256">
        <v>8</v>
      </c>
      <c r="B69" s="257" t="s">
        <v>1362</v>
      </c>
      <c r="C69" s="276">
        <v>44471</v>
      </c>
      <c r="D69" s="257" t="s">
        <v>1255</v>
      </c>
      <c r="E69" s="256" t="s">
        <v>1688</v>
      </c>
      <c r="F69" s="256" t="s">
        <v>1750</v>
      </c>
      <c r="G69" s="258">
        <v>34882000000</v>
      </c>
      <c r="H69" s="265">
        <v>0.1</v>
      </c>
      <c r="I69" s="258">
        <v>3488200000</v>
      </c>
      <c r="J69" s="258">
        <v>38370200000</v>
      </c>
      <c r="K69" s="256" t="s">
        <v>1348</v>
      </c>
    </row>
    <row r="70" spans="1:11" x14ac:dyDescent="0.3">
      <c r="A70" s="256">
        <v>9</v>
      </c>
      <c r="B70" s="257" t="s">
        <v>1364</v>
      </c>
      <c r="C70" s="276">
        <v>44472</v>
      </c>
      <c r="D70" s="257" t="s">
        <v>1279</v>
      </c>
      <c r="E70" s="256" t="s">
        <v>1713</v>
      </c>
      <c r="F70" s="256" t="s">
        <v>1748</v>
      </c>
      <c r="G70" s="258">
        <v>23226000000</v>
      </c>
      <c r="H70" s="265">
        <v>0.1</v>
      </c>
      <c r="I70" s="258">
        <v>2322600000</v>
      </c>
      <c r="J70" s="258">
        <v>25548600000</v>
      </c>
      <c r="K70" s="256" t="s">
        <v>1346</v>
      </c>
    </row>
    <row r="71" spans="1:11" x14ac:dyDescent="0.3">
      <c r="A71" s="256">
        <v>10</v>
      </c>
      <c r="B71" s="257" t="s">
        <v>1366</v>
      </c>
      <c r="C71" s="276">
        <v>44476</v>
      </c>
      <c r="D71" s="257" t="s">
        <v>1273</v>
      </c>
      <c r="E71" s="256" t="s">
        <v>1704</v>
      </c>
      <c r="F71" s="256" t="s">
        <v>1747</v>
      </c>
      <c r="G71" s="258">
        <v>34890000000</v>
      </c>
      <c r="H71" s="265">
        <v>0</v>
      </c>
      <c r="I71" s="258">
        <v>0</v>
      </c>
      <c r="J71" s="258">
        <v>34890000000</v>
      </c>
      <c r="K71" s="256" t="s">
        <v>1346</v>
      </c>
    </row>
    <row r="72" spans="1:11" x14ac:dyDescent="0.3">
      <c r="A72" s="256">
        <v>11</v>
      </c>
      <c r="B72" s="257" t="s">
        <v>1368</v>
      </c>
      <c r="C72" s="276">
        <v>44477</v>
      </c>
      <c r="D72" s="257" t="s">
        <v>1294</v>
      </c>
      <c r="E72" s="256" t="s">
        <v>1751</v>
      </c>
      <c r="F72" s="256" t="s">
        <v>1750</v>
      </c>
      <c r="G72" s="258">
        <v>18195000000</v>
      </c>
      <c r="H72" s="265">
        <v>0.1</v>
      </c>
      <c r="I72" s="258">
        <v>1819500000</v>
      </c>
      <c r="J72" s="258">
        <v>20014500000</v>
      </c>
      <c r="K72" s="256" t="s">
        <v>1346</v>
      </c>
    </row>
    <row r="73" spans="1:11" x14ac:dyDescent="0.3">
      <c r="A73" s="256">
        <v>12</v>
      </c>
      <c r="B73" s="257" t="s">
        <v>1371</v>
      </c>
      <c r="C73" s="276">
        <v>44478</v>
      </c>
      <c r="D73" s="257" t="s">
        <v>1286</v>
      </c>
      <c r="E73" s="256" t="s">
        <v>1729</v>
      </c>
      <c r="F73" s="256" t="s">
        <v>1750</v>
      </c>
      <c r="G73" s="258">
        <v>24825000000</v>
      </c>
      <c r="H73" s="265">
        <v>0.1</v>
      </c>
      <c r="I73" s="258">
        <v>2482500000</v>
      </c>
      <c r="J73" s="258">
        <v>27307500000</v>
      </c>
      <c r="K73" s="256" t="s">
        <v>1346</v>
      </c>
    </row>
    <row r="74" spans="1:11" x14ac:dyDescent="0.3">
      <c r="A74" s="256">
        <v>13</v>
      </c>
      <c r="B74" s="257" t="s">
        <v>1373</v>
      </c>
      <c r="C74" s="276">
        <v>44479</v>
      </c>
      <c r="D74" s="257" t="s">
        <v>1277</v>
      </c>
      <c r="E74" s="256" t="s">
        <v>1711</v>
      </c>
      <c r="F74" s="256" t="s">
        <v>1747</v>
      </c>
      <c r="G74" s="258">
        <v>25729000000</v>
      </c>
      <c r="H74" s="265">
        <v>0</v>
      </c>
      <c r="I74" s="258">
        <v>0</v>
      </c>
      <c r="J74" s="258">
        <v>25729000000</v>
      </c>
      <c r="K74" s="256" t="s">
        <v>1346</v>
      </c>
    </row>
    <row r="75" spans="1:11" x14ac:dyDescent="0.3">
      <c r="A75" s="256">
        <v>14</v>
      </c>
      <c r="B75" s="257" t="s">
        <v>1374</v>
      </c>
      <c r="C75" s="276">
        <v>44481</v>
      </c>
      <c r="D75" s="257" t="s">
        <v>1290</v>
      </c>
      <c r="E75" s="256" t="s">
        <v>1707</v>
      </c>
      <c r="F75" s="256" t="s">
        <v>1748</v>
      </c>
      <c r="G75" s="258">
        <v>24495000000</v>
      </c>
      <c r="H75" s="265">
        <v>0.1</v>
      </c>
      <c r="I75" s="258">
        <v>2449500000</v>
      </c>
      <c r="J75" s="258">
        <v>26944500000</v>
      </c>
      <c r="K75" s="256" t="s">
        <v>1346</v>
      </c>
    </row>
    <row r="76" spans="1:11" x14ac:dyDescent="0.3">
      <c r="A76" s="256">
        <v>15</v>
      </c>
      <c r="B76" s="257" t="s">
        <v>1376</v>
      </c>
      <c r="C76" s="276">
        <v>44211</v>
      </c>
      <c r="D76" s="257" t="s">
        <v>1258</v>
      </c>
      <c r="E76" s="256" t="s">
        <v>1694</v>
      </c>
      <c r="F76" s="256" t="s">
        <v>1747</v>
      </c>
      <c r="G76" s="258">
        <v>36992000000</v>
      </c>
      <c r="H76" s="265">
        <v>0.1</v>
      </c>
      <c r="I76" s="258">
        <v>3699200000</v>
      </c>
      <c r="J76" s="258">
        <v>40691200000</v>
      </c>
      <c r="K76" s="256" t="s">
        <v>1346</v>
      </c>
    </row>
    <row r="77" spans="1:11" x14ac:dyDescent="0.3">
      <c r="A77" s="256">
        <v>16</v>
      </c>
      <c r="B77" s="257" t="s">
        <v>1378</v>
      </c>
      <c r="C77" s="276">
        <v>44242</v>
      </c>
      <c r="D77" s="257" t="s">
        <v>1265</v>
      </c>
      <c r="E77" s="256" t="s">
        <v>1705</v>
      </c>
      <c r="F77" s="256" t="s">
        <v>1748</v>
      </c>
      <c r="G77" s="258">
        <v>20411000000</v>
      </c>
      <c r="H77" s="265">
        <v>0.1</v>
      </c>
      <c r="I77" s="258">
        <v>2041100000</v>
      </c>
      <c r="J77" s="258">
        <v>22452100000</v>
      </c>
      <c r="K77" s="256" t="s">
        <v>1346</v>
      </c>
    </row>
    <row r="78" spans="1:11" x14ac:dyDescent="0.3">
      <c r="A78" s="256">
        <v>17</v>
      </c>
      <c r="B78" s="257" t="s">
        <v>1379</v>
      </c>
      <c r="C78" s="276">
        <v>44331</v>
      </c>
      <c r="D78" s="257" t="s">
        <v>1276</v>
      </c>
      <c r="E78" s="256" t="s">
        <v>1696</v>
      </c>
      <c r="F78" s="256" t="s">
        <v>1747</v>
      </c>
      <c r="G78" s="258">
        <v>16404000000</v>
      </c>
      <c r="H78" s="265">
        <v>0.1</v>
      </c>
      <c r="I78" s="258">
        <v>1640400000</v>
      </c>
      <c r="J78" s="258">
        <v>18044400000</v>
      </c>
      <c r="K78" s="256" t="s">
        <v>1346</v>
      </c>
    </row>
    <row r="79" spans="1:11" x14ac:dyDescent="0.3">
      <c r="A79" s="256">
        <v>18</v>
      </c>
      <c r="B79" s="257" t="s">
        <v>1381</v>
      </c>
      <c r="C79" s="276">
        <v>44362</v>
      </c>
      <c r="D79" s="257" t="s">
        <v>1292</v>
      </c>
      <c r="E79" s="256" t="s">
        <v>1693</v>
      </c>
      <c r="F79" s="256" t="s">
        <v>1747</v>
      </c>
      <c r="G79" s="258">
        <v>35053000000</v>
      </c>
      <c r="H79" s="265">
        <v>0.1</v>
      </c>
      <c r="I79" s="258">
        <v>3505300000</v>
      </c>
      <c r="J79" s="258">
        <v>38558300000</v>
      </c>
      <c r="K79" s="256" t="s">
        <v>1346</v>
      </c>
    </row>
    <row r="80" spans="1:11" x14ac:dyDescent="0.3">
      <c r="A80" s="256">
        <v>19</v>
      </c>
      <c r="B80" s="257" t="s">
        <v>1382</v>
      </c>
      <c r="C80" s="276">
        <v>44392</v>
      </c>
      <c r="D80" s="257" t="s">
        <v>1255</v>
      </c>
      <c r="E80" s="256" t="s">
        <v>1688</v>
      </c>
      <c r="F80" s="256" t="s">
        <v>1747</v>
      </c>
      <c r="G80" s="258">
        <v>21525000000</v>
      </c>
      <c r="H80" s="265">
        <v>0.1</v>
      </c>
      <c r="I80" s="258">
        <v>2152500000</v>
      </c>
      <c r="J80" s="258">
        <v>23677500000</v>
      </c>
      <c r="K80" s="256" t="s">
        <v>1346</v>
      </c>
    </row>
    <row r="81" spans="1:11" x14ac:dyDescent="0.3">
      <c r="A81" s="256">
        <v>20</v>
      </c>
      <c r="B81" s="257" t="s">
        <v>1383</v>
      </c>
      <c r="C81" s="276">
        <v>44454</v>
      </c>
      <c r="D81" s="257" t="s">
        <v>1293</v>
      </c>
      <c r="E81" s="256" t="s">
        <v>1708</v>
      </c>
      <c r="F81" s="256" t="s">
        <v>1747</v>
      </c>
      <c r="G81" s="258">
        <v>22334000000</v>
      </c>
      <c r="H81" s="265">
        <v>0.1</v>
      </c>
      <c r="I81" s="258">
        <v>2233400000</v>
      </c>
      <c r="J81" s="258">
        <v>24567400000</v>
      </c>
      <c r="K81" s="256" t="s">
        <v>1346</v>
      </c>
    </row>
    <row r="82" spans="1:11" x14ac:dyDescent="0.3">
      <c r="A82" s="256">
        <v>21</v>
      </c>
      <c r="B82" s="257" t="s">
        <v>1203</v>
      </c>
      <c r="C82" s="276">
        <v>44484</v>
      </c>
      <c r="D82" s="257" t="s">
        <v>1259</v>
      </c>
      <c r="E82" s="256" t="s">
        <v>1700</v>
      </c>
      <c r="F82" s="256" t="s">
        <v>1748</v>
      </c>
      <c r="G82" s="258">
        <v>33338000000</v>
      </c>
      <c r="H82" s="265">
        <v>0</v>
      </c>
      <c r="I82" s="258">
        <v>0</v>
      </c>
      <c r="J82" s="258">
        <v>33338000000</v>
      </c>
      <c r="K82" s="256" t="s">
        <v>1346</v>
      </c>
    </row>
    <row r="83" spans="1:11" x14ac:dyDescent="0.3">
      <c r="A83" s="256">
        <v>22</v>
      </c>
      <c r="B83" s="257" t="s">
        <v>1204</v>
      </c>
      <c r="C83" s="276">
        <v>44515</v>
      </c>
      <c r="D83" s="257" t="s">
        <v>1280</v>
      </c>
      <c r="E83" s="256" t="s">
        <v>1726</v>
      </c>
      <c r="F83" s="256" t="s">
        <v>1747</v>
      </c>
      <c r="G83" s="258">
        <v>29130000000</v>
      </c>
      <c r="H83" s="265">
        <v>0.1</v>
      </c>
      <c r="I83" s="258">
        <v>2913000000</v>
      </c>
      <c r="J83" s="258">
        <v>32043000000</v>
      </c>
      <c r="K83" s="256" t="s">
        <v>1346</v>
      </c>
    </row>
    <row r="84" spans="1:11" x14ac:dyDescent="0.3">
      <c r="A84" s="256">
        <v>23</v>
      </c>
      <c r="B84" s="257" t="s">
        <v>1205</v>
      </c>
      <c r="C84" s="276">
        <v>44545</v>
      </c>
      <c r="D84" s="257" t="s">
        <v>1280</v>
      </c>
      <c r="E84" s="256" t="s">
        <v>1726</v>
      </c>
      <c r="F84" s="256" t="s">
        <v>1748</v>
      </c>
      <c r="G84" s="258">
        <v>37247000000</v>
      </c>
      <c r="H84" s="265">
        <v>0.1</v>
      </c>
      <c r="I84" s="258">
        <v>3724700000</v>
      </c>
      <c r="J84" s="258">
        <v>40971700000</v>
      </c>
      <c r="K84" s="256" t="s">
        <v>1346</v>
      </c>
    </row>
    <row r="85" spans="1:11" x14ac:dyDescent="0.3">
      <c r="A85" s="256">
        <v>24</v>
      </c>
      <c r="B85" s="257" t="s">
        <v>1385</v>
      </c>
      <c r="C85" s="276">
        <v>44216</v>
      </c>
      <c r="D85" s="257" t="s">
        <v>1287</v>
      </c>
      <c r="E85" s="256" t="s">
        <v>1752</v>
      </c>
      <c r="F85" s="256" t="s">
        <v>1747</v>
      </c>
      <c r="G85" s="258">
        <v>38127000000</v>
      </c>
      <c r="H85" s="265">
        <v>0.1</v>
      </c>
      <c r="I85" s="258">
        <v>3812700000</v>
      </c>
      <c r="J85" s="258">
        <v>41939700000</v>
      </c>
      <c r="K85" s="256" t="s">
        <v>1346</v>
      </c>
    </row>
    <row r="86" spans="1:11" x14ac:dyDescent="0.3">
      <c r="A86" s="256">
        <v>25</v>
      </c>
      <c r="B86" s="257" t="s">
        <v>1387</v>
      </c>
      <c r="C86" s="276">
        <v>44306</v>
      </c>
      <c r="D86" s="257" t="s">
        <v>1274</v>
      </c>
      <c r="E86" s="256" t="s">
        <v>1722</v>
      </c>
      <c r="F86" s="256" t="s">
        <v>1750</v>
      </c>
      <c r="G86" s="258">
        <v>37898000000</v>
      </c>
      <c r="H86" s="265">
        <v>0.1</v>
      </c>
      <c r="I86" s="258">
        <v>3789800000</v>
      </c>
      <c r="J86" s="258">
        <v>41687800000</v>
      </c>
      <c r="K86" s="256" t="s">
        <v>1346</v>
      </c>
    </row>
    <row r="87" spans="1:11" x14ac:dyDescent="0.3">
      <c r="A87" s="256">
        <v>26</v>
      </c>
      <c r="B87" s="257" t="s">
        <v>1388</v>
      </c>
      <c r="C87" s="276">
        <v>44336</v>
      </c>
      <c r="D87" s="257" t="s">
        <v>1283</v>
      </c>
      <c r="E87" s="256" t="s">
        <v>1727</v>
      </c>
      <c r="F87" s="256" t="s">
        <v>1747</v>
      </c>
      <c r="G87" s="258">
        <v>34205000000</v>
      </c>
      <c r="H87" s="265">
        <v>0.1</v>
      </c>
      <c r="I87" s="258">
        <v>3420500000</v>
      </c>
      <c r="J87" s="258">
        <v>37625500000</v>
      </c>
      <c r="K87" s="256" t="s">
        <v>1346</v>
      </c>
    </row>
    <row r="88" spans="1:11" x14ac:dyDescent="0.3">
      <c r="A88" s="256">
        <v>27</v>
      </c>
      <c r="B88" s="257" t="s">
        <v>1391</v>
      </c>
      <c r="C88" s="276">
        <v>44367</v>
      </c>
      <c r="D88" s="257" t="s">
        <v>1285</v>
      </c>
      <c r="E88" s="256" t="s">
        <v>1709</v>
      </c>
      <c r="F88" s="256" t="s">
        <v>1750</v>
      </c>
      <c r="G88" s="258">
        <v>16567000000</v>
      </c>
      <c r="H88" s="265">
        <v>0.1</v>
      </c>
      <c r="I88" s="258">
        <v>1656700000</v>
      </c>
      <c r="J88" s="258">
        <v>18223700000</v>
      </c>
      <c r="K88" s="256" t="s">
        <v>1346</v>
      </c>
    </row>
    <row r="89" spans="1:11" x14ac:dyDescent="0.3">
      <c r="A89" s="256">
        <v>28</v>
      </c>
      <c r="B89" s="257" t="s">
        <v>1392</v>
      </c>
      <c r="C89" s="276">
        <v>44397</v>
      </c>
      <c r="D89" s="257" t="s">
        <v>1263</v>
      </c>
      <c r="E89" s="256" t="s">
        <v>1717</v>
      </c>
      <c r="F89" s="256" t="s">
        <v>1747</v>
      </c>
      <c r="G89" s="258">
        <v>35751000000</v>
      </c>
      <c r="H89" s="265">
        <v>0.1</v>
      </c>
      <c r="I89" s="258">
        <v>3575100000</v>
      </c>
      <c r="J89" s="258">
        <v>39326100000</v>
      </c>
      <c r="K89" s="256" t="s">
        <v>1346</v>
      </c>
    </row>
    <row r="90" spans="1:11" x14ac:dyDescent="0.3">
      <c r="A90" s="256">
        <v>29</v>
      </c>
      <c r="B90" s="257" t="s">
        <v>1394</v>
      </c>
      <c r="C90" s="276">
        <v>44428</v>
      </c>
      <c r="D90" s="257" t="s">
        <v>1262</v>
      </c>
      <c r="E90" s="256" t="s">
        <v>1728</v>
      </c>
      <c r="F90" s="256" t="s">
        <v>1747</v>
      </c>
      <c r="G90" s="258">
        <v>44172000000</v>
      </c>
      <c r="H90" s="265">
        <v>0.1</v>
      </c>
      <c r="I90" s="258">
        <v>4417200000</v>
      </c>
      <c r="J90" s="258">
        <v>48589200000</v>
      </c>
      <c r="K90" s="256" t="s">
        <v>1346</v>
      </c>
    </row>
    <row r="91" spans="1:11" x14ac:dyDescent="0.3">
      <c r="A91" s="256">
        <v>30</v>
      </c>
      <c r="B91" s="257" t="s">
        <v>1396</v>
      </c>
      <c r="C91" s="276">
        <v>44459</v>
      </c>
      <c r="D91" s="257" t="s">
        <v>1273</v>
      </c>
      <c r="E91" s="256" t="s">
        <v>1704</v>
      </c>
      <c r="F91" s="256" t="s">
        <v>1747</v>
      </c>
      <c r="G91" s="258">
        <v>15927000000</v>
      </c>
      <c r="H91" s="265">
        <v>0.1</v>
      </c>
      <c r="I91" s="258">
        <v>1592700000</v>
      </c>
      <c r="J91" s="258">
        <v>17519700000</v>
      </c>
      <c r="K91" s="256" t="s">
        <v>1346</v>
      </c>
    </row>
    <row r="92" spans="1:11" x14ac:dyDescent="0.3">
      <c r="A92" s="256">
        <v>31</v>
      </c>
      <c r="B92" s="257" t="s">
        <v>1397</v>
      </c>
      <c r="C92" s="276">
        <v>44489</v>
      </c>
      <c r="D92" s="257" t="s">
        <v>1293</v>
      </c>
      <c r="E92" s="256" t="s">
        <v>1708</v>
      </c>
      <c r="F92" s="256" t="s">
        <v>1747</v>
      </c>
      <c r="G92" s="258">
        <v>40209000000</v>
      </c>
      <c r="H92" s="265">
        <v>0.1</v>
      </c>
      <c r="I92" s="258">
        <v>4020900000</v>
      </c>
      <c r="J92" s="258">
        <v>44229900000</v>
      </c>
      <c r="K92" s="256" t="s">
        <v>1346</v>
      </c>
    </row>
    <row r="93" spans="1:11" x14ac:dyDescent="0.3">
      <c r="A93" s="256">
        <v>32</v>
      </c>
      <c r="B93" s="257" t="s">
        <v>1398</v>
      </c>
      <c r="C93" s="276">
        <v>44520</v>
      </c>
      <c r="D93" s="257" t="s">
        <v>1257</v>
      </c>
      <c r="E93" s="256" t="s">
        <v>1753</v>
      </c>
      <c r="F93" s="256" t="s">
        <v>1750</v>
      </c>
      <c r="G93" s="258">
        <v>25902000000</v>
      </c>
      <c r="H93" s="265">
        <v>0</v>
      </c>
      <c r="I93" s="258">
        <v>0</v>
      </c>
      <c r="J93" s="258">
        <v>25902000000</v>
      </c>
      <c r="K93" s="256" t="s">
        <v>1346</v>
      </c>
    </row>
    <row r="94" spans="1:11" x14ac:dyDescent="0.3">
      <c r="A94" s="256">
        <v>33</v>
      </c>
      <c r="B94" s="257" t="s">
        <v>1399</v>
      </c>
      <c r="C94" s="276">
        <v>44550</v>
      </c>
      <c r="D94" s="257" t="s">
        <v>1287</v>
      </c>
      <c r="E94" s="256" t="s">
        <v>1752</v>
      </c>
      <c r="F94" s="256" t="s">
        <v>1750</v>
      </c>
      <c r="G94" s="258">
        <v>43414000000</v>
      </c>
      <c r="H94" s="265">
        <v>0.1</v>
      </c>
      <c r="I94" s="258">
        <v>4341400000</v>
      </c>
      <c r="J94" s="258">
        <v>47755400000</v>
      </c>
      <c r="K94" s="256" t="s">
        <v>1346</v>
      </c>
    </row>
    <row r="95" spans="1:11" x14ac:dyDescent="0.3">
      <c r="A95" s="256">
        <v>34</v>
      </c>
      <c r="B95" s="257" t="s">
        <v>1401</v>
      </c>
      <c r="C95" s="276">
        <v>44280</v>
      </c>
      <c r="D95" s="257" t="s">
        <v>1277</v>
      </c>
      <c r="E95" s="256" t="s">
        <v>1711</v>
      </c>
      <c r="F95" s="256" t="s">
        <v>1750</v>
      </c>
      <c r="G95" s="258">
        <v>42589000000</v>
      </c>
      <c r="H95" s="265">
        <v>0.1</v>
      </c>
      <c r="I95" s="258">
        <v>4258900000</v>
      </c>
      <c r="J95" s="258">
        <v>46847900000</v>
      </c>
      <c r="K95" s="256" t="s">
        <v>1346</v>
      </c>
    </row>
    <row r="96" spans="1:11" x14ac:dyDescent="0.3">
      <c r="A96" s="256">
        <v>35</v>
      </c>
      <c r="B96" s="257" t="s">
        <v>1402</v>
      </c>
      <c r="C96" s="276">
        <v>44341</v>
      </c>
      <c r="D96" s="257" t="s">
        <v>1285</v>
      </c>
      <c r="E96" s="256" t="s">
        <v>1709</v>
      </c>
      <c r="F96" s="256" t="s">
        <v>1747</v>
      </c>
      <c r="G96" s="258">
        <v>41226000000</v>
      </c>
      <c r="H96" s="265">
        <v>0.1</v>
      </c>
      <c r="I96" s="258">
        <v>4122600000</v>
      </c>
      <c r="J96" s="258">
        <v>45348600000</v>
      </c>
      <c r="K96" s="256" t="s">
        <v>1346</v>
      </c>
    </row>
    <row r="97" spans="1:11" x14ac:dyDescent="0.3">
      <c r="A97" s="256">
        <v>36</v>
      </c>
      <c r="B97" s="257" t="s">
        <v>1403</v>
      </c>
      <c r="C97" s="276">
        <v>44372</v>
      </c>
      <c r="D97" s="257" t="s">
        <v>1285</v>
      </c>
      <c r="E97" s="256" t="s">
        <v>1709</v>
      </c>
      <c r="F97" s="256" t="s">
        <v>1747</v>
      </c>
      <c r="G97" s="258">
        <v>38102000000</v>
      </c>
      <c r="H97" s="265">
        <v>0.1</v>
      </c>
      <c r="I97" s="258">
        <v>3810200000</v>
      </c>
      <c r="J97" s="258">
        <v>41912200000</v>
      </c>
      <c r="K97" s="256" t="s">
        <v>1346</v>
      </c>
    </row>
    <row r="98" spans="1:11" x14ac:dyDescent="0.3">
      <c r="A98" s="256">
        <v>37</v>
      </c>
      <c r="B98" s="257" t="s">
        <v>1404</v>
      </c>
      <c r="C98" s="276">
        <v>44402</v>
      </c>
      <c r="D98" s="257" t="s">
        <v>1281</v>
      </c>
      <c r="E98" s="256" t="s">
        <v>1721</v>
      </c>
      <c r="F98" s="256" t="s">
        <v>1748</v>
      </c>
      <c r="G98" s="258">
        <v>20121000000</v>
      </c>
      <c r="H98" s="265">
        <v>0.1</v>
      </c>
      <c r="I98" s="258">
        <v>2012100000</v>
      </c>
      <c r="J98" s="258">
        <v>22133100000</v>
      </c>
      <c r="K98" s="256" t="s">
        <v>1346</v>
      </c>
    </row>
    <row r="99" spans="1:11" x14ac:dyDescent="0.3">
      <c r="A99" s="256">
        <v>38</v>
      </c>
      <c r="B99" s="257" t="s">
        <v>1405</v>
      </c>
      <c r="C99" s="276">
        <v>44433</v>
      </c>
      <c r="D99" s="257" t="s">
        <v>1272</v>
      </c>
      <c r="E99" s="256" t="s">
        <v>1712</v>
      </c>
      <c r="F99" s="256" t="s">
        <v>1748</v>
      </c>
      <c r="G99" s="258">
        <v>25853000000</v>
      </c>
      <c r="H99" s="265">
        <v>0</v>
      </c>
      <c r="I99" s="258">
        <v>0</v>
      </c>
      <c r="J99" s="258">
        <v>25853000000</v>
      </c>
      <c r="K99" s="256" t="s">
        <v>1346</v>
      </c>
    </row>
    <row r="100" spans="1:11" x14ac:dyDescent="0.3">
      <c r="A100" s="256">
        <v>39</v>
      </c>
      <c r="B100" s="257" t="s">
        <v>1406</v>
      </c>
      <c r="C100" s="276">
        <v>44464</v>
      </c>
      <c r="D100" s="257" t="s">
        <v>1257</v>
      </c>
      <c r="E100" s="256" t="s">
        <v>1753</v>
      </c>
      <c r="F100" s="256" t="s">
        <v>1748</v>
      </c>
      <c r="G100" s="258">
        <v>43239000000</v>
      </c>
      <c r="H100" s="265">
        <v>0.1</v>
      </c>
      <c r="I100" s="258">
        <v>4323900000</v>
      </c>
      <c r="J100" s="258">
        <v>47562900000</v>
      </c>
      <c r="K100" s="256" t="s">
        <v>1346</v>
      </c>
    </row>
    <row r="101" spans="1:11" x14ac:dyDescent="0.3">
      <c r="A101" s="256">
        <v>40</v>
      </c>
      <c r="B101" s="257" t="s">
        <v>1408</v>
      </c>
      <c r="C101" s="276">
        <v>44494</v>
      </c>
      <c r="D101" s="257" t="s">
        <v>1264</v>
      </c>
      <c r="E101" s="256" t="s">
        <v>1749</v>
      </c>
      <c r="F101" s="256" t="s">
        <v>1747</v>
      </c>
      <c r="G101" s="258">
        <v>29767000000</v>
      </c>
      <c r="H101" s="265">
        <v>0.1</v>
      </c>
      <c r="I101" s="258">
        <v>2976700000</v>
      </c>
      <c r="J101" s="258">
        <v>32743700000</v>
      </c>
      <c r="K101" s="256" t="s">
        <v>1346</v>
      </c>
    </row>
    <row r="102" spans="1:11" x14ac:dyDescent="0.3">
      <c r="A102" s="256">
        <v>41</v>
      </c>
      <c r="B102" s="257" t="s">
        <v>1409</v>
      </c>
      <c r="C102" s="276">
        <v>44555</v>
      </c>
      <c r="D102" s="257" t="s">
        <v>1293</v>
      </c>
      <c r="E102" s="256" t="s">
        <v>1708</v>
      </c>
      <c r="F102" s="256" t="s">
        <v>1747</v>
      </c>
      <c r="G102" s="258">
        <v>27523000000</v>
      </c>
      <c r="H102" s="265">
        <v>0.1</v>
      </c>
      <c r="I102" s="258">
        <v>2752300000</v>
      </c>
      <c r="J102" s="258">
        <v>30275300000</v>
      </c>
      <c r="K102" s="256" t="s">
        <v>1348</v>
      </c>
    </row>
    <row r="103" spans="1:11" x14ac:dyDescent="0.3">
      <c r="A103" s="256">
        <v>42</v>
      </c>
      <c r="B103" s="257" t="s">
        <v>1411</v>
      </c>
      <c r="C103" s="276">
        <v>44224</v>
      </c>
      <c r="D103" s="257" t="s">
        <v>1292</v>
      </c>
      <c r="E103" s="256" t="s">
        <v>1693</v>
      </c>
      <c r="F103" s="256" t="s">
        <v>1748</v>
      </c>
      <c r="G103" s="258">
        <v>24444000000</v>
      </c>
      <c r="H103" s="265">
        <v>0.1</v>
      </c>
      <c r="I103" s="258">
        <v>2444400000</v>
      </c>
      <c r="J103" s="258">
        <v>26888400000</v>
      </c>
      <c r="K103" s="256" t="s">
        <v>1346</v>
      </c>
    </row>
    <row r="104" spans="1:11" x14ac:dyDescent="0.3">
      <c r="A104" s="256">
        <v>43</v>
      </c>
      <c r="B104" s="257" t="s">
        <v>1414</v>
      </c>
      <c r="C104" s="276">
        <v>44316</v>
      </c>
      <c r="D104" s="257" t="s">
        <v>1286</v>
      </c>
      <c r="E104" s="256" t="s">
        <v>1729</v>
      </c>
      <c r="F104" s="256" t="s">
        <v>1748</v>
      </c>
      <c r="G104" s="258">
        <v>16056000000</v>
      </c>
      <c r="H104" s="265">
        <v>0.1</v>
      </c>
      <c r="I104" s="258">
        <v>1605600000</v>
      </c>
      <c r="J104" s="258">
        <v>17661600000</v>
      </c>
      <c r="K104" s="256" t="s">
        <v>1346</v>
      </c>
    </row>
    <row r="105" spans="1:11" x14ac:dyDescent="0.3">
      <c r="A105" s="256">
        <v>44</v>
      </c>
      <c r="B105" s="257" t="s">
        <v>1415</v>
      </c>
      <c r="C105" s="276">
        <v>44469</v>
      </c>
      <c r="D105" s="257" t="s">
        <v>1290</v>
      </c>
      <c r="E105" s="256" t="s">
        <v>1707</v>
      </c>
      <c r="F105" s="256" t="s">
        <v>1748</v>
      </c>
      <c r="G105" s="258">
        <v>36061000000</v>
      </c>
      <c r="H105" s="265">
        <v>0.1</v>
      </c>
      <c r="I105" s="258">
        <v>3606100000</v>
      </c>
      <c r="J105" s="258">
        <v>39667100000</v>
      </c>
      <c r="K105" s="256" t="s">
        <v>1348</v>
      </c>
    </row>
    <row r="106" spans="1:11" x14ac:dyDescent="0.3">
      <c r="A106" s="256">
        <v>45</v>
      </c>
      <c r="B106" s="257" t="s">
        <v>1206</v>
      </c>
      <c r="C106" s="276">
        <v>44530</v>
      </c>
      <c r="D106" s="257" t="s">
        <v>1282</v>
      </c>
      <c r="E106" s="256" t="s">
        <v>1754</v>
      </c>
      <c r="F106" s="256" t="s">
        <v>1750</v>
      </c>
      <c r="G106" s="258">
        <v>43451000000</v>
      </c>
      <c r="H106" s="265">
        <v>0.1</v>
      </c>
      <c r="I106" s="258">
        <v>4345100000</v>
      </c>
      <c r="J106" s="258">
        <v>47796100000</v>
      </c>
      <c r="K106" s="256" t="s">
        <v>1346</v>
      </c>
    </row>
    <row r="107" spans="1:11" x14ac:dyDescent="0.3">
      <c r="A107" s="256">
        <v>46</v>
      </c>
      <c r="B107" s="257" t="s">
        <v>1207</v>
      </c>
      <c r="C107" s="276">
        <v>44347</v>
      </c>
      <c r="D107" s="257" t="s">
        <v>1280</v>
      </c>
      <c r="E107" s="256" t="s">
        <v>1726</v>
      </c>
      <c r="F107" s="256" t="s">
        <v>1750</v>
      </c>
      <c r="G107" s="258">
        <v>40399000000</v>
      </c>
      <c r="H107" s="265">
        <v>0.1</v>
      </c>
      <c r="I107" s="258">
        <v>4039900000</v>
      </c>
      <c r="J107" s="258">
        <v>44438900000</v>
      </c>
      <c r="K107" s="256" t="s">
        <v>1346</v>
      </c>
    </row>
    <row r="108" spans="1:11" x14ac:dyDescent="0.3">
      <c r="A108" s="256">
        <v>47</v>
      </c>
      <c r="B108" s="257" t="s">
        <v>1208</v>
      </c>
      <c r="C108" s="276">
        <v>44408</v>
      </c>
      <c r="D108" s="257" t="s">
        <v>1285</v>
      </c>
      <c r="E108" s="256" t="s">
        <v>1709</v>
      </c>
      <c r="F108" s="256" t="s">
        <v>1748</v>
      </c>
      <c r="G108" s="258">
        <v>45585000000</v>
      </c>
      <c r="H108" s="265">
        <v>0.1</v>
      </c>
      <c r="I108" s="258">
        <v>4558500000</v>
      </c>
      <c r="J108" s="258">
        <v>50143500000</v>
      </c>
      <c r="K108" s="256" t="s">
        <v>1348</v>
      </c>
    </row>
    <row r="109" spans="1:11" x14ac:dyDescent="0.3">
      <c r="A109" s="256">
        <v>48</v>
      </c>
      <c r="B109" s="257" t="s">
        <v>1209</v>
      </c>
      <c r="C109" s="276">
        <v>44439</v>
      </c>
      <c r="D109" s="257" t="s">
        <v>1258</v>
      </c>
      <c r="E109" s="256" t="s">
        <v>1694</v>
      </c>
      <c r="F109" s="256" t="s">
        <v>1750</v>
      </c>
      <c r="G109" s="258">
        <v>36126000000</v>
      </c>
      <c r="H109" s="265">
        <v>0</v>
      </c>
      <c r="I109" s="258">
        <v>0</v>
      </c>
      <c r="J109" s="258">
        <v>36126000000</v>
      </c>
      <c r="K109" s="256" t="s">
        <v>1346</v>
      </c>
    </row>
    <row r="110" spans="1:11" x14ac:dyDescent="0.3">
      <c r="A110" s="256">
        <v>49</v>
      </c>
      <c r="B110" s="257" t="s">
        <v>1418</v>
      </c>
      <c r="C110" s="276">
        <v>44500</v>
      </c>
      <c r="D110" s="257" t="s">
        <v>1283</v>
      </c>
      <c r="E110" s="256" t="s">
        <v>1727</v>
      </c>
      <c r="F110" s="256" t="s">
        <v>1748</v>
      </c>
      <c r="G110" s="258">
        <v>22879000000</v>
      </c>
      <c r="H110" s="265">
        <v>0.1</v>
      </c>
      <c r="I110" s="258">
        <v>2287900000</v>
      </c>
      <c r="J110" s="258">
        <v>25166900000</v>
      </c>
      <c r="K110" s="256" t="s">
        <v>1346</v>
      </c>
    </row>
    <row r="111" spans="1:11" x14ac:dyDescent="0.3">
      <c r="A111" s="256">
        <v>50</v>
      </c>
      <c r="B111" s="257" t="s">
        <v>1419</v>
      </c>
      <c r="C111" s="276">
        <v>44561</v>
      </c>
      <c r="D111" s="257" t="s">
        <v>1267</v>
      </c>
      <c r="E111" s="256" t="s">
        <v>1701</v>
      </c>
      <c r="F111" s="256" t="s">
        <v>1747</v>
      </c>
      <c r="G111" s="258">
        <v>28488000000</v>
      </c>
      <c r="H111" s="265">
        <v>0.1</v>
      </c>
      <c r="I111" s="258">
        <v>2848800000</v>
      </c>
      <c r="J111" s="258">
        <v>31336800000</v>
      </c>
      <c r="K111" s="256" t="s">
        <v>1346</v>
      </c>
    </row>
    <row r="112" spans="1:11" x14ac:dyDescent="0.3">
      <c r="A112" s="266" t="s">
        <v>1351</v>
      </c>
      <c r="B112" s="266"/>
      <c r="C112" s="266"/>
      <c r="D112" s="266"/>
      <c r="E112" s="266"/>
      <c r="F112" s="266"/>
      <c r="G112" s="267">
        <f>SUM(G62:G111)</f>
        <v>1543971000000</v>
      </c>
      <c r="H112" s="266"/>
      <c r="I112" s="267">
        <f>SUM(I62:I111)</f>
        <v>131783000000</v>
      </c>
      <c r="J112" s="267">
        <f>SUM(J62:J111)</f>
        <v>1675754000000</v>
      </c>
      <c r="K112" s="2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540</v>
      </c>
      <c r="C1" s="256"/>
      <c r="D1" s="256"/>
      <c r="E1" s="256"/>
      <c r="F1" s="256"/>
      <c r="G1" s="256"/>
      <c r="H1" s="256"/>
      <c r="I1" s="256"/>
      <c r="J1" s="256"/>
      <c r="K1" s="256"/>
    </row>
    <row r="2" spans="1:11" x14ac:dyDescent="0.3">
      <c r="A2" s="256" t="s">
        <v>1339</v>
      </c>
      <c r="B2" s="257">
        <v>101601092</v>
      </c>
      <c r="C2" s="256"/>
      <c r="D2" s="256"/>
      <c r="E2" s="256"/>
      <c r="F2" s="256"/>
      <c r="G2" s="256"/>
      <c r="H2" s="256"/>
      <c r="I2" s="256"/>
      <c r="J2" s="256"/>
      <c r="K2" s="256"/>
    </row>
    <row r="3" spans="1:11" x14ac:dyDescent="0.3">
      <c r="A3" s="256" t="s">
        <v>1343</v>
      </c>
      <c r="B3" s="258">
        <v>2393803745114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1392</v>
      </c>
      <c r="C8" s="276">
        <v>44317</v>
      </c>
      <c r="D8" s="257" t="s">
        <v>1266</v>
      </c>
      <c r="E8" s="256" t="s">
        <v>1686</v>
      </c>
      <c r="F8" s="256" t="s">
        <v>1755</v>
      </c>
      <c r="G8" s="258">
        <v>22018000000</v>
      </c>
      <c r="H8" s="265">
        <v>0.1</v>
      </c>
      <c r="I8" s="258">
        <v>2201800000</v>
      </c>
      <c r="J8" s="258">
        <v>24219800000</v>
      </c>
      <c r="K8" s="256" t="s">
        <v>1346</v>
      </c>
    </row>
    <row r="9" spans="1:11" x14ac:dyDescent="0.3">
      <c r="A9" s="256">
        <v>2</v>
      </c>
      <c r="B9" s="257" t="s">
        <v>1381</v>
      </c>
      <c r="C9" s="276">
        <v>44318</v>
      </c>
      <c r="D9" s="257" t="s">
        <v>1255</v>
      </c>
      <c r="E9" s="256" t="s">
        <v>1688</v>
      </c>
      <c r="F9" s="256" t="s">
        <v>1756</v>
      </c>
      <c r="G9" s="258">
        <v>17536000000</v>
      </c>
      <c r="H9" s="265">
        <v>0.1</v>
      </c>
      <c r="I9" s="258">
        <v>1753600000</v>
      </c>
      <c r="J9" s="258">
        <v>19289600000</v>
      </c>
      <c r="K9" s="256" t="s">
        <v>1346</v>
      </c>
    </row>
    <row r="10" spans="1:11" x14ac:dyDescent="0.3">
      <c r="A10" s="256">
        <v>3</v>
      </c>
      <c r="B10" s="257" t="s">
        <v>1394</v>
      </c>
      <c r="C10" s="276">
        <v>44319</v>
      </c>
      <c r="D10" s="257" t="s">
        <v>1266</v>
      </c>
      <c r="E10" s="256" t="s">
        <v>1686</v>
      </c>
      <c r="F10" s="256" t="s">
        <v>1757</v>
      </c>
      <c r="G10" s="258">
        <v>38434000000</v>
      </c>
      <c r="H10" s="265">
        <v>0.1</v>
      </c>
      <c r="I10" s="258">
        <v>3843400000</v>
      </c>
      <c r="J10" s="258">
        <v>42277400000</v>
      </c>
      <c r="K10" s="256" t="s">
        <v>1346</v>
      </c>
    </row>
    <row r="11" spans="1:11" x14ac:dyDescent="0.3">
      <c r="A11" s="256">
        <v>4</v>
      </c>
      <c r="B11" s="257" t="s">
        <v>1358</v>
      </c>
      <c r="C11" s="276">
        <v>44320</v>
      </c>
      <c r="D11" s="257" t="s">
        <v>1288</v>
      </c>
      <c r="E11" s="256" t="s">
        <v>1691</v>
      </c>
      <c r="F11" s="256" t="s">
        <v>1758</v>
      </c>
      <c r="G11" s="258">
        <v>26136000000</v>
      </c>
      <c r="H11" s="265">
        <v>0.1</v>
      </c>
      <c r="I11" s="258">
        <v>2613600000</v>
      </c>
      <c r="J11" s="258">
        <v>28749600000</v>
      </c>
      <c r="K11" s="256" t="s">
        <v>1346</v>
      </c>
    </row>
    <row r="12" spans="1:11" x14ac:dyDescent="0.3">
      <c r="A12" s="256">
        <v>5</v>
      </c>
      <c r="B12" s="257" t="s">
        <v>1356</v>
      </c>
      <c r="C12" s="276">
        <v>44322</v>
      </c>
      <c r="D12" s="257" t="s">
        <v>1292</v>
      </c>
      <c r="E12" s="256" t="s">
        <v>1693</v>
      </c>
      <c r="F12" s="256" t="s">
        <v>1755</v>
      </c>
      <c r="G12" s="258">
        <v>28527000000</v>
      </c>
      <c r="H12" s="265">
        <v>0.1</v>
      </c>
      <c r="I12" s="258">
        <v>2852700000</v>
      </c>
      <c r="J12" s="258">
        <v>31379700000</v>
      </c>
      <c r="K12" s="256" t="s">
        <v>1346</v>
      </c>
    </row>
    <row r="13" spans="1:11" x14ac:dyDescent="0.3">
      <c r="A13" s="256">
        <v>6</v>
      </c>
      <c r="B13" s="257" t="s">
        <v>1378</v>
      </c>
      <c r="C13" s="276">
        <v>44323</v>
      </c>
      <c r="D13" s="257" t="s">
        <v>1258</v>
      </c>
      <c r="E13" s="256" t="s">
        <v>1694</v>
      </c>
      <c r="F13" s="256" t="s">
        <v>1759</v>
      </c>
      <c r="G13" s="258">
        <v>44539000000</v>
      </c>
      <c r="H13" s="265">
        <v>0.1</v>
      </c>
      <c r="I13" s="258">
        <v>4453900000</v>
      </c>
      <c r="J13" s="258">
        <v>48992900000</v>
      </c>
      <c r="K13" s="256" t="s">
        <v>1346</v>
      </c>
    </row>
    <row r="14" spans="1:11" x14ac:dyDescent="0.3">
      <c r="A14" s="256">
        <v>7</v>
      </c>
      <c r="B14" s="257" t="s">
        <v>1391</v>
      </c>
      <c r="C14" s="276">
        <v>44324</v>
      </c>
      <c r="D14" s="257" t="s">
        <v>1276</v>
      </c>
      <c r="E14" s="256" t="s">
        <v>1696</v>
      </c>
      <c r="F14" s="256" t="s">
        <v>1759</v>
      </c>
      <c r="G14" s="258">
        <v>44263000000</v>
      </c>
      <c r="H14" s="265">
        <v>0.1</v>
      </c>
      <c r="I14" s="258">
        <v>4426300000</v>
      </c>
      <c r="J14" s="258">
        <v>48689300000</v>
      </c>
      <c r="K14" s="256" t="s">
        <v>1346</v>
      </c>
    </row>
    <row r="15" spans="1:11" x14ac:dyDescent="0.3">
      <c r="A15" s="256">
        <v>8</v>
      </c>
      <c r="B15" s="257" t="s">
        <v>1392</v>
      </c>
      <c r="C15" s="276">
        <v>44325</v>
      </c>
      <c r="D15" s="257" t="s">
        <v>1276</v>
      </c>
      <c r="E15" s="256" t="s">
        <v>1696</v>
      </c>
      <c r="F15" s="256" t="s">
        <v>1757</v>
      </c>
      <c r="G15" s="258">
        <v>35040000000</v>
      </c>
      <c r="H15" s="265">
        <v>0.1</v>
      </c>
      <c r="I15" s="258">
        <v>3504000000</v>
      </c>
      <c r="J15" s="258">
        <v>38544000000</v>
      </c>
      <c r="K15" s="256" t="s">
        <v>1346</v>
      </c>
    </row>
    <row r="16" spans="1:11" x14ac:dyDescent="0.3">
      <c r="A16" s="256">
        <v>9</v>
      </c>
      <c r="B16" s="257" t="s">
        <v>1203</v>
      </c>
      <c r="C16" s="276">
        <v>44327</v>
      </c>
      <c r="D16" s="257" t="s">
        <v>1256</v>
      </c>
      <c r="E16" s="256" t="s">
        <v>1698</v>
      </c>
      <c r="F16" s="256" t="s">
        <v>1756</v>
      </c>
      <c r="G16" s="258">
        <v>18898000000</v>
      </c>
      <c r="H16" s="265">
        <v>0.1</v>
      </c>
      <c r="I16" s="258">
        <v>1889800000</v>
      </c>
      <c r="J16" s="258">
        <v>20787800000</v>
      </c>
      <c r="K16" s="256" t="s">
        <v>1346</v>
      </c>
    </row>
    <row r="17" spans="1:11" x14ac:dyDescent="0.3">
      <c r="A17" s="256">
        <v>10</v>
      </c>
      <c r="B17" s="257" t="s">
        <v>1394</v>
      </c>
      <c r="C17" s="276">
        <v>44328</v>
      </c>
      <c r="D17" s="257" t="s">
        <v>1259</v>
      </c>
      <c r="E17" s="256" t="s">
        <v>1700</v>
      </c>
      <c r="F17" s="256" t="s">
        <v>1757</v>
      </c>
      <c r="G17" s="258">
        <v>46092000000</v>
      </c>
      <c r="H17" s="265">
        <v>0</v>
      </c>
      <c r="I17" s="258">
        <v>0</v>
      </c>
      <c r="J17" s="258">
        <v>46092000000</v>
      </c>
      <c r="K17" s="256" t="s">
        <v>1346</v>
      </c>
    </row>
    <row r="18" spans="1:11" x14ac:dyDescent="0.3">
      <c r="A18" s="256">
        <v>11</v>
      </c>
      <c r="B18" s="257" t="s">
        <v>1394</v>
      </c>
      <c r="C18" s="276">
        <v>44470</v>
      </c>
      <c r="D18" s="257" t="s">
        <v>1276</v>
      </c>
      <c r="E18" s="256" t="s">
        <v>1696</v>
      </c>
      <c r="F18" s="256" t="s">
        <v>1755</v>
      </c>
      <c r="G18" s="258">
        <v>35374000000</v>
      </c>
      <c r="H18" s="265">
        <v>0.1</v>
      </c>
      <c r="I18" s="258">
        <v>3537400000</v>
      </c>
      <c r="J18" s="258">
        <v>38911400000</v>
      </c>
      <c r="K18" s="256" t="s">
        <v>1346</v>
      </c>
    </row>
    <row r="19" spans="1:11" x14ac:dyDescent="0.3">
      <c r="A19" s="256">
        <v>12</v>
      </c>
      <c r="B19" s="257" t="s">
        <v>1204</v>
      </c>
      <c r="C19" s="276">
        <v>44471</v>
      </c>
      <c r="D19" s="257" t="s">
        <v>1267</v>
      </c>
      <c r="E19" s="256" t="s">
        <v>1701</v>
      </c>
      <c r="F19" s="256" t="s">
        <v>1757</v>
      </c>
      <c r="G19" s="258">
        <v>17517000000</v>
      </c>
      <c r="H19" s="265">
        <v>0.1</v>
      </c>
      <c r="I19" s="258">
        <v>1751700000</v>
      </c>
      <c r="J19" s="258">
        <v>19268700000</v>
      </c>
      <c r="K19" s="256" t="s">
        <v>1346</v>
      </c>
    </row>
    <row r="20" spans="1:11" x14ac:dyDescent="0.3">
      <c r="A20" s="256">
        <v>13</v>
      </c>
      <c r="B20" s="257" t="s">
        <v>1381</v>
      </c>
      <c r="C20" s="276">
        <v>44472</v>
      </c>
      <c r="D20" s="257" t="s">
        <v>1270</v>
      </c>
      <c r="E20" s="256" t="s">
        <v>1702</v>
      </c>
      <c r="F20" s="256" t="s">
        <v>1755</v>
      </c>
      <c r="G20" s="258">
        <v>26144000000</v>
      </c>
      <c r="H20" s="265">
        <v>0.1</v>
      </c>
      <c r="I20" s="258">
        <v>2614400000</v>
      </c>
      <c r="J20" s="258">
        <v>28758400000</v>
      </c>
      <c r="K20" s="256" t="s">
        <v>1346</v>
      </c>
    </row>
    <row r="21" spans="1:11" x14ac:dyDescent="0.3">
      <c r="A21" s="256">
        <v>14</v>
      </c>
      <c r="B21" s="257" t="s">
        <v>1383</v>
      </c>
      <c r="C21" s="276">
        <v>44474</v>
      </c>
      <c r="D21" s="257" t="s">
        <v>1289</v>
      </c>
      <c r="E21" s="256" t="s">
        <v>1703</v>
      </c>
      <c r="F21" s="256" t="s">
        <v>1757</v>
      </c>
      <c r="G21" s="258">
        <v>28946000000</v>
      </c>
      <c r="H21" s="265">
        <v>0.1</v>
      </c>
      <c r="I21" s="258">
        <v>2894600000</v>
      </c>
      <c r="J21" s="258">
        <v>31840600000</v>
      </c>
      <c r="K21" s="256" t="s">
        <v>1346</v>
      </c>
    </row>
    <row r="22" spans="1:11" x14ac:dyDescent="0.3">
      <c r="A22" s="256">
        <v>15</v>
      </c>
      <c r="B22" s="257" t="s">
        <v>1387</v>
      </c>
      <c r="C22" s="276">
        <v>44475</v>
      </c>
      <c r="D22" s="257" t="s">
        <v>1273</v>
      </c>
      <c r="E22" s="256" t="s">
        <v>1704</v>
      </c>
      <c r="F22" s="256" t="s">
        <v>1760</v>
      </c>
      <c r="G22" s="258">
        <v>51318000000</v>
      </c>
      <c r="H22" s="265">
        <v>0.1</v>
      </c>
      <c r="I22" s="258">
        <v>5131800000</v>
      </c>
      <c r="J22" s="258">
        <v>56449800000</v>
      </c>
      <c r="K22" s="256" t="s">
        <v>1346</v>
      </c>
    </row>
    <row r="23" spans="1:11" x14ac:dyDescent="0.3">
      <c r="A23" s="256">
        <v>16</v>
      </c>
      <c r="B23" s="257" t="s">
        <v>1368</v>
      </c>
      <c r="C23" s="276">
        <v>44476</v>
      </c>
      <c r="D23" s="257" t="s">
        <v>1265</v>
      </c>
      <c r="E23" s="256" t="s">
        <v>1705</v>
      </c>
      <c r="F23" s="256" t="s">
        <v>1759</v>
      </c>
      <c r="G23" s="258">
        <v>32180000000</v>
      </c>
      <c r="H23" s="265">
        <v>0</v>
      </c>
      <c r="I23" s="258">
        <v>0</v>
      </c>
      <c r="J23" s="258">
        <v>32180000000</v>
      </c>
      <c r="K23" s="256" t="s">
        <v>1346</v>
      </c>
    </row>
    <row r="24" spans="1:11" x14ac:dyDescent="0.3">
      <c r="A24" s="256">
        <v>17</v>
      </c>
      <c r="B24" s="257" t="s">
        <v>1371</v>
      </c>
      <c r="C24" s="276">
        <v>44477</v>
      </c>
      <c r="D24" s="257" t="s">
        <v>1265</v>
      </c>
      <c r="E24" s="256" t="s">
        <v>1705</v>
      </c>
      <c r="F24" s="256" t="s">
        <v>1757</v>
      </c>
      <c r="G24" s="258">
        <v>49023000000</v>
      </c>
      <c r="H24" s="265">
        <v>0.1</v>
      </c>
      <c r="I24" s="258">
        <v>4902300000</v>
      </c>
      <c r="J24" s="258">
        <v>53925300000</v>
      </c>
      <c r="K24" s="256" t="s">
        <v>1346</v>
      </c>
    </row>
    <row r="25" spans="1:11" x14ac:dyDescent="0.3">
      <c r="A25" s="256">
        <v>18</v>
      </c>
      <c r="B25" s="257" t="s">
        <v>1205</v>
      </c>
      <c r="C25" s="276">
        <v>44478</v>
      </c>
      <c r="D25" s="257" t="s">
        <v>1267</v>
      </c>
      <c r="E25" s="256" t="s">
        <v>1701</v>
      </c>
      <c r="F25" s="256" t="s">
        <v>1756</v>
      </c>
      <c r="G25" s="258">
        <v>37711000000</v>
      </c>
      <c r="H25" s="265">
        <v>0.1</v>
      </c>
      <c r="I25" s="258">
        <v>3771100000</v>
      </c>
      <c r="J25" s="258">
        <v>41482100000</v>
      </c>
      <c r="K25" s="256" t="s">
        <v>1346</v>
      </c>
    </row>
    <row r="26" spans="1:11" x14ac:dyDescent="0.3">
      <c r="A26" s="256">
        <v>19</v>
      </c>
      <c r="B26" s="257" t="s">
        <v>1401</v>
      </c>
      <c r="C26" s="276">
        <v>44479</v>
      </c>
      <c r="D26" s="257" t="s">
        <v>1284</v>
      </c>
      <c r="E26" s="256" t="s">
        <v>1706</v>
      </c>
      <c r="F26" s="256" t="s">
        <v>1757</v>
      </c>
      <c r="G26" s="258">
        <v>42842000000</v>
      </c>
      <c r="H26" s="265">
        <v>0.1</v>
      </c>
      <c r="I26" s="258">
        <v>4284200000</v>
      </c>
      <c r="J26" s="258">
        <v>47126200000</v>
      </c>
      <c r="K26" s="256" t="s">
        <v>1346</v>
      </c>
    </row>
    <row r="27" spans="1:11" x14ac:dyDescent="0.3">
      <c r="A27" s="256">
        <v>20</v>
      </c>
      <c r="B27" s="257" t="s">
        <v>1362</v>
      </c>
      <c r="C27" s="276">
        <v>44211</v>
      </c>
      <c r="D27" s="257" t="s">
        <v>1290</v>
      </c>
      <c r="E27" s="256" t="s">
        <v>1707</v>
      </c>
      <c r="F27" s="256" t="s">
        <v>1760</v>
      </c>
      <c r="G27" s="258">
        <v>43782000000</v>
      </c>
      <c r="H27" s="265">
        <v>0</v>
      </c>
      <c r="I27" s="258">
        <v>0</v>
      </c>
      <c r="J27" s="258">
        <v>43782000000</v>
      </c>
      <c r="K27" s="256" t="s">
        <v>1348</v>
      </c>
    </row>
    <row r="28" spans="1:11" x14ac:dyDescent="0.3">
      <c r="A28" s="256">
        <v>21</v>
      </c>
      <c r="B28" s="257" t="s">
        <v>1362</v>
      </c>
      <c r="C28" s="276">
        <v>44270</v>
      </c>
      <c r="D28" s="257" t="s">
        <v>1293</v>
      </c>
      <c r="E28" s="256" t="s">
        <v>1708</v>
      </c>
      <c r="F28" s="256" t="s">
        <v>1757</v>
      </c>
      <c r="G28" s="258">
        <v>27930000000</v>
      </c>
      <c r="H28" s="265">
        <v>0.1</v>
      </c>
      <c r="I28" s="258">
        <v>2793000000</v>
      </c>
      <c r="J28" s="258">
        <v>30723000000</v>
      </c>
      <c r="K28" s="256" t="s">
        <v>1346</v>
      </c>
    </row>
    <row r="29" spans="1:11" x14ac:dyDescent="0.3">
      <c r="A29" s="256">
        <v>22</v>
      </c>
      <c r="B29" s="257" t="s">
        <v>1388</v>
      </c>
      <c r="C29" s="276">
        <v>44301</v>
      </c>
      <c r="D29" s="257" t="s">
        <v>1285</v>
      </c>
      <c r="E29" s="256" t="s">
        <v>1709</v>
      </c>
      <c r="F29" s="256" t="s">
        <v>1758</v>
      </c>
      <c r="G29" s="258">
        <v>22364000000</v>
      </c>
      <c r="H29" s="265">
        <v>0.1</v>
      </c>
      <c r="I29" s="258">
        <v>2236400000</v>
      </c>
      <c r="J29" s="258">
        <v>24600400000</v>
      </c>
      <c r="K29" s="256" t="s">
        <v>1346</v>
      </c>
    </row>
    <row r="30" spans="1:11" x14ac:dyDescent="0.3">
      <c r="A30" s="256">
        <v>23</v>
      </c>
      <c r="B30" s="257" t="s">
        <v>1358</v>
      </c>
      <c r="C30" s="276">
        <v>44392</v>
      </c>
      <c r="D30" s="257" t="s">
        <v>1291</v>
      </c>
      <c r="E30" s="256" t="s">
        <v>1710</v>
      </c>
      <c r="F30" s="256" t="s">
        <v>1758</v>
      </c>
      <c r="G30" s="258">
        <v>37535000000</v>
      </c>
      <c r="H30" s="265">
        <v>0.1</v>
      </c>
      <c r="I30" s="258">
        <v>3753500000</v>
      </c>
      <c r="J30" s="258">
        <v>41288500000</v>
      </c>
      <c r="K30" s="256" t="s">
        <v>1346</v>
      </c>
    </row>
    <row r="31" spans="1:11" x14ac:dyDescent="0.3">
      <c r="A31" s="256">
        <v>24</v>
      </c>
      <c r="B31" s="257" t="s">
        <v>1401</v>
      </c>
      <c r="C31" s="276">
        <v>44423</v>
      </c>
      <c r="D31" s="257" t="s">
        <v>1277</v>
      </c>
      <c r="E31" s="256" t="s">
        <v>1711</v>
      </c>
      <c r="F31" s="256" t="s">
        <v>1760</v>
      </c>
      <c r="G31" s="258">
        <v>28437000000</v>
      </c>
      <c r="H31" s="265">
        <v>0.1</v>
      </c>
      <c r="I31" s="258">
        <v>2843700000</v>
      </c>
      <c r="J31" s="258">
        <v>31280700000</v>
      </c>
      <c r="K31" s="256" t="s">
        <v>1346</v>
      </c>
    </row>
    <row r="32" spans="1:11" x14ac:dyDescent="0.3">
      <c r="A32" s="256">
        <v>25</v>
      </c>
      <c r="B32" s="257" t="s">
        <v>1402</v>
      </c>
      <c r="C32" s="276">
        <v>44454</v>
      </c>
      <c r="D32" s="257" t="s">
        <v>1277</v>
      </c>
      <c r="E32" s="256" t="s">
        <v>1711</v>
      </c>
      <c r="F32" s="256" t="s">
        <v>1755</v>
      </c>
      <c r="G32" s="258">
        <v>32899000000</v>
      </c>
      <c r="H32" s="265">
        <v>0.1</v>
      </c>
      <c r="I32" s="258">
        <v>3289900000</v>
      </c>
      <c r="J32" s="258">
        <v>36188900000</v>
      </c>
      <c r="K32" s="256" t="s">
        <v>1346</v>
      </c>
    </row>
    <row r="33" spans="1:11" x14ac:dyDescent="0.3">
      <c r="A33" s="256">
        <v>26</v>
      </c>
      <c r="B33" s="257" t="s">
        <v>1396</v>
      </c>
      <c r="C33" s="276">
        <v>44484</v>
      </c>
      <c r="D33" s="257" t="s">
        <v>1259</v>
      </c>
      <c r="E33" s="256" t="s">
        <v>1700</v>
      </c>
      <c r="F33" s="256" t="s">
        <v>1756</v>
      </c>
      <c r="G33" s="258">
        <v>41986000000</v>
      </c>
      <c r="H33" s="265">
        <v>0.1</v>
      </c>
      <c r="I33" s="258">
        <v>4198600000</v>
      </c>
      <c r="J33" s="258">
        <v>46184600000</v>
      </c>
      <c r="K33" s="256" t="s">
        <v>1346</v>
      </c>
    </row>
    <row r="34" spans="1:11" x14ac:dyDescent="0.3">
      <c r="A34" s="256">
        <v>27</v>
      </c>
      <c r="B34" s="257" t="s">
        <v>1364</v>
      </c>
      <c r="C34" s="276">
        <v>44545</v>
      </c>
      <c r="D34" s="257" t="s">
        <v>1290</v>
      </c>
      <c r="E34" s="256" t="s">
        <v>1707</v>
      </c>
      <c r="F34" s="256" t="s">
        <v>1755</v>
      </c>
      <c r="G34" s="258">
        <v>43205000000</v>
      </c>
      <c r="H34" s="265">
        <v>0.1</v>
      </c>
      <c r="I34" s="258">
        <v>4320500000</v>
      </c>
      <c r="J34" s="258">
        <v>47525500000</v>
      </c>
      <c r="K34" s="256" t="s">
        <v>1346</v>
      </c>
    </row>
    <row r="35" spans="1:11" x14ac:dyDescent="0.3">
      <c r="A35" s="256">
        <v>28</v>
      </c>
      <c r="B35" s="257" t="s">
        <v>1385</v>
      </c>
      <c r="C35" s="276">
        <v>44275</v>
      </c>
      <c r="D35" s="257" t="s">
        <v>1272</v>
      </c>
      <c r="E35" s="256" t="s">
        <v>1712</v>
      </c>
      <c r="F35" s="256" t="s">
        <v>1759</v>
      </c>
      <c r="G35" s="258">
        <v>47121000000</v>
      </c>
      <c r="H35" s="265">
        <v>0</v>
      </c>
      <c r="I35" s="258">
        <v>0</v>
      </c>
      <c r="J35" s="258">
        <v>47121000000</v>
      </c>
      <c r="K35" s="256" t="s">
        <v>1346</v>
      </c>
    </row>
    <row r="36" spans="1:11" x14ac:dyDescent="0.3">
      <c r="A36" s="256">
        <v>29</v>
      </c>
      <c r="B36" s="257" t="s">
        <v>1382</v>
      </c>
      <c r="C36" s="276">
        <v>44306</v>
      </c>
      <c r="D36" s="257" t="s">
        <v>1270</v>
      </c>
      <c r="E36" s="256" t="s">
        <v>1702</v>
      </c>
      <c r="F36" s="256" t="s">
        <v>1758</v>
      </c>
      <c r="G36" s="258">
        <v>44144000000</v>
      </c>
      <c r="H36" s="265">
        <v>0.1</v>
      </c>
      <c r="I36" s="258">
        <v>4414400000</v>
      </c>
      <c r="J36" s="258">
        <v>48558400000</v>
      </c>
      <c r="K36" s="256" t="s">
        <v>1346</v>
      </c>
    </row>
    <row r="37" spans="1:11" x14ac:dyDescent="0.3">
      <c r="A37" s="256">
        <v>30</v>
      </c>
      <c r="B37" s="257" t="s">
        <v>1397</v>
      </c>
      <c r="C37" s="276">
        <v>44367</v>
      </c>
      <c r="D37" s="257" t="s">
        <v>1279</v>
      </c>
      <c r="E37" s="256" t="s">
        <v>1713</v>
      </c>
      <c r="F37" s="256" t="s">
        <v>1755</v>
      </c>
      <c r="G37" s="258">
        <v>43224000000</v>
      </c>
      <c r="H37" s="265">
        <v>0.1</v>
      </c>
      <c r="I37" s="258">
        <v>4322400000</v>
      </c>
      <c r="J37" s="258">
        <v>47546400000</v>
      </c>
      <c r="K37" s="256" t="s">
        <v>1346</v>
      </c>
    </row>
    <row r="38" spans="1:11" x14ac:dyDescent="0.3">
      <c r="A38" s="256">
        <v>31</v>
      </c>
      <c r="B38" s="257" t="s">
        <v>1396</v>
      </c>
      <c r="C38" s="276">
        <v>44397</v>
      </c>
      <c r="D38" s="257" t="s">
        <v>1278</v>
      </c>
      <c r="E38" s="256" t="s">
        <v>1714</v>
      </c>
      <c r="F38" s="256" t="s">
        <v>1755</v>
      </c>
      <c r="G38" s="258">
        <v>39538000000</v>
      </c>
      <c r="H38" s="265">
        <v>0.1</v>
      </c>
      <c r="I38" s="258">
        <v>3953800000</v>
      </c>
      <c r="J38" s="258">
        <v>43491800000</v>
      </c>
      <c r="K38" s="256" t="s">
        <v>1346</v>
      </c>
    </row>
    <row r="39" spans="1:11" x14ac:dyDescent="0.3">
      <c r="A39" s="256">
        <v>32</v>
      </c>
      <c r="B39" s="257" t="s">
        <v>1203</v>
      </c>
      <c r="C39" s="276">
        <v>44428</v>
      </c>
      <c r="D39" s="257" t="s">
        <v>1289</v>
      </c>
      <c r="E39" s="256" t="s">
        <v>1703</v>
      </c>
      <c r="F39" s="256" t="s">
        <v>1756</v>
      </c>
      <c r="G39" s="258">
        <v>39134000000</v>
      </c>
      <c r="H39" s="265">
        <v>0.1</v>
      </c>
      <c r="I39" s="258">
        <v>3913400000</v>
      </c>
      <c r="J39" s="258">
        <v>43047400000</v>
      </c>
      <c r="K39" s="256" t="s">
        <v>1346</v>
      </c>
    </row>
    <row r="40" spans="1:11" x14ac:dyDescent="0.3">
      <c r="A40" s="256">
        <v>33</v>
      </c>
      <c r="B40" s="257" t="s">
        <v>1383</v>
      </c>
      <c r="C40" s="276">
        <v>44459</v>
      </c>
      <c r="D40" s="257" t="s">
        <v>1270</v>
      </c>
      <c r="E40" s="256" t="s">
        <v>1702</v>
      </c>
      <c r="F40" s="256" t="s">
        <v>1759</v>
      </c>
      <c r="G40" s="258">
        <v>25900000000</v>
      </c>
      <c r="H40" s="265">
        <v>0</v>
      </c>
      <c r="I40" s="258">
        <v>0</v>
      </c>
      <c r="J40" s="258">
        <v>25900000000</v>
      </c>
      <c r="K40" s="256" t="s">
        <v>1346</v>
      </c>
    </row>
    <row r="41" spans="1:11" x14ac:dyDescent="0.3">
      <c r="A41" s="256">
        <v>34</v>
      </c>
      <c r="B41" s="257" t="s">
        <v>1204</v>
      </c>
      <c r="C41" s="276">
        <v>44520</v>
      </c>
      <c r="D41" s="257" t="s">
        <v>1256</v>
      </c>
      <c r="E41" s="256" t="s">
        <v>1698</v>
      </c>
      <c r="F41" s="256" t="s">
        <v>1756</v>
      </c>
      <c r="G41" s="258">
        <v>49913000000</v>
      </c>
      <c r="H41" s="265">
        <v>0.1</v>
      </c>
      <c r="I41" s="258">
        <v>4991300000</v>
      </c>
      <c r="J41" s="258">
        <v>54904300000</v>
      </c>
      <c r="K41" s="256" t="s">
        <v>1346</v>
      </c>
    </row>
    <row r="42" spans="1:11" x14ac:dyDescent="0.3">
      <c r="A42" s="256">
        <v>35</v>
      </c>
      <c r="B42" s="257" t="s">
        <v>1397</v>
      </c>
      <c r="C42" s="276">
        <v>44221</v>
      </c>
      <c r="D42" s="257" t="s">
        <v>1278</v>
      </c>
      <c r="E42" s="256" t="s">
        <v>1714</v>
      </c>
      <c r="F42" s="256" t="s">
        <v>1755</v>
      </c>
      <c r="G42" s="258">
        <v>32169000000</v>
      </c>
      <c r="H42" s="265">
        <v>0.1</v>
      </c>
      <c r="I42" s="258">
        <v>3216900000</v>
      </c>
      <c r="J42" s="258">
        <v>35385900000</v>
      </c>
      <c r="K42" s="256" t="s">
        <v>1346</v>
      </c>
    </row>
    <row r="43" spans="1:11" x14ac:dyDescent="0.3">
      <c r="A43" s="256">
        <v>36</v>
      </c>
      <c r="B43" s="257" t="s">
        <v>1376</v>
      </c>
      <c r="C43" s="276">
        <v>44252</v>
      </c>
      <c r="D43" s="257" t="s">
        <v>1269</v>
      </c>
      <c r="E43" s="256" t="s">
        <v>1715</v>
      </c>
      <c r="F43" s="256" t="s">
        <v>1760</v>
      </c>
      <c r="G43" s="258">
        <v>28879000000</v>
      </c>
      <c r="H43" s="265">
        <v>0.1</v>
      </c>
      <c r="I43" s="258">
        <v>2887900000</v>
      </c>
      <c r="J43" s="258">
        <v>31766900000</v>
      </c>
      <c r="K43" s="256" t="s">
        <v>1346</v>
      </c>
    </row>
    <row r="44" spans="1:11" x14ac:dyDescent="0.3">
      <c r="A44" s="256">
        <v>37</v>
      </c>
      <c r="B44" s="257" t="s">
        <v>1392</v>
      </c>
      <c r="C44" s="276">
        <v>44280</v>
      </c>
      <c r="D44" s="257" t="s">
        <v>1260</v>
      </c>
      <c r="E44" s="256" t="s">
        <v>1716</v>
      </c>
      <c r="F44" s="256" t="s">
        <v>1760</v>
      </c>
      <c r="G44" s="258">
        <v>36080000000</v>
      </c>
      <c r="H44" s="265">
        <v>0.1</v>
      </c>
      <c r="I44" s="258">
        <v>3608000000</v>
      </c>
      <c r="J44" s="258">
        <v>39688000000</v>
      </c>
      <c r="K44" s="256" t="s">
        <v>1348</v>
      </c>
    </row>
    <row r="45" spans="1:11" x14ac:dyDescent="0.3">
      <c r="A45" s="256">
        <v>38</v>
      </c>
      <c r="B45" s="257" t="s">
        <v>1398</v>
      </c>
      <c r="C45" s="276">
        <v>44311</v>
      </c>
      <c r="D45" s="257" t="s">
        <v>1279</v>
      </c>
      <c r="E45" s="256" t="s">
        <v>1713</v>
      </c>
      <c r="F45" s="256" t="s">
        <v>1759</v>
      </c>
      <c r="G45" s="258">
        <v>22465000000</v>
      </c>
      <c r="H45" s="265">
        <v>0.1</v>
      </c>
      <c r="I45" s="258">
        <v>2246500000</v>
      </c>
      <c r="J45" s="258">
        <v>24711500000</v>
      </c>
      <c r="K45" s="256" t="s">
        <v>1346</v>
      </c>
    </row>
    <row r="46" spans="1:11" x14ac:dyDescent="0.3">
      <c r="A46" s="256">
        <v>39</v>
      </c>
      <c r="B46" s="257" t="s">
        <v>1402</v>
      </c>
      <c r="C46" s="276">
        <v>44372</v>
      </c>
      <c r="D46" s="257" t="s">
        <v>1284</v>
      </c>
      <c r="E46" s="256" t="s">
        <v>1706</v>
      </c>
      <c r="F46" s="256" t="s">
        <v>1759</v>
      </c>
      <c r="G46" s="258">
        <v>24104000000</v>
      </c>
      <c r="H46" s="265">
        <v>0.1</v>
      </c>
      <c r="I46" s="258">
        <v>2410400000</v>
      </c>
      <c r="J46" s="258">
        <v>26514400000</v>
      </c>
      <c r="K46" s="256" t="s">
        <v>1346</v>
      </c>
    </row>
    <row r="47" spans="1:11" x14ac:dyDescent="0.3">
      <c r="A47" s="256">
        <v>40</v>
      </c>
      <c r="B47" s="257" t="s">
        <v>1396</v>
      </c>
      <c r="C47" s="276">
        <v>44433</v>
      </c>
      <c r="D47" s="257" t="s">
        <v>1263</v>
      </c>
      <c r="E47" s="256" t="s">
        <v>1717</v>
      </c>
      <c r="F47" s="256" t="s">
        <v>1757</v>
      </c>
      <c r="G47" s="258">
        <v>18325000000</v>
      </c>
      <c r="H47" s="265">
        <v>0.1</v>
      </c>
      <c r="I47" s="258">
        <v>1832500000</v>
      </c>
      <c r="J47" s="258">
        <v>20157500000</v>
      </c>
      <c r="K47" s="256" t="s">
        <v>1346</v>
      </c>
    </row>
    <row r="48" spans="1:11" x14ac:dyDescent="0.3">
      <c r="A48" s="256">
        <v>41</v>
      </c>
      <c r="B48" s="257" t="s">
        <v>1396</v>
      </c>
      <c r="C48" s="276">
        <v>44494</v>
      </c>
      <c r="D48" s="257" t="s">
        <v>1276</v>
      </c>
      <c r="E48" s="256" t="s">
        <v>1696</v>
      </c>
      <c r="F48" s="256" t="s">
        <v>1757</v>
      </c>
      <c r="G48" s="258">
        <v>38448000000</v>
      </c>
      <c r="H48" s="265">
        <v>0.1</v>
      </c>
      <c r="I48" s="258">
        <v>3844800000</v>
      </c>
      <c r="J48" s="258">
        <v>42292800000</v>
      </c>
      <c r="K48" s="256" t="s">
        <v>1346</v>
      </c>
    </row>
    <row r="49" spans="1:11" x14ac:dyDescent="0.3">
      <c r="A49" s="256">
        <v>42</v>
      </c>
      <c r="B49" s="257" t="s">
        <v>1205</v>
      </c>
      <c r="C49" s="276">
        <v>44555</v>
      </c>
      <c r="D49" s="257" t="s">
        <v>1256</v>
      </c>
      <c r="E49" s="256" t="s">
        <v>1698</v>
      </c>
      <c r="F49" s="256" t="s">
        <v>1758</v>
      </c>
      <c r="G49" s="258">
        <v>19934000000</v>
      </c>
      <c r="H49" s="265">
        <v>0.1</v>
      </c>
      <c r="I49" s="258">
        <v>1993400000</v>
      </c>
      <c r="J49" s="258">
        <v>21927400000</v>
      </c>
      <c r="K49" s="256" t="s">
        <v>1346</v>
      </c>
    </row>
    <row r="50" spans="1:11" x14ac:dyDescent="0.3">
      <c r="A50" s="256">
        <v>43</v>
      </c>
      <c r="B50" s="257" t="s">
        <v>1397</v>
      </c>
      <c r="C50" s="276">
        <v>44255</v>
      </c>
      <c r="D50" s="257" t="s">
        <v>1263</v>
      </c>
      <c r="E50" s="256" t="s">
        <v>1717</v>
      </c>
      <c r="F50" s="256" t="s">
        <v>1756</v>
      </c>
      <c r="G50" s="258">
        <v>30141000000</v>
      </c>
      <c r="H50" s="265">
        <v>0.1</v>
      </c>
      <c r="I50" s="258">
        <v>3014100000</v>
      </c>
      <c r="J50" s="258">
        <v>33155100000</v>
      </c>
      <c r="K50" s="256" t="s">
        <v>1346</v>
      </c>
    </row>
    <row r="51" spans="1:11" x14ac:dyDescent="0.3">
      <c r="A51" s="256">
        <v>44</v>
      </c>
      <c r="B51" s="257" t="s">
        <v>1204</v>
      </c>
      <c r="C51" s="276">
        <v>44316</v>
      </c>
      <c r="D51" s="257" t="s">
        <v>1289</v>
      </c>
      <c r="E51" s="256" t="s">
        <v>1703</v>
      </c>
      <c r="F51" s="256" t="s">
        <v>1759</v>
      </c>
      <c r="G51" s="258">
        <v>30403000000</v>
      </c>
      <c r="H51" s="265">
        <v>0.1</v>
      </c>
      <c r="I51" s="258">
        <v>3040300000</v>
      </c>
      <c r="J51" s="258">
        <v>33443300000</v>
      </c>
      <c r="K51" s="256" t="s">
        <v>1346</v>
      </c>
    </row>
    <row r="52" spans="1:11" x14ac:dyDescent="0.3">
      <c r="A52" s="256">
        <v>45</v>
      </c>
      <c r="B52" s="257" t="s">
        <v>1392</v>
      </c>
      <c r="C52" s="276">
        <v>44377</v>
      </c>
      <c r="D52" s="257" t="s">
        <v>1268</v>
      </c>
      <c r="E52" s="256" t="s">
        <v>1718</v>
      </c>
      <c r="F52" s="256" t="s">
        <v>1758</v>
      </c>
      <c r="G52" s="258">
        <v>21923000000</v>
      </c>
      <c r="H52" s="265">
        <v>0.1</v>
      </c>
      <c r="I52" s="258">
        <v>2192300000</v>
      </c>
      <c r="J52" s="258">
        <v>24115300000</v>
      </c>
      <c r="K52" s="256" t="s">
        <v>1346</v>
      </c>
    </row>
    <row r="53" spans="1:11" x14ac:dyDescent="0.3">
      <c r="A53" s="256">
        <v>46</v>
      </c>
      <c r="B53" s="257" t="s">
        <v>1374</v>
      </c>
      <c r="C53" s="276">
        <v>44469</v>
      </c>
      <c r="D53" s="257" t="s">
        <v>1271</v>
      </c>
      <c r="E53" s="256" t="s">
        <v>1719</v>
      </c>
      <c r="F53" s="256" t="s">
        <v>1755</v>
      </c>
      <c r="G53" s="258">
        <v>25823000000</v>
      </c>
      <c r="H53" s="265">
        <v>0.1</v>
      </c>
      <c r="I53" s="258">
        <v>2582300000</v>
      </c>
      <c r="J53" s="258">
        <v>28405300000</v>
      </c>
      <c r="K53" s="256" t="s">
        <v>1346</v>
      </c>
    </row>
    <row r="54" spans="1:11" x14ac:dyDescent="0.3">
      <c r="A54" s="256">
        <v>47</v>
      </c>
      <c r="B54" s="257" t="s">
        <v>1394</v>
      </c>
      <c r="C54" s="276">
        <v>44286</v>
      </c>
      <c r="D54" s="257" t="s">
        <v>1275</v>
      </c>
      <c r="E54" s="256" t="s">
        <v>1720</v>
      </c>
      <c r="F54" s="256" t="s">
        <v>1757</v>
      </c>
      <c r="G54" s="258">
        <v>35473000000</v>
      </c>
      <c r="H54" s="265">
        <v>0.1</v>
      </c>
      <c r="I54" s="258">
        <v>3547300000</v>
      </c>
      <c r="J54" s="258">
        <v>39020300000</v>
      </c>
      <c r="K54" s="256" t="s">
        <v>1346</v>
      </c>
    </row>
    <row r="55" spans="1:11" x14ac:dyDescent="0.3">
      <c r="A55" s="256">
        <v>48</v>
      </c>
      <c r="B55" s="257" t="s">
        <v>1364</v>
      </c>
      <c r="C55" s="276">
        <v>44347</v>
      </c>
      <c r="D55" s="257" t="s">
        <v>1293</v>
      </c>
      <c r="E55" s="256" t="s">
        <v>1708</v>
      </c>
      <c r="F55" s="256" t="s">
        <v>1756</v>
      </c>
      <c r="G55" s="258">
        <v>30382000000</v>
      </c>
      <c r="H55" s="265">
        <v>0.1</v>
      </c>
      <c r="I55" s="258">
        <v>3038200000</v>
      </c>
      <c r="J55" s="258">
        <v>33420200000</v>
      </c>
      <c r="K55" s="256" t="s">
        <v>1346</v>
      </c>
    </row>
    <row r="56" spans="1:11" x14ac:dyDescent="0.3">
      <c r="A56" s="256">
        <v>49</v>
      </c>
      <c r="B56" s="257" t="s">
        <v>1397</v>
      </c>
      <c r="C56" s="276">
        <v>44500</v>
      </c>
      <c r="D56" s="257" t="s">
        <v>1276</v>
      </c>
      <c r="E56" s="256" t="s">
        <v>1696</v>
      </c>
      <c r="F56" s="256" t="s">
        <v>1758</v>
      </c>
      <c r="G56" s="258">
        <v>47134000000</v>
      </c>
      <c r="H56" s="265">
        <v>0.1</v>
      </c>
      <c r="I56" s="258">
        <v>4713400000</v>
      </c>
      <c r="J56" s="258">
        <v>51847400000</v>
      </c>
      <c r="K56" s="256" t="s">
        <v>1346</v>
      </c>
    </row>
    <row r="57" spans="1:11" x14ac:dyDescent="0.3">
      <c r="A57" s="256">
        <v>50</v>
      </c>
      <c r="B57" s="257" t="s">
        <v>1382</v>
      </c>
      <c r="C57" s="276">
        <v>44561</v>
      </c>
      <c r="D57" s="257" t="s">
        <v>1255</v>
      </c>
      <c r="E57" s="256" t="s">
        <v>1688</v>
      </c>
      <c r="F57" s="256" t="s">
        <v>1756</v>
      </c>
      <c r="G57" s="258">
        <v>36484000000</v>
      </c>
      <c r="H57" s="265">
        <v>0.1</v>
      </c>
      <c r="I57" s="258">
        <v>3648400000</v>
      </c>
      <c r="J57" s="258">
        <v>40132400000</v>
      </c>
      <c r="K57" s="256" t="s">
        <v>1346</v>
      </c>
    </row>
    <row r="58" spans="1:11" x14ac:dyDescent="0.3">
      <c r="A58" s="266" t="s">
        <v>1351</v>
      </c>
      <c r="B58" s="266"/>
      <c r="C58" s="266"/>
      <c r="D58" s="266"/>
      <c r="E58" s="266"/>
      <c r="F58" s="266"/>
      <c r="G58" s="267">
        <f>SUM(G8:G57)</f>
        <v>1687817000000</v>
      </c>
      <c r="H58" s="266"/>
      <c r="I58" s="267">
        <f>SUM(I8:I57)</f>
        <v>149274200000</v>
      </c>
      <c r="J58" s="267">
        <f>SUM(J8:J57)</f>
        <v>1837091200000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1700</v>
      </c>
      <c r="F62" s="256" t="s">
        <v>1761</v>
      </c>
      <c r="G62" s="258">
        <v>47145000000</v>
      </c>
      <c r="H62" s="265">
        <v>0.1</v>
      </c>
      <c r="I62" s="258">
        <v>4714500000</v>
      </c>
      <c r="J62" s="258">
        <v>51859500000</v>
      </c>
      <c r="K62" s="256" t="s">
        <v>1346</v>
      </c>
    </row>
    <row r="63" spans="1:11" x14ac:dyDescent="0.3">
      <c r="A63" s="256">
        <v>2</v>
      </c>
      <c r="B63" s="257" t="s">
        <v>1201</v>
      </c>
      <c r="C63" s="276">
        <v>44318</v>
      </c>
      <c r="D63" s="257" t="s">
        <v>1262</v>
      </c>
      <c r="E63" s="256" t="s">
        <v>1728</v>
      </c>
      <c r="F63" s="256" t="s">
        <v>1762</v>
      </c>
      <c r="G63" s="258">
        <v>68970000000</v>
      </c>
      <c r="H63" s="265">
        <v>0.1</v>
      </c>
      <c r="I63" s="258">
        <v>6897000000</v>
      </c>
      <c r="J63" s="258">
        <v>75867000000</v>
      </c>
      <c r="K63" s="256" t="s">
        <v>1346</v>
      </c>
    </row>
    <row r="64" spans="1:11" x14ac:dyDescent="0.3">
      <c r="A64" s="256">
        <v>3</v>
      </c>
      <c r="B64" s="257" t="s">
        <v>1202</v>
      </c>
      <c r="C64" s="276">
        <v>44320</v>
      </c>
      <c r="D64" s="257" t="s">
        <v>1267</v>
      </c>
      <c r="E64" s="256" t="s">
        <v>1701</v>
      </c>
      <c r="F64" s="256" t="s">
        <v>1763</v>
      </c>
      <c r="G64" s="258">
        <v>70609000000</v>
      </c>
      <c r="H64" s="265">
        <v>0.1</v>
      </c>
      <c r="I64" s="258">
        <v>7060900000</v>
      </c>
      <c r="J64" s="258">
        <v>77669900000</v>
      </c>
      <c r="K64" s="256" t="s">
        <v>1346</v>
      </c>
    </row>
    <row r="65" spans="1:11" x14ac:dyDescent="0.3">
      <c r="A65" s="256">
        <v>4</v>
      </c>
      <c r="B65" s="257" t="s">
        <v>1355</v>
      </c>
      <c r="C65" s="276">
        <v>44321</v>
      </c>
      <c r="D65" s="257" t="s">
        <v>1277</v>
      </c>
      <c r="E65" s="256" t="s">
        <v>1711</v>
      </c>
      <c r="F65" s="256" t="s">
        <v>1764</v>
      </c>
      <c r="G65" s="258">
        <v>28468000000</v>
      </c>
      <c r="H65" s="265">
        <v>0.1</v>
      </c>
      <c r="I65" s="258">
        <v>2846800000</v>
      </c>
      <c r="J65" s="258">
        <v>31314800000</v>
      </c>
      <c r="K65" s="256" t="s">
        <v>1346</v>
      </c>
    </row>
    <row r="66" spans="1:11" x14ac:dyDescent="0.3">
      <c r="A66" s="256">
        <v>5</v>
      </c>
      <c r="B66" s="257" t="s">
        <v>1356</v>
      </c>
      <c r="C66" s="276">
        <v>44323</v>
      </c>
      <c r="D66" s="257" t="s">
        <v>1270</v>
      </c>
      <c r="E66" s="256" t="s">
        <v>1702</v>
      </c>
      <c r="F66" s="256" t="s">
        <v>1762</v>
      </c>
      <c r="G66" s="258">
        <v>24002000000</v>
      </c>
      <c r="H66" s="265">
        <v>0.1</v>
      </c>
      <c r="I66" s="258">
        <v>2400200000</v>
      </c>
      <c r="J66" s="258">
        <v>26402200000</v>
      </c>
      <c r="K66" s="256" t="s">
        <v>1346</v>
      </c>
    </row>
    <row r="67" spans="1:11" x14ac:dyDescent="0.3">
      <c r="A67" s="256">
        <v>6</v>
      </c>
      <c r="B67" s="257" t="s">
        <v>1358</v>
      </c>
      <c r="C67" s="276">
        <v>44324</v>
      </c>
      <c r="D67" s="257" t="s">
        <v>1290</v>
      </c>
      <c r="E67" s="256" t="s">
        <v>1707</v>
      </c>
      <c r="F67" s="256" t="s">
        <v>1762</v>
      </c>
      <c r="G67" s="258">
        <v>40116000000</v>
      </c>
      <c r="H67" s="265">
        <v>0.1</v>
      </c>
      <c r="I67" s="258">
        <v>4011600000</v>
      </c>
      <c r="J67" s="258">
        <v>44127600000</v>
      </c>
      <c r="K67" s="256" t="s">
        <v>1346</v>
      </c>
    </row>
    <row r="68" spans="1:11" x14ac:dyDescent="0.3">
      <c r="A68" s="256">
        <v>7</v>
      </c>
      <c r="B68" s="257" t="s">
        <v>1360</v>
      </c>
      <c r="C68" s="276">
        <v>44325</v>
      </c>
      <c r="D68" s="257" t="s">
        <v>1275</v>
      </c>
      <c r="E68" s="256" t="s">
        <v>1720</v>
      </c>
      <c r="F68" s="256" t="s">
        <v>1763</v>
      </c>
      <c r="G68" s="258">
        <v>41560000000</v>
      </c>
      <c r="H68" s="265">
        <v>0.1</v>
      </c>
      <c r="I68" s="258">
        <v>4156000000</v>
      </c>
      <c r="J68" s="258">
        <v>45716000000</v>
      </c>
      <c r="K68" s="256" t="s">
        <v>1348</v>
      </c>
    </row>
    <row r="69" spans="1:11" x14ac:dyDescent="0.3">
      <c r="A69" s="256">
        <v>8</v>
      </c>
      <c r="B69" s="257" t="s">
        <v>1362</v>
      </c>
      <c r="C69" s="276">
        <v>44326</v>
      </c>
      <c r="D69" s="257" t="s">
        <v>1255</v>
      </c>
      <c r="E69" s="256" t="s">
        <v>1688</v>
      </c>
      <c r="F69" s="256" t="s">
        <v>1764</v>
      </c>
      <c r="G69" s="258">
        <v>46993000000</v>
      </c>
      <c r="H69" s="265">
        <v>0.1</v>
      </c>
      <c r="I69" s="258">
        <v>4699300000</v>
      </c>
      <c r="J69" s="258">
        <v>51692300000</v>
      </c>
      <c r="K69" s="256" t="s">
        <v>1346</v>
      </c>
    </row>
    <row r="70" spans="1:11" x14ac:dyDescent="0.3">
      <c r="A70" s="256">
        <v>9</v>
      </c>
      <c r="B70" s="257" t="s">
        <v>1364</v>
      </c>
      <c r="C70" s="276">
        <v>44327</v>
      </c>
      <c r="D70" s="257" t="s">
        <v>1264</v>
      </c>
      <c r="E70" s="256" t="s">
        <v>1749</v>
      </c>
      <c r="F70" s="256" t="s">
        <v>1761</v>
      </c>
      <c r="G70" s="258">
        <v>43083000000</v>
      </c>
      <c r="H70" s="265">
        <v>0.1</v>
      </c>
      <c r="I70" s="258">
        <v>4308300000</v>
      </c>
      <c r="J70" s="258">
        <v>47391300000</v>
      </c>
      <c r="K70" s="256" t="s">
        <v>1346</v>
      </c>
    </row>
    <row r="71" spans="1:11" x14ac:dyDescent="0.3">
      <c r="A71" s="256">
        <v>10</v>
      </c>
      <c r="B71" s="257" t="s">
        <v>1366</v>
      </c>
      <c r="C71" s="276">
        <v>44328</v>
      </c>
      <c r="D71" s="257" t="s">
        <v>1258</v>
      </c>
      <c r="E71" s="256" t="s">
        <v>1694</v>
      </c>
      <c r="F71" s="256" t="s">
        <v>1764</v>
      </c>
      <c r="G71" s="258">
        <v>65845000000</v>
      </c>
      <c r="H71" s="265">
        <v>0.1</v>
      </c>
      <c r="I71" s="258">
        <v>6584500000</v>
      </c>
      <c r="J71" s="258">
        <v>72429500000</v>
      </c>
      <c r="K71" s="256" t="s">
        <v>1348</v>
      </c>
    </row>
    <row r="72" spans="1:11" x14ac:dyDescent="0.3">
      <c r="A72" s="256">
        <v>11</v>
      </c>
      <c r="B72" s="257" t="s">
        <v>1368</v>
      </c>
      <c r="C72" s="276">
        <v>44471</v>
      </c>
      <c r="D72" s="257" t="s">
        <v>1261</v>
      </c>
      <c r="E72" s="256" t="s">
        <v>1765</v>
      </c>
      <c r="F72" s="256" t="s">
        <v>1764</v>
      </c>
      <c r="G72" s="258">
        <v>31026000000</v>
      </c>
      <c r="H72" s="265">
        <v>0</v>
      </c>
      <c r="I72" s="258">
        <v>0</v>
      </c>
      <c r="J72" s="258">
        <v>31026000000</v>
      </c>
      <c r="K72" s="256" t="s">
        <v>1346</v>
      </c>
    </row>
    <row r="73" spans="1:11" x14ac:dyDescent="0.3">
      <c r="A73" s="256">
        <v>12</v>
      </c>
      <c r="B73" s="257" t="s">
        <v>1371</v>
      </c>
      <c r="C73" s="276">
        <v>44472</v>
      </c>
      <c r="D73" s="257" t="s">
        <v>1269</v>
      </c>
      <c r="E73" s="256" t="s">
        <v>1715</v>
      </c>
      <c r="F73" s="256" t="s">
        <v>1762</v>
      </c>
      <c r="G73" s="258">
        <v>37217000000</v>
      </c>
      <c r="H73" s="265">
        <v>0.1</v>
      </c>
      <c r="I73" s="258">
        <v>3721700000</v>
      </c>
      <c r="J73" s="258">
        <v>40938700000</v>
      </c>
      <c r="K73" s="256" t="s">
        <v>1346</v>
      </c>
    </row>
    <row r="74" spans="1:11" x14ac:dyDescent="0.3">
      <c r="A74" s="256">
        <v>13</v>
      </c>
      <c r="B74" s="257" t="s">
        <v>1373</v>
      </c>
      <c r="C74" s="276">
        <v>44474</v>
      </c>
      <c r="D74" s="257" t="s">
        <v>1280</v>
      </c>
      <c r="E74" s="256" t="s">
        <v>1726</v>
      </c>
      <c r="F74" s="256" t="s">
        <v>1763</v>
      </c>
      <c r="G74" s="258">
        <v>36822000000</v>
      </c>
      <c r="H74" s="265">
        <v>0.1</v>
      </c>
      <c r="I74" s="258">
        <v>3682200000</v>
      </c>
      <c r="J74" s="258">
        <v>40504200000</v>
      </c>
      <c r="K74" s="256" t="s">
        <v>1348</v>
      </c>
    </row>
    <row r="75" spans="1:11" x14ac:dyDescent="0.3">
      <c r="A75" s="256">
        <v>14</v>
      </c>
      <c r="B75" s="257" t="s">
        <v>1374</v>
      </c>
      <c r="C75" s="276">
        <v>44475</v>
      </c>
      <c r="D75" s="257" t="s">
        <v>1264</v>
      </c>
      <c r="E75" s="256" t="s">
        <v>1749</v>
      </c>
      <c r="F75" s="256" t="s">
        <v>1763</v>
      </c>
      <c r="G75" s="258">
        <v>37285000000</v>
      </c>
      <c r="H75" s="265">
        <v>0.1</v>
      </c>
      <c r="I75" s="258">
        <v>3728500000</v>
      </c>
      <c r="J75" s="258">
        <v>41013500000</v>
      </c>
      <c r="K75" s="256" t="s">
        <v>1348</v>
      </c>
    </row>
    <row r="76" spans="1:11" x14ac:dyDescent="0.3">
      <c r="A76" s="256">
        <v>15</v>
      </c>
      <c r="B76" s="257" t="s">
        <v>1376</v>
      </c>
      <c r="C76" s="276">
        <v>44476</v>
      </c>
      <c r="D76" s="257" t="s">
        <v>1281</v>
      </c>
      <c r="E76" s="256" t="s">
        <v>1721</v>
      </c>
      <c r="F76" s="256" t="s">
        <v>1763</v>
      </c>
      <c r="G76" s="258">
        <v>35185000000</v>
      </c>
      <c r="H76" s="265">
        <v>0.1</v>
      </c>
      <c r="I76" s="258">
        <v>3518500000</v>
      </c>
      <c r="J76" s="258">
        <v>38703500000</v>
      </c>
      <c r="K76" s="256" t="s">
        <v>1346</v>
      </c>
    </row>
    <row r="77" spans="1:11" x14ac:dyDescent="0.3">
      <c r="A77" s="256">
        <v>16</v>
      </c>
      <c r="B77" s="257" t="s">
        <v>1378</v>
      </c>
      <c r="C77" s="276">
        <v>44477</v>
      </c>
      <c r="D77" s="257" t="s">
        <v>1294</v>
      </c>
      <c r="E77" s="256" t="s">
        <v>1751</v>
      </c>
      <c r="F77" s="256" t="s">
        <v>1763</v>
      </c>
      <c r="G77" s="258">
        <v>41703000000</v>
      </c>
      <c r="H77" s="265">
        <v>0.1</v>
      </c>
      <c r="I77" s="258">
        <v>4170300000</v>
      </c>
      <c r="J77" s="258">
        <v>45873300000</v>
      </c>
      <c r="K77" s="256" t="s">
        <v>1346</v>
      </c>
    </row>
    <row r="78" spans="1:11" x14ac:dyDescent="0.3">
      <c r="A78" s="256">
        <v>17</v>
      </c>
      <c r="B78" s="257" t="s">
        <v>1379</v>
      </c>
      <c r="C78" s="276">
        <v>44478</v>
      </c>
      <c r="D78" s="257" t="s">
        <v>1259</v>
      </c>
      <c r="E78" s="256" t="s">
        <v>1700</v>
      </c>
      <c r="F78" s="256" t="s">
        <v>1763</v>
      </c>
      <c r="G78" s="258">
        <v>49804000000</v>
      </c>
      <c r="H78" s="265">
        <v>0.1</v>
      </c>
      <c r="I78" s="258">
        <v>4980400000</v>
      </c>
      <c r="J78" s="258">
        <v>54784400000</v>
      </c>
      <c r="K78" s="256" t="s">
        <v>1346</v>
      </c>
    </row>
    <row r="79" spans="1:11" x14ac:dyDescent="0.3">
      <c r="A79" s="256">
        <v>18</v>
      </c>
      <c r="B79" s="257" t="s">
        <v>1381</v>
      </c>
      <c r="C79" s="276">
        <v>44479</v>
      </c>
      <c r="D79" s="257" t="s">
        <v>1264</v>
      </c>
      <c r="E79" s="256" t="s">
        <v>1749</v>
      </c>
      <c r="F79" s="256" t="s">
        <v>1761</v>
      </c>
      <c r="G79" s="258">
        <v>41385000000</v>
      </c>
      <c r="H79" s="265">
        <v>0.1</v>
      </c>
      <c r="I79" s="258">
        <v>4138500000</v>
      </c>
      <c r="J79" s="258">
        <v>45523500000</v>
      </c>
      <c r="K79" s="256" t="s">
        <v>1346</v>
      </c>
    </row>
    <row r="80" spans="1:11" x14ac:dyDescent="0.3">
      <c r="A80" s="256">
        <v>19</v>
      </c>
      <c r="B80" s="257" t="s">
        <v>1382</v>
      </c>
      <c r="C80" s="276">
        <v>44481</v>
      </c>
      <c r="D80" s="257" t="s">
        <v>1286</v>
      </c>
      <c r="E80" s="256" t="s">
        <v>1729</v>
      </c>
      <c r="F80" s="256" t="s">
        <v>1763</v>
      </c>
      <c r="G80" s="258">
        <v>61832000000</v>
      </c>
      <c r="H80" s="265">
        <v>0.1</v>
      </c>
      <c r="I80" s="258">
        <v>6183200000</v>
      </c>
      <c r="J80" s="258">
        <v>68015200000</v>
      </c>
      <c r="K80" s="256" t="s">
        <v>1346</v>
      </c>
    </row>
    <row r="81" spans="1:11" x14ac:dyDescent="0.3">
      <c r="A81" s="256">
        <v>20</v>
      </c>
      <c r="B81" s="257" t="s">
        <v>1383</v>
      </c>
      <c r="C81" s="276">
        <v>44301</v>
      </c>
      <c r="D81" s="257" t="s">
        <v>1258</v>
      </c>
      <c r="E81" s="256" t="s">
        <v>1694</v>
      </c>
      <c r="F81" s="256" t="s">
        <v>1762</v>
      </c>
      <c r="G81" s="258">
        <v>40542000000</v>
      </c>
      <c r="H81" s="265">
        <v>0</v>
      </c>
      <c r="I81" s="258">
        <v>0</v>
      </c>
      <c r="J81" s="258">
        <v>40542000000</v>
      </c>
      <c r="K81" s="256" t="s">
        <v>1346</v>
      </c>
    </row>
    <row r="82" spans="1:11" x14ac:dyDescent="0.3">
      <c r="A82" s="256">
        <v>21</v>
      </c>
      <c r="B82" s="257" t="s">
        <v>1203</v>
      </c>
      <c r="C82" s="276">
        <v>44362</v>
      </c>
      <c r="D82" s="257" t="s">
        <v>1269</v>
      </c>
      <c r="E82" s="256" t="s">
        <v>1715</v>
      </c>
      <c r="F82" s="256" t="s">
        <v>1763</v>
      </c>
      <c r="G82" s="258">
        <v>38642000000</v>
      </c>
      <c r="H82" s="265">
        <v>0.1</v>
      </c>
      <c r="I82" s="258">
        <v>3864200000</v>
      </c>
      <c r="J82" s="258">
        <v>42506200000</v>
      </c>
      <c r="K82" s="256" t="s">
        <v>1346</v>
      </c>
    </row>
    <row r="83" spans="1:11" x14ac:dyDescent="0.3">
      <c r="A83" s="256">
        <v>22</v>
      </c>
      <c r="B83" s="257" t="s">
        <v>1204</v>
      </c>
      <c r="C83" s="276">
        <v>44392</v>
      </c>
      <c r="D83" s="257" t="s">
        <v>1276</v>
      </c>
      <c r="E83" s="256" t="s">
        <v>1696</v>
      </c>
      <c r="F83" s="256" t="s">
        <v>1764</v>
      </c>
      <c r="G83" s="258">
        <v>46316000000</v>
      </c>
      <c r="H83" s="265">
        <v>0.1</v>
      </c>
      <c r="I83" s="258">
        <v>4631600000</v>
      </c>
      <c r="J83" s="258">
        <v>50947600000</v>
      </c>
      <c r="K83" s="256" t="s">
        <v>1346</v>
      </c>
    </row>
    <row r="84" spans="1:11" x14ac:dyDescent="0.3">
      <c r="A84" s="256">
        <v>23</v>
      </c>
      <c r="B84" s="257" t="s">
        <v>1205</v>
      </c>
      <c r="C84" s="276">
        <v>44423</v>
      </c>
      <c r="D84" s="257" t="s">
        <v>1280</v>
      </c>
      <c r="E84" s="256" t="s">
        <v>1726</v>
      </c>
      <c r="F84" s="256" t="s">
        <v>1763</v>
      </c>
      <c r="G84" s="258">
        <v>57975000000</v>
      </c>
      <c r="H84" s="265">
        <v>0.1</v>
      </c>
      <c r="I84" s="258">
        <v>5797500000</v>
      </c>
      <c r="J84" s="258">
        <v>63772500000</v>
      </c>
      <c r="K84" s="256" t="s">
        <v>1346</v>
      </c>
    </row>
    <row r="85" spans="1:11" x14ac:dyDescent="0.3">
      <c r="A85" s="256">
        <v>24</v>
      </c>
      <c r="B85" s="257" t="s">
        <v>1385</v>
      </c>
      <c r="C85" s="276">
        <v>44454</v>
      </c>
      <c r="D85" s="257" t="s">
        <v>1255</v>
      </c>
      <c r="E85" s="256" t="s">
        <v>1688</v>
      </c>
      <c r="F85" s="256" t="s">
        <v>1763</v>
      </c>
      <c r="G85" s="258">
        <v>42281000000</v>
      </c>
      <c r="H85" s="265">
        <v>0.1</v>
      </c>
      <c r="I85" s="258">
        <v>4228100000</v>
      </c>
      <c r="J85" s="258">
        <v>46509100000</v>
      </c>
      <c r="K85" s="256" t="s">
        <v>1346</v>
      </c>
    </row>
    <row r="86" spans="1:11" x14ac:dyDescent="0.3">
      <c r="A86" s="256">
        <v>25</v>
      </c>
      <c r="B86" s="257" t="s">
        <v>1387</v>
      </c>
      <c r="C86" s="276">
        <v>44484</v>
      </c>
      <c r="D86" s="257" t="s">
        <v>1260</v>
      </c>
      <c r="E86" s="256" t="s">
        <v>1716</v>
      </c>
      <c r="F86" s="256" t="s">
        <v>1763</v>
      </c>
      <c r="G86" s="258">
        <v>46042000000</v>
      </c>
      <c r="H86" s="265">
        <v>0.1</v>
      </c>
      <c r="I86" s="258">
        <v>4604200000</v>
      </c>
      <c r="J86" s="258">
        <v>50646200000</v>
      </c>
      <c r="K86" s="256" t="s">
        <v>1346</v>
      </c>
    </row>
    <row r="87" spans="1:11" x14ac:dyDescent="0.3">
      <c r="A87" s="256">
        <v>26</v>
      </c>
      <c r="B87" s="257" t="s">
        <v>1388</v>
      </c>
      <c r="C87" s="276">
        <v>44216</v>
      </c>
      <c r="D87" s="257" t="s">
        <v>1262</v>
      </c>
      <c r="E87" s="256" t="s">
        <v>1728</v>
      </c>
      <c r="F87" s="256" t="s">
        <v>1764</v>
      </c>
      <c r="G87" s="258">
        <v>29548000000</v>
      </c>
      <c r="H87" s="265">
        <v>0.1</v>
      </c>
      <c r="I87" s="258">
        <v>2954800000</v>
      </c>
      <c r="J87" s="258">
        <v>32502800000</v>
      </c>
      <c r="K87" s="256" t="s">
        <v>1346</v>
      </c>
    </row>
    <row r="88" spans="1:11" x14ac:dyDescent="0.3">
      <c r="A88" s="256">
        <v>27</v>
      </c>
      <c r="B88" s="257" t="s">
        <v>1391</v>
      </c>
      <c r="C88" s="276">
        <v>44306</v>
      </c>
      <c r="D88" s="257" t="s">
        <v>1275</v>
      </c>
      <c r="E88" s="256" t="s">
        <v>1720</v>
      </c>
      <c r="F88" s="256" t="s">
        <v>1763</v>
      </c>
      <c r="G88" s="258">
        <v>49082000000</v>
      </c>
      <c r="H88" s="265">
        <v>0.1</v>
      </c>
      <c r="I88" s="258">
        <v>4908200000</v>
      </c>
      <c r="J88" s="258">
        <v>53990200000</v>
      </c>
      <c r="K88" s="256" t="s">
        <v>1346</v>
      </c>
    </row>
    <row r="89" spans="1:11" x14ac:dyDescent="0.3">
      <c r="A89" s="256">
        <v>28</v>
      </c>
      <c r="B89" s="257" t="s">
        <v>1392</v>
      </c>
      <c r="C89" s="276">
        <v>44336</v>
      </c>
      <c r="D89" s="257" t="s">
        <v>1283</v>
      </c>
      <c r="E89" s="256" t="s">
        <v>1727</v>
      </c>
      <c r="F89" s="256" t="s">
        <v>1764</v>
      </c>
      <c r="G89" s="258">
        <v>59023000000</v>
      </c>
      <c r="H89" s="265">
        <v>0.1</v>
      </c>
      <c r="I89" s="258">
        <v>5902300000</v>
      </c>
      <c r="J89" s="258">
        <v>64925300000</v>
      </c>
      <c r="K89" s="256" t="s">
        <v>1346</v>
      </c>
    </row>
    <row r="90" spans="1:11" x14ac:dyDescent="0.3">
      <c r="A90" s="256">
        <v>29</v>
      </c>
      <c r="B90" s="257" t="s">
        <v>1394</v>
      </c>
      <c r="C90" s="276">
        <v>44397</v>
      </c>
      <c r="D90" s="257" t="s">
        <v>1274</v>
      </c>
      <c r="E90" s="256" t="s">
        <v>1722</v>
      </c>
      <c r="F90" s="256" t="s">
        <v>1762</v>
      </c>
      <c r="G90" s="258">
        <v>26579000000</v>
      </c>
      <c r="H90" s="265">
        <v>0.1</v>
      </c>
      <c r="I90" s="258">
        <v>2657900000</v>
      </c>
      <c r="J90" s="258">
        <v>29236900000</v>
      </c>
      <c r="K90" s="256" t="s">
        <v>1346</v>
      </c>
    </row>
    <row r="91" spans="1:11" x14ac:dyDescent="0.3">
      <c r="A91" s="256">
        <v>30</v>
      </c>
      <c r="B91" s="257" t="s">
        <v>1396</v>
      </c>
      <c r="C91" s="276">
        <v>44428</v>
      </c>
      <c r="D91" s="257" t="s">
        <v>1257</v>
      </c>
      <c r="E91" s="256" t="s">
        <v>1753</v>
      </c>
      <c r="F91" s="256" t="s">
        <v>1764</v>
      </c>
      <c r="G91" s="258">
        <v>54047000000</v>
      </c>
      <c r="H91" s="265">
        <v>0.1</v>
      </c>
      <c r="I91" s="258">
        <v>5404700000</v>
      </c>
      <c r="J91" s="258">
        <v>59451700000</v>
      </c>
      <c r="K91" s="256" t="s">
        <v>1346</v>
      </c>
    </row>
    <row r="92" spans="1:11" x14ac:dyDescent="0.3">
      <c r="A92" s="256">
        <v>31</v>
      </c>
      <c r="B92" s="257" t="s">
        <v>1397</v>
      </c>
      <c r="C92" s="276">
        <v>44459</v>
      </c>
      <c r="D92" s="257" t="s">
        <v>1258</v>
      </c>
      <c r="E92" s="256" t="s">
        <v>1694</v>
      </c>
      <c r="F92" s="256" t="s">
        <v>1764</v>
      </c>
      <c r="G92" s="258">
        <v>36574000000</v>
      </c>
      <c r="H92" s="265">
        <v>0.1</v>
      </c>
      <c r="I92" s="258">
        <v>3657400000</v>
      </c>
      <c r="J92" s="258">
        <v>40231400000</v>
      </c>
      <c r="K92" s="256" t="s">
        <v>1346</v>
      </c>
    </row>
    <row r="93" spans="1:11" x14ac:dyDescent="0.3">
      <c r="A93" s="256">
        <v>32</v>
      </c>
      <c r="B93" s="257" t="s">
        <v>1398</v>
      </c>
      <c r="C93" s="276">
        <v>44489</v>
      </c>
      <c r="D93" s="257" t="s">
        <v>1282</v>
      </c>
      <c r="E93" s="256" t="s">
        <v>1754</v>
      </c>
      <c r="F93" s="256" t="s">
        <v>1761</v>
      </c>
      <c r="G93" s="258">
        <v>28142000000</v>
      </c>
      <c r="H93" s="265">
        <v>0.1</v>
      </c>
      <c r="I93" s="258">
        <v>2814200000</v>
      </c>
      <c r="J93" s="258">
        <v>30956200000</v>
      </c>
      <c r="K93" s="256" t="s">
        <v>1348</v>
      </c>
    </row>
    <row r="94" spans="1:11" x14ac:dyDescent="0.3">
      <c r="A94" s="256">
        <v>33</v>
      </c>
      <c r="B94" s="257" t="s">
        <v>1399</v>
      </c>
      <c r="C94" s="276">
        <v>44520</v>
      </c>
      <c r="D94" s="257" t="s">
        <v>1263</v>
      </c>
      <c r="E94" s="256" t="s">
        <v>1717</v>
      </c>
      <c r="F94" s="256" t="s">
        <v>1762</v>
      </c>
      <c r="G94" s="258">
        <v>39745000000</v>
      </c>
      <c r="H94" s="265">
        <v>0.1</v>
      </c>
      <c r="I94" s="258">
        <v>3974500000</v>
      </c>
      <c r="J94" s="258">
        <v>43719500000</v>
      </c>
      <c r="K94" s="256" t="s">
        <v>1348</v>
      </c>
    </row>
    <row r="95" spans="1:11" x14ac:dyDescent="0.3">
      <c r="A95" s="256">
        <v>34</v>
      </c>
      <c r="B95" s="257" t="s">
        <v>1401</v>
      </c>
      <c r="C95" s="276">
        <v>44550</v>
      </c>
      <c r="D95" s="257" t="s">
        <v>1273</v>
      </c>
      <c r="E95" s="256" t="s">
        <v>1704</v>
      </c>
      <c r="F95" s="256" t="s">
        <v>1763</v>
      </c>
      <c r="G95" s="258">
        <v>51309000000</v>
      </c>
      <c r="H95" s="265">
        <v>0</v>
      </c>
      <c r="I95" s="258">
        <v>0</v>
      </c>
      <c r="J95" s="258">
        <v>51309000000</v>
      </c>
      <c r="K95" s="256" t="s">
        <v>1348</v>
      </c>
    </row>
    <row r="96" spans="1:11" x14ac:dyDescent="0.3">
      <c r="A96" s="256">
        <v>35</v>
      </c>
      <c r="B96" s="257" t="s">
        <v>1402</v>
      </c>
      <c r="C96" s="276">
        <v>44221</v>
      </c>
      <c r="D96" s="257" t="s">
        <v>1267</v>
      </c>
      <c r="E96" s="256" t="s">
        <v>1701</v>
      </c>
      <c r="F96" s="256" t="s">
        <v>1763</v>
      </c>
      <c r="G96" s="258">
        <v>31380000000</v>
      </c>
      <c r="H96" s="265">
        <v>0.1</v>
      </c>
      <c r="I96" s="258">
        <v>3138000000</v>
      </c>
      <c r="J96" s="258">
        <v>34518000000</v>
      </c>
      <c r="K96" s="256" t="s">
        <v>1346</v>
      </c>
    </row>
    <row r="97" spans="1:11" x14ac:dyDescent="0.3">
      <c r="A97" s="256">
        <v>36</v>
      </c>
      <c r="B97" s="257" t="s">
        <v>1403</v>
      </c>
      <c r="C97" s="276">
        <v>44252</v>
      </c>
      <c r="D97" s="257" t="s">
        <v>1293</v>
      </c>
      <c r="E97" s="256" t="s">
        <v>1708</v>
      </c>
      <c r="F97" s="256" t="s">
        <v>1761</v>
      </c>
      <c r="G97" s="258">
        <v>36135000000</v>
      </c>
      <c r="H97" s="265">
        <v>0.1</v>
      </c>
      <c r="I97" s="258">
        <v>3613500000</v>
      </c>
      <c r="J97" s="258">
        <v>39748500000</v>
      </c>
      <c r="K97" s="256" t="s">
        <v>1346</v>
      </c>
    </row>
    <row r="98" spans="1:11" x14ac:dyDescent="0.3">
      <c r="A98" s="256">
        <v>37</v>
      </c>
      <c r="B98" s="257" t="s">
        <v>1404</v>
      </c>
      <c r="C98" s="276">
        <v>44280</v>
      </c>
      <c r="D98" s="257" t="s">
        <v>1264</v>
      </c>
      <c r="E98" s="256" t="s">
        <v>1749</v>
      </c>
      <c r="F98" s="256" t="s">
        <v>1762</v>
      </c>
      <c r="G98" s="258">
        <v>45080000000</v>
      </c>
      <c r="H98" s="265">
        <v>0.1</v>
      </c>
      <c r="I98" s="258">
        <v>4508000000</v>
      </c>
      <c r="J98" s="258">
        <v>49588000000</v>
      </c>
      <c r="K98" s="256" t="s">
        <v>1346</v>
      </c>
    </row>
    <row r="99" spans="1:11" x14ac:dyDescent="0.3">
      <c r="A99" s="256">
        <v>38</v>
      </c>
      <c r="B99" s="257" t="s">
        <v>1405</v>
      </c>
      <c r="C99" s="276">
        <v>44341</v>
      </c>
      <c r="D99" s="257" t="s">
        <v>1258</v>
      </c>
      <c r="E99" s="256" t="s">
        <v>1694</v>
      </c>
      <c r="F99" s="256" t="s">
        <v>1762</v>
      </c>
      <c r="G99" s="258">
        <v>24223000000</v>
      </c>
      <c r="H99" s="265">
        <v>0</v>
      </c>
      <c r="I99" s="258">
        <v>0</v>
      </c>
      <c r="J99" s="258">
        <v>24223000000</v>
      </c>
      <c r="K99" s="256" t="s">
        <v>1348</v>
      </c>
    </row>
    <row r="100" spans="1:11" x14ac:dyDescent="0.3">
      <c r="A100" s="256">
        <v>39</v>
      </c>
      <c r="B100" s="257" t="s">
        <v>1406</v>
      </c>
      <c r="C100" s="276">
        <v>44402</v>
      </c>
      <c r="D100" s="257" t="s">
        <v>1290</v>
      </c>
      <c r="E100" s="256" t="s">
        <v>1707</v>
      </c>
      <c r="F100" s="256" t="s">
        <v>1762</v>
      </c>
      <c r="G100" s="258">
        <v>28119000000</v>
      </c>
      <c r="H100" s="265">
        <v>0.1</v>
      </c>
      <c r="I100" s="258">
        <v>2811900000</v>
      </c>
      <c r="J100" s="258">
        <v>30930900000</v>
      </c>
      <c r="K100" s="256" t="s">
        <v>1346</v>
      </c>
    </row>
    <row r="101" spans="1:11" x14ac:dyDescent="0.3">
      <c r="A101" s="256">
        <v>40</v>
      </c>
      <c r="B101" s="257" t="s">
        <v>1408</v>
      </c>
      <c r="C101" s="276">
        <v>44433</v>
      </c>
      <c r="D101" s="257" t="s">
        <v>1280</v>
      </c>
      <c r="E101" s="256" t="s">
        <v>1726</v>
      </c>
      <c r="F101" s="256" t="s">
        <v>1764</v>
      </c>
      <c r="G101" s="258">
        <v>58370000000</v>
      </c>
      <c r="H101" s="265">
        <v>0.1</v>
      </c>
      <c r="I101" s="258">
        <v>5837000000</v>
      </c>
      <c r="J101" s="258">
        <v>64207000000</v>
      </c>
      <c r="K101" s="256" t="s">
        <v>1346</v>
      </c>
    </row>
    <row r="102" spans="1:11" x14ac:dyDescent="0.3">
      <c r="A102" s="256">
        <v>41</v>
      </c>
      <c r="B102" s="257" t="s">
        <v>1409</v>
      </c>
      <c r="C102" s="276">
        <v>44464</v>
      </c>
      <c r="D102" s="257" t="s">
        <v>1280</v>
      </c>
      <c r="E102" s="256" t="s">
        <v>1726</v>
      </c>
      <c r="F102" s="256" t="s">
        <v>1761</v>
      </c>
      <c r="G102" s="258">
        <v>70161000000</v>
      </c>
      <c r="H102" s="265">
        <v>0.1</v>
      </c>
      <c r="I102" s="258">
        <v>7016100000</v>
      </c>
      <c r="J102" s="258">
        <v>77177100000</v>
      </c>
      <c r="K102" s="256" t="s">
        <v>1346</v>
      </c>
    </row>
    <row r="103" spans="1:11" x14ac:dyDescent="0.3">
      <c r="A103" s="256">
        <v>42</v>
      </c>
      <c r="B103" s="257" t="s">
        <v>1411</v>
      </c>
      <c r="C103" s="276">
        <v>44525</v>
      </c>
      <c r="D103" s="257" t="s">
        <v>1264</v>
      </c>
      <c r="E103" s="256" t="s">
        <v>1749</v>
      </c>
      <c r="F103" s="256" t="s">
        <v>1761</v>
      </c>
      <c r="G103" s="258">
        <v>34016000000</v>
      </c>
      <c r="H103" s="265">
        <v>0.1</v>
      </c>
      <c r="I103" s="258">
        <v>3401600000</v>
      </c>
      <c r="J103" s="258">
        <v>37417600000</v>
      </c>
      <c r="K103" s="256" t="s">
        <v>1346</v>
      </c>
    </row>
    <row r="104" spans="1:11" x14ac:dyDescent="0.3">
      <c r="A104" s="256">
        <v>43</v>
      </c>
      <c r="B104" s="257" t="s">
        <v>1414</v>
      </c>
      <c r="C104" s="276">
        <v>44555</v>
      </c>
      <c r="D104" s="257" t="s">
        <v>1287</v>
      </c>
      <c r="E104" s="256" t="s">
        <v>1752</v>
      </c>
      <c r="F104" s="256" t="s">
        <v>1762</v>
      </c>
      <c r="G104" s="258">
        <v>50807000000</v>
      </c>
      <c r="H104" s="265">
        <v>0.1</v>
      </c>
      <c r="I104" s="258">
        <v>5080700000</v>
      </c>
      <c r="J104" s="258">
        <v>55887700000</v>
      </c>
      <c r="K104" s="256" t="s">
        <v>1348</v>
      </c>
    </row>
    <row r="105" spans="1:11" x14ac:dyDescent="0.3">
      <c r="A105" s="256">
        <v>44</v>
      </c>
      <c r="B105" s="257" t="s">
        <v>1415</v>
      </c>
      <c r="C105" s="276">
        <v>44316</v>
      </c>
      <c r="D105" s="257" t="s">
        <v>1255</v>
      </c>
      <c r="E105" s="256" t="s">
        <v>1688</v>
      </c>
      <c r="F105" s="256" t="s">
        <v>1761</v>
      </c>
      <c r="G105" s="258">
        <v>62417000000</v>
      </c>
      <c r="H105" s="265">
        <v>0.1</v>
      </c>
      <c r="I105" s="258">
        <v>6241700000</v>
      </c>
      <c r="J105" s="258">
        <v>68658700000</v>
      </c>
      <c r="K105" s="256" t="s">
        <v>1346</v>
      </c>
    </row>
    <row r="106" spans="1:11" x14ac:dyDescent="0.3">
      <c r="A106" s="256">
        <v>45</v>
      </c>
      <c r="B106" s="257" t="s">
        <v>1206</v>
      </c>
      <c r="C106" s="276">
        <v>44377</v>
      </c>
      <c r="D106" s="257" t="s">
        <v>1281</v>
      </c>
      <c r="E106" s="256" t="s">
        <v>1721</v>
      </c>
      <c r="F106" s="256" t="s">
        <v>1761</v>
      </c>
      <c r="G106" s="258">
        <v>41352000000</v>
      </c>
      <c r="H106" s="265">
        <v>0</v>
      </c>
      <c r="I106" s="258">
        <v>0</v>
      </c>
      <c r="J106" s="258">
        <v>41352000000</v>
      </c>
      <c r="K106" s="256" t="s">
        <v>1346</v>
      </c>
    </row>
    <row r="107" spans="1:11" x14ac:dyDescent="0.3">
      <c r="A107" s="256">
        <v>46</v>
      </c>
      <c r="B107" s="257" t="s">
        <v>1207</v>
      </c>
      <c r="C107" s="276">
        <v>44469</v>
      </c>
      <c r="D107" s="257" t="s">
        <v>1283</v>
      </c>
      <c r="E107" s="256" t="s">
        <v>1727</v>
      </c>
      <c r="F107" s="256" t="s">
        <v>1764</v>
      </c>
      <c r="G107" s="258">
        <v>43104000000</v>
      </c>
      <c r="H107" s="265">
        <v>0.1</v>
      </c>
      <c r="I107" s="258">
        <v>4310400000</v>
      </c>
      <c r="J107" s="258">
        <v>47414400000</v>
      </c>
      <c r="K107" s="256" t="s">
        <v>1346</v>
      </c>
    </row>
    <row r="108" spans="1:11" x14ac:dyDescent="0.3">
      <c r="A108" s="256">
        <v>47</v>
      </c>
      <c r="B108" s="257" t="s">
        <v>1208</v>
      </c>
      <c r="C108" s="276">
        <v>44530</v>
      </c>
      <c r="D108" s="257" t="s">
        <v>1289</v>
      </c>
      <c r="E108" s="256" t="s">
        <v>1703</v>
      </c>
      <c r="F108" s="256" t="s">
        <v>1763</v>
      </c>
      <c r="G108" s="258">
        <v>42987000000</v>
      </c>
      <c r="H108" s="265">
        <v>0.1</v>
      </c>
      <c r="I108" s="258">
        <v>4298700000</v>
      </c>
      <c r="J108" s="258">
        <v>47285700000</v>
      </c>
      <c r="K108" s="256" t="s">
        <v>1346</v>
      </c>
    </row>
    <row r="109" spans="1:11" x14ac:dyDescent="0.3">
      <c r="A109" s="256">
        <v>48</v>
      </c>
      <c r="B109" s="257" t="s">
        <v>1209</v>
      </c>
      <c r="C109" s="276">
        <v>44408</v>
      </c>
      <c r="D109" s="257" t="s">
        <v>1283</v>
      </c>
      <c r="E109" s="256" t="s">
        <v>1727</v>
      </c>
      <c r="F109" s="256" t="s">
        <v>1761</v>
      </c>
      <c r="G109" s="258">
        <v>70122000000</v>
      </c>
      <c r="H109" s="265">
        <v>0</v>
      </c>
      <c r="I109" s="258">
        <v>0</v>
      </c>
      <c r="J109" s="258">
        <v>70122000000</v>
      </c>
      <c r="K109" s="256" t="s">
        <v>1348</v>
      </c>
    </row>
    <row r="110" spans="1:11" x14ac:dyDescent="0.3">
      <c r="A110" s="256">
        <v>49</v>
      </c>
      <c r="B110" s="257" t="s">
        <v>1418</v>
      </c>
      <c r="C110" s="276">
        <v>44439</v>
      </c>
      <c r="D110" s="257" t="s">
        <v>1278</v>
      </c>
      <c r="E110" s="256" t="s">
        <v>1714</v>
      </c>
      <c r="F110" s="256" t="s">
        <v>1763</v>
      </c>
      <c r="G110" s="258">
        <v>53661000000</v>
      </c>
      <c r="H110" s="265">
        <v>0.1</v>
      </c>
      <c r="I110" s="258">
        <v>5366100000</v>
      </c>
      <c r="J110" s="258">
        <v>59027100000</v>
      </c>
      <c r="K110" s="256" t="s">
        <v>1346</v>
      </c>
    </row>
    <row r="111" spans="1:11" x14ac:dyDescent="0.3">
      <c r="A111" s="256">
        <v>50</v>
      </c>
      <c r="B111" s="257" t="s">
        <v>1419</v>
      </c>
      <c r="C111" s="276">
        <v>44561</v>
      </c>
      <c r="D111" s="257" t="s">
        <v>1286</v>
      </c>
      <c r="E111" s="256" t="s">
        <v>1729</v>
      </c>
      <c r="F111" s="256" t="s">
        <v>1761</v>
      </c>
      <c r="G111" s="258">
        <v>42762000000</v>
      </c>
      <c r="H111" s="265">
        <v>0.1</v>
      </c>
      <c r="I111" s="258">
        <v>4276200000</v>
      </c>
      <c r="J111" s="258">
        <v>47038200000</v>
      </c>
      <c r="K111" s="256" t="s">
        <v>1346</v>
      </c>
    </row>
    <row r="112" spans="1:11" x14ac:dyDescent="0.3">
      <c r="A112" s="266" t="s">
        <v>1351</v>
      </c>
      <c r="B112" s="266"/>
      <c r="C112" s="266"/>
      <c r="D112" s="266"/>
      <c r="E112" s="266"/>
      <c r="F112" s="266"/>
      <c r="G112" s="267">
        <f>SUM(G62:G111)</f>
        <v>2229593000000</v>
      </c>
      <c r="H112" s="266"/>
      <c r="I112" s="267">
        <f>SUM(I62:I111)</f>
        <v>197101900000</v>
      </c>
      <c r="J112" s="267">
        <f>SUM(J62:J111)</f>
        <v>2426694900000</v>
      </c>
      <c r="K112" s="26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548</v>
      </c>
      <c r="C1" s="256"/>
      <c r="D1" s="256"/>
      <c r="E1" s="256"/>
      <c r="F1" s="256"/>
      <c r="G1" s="256"/>
      <c r="H1" s="256"/>
      <c r="I1" s="256"/>
      <c r="J1" s="256"/>
      <c r="K1" s="256"/>
    </row>
    <row r="2" spans="1:11" x14ac:dyDescent="0.3">
      <c r="A2" s="256" t="s">
        <v>1339</v>
      </c>
      <c r="B2" s="257">
        <v>101639000</v>
      </c>
      <c r="C2" s="256"/>
      <c r="D2" s="256"/>
      <c r="E2" s="256"/>
      <c r="F2" s="256"/>
      <c r="G2" s="256"/>
      <c r="H2" s="256"/>
      <c r="I2" s="256"/>
      <c r="J2" s="256"/>
      <c r="K2" s="256"/>
    </row>
    <row r="3" spans="1:11" x14ac:dyDescent="0.3">
      <c r="A3" s="256" t="s">
        <v>1343</v>
      </c>
      <c r="B3" s="258">
        <v>1240074967818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1396</v>
      </c>
      <c r="C8" s="276">
        <v>44317</v>
      </c>
      <c r="D8" s="257" t="s">
        <v>1266</v>
      </c>
      <c r="E8" s="256" t="s">
        <v>1686</v>
      </c>
      <c r="F8" s="256" t="s">
        <v>1766</v>
      </c>
      <c r="G8" s="258">
        <v>11406000000</v>
      </c>
      <c r="H8" s="265">
        <v>0.1</v>
      </c>
      <c r="I8" s="258">
        <v>1140600000</v>
      </c>
      <c r="J8" s="258">
        <v>12546600000</v>
      </c>
      <c r="K8" s="256" t="s">
        <v>1346</v>
      </c>
    </row>
    <row r="9" spans="1:11" x14ac:dyDescent="0.3">
      <c r="A9" s="256">
        <v>2</v>
      </c>
      <c r="B9" s="257" t="s">
        <v>1383</v>
      </c>
      <c r="C9" s="276">
        <v>44318</v>
      </c>
      <c r="D9" s="257" t="s">
        <v>1255</v>
      </c>
      <c r="E9" s="256" t="s">
        <v>1688</v>
      </c>
      <c r="F9" s="256" t="s">
        <v>1767</v>
      </c>
      <c r="G9" s="258">
        <v>9084000000</v>
      </c>
      <c r="H9" s="265">
        <v>0.1</v>
      </c>
      <c r="I9" s="258">
        <v>908400000</v>
      </c>
      <c r="J9" s="258">
        <v>9992400000</v>
      </c>
      <c r="K9" s="256" t="s">
        <v>1346</v>
      </c>
    </row>
    <row r="10" spans="1:11" x14ac:dyDescent="0.3">
      <c r="A10" s="256">
        <v>3</v>
      </c>
      <c r="B10" s="257" t="s">
        <v>1397</v>
      </c>
      <c r="C10" s="276">
        <v>44319</v>
      </c>
      <c r="D10" s="257" t="s">
        <v>1266</v>
      </c>
      <c r="E10" s="256" t="s">
        <v>1686</v>
      </c>
      <c r="F10" s="256" t="s">
        <v>1768</v>
      </c>
      <c r="G10" s="258">
        <v>19910000000</v>
      </c>
      <c r="H10" s="265">
        <v>0.1</v>
      </c>
      <c r="I10" s="258">
        <v>1991000000</v>
      </c>
      <c r="J10" s="258">
        <v>21901000000</v>
      </c>
      <c r="K10" s="256" t="s">
        <v>1346</v>
      </c>
    </row>
    <row r="11" spans="1:11" x14ac:dyDescent="0.3">
      <c r="A11" s="256">
        <v>4</v>
      </c>
      <c r="B11" s="257" t="s">
        <v>1360</v>
      </c>
      <c r="C11" s="276">
        <v>44320</v>
      </c>
      <c r="D11" s="257" t="s">
        <v>1288</v>
      </c>
      <c r="E11" s="256" t="s">
        <v>1691</v>
      </c>
      <c r="F11" s="256" t="s">
        <v>1769</v>
      </c>
      <c r="G11" s="258">
        <v>13539000000</v>
      </c>
      <c r="H11" s="265">
        <v>0.1</v>
      </c>
      <c r="I11" s="258">
        <v>1353900000</v>
      </c>
      <c r="J11" s="258">
        <v>14892900000</v>
      </c>
      <c r="K11" s="256" t="s">
        <v>1346</v>
      </c>
    </row>
    <row r="12" spans="1:11" x14ac:dyDescent="0.3">
      <c r="A12" s="256">
        <v>5</v>
      </c>
      <c r="B12" s="257" t="s">
        <v>1358</v>
      </c>
      <c r="C12" s="276">
        <v>44322</v>
      </c>
      <c r="D12" s="257" t="s">
        <v>1292</v>
      </c>
      <c r="E12" s="256" t="s">
        <v>1693</v>
      </c>
      <c r="F12" s="256" t="s">
        <v>1766</v>
      </c>
      <c r="G12" s="258">
        <v>14778000000</v>
      </c>
      <c r="H12" s="265">
        <v>0.1</v>
      </c>
      <c r="I12" s="258">
        <v>1477800000</v>
      </c>
      <c r="J12" s="258">
        <v>16255800000</v>
      </c>
      <c r="K12" s="256" t="s">
        <v>1346</v>
      </c>
    </row>
    <row r="13" spans="1:11" x14ac:dyDescent="0.3">
      <c r="A13" s="256">
        <v>6</v>
      </c>
      <c r="B13" s="257" t="s">
        <v>1379</v>
      </c>
      <c r="C13" s="276">
        <v>44323</v>
      </c>
      <c r="D13" s="257" t="s">
        <v>1258</v>
      </c>
      <c r="E13" s="256" t="s">
        <v>1694</v>
      </c>
      <c r="F13" s="256" t="s">
        <v>1770</v>
      </c>
      <c r="G13" s="258">
        <v>23072000000</v>
      </c>
      <c r="H13" s="265">
        <v>0.1</v>
      </c>
      <c r="I13" s="258">
        <v>2307200000</v>
      </c>
      <c r="J13" s="258">
        <v>25379200000</v>
      </c>
      <c r="K13" s="256" t="s">
        <v>1346</v>
      </c>
    </row>
    <row r="14" spans="1:11" x14ac:dyDescent="0.3">
      <c r="A14" s="256">
        <v>7</v>
      </c>
      <c r="B14" s="257" t="s">
        <v>1398</v>
      </c>
      <c r="C14" s="276">
        <v>44324</v>
      </c>
      <c r="D14" s="257" t="s">
        <v>1276</v>
      </c>
      <c r="E14" s="256" t="s">
        <v>1696</v>
      </c>
      <c r="F14" s="256" t="s">
        <v>1770</v>
      </c>
      <c r="G14" s="258">
        <v>22929000000</v>
      </c>
      <c r="H14" s="265">
        <v>0.1</v>
      </c>
      <c r="I14" s="258">
        <v>2292900000</v>
      </c>
      <c r="J14" s="258">
        <v>25221900000</v>
      </c>
      <c r="K14" s="256" t="s">
        <v>1346</v>
      </c>
    </row>
    <row r="15" spans="1:11" x14ac:dyDescent="0.3">
      <c r="A15" s="256">
        <v>8</v>
      </c>
      <c r="B15" s="257" t="s">
        <v>1399</v>
      </c>
      <c r="C15" s="276">
        <v>44325</v>
      </c>
      <c r="D15" s="257" t="s">
        <v>1276</v>
      </c>
      <c r="E15" s="256" t="s">
        <v>1696</v>
      </c>
      <c r="F15" s="256" t="s">
        <v>1768</v>
      </c>
      <c r="G15" s="258">
        <v>18152000000</v>
      </c>
      <c r="H15" s="265">
        <v>0.1</v>
      </c>
      <c r="I15" s="258">
        <v>1815200000</v>
      </c>
      <c r="J15" s="258">
        <v>19967200000</v>
      </c>
      <c r="K15" s="256" t="s">
        <v>1346</v>
      </c>
    </row>
    <row r="16" spans="1:11" x14ac:dyDescent="0.3">
      <c r="A16" s="256">
        <v>9</v>
      </c>
      <c r="B16" s="257" t="s">
        <v>1385</v>
      </c>
      <c r="C16" s="276">
        <v>44327</v>
      </c>
      <c r="D16" s="257" t="s">
        <v>1256</v>
      </c>
      <c r="E16" s="256" t="s">
        <v>1698</v>
      </c>
      <c r="F16" s="256" t="s">
        <v>1767</v>
      </c>
      <c r="G16" s="258">
        <v>9790000000</v>
      </c>
      <c r="H16" s="265">
        <v>0.1</v>
      </c>
      <c r="I16" s="258">
        <v>979000000</v>
      </c>
      <c r="J16" s="258">
        <v>10769000000</v>
      </c>
      <c r="K16" s="256" t="s">
        <v>1346</v>
      </c>
    </row>
    <row r="17" spans="1:11" x14ac:dyDescent="0.3">
      <c r="A17" s="256">
        <v>10</v>
      </c>
      <c r="B17" s="257" t="s">
        <v>1397</v>
      </c>
      <c r="C17" s="276">
        <v>44328</v>
      </c>
      <c r="D17" s="257" t="s">
        <v>1259</v>
      </c>
      <c r="E17" s="256" t="s">
        <v>1700</v>
      </c>
      <c r="F17" s="256" t="s">
        <v>1768</v>
      </c>
      <c r="G17" s="258">
        <v>23877000000</v>
      </c>
      <c r="H17" s="265">
        <v>0</v>
      </c>
      <c r="I17" s="258">
        <v>0</v>
      </c>
      <c r="J17" s="258">
        <v>23877000000</v>
      </c>
      <c r="K17" s="256" t="s">
        <v>1346</v>
      </c>
    </row>
    <row r="18" spans="1:11" x14ac:dyDescent="0.3">
      <c r="A18" s="256">
        <v>11</v>
      </c>
      <c r="B18" s="257" t="s">
        <v>1401</v>
      </c>
      <c r="C18" s="276">
        <v>44470</v>
      </c>
      <c r="D18" s="257" t="s">
        <v>1276</v>
      </c>
      <c r="E18" s="256" t="s">
        <v>1696</v>
      </c>
      <c r="F18" s="256" t="s">
        <v>1766</v>
      </c>
      <c r="G18" s="258">
        <v>18325000000</v>
      </c>
      <c r="H18" s="265">
        <v>0.1</v>
      </c>
      <c r="I18" s="258">
        <v>1832500000</v>
      </c>
      <c r="J18" s="258">
        <v>20157500000</v>
      </c>
      <c r="K18" s="256" t="s">
        <v>1346</v>
      </c>
    </row>
    <row r="19" spans="1:11" x14ac:dyDescent="0.3">
      <c r="A19" s="256">
        <v>12</v>
      </c>
      <c r="B19" s="257" t="s">
        <v>1385</v>
      </c>
      <c r="C19" s="276">
        <v>44471</v>
      </c>
      <c r="D19" s="257" t="s">
        <v>1267</v>
      </c>
      <c r="E19" s="256" t="s">
        <v>1701</v>
      </c>
      <c r="F19" s="256" t="s">
        <v>1768</v>
      </c>
      <c r="G19" s="258">
        <v>9074000000</v>
      </c>
      <c r="H19" s="265">
        <v>0.1</v>
      </c>
      <c r="I19" s="258">
        <v>907400000</v>
      </c>
      <c r="J19" s="258">
        <v>9981400000</v>
      </c>
      <c r="K19" s="256" t="s">
        <v>1346</v>
      </c>
    </row>
    <row r="20" spans="1:11" x14ac:dyDescent="0.3">
      <c r="A20" s="256">
        <v>13</v>
      </c>
      <c r="B20" s="257" t="s">
        <v>1203</v>
      </c>
      <c r="C20" s="276">
        <v>44472</v>
      </c>
      <c r="D20" s="257" t="s">
        <v>1270</v>
      </c>
      <c r="E20" s="256" t="s">
        <v>1702</v>
      </c>
      <c r="F20" s="256" t="s">
        <v>1766</v>
      </c>
      <c r="G20" s="258">
        <v>13543000000</v>
      </c>
      <c r="H20" s="265">
        <v>0.1</v>
      </c>
      <c r="I20" s="258">
        <v>1354300000</v>
      </c>
      <c r="J20" s="258">
        <v>14897300000</v>
      </c>
      <c r="K20" s="256" t="s">
        <v>1346</v>
      </c>
    </row>
    <row r="21" spans="1:11" x14ac:dyDescent="0.3">
      <c r="A21" s="256">
        <v>14</v>
      </c>
      <c r="B21" s="257" t="s">
        <v>1205</v>
      </c>
      <c r="C21" s="276">
        <v>44474</v>
      </c>
      <c r="D21" s="257" t="s">
        <v>1289</v>
      </c>
      <c r="E21" s="256" t="s">
        <v>1703</v>
      </c>
      <c r="F21" s="256" t="s">
        <v>1768</v>
      </c>
      <c r="G21" s="258">
        <v>14995000000</v>
      </c>
      <c r="H21" s="265">
        <v>0.1</v>
      </c>
      <c r="I21" s="258">
        <v>1499500000</v>
      </c>
      <c r="J21" s="258">
        <v>16494500000</v>
      </c>
      <c r="K21" s="256" t="s">
        <v>1346</v>
      </c>
    </row>
    <row r="22" spans="1:11" x14ac:dyDescent="0.3">
      <c r="A22" s="256">
        <v>15</v>
      </c>
      <c r="B22" s="257" t="s">
        <v>1388</v>
      </c>
      <c r="C22" s="276">
        <v>44475</v>
      </c>
      <c r="D22" s="257" t="s">
        <v>1273</v>
      </c>
      <c r="E22" s="256" t="s">
        <v>1704</v>
      </c>
      <c r="F22" s="256" t="s">
        <v>1730</v>
      </c>
      <c r="G22" s="258">
        <v>26584000000</v>
      </c>
      <c r="H22" s="265">
        <v>0.1</v>
      </c>
      <c r="I22" s="258">
        <v>2658400000</v>
      </c>
      <c r="J22" s="258">
        <v>29242400000</v>
      </c>
      <c r="K22" s="256" t="s">
        <v>1346</v>
      </c>
    </row>
    <row r="23" spans="1:11" x14ac:dyDescent="0.3">
      <c r="A23" s="256">
        <v>16</v>
      </c>
      <c r="B23" s="257" t="s">
        <v>1373</v>
      </c>
      <c r="C23" s="276">
        <v>44476</v>
      </c>
      <c r="D23" s="257" t="s">
        <v>1265</v>
      </c>
      <c r="E23" s="256" t="s">
        <v>1705</v>
      </c>
      <c r="F23" s="256" t="s">
        <v>1770</v>
      </c>
      <c r="G23" s="258">
        <v>16670000000</v>
      </c>
      <c r="H23" s="265">
        <v>0</v>
      </c>
      <c r="I23" s="258">
        <v>0</v>
      </c>
      <c r="J23" s="258">
        <v>16670000000</v>
      </c>
      <c r="K23" s="256" t="s">
        <v>1346</v>
      </c>
    </row>
    <row r="24" spans="1:11" x14ac:dyDescent="0.3">
      <c r="A24" s="256">
        <v>17</v>
      </c>
      <c r="B24" s="257" t="s">
        <v>1374</v>
      </c>
      <c r="C24" s="276">
        <v>44477</v>
      </c>
      <c r="D24" s="257" t="s">
        <v>1265</v>
      </c>
      <c r="E24" s="256" t="s">
        <v>1705</v>
      </c>
      <c r="F24" s="256" t="s">
        <v>1768</v>
      </c>
      <c r="G24" s="258">
        <v>25395000000</v>
      </c>
      <c r="H24" s="265">
        <v>0.1</v>
      </c>
      <c r="I24" s="258">
        <v>2539500000</v>
      </c>
      <c r="J24" s="258">
        <v>27934500000</v>
      </c>
      <c r="K24" s="256" t="s">
        <v>1346</v>
      </c>
    </row>
    <row r="25" spans="1:11" x14ac:dyDescent="0.3">
      <c r="A25" s="256">
        <v>18</v>
      </c>
      <c r="B25" s="257" t="s">
        <v>1387</v>
      </c>
      <c r="C25" s="276">
        <v>44478</v>
      </c>
      <c r="D25" s="257" t="s">
        <v>1267</v>
      </c>
      <c r="E25" s="256" t="s">
        <v>1701</v>
      </c>
      <c r="F25" s="256" t="s">
        <v>1767</v>
      </c>
      <c r="G25" s="258">
        <v>19535000000</v>
      </c>
      <c r="H25" s="265">
        <v>0.1</v>
      </c>
      <c r="I25" s="258">
        <v>1953500000</v>
      </c>
      <c r="J25" s="258">
        <v>21488500000</v>
      </c>
      <c r="K25" s="256" t="s">
        <v>1346</v>
      </c>
    </row>
    <row r="26" spans="1:11" x14ac:dyDescent="0.3">
      <c r="A26" s="256">
        <v>19</v>
      </c>
      <c r="B26" s="257" t="s">
        <v>1403</v>
      </c>
      <c r="C26" s="276">
        <v>44479</v>
      </c>
      <c r="D26" s="257" t="s">
        <v>1284</v>
      </c>
      <c r="E26" s="256" t="s">
        <v>1706</v>
      </c>
      <c r="F26" s="256" t="s">
        <v>1768</v>
      </c>
      <c r="G26" s="258">
        <v>22193000000</v>
      </c>
      <c r="H26" s="265">
        <v>0.1</v>
      </c>
      <c r="I26" s="258">
        <v>2219300000</v>
      </c>
      <c r="J26" s="258">
        <v>24412300000</v>
      </c>
      <c r="K26" s="256" t="s">
        <v>1346</v>
      </c>
    </row>
    <row r="27" spans="1:11" x14ac:dyDescent="0.3">
      <c r="A27" s="256">
        <v>20</v>
      </c>
      <c r="B27" s="257" t="s">
        <v>1366</v>
      </c>
      <c r="C27" s="276">
        <v>44211</v>
      </c>
      <c r="D27" s="257" t="s">
        <v>1290</v>
      </c>
      <c r="E27" s="256" t="s">
        <v>1707</v>
      </c>
      <c r="F27" s="256" t="s">
        <v>1730</v>
      </c>
      <c r="G27" s="258">
        <v>22680000000</v>
      </c>
      <c r="H27" s="265">
        <v>0</v>
      </c>
      <c r="I27" s="258">
        <v>0</v>
      </c>
      <c r="J27" s="258">
        <v>22680000000</v>
      </c>
      <c r="K27" s="256" t="s">
        <v>1348</v>
      </c>
    </row>
    <row r="28" spans="1:11" x14ac:dyDescent="0.3">
      <c r="A28" s="256">
        <v>21</v>
      </c>
      <c r="B28" s="257" t="s">
        <v>1366</v>
      </c>
      <c r="C28" s="276">
        <v>44270</v>
      </c>
      <c r="D28" s="257" t="s">
        <v>1293</v>
      </c>
      <c r="E28" s="256" t="s">
        <v>1708</v>
      </c>
      <c r="F28" s="256" t="s">
        <v>1768</v>
      </c>
      <c r="G28" s="258">
        <v>14469000000</v>
      </c>
      <c r="H28" s="265">
        <v>0.1</v>
      </c>
      <c r="I28" s="258">
        <v>1446900000</v>
      </c>
      <c r="J28" s="258">
        <v>15915900000</v>
      </c>
      <c r="K28" s="256" t="s">
        <v>1346</v>
      </c>
    </row>
    <row r="29" spans="1:11" x14ac:dyDescent="0.3">
      <c r="A29" s="256">
        <v>22</v>
      </c>
      <c r="B29" s="257" t="s">
        <v>1391</v>
      </c>
      <c r="C29" s="276">
        <v>44301</v>
      </c>
      <c r="D29" s="257" t="s">
        <v>1285</v>
      </c>
      <c r="E29" s="256" t="s">
        <v>1709</v>
      </c>
      <c r="F29" s="256" t="s">
        <v>1769</v>
      </c>
      <c r="G29" s="258">
        <v>11585000000</v>
      </c>
      <c r="H29" s="265">
        <v>0.1</v>
      </c>
      <c r="I29" s="258">
        <v>1158500000</v>
      </c>
      <c r="J29" s="258">
        <v>12743500000</v>
      </c>
      <c r="K29" s="256" t="s">
        <v>1346</v>
      </c>
    </row>
    <row r="30" spans="1:11" x14ac:dyDescent="0.3">
      <c r="A30" s="256">
        <v>23</v>
      </c>
      <c r="B30" s="257" t="s">
        <v>1360</v>
      </c>
      <c r="C30" s="276">
        <v>44392</v>
      </c>
      <c r="D30" s="257" t="s">
        <v>1291</v>
      </c>
      <c r="E30" s="256" t="s">
        <v>1710</v>
      </c>
      <c r="F30" s="256" t="s">
        <v>1769</v>
      </c>
      <c r="G30" s="258">
        <v>19444000000</v>
      </c>
      <c r="H30" s="265">
        <v>0.1</v>
      </c>
      <c r="I30" s="258">
        <v>1944400000</v>
      </c>
      <c r="J30" s="258">
        <v>21388400000</v>
      </c>
      <c r="K30" s="256" t="s">
        <v>1346</v>
      </c>
    </row>
    <row r="31" spans="1:11" x14ac:dyDescent="0.3">
      <c r="A31" s="256">
        <v>24</v>
      </c>
      <c r="B31" s="257" t="s">
        <v>1403</v>
      </c>
      <c r="C31" s="276">
        <v>44423</v>
      </c>
      <c r="D31" s="257" t="s">
        <v>1277</v>
      </c>
      <c r="E31" s="256" t="s">
        <v>1711</v>
      </c>
      <c r="F31" s="256" t="s">
        <v>1730</v>
      </c>
      <c r="G31" s="258">
        <v>14731000000</v>
      </c>
      <c r="H31" s="265">
        <v>0.1</v>
      </c>
      <c r="I31" s="258">
        <v>1473100000</v>
      </c>
      <c r="J31" s="258">
        <v>16204100000</v>
      </c>
      <c r="K31" s="256" t="s">
        <v>1346</v>
      </c>
    </row>
    <row r="32" spans="1:11" x14ac:dyDescent="0.3">
      <c r="A32" s="256">
        <v>25</v>
      </c>
      <c r="B32" s="257" t="s">
        <v>1404</v>
      </c>
      <c r="C32" s="276">
        <v>44454</v>
      </c>
      <c r="D32" s="257" t="s">
        <v>1277</v>
      </c>
      <c r="E32" s="256" t="s">
        <v>1711</v>
      </c>
      <c r="F32" s="256" t="s">
        <v>1766</v>
      </c>
      <c r="G32" s="258">
        <v>17043000000</v>
      </c>
      <c r="H32" s="265">
        <v>0.1</v>
      </c>
      <c r="I32" s="258">
        <v>1704300000</v>
      </c>
      <c r="J32" s="258">
        <v>18747300000</v>
      </c>
      <c r="K32" s="256" t="s">
        <v>1346</v>
      </c>
    </row>
    <row r="33" spans="1:11" x14ac:dyDescent="0.3">
      <c r="A33" s="256">
        <v>26</v>
      </c>
      <c r="B33" s="257" t="s">
        <v>1398</v>
      </c>
      <c r="C33" s="276">
        <v>44484</v>
      </c>
      <c r="D33" s="257" t="s">
        <v>1259</v>
      </c>
      <c r="E33" s="256" t="s">
        <v>1700</v>
      </c>
      <c r="F33" s="256" t="s">
        <v>1767</v>
      </c>
      <c r="G33" s="258">
        <v>21750000000</v>
      </c>
      <c r="H33" s="265">
        <v>0.1</v>
      </c>
      <c r="I33" s="258">
        <v>2175000000</v>
      </c>
      <c r="J33" s="258">
        <v>23925000000</v>
      </c>
      <c r="K33" s="256" t="s">
        <v>1346</v>
      </c>
    </row>
    <row r="34" spans="1:11" x14ac:dyDescent="0.3">
      <c r="A34" s="256">
        <v>27</v>
      </c>
      <c r="B34" s="257" t="s">
        <v>1368</v>
      </c>
      <c r="C34" s="276">
        <v>44545</v>
      </c>
      <c r="D34" s="257" t="s">
        <v>1290</v>
      </c>
      <c r="E34" s="256" t="s">
        <v>1707</v>
      </c>
      <c r="F34" s="256" t="s">
        <v>1766</v>
      </c>
      <c r="G34" s="258">
        <v>22381000000</v>
      </c>
      <c r="H34" s="265">
        <v>0.1</v>
      </c>
      <c r="I34" s="258">
        <v>2238100000</v>
      </c>
      <c r="J34" s="258">
        <v>24619100000</v>
      </c>
      <c r="K34" s="256" t="s">
        <v>1346</v>
      </c>
    </row>
    <row r="35" spans="1:11" x14ac:dyDescent="0.3">
      <c r="A35" s="256">
        <v>28</v>
      </c>
      <c r="B35" s="257" t="s">
        <v>1387</v>
      </c>
      <c r="C35" s="276">
        <v>44275</v>
      </c>
      <c r="D35" s="257" t="s">
        <v>1272</v>
      </c>
      <c r="E35" s="256" t="s">
        <v>1712</v>
      </c>
      <c r="F35" s="256" t="s">
        <v>1770</v>
      </c>
      <c r="G35" s="258">
        <v>24410000000</v>
      </c>
      <c r="H35" s="265">
        <v>0</v>
      </c>
      <c r="I35" s="258">
        <v>0</v>
      </c>
      <c r="J35" s="258">
        <v>24410000000</v>
      </c>
      <c r="K35" s="256" t="s">
        <v>1346</v>
      </c>
    </row>
    <row r="36" spans="1:11" x14ac:dyDescent="0.3">
      <c r="A36" s="256">
        <v>29</v>
      </c>
      <c r="B36" s="257" t="s">
        <v>1204</v>
      </c>
      <c r="C36" s="276">
        <v>44306</v>
      </c>
      <c r="D36" s="257" t="s">
        <v>1270</v>
      </c>
      <c r="E36" s="256" t="s">
        <v>1702</v>
      </c>
      <c r="F36" s="256" t="s">
        <v>1769</v>
      </c>
      <c r="G36" s="258">
        <v>22868000000</v>
      </c>
      <c r="H36" s="265">
        <v>0.1</v>
      </c>
      <c r="I36" s="258">
        <v>2286800000</v>
      </c>
      <c r="J36" s="258">
        <v>25154800000</v>
      </c>
      <c r="K36" s="256" t="s">
        <v>1346</v>
      </c>
    </row>
    <row r="37" spans="1:11" x14ac:dyDescent="0.3">
      <c r="A37" s="256">
        <v>30</v>
      </c>
      <c r="B37" s="257" t="s">
        <v>1399</v>
      </c>
      <c r="C37" s="276">
        <v>44367</v>
      </c>
      <c r="D37" s="257" t="s">
        <v>1279</v>
      </c>
      <c r="E37" s="256" t="s">
        <v>1713</v>
      </c>
      <c r="F37" s="256" t="s">
        <v>1766</v>
      </c>
      <c r="G37" s="258">
        <v>22391000000</v>
      </c>
      <c r="H37" s="265">
        <v>0.1</v>
      </c>
      <c r="I37" s="258">
        <v>2239100000</v>
      </c>
      <c r="J37" s="258">
        <v>24630100000</v>
      </c>
      <c r="K37" s="256" t="s">
        <v>1346</v>
      </c>
    </row>
    <row r="38" spans="1:11" x14ac:dyDescent="0.3">
      <c r="A38" s="256">
        <v>31</v>
      </c>
      <c r="B38" s="257" t="s">
        <v>1398</v>
      </c>
      <c r="C38" s="276">
        <v>44397</v>
      </c>
      <c r="D38" s="257" t="s">
        <v>1278</v>
      </c>
      <c r="E38" s="256" t="s">
        <v>1714</v>
      </c>
      <c r="F38" s="256" t="s">
        <v>1766</v>
      </c>
      <c r="G38" s="258">
        <v>20482000000</v>
      </c>
      <c r="H38" s="265">
        <v>0.1</v>
      </c>
      <c r="I38" s="258">
        <v>2048200000</v>
      </c>
      <c r="J38" s="258">
        <v>22530200000</v>
      </c>
      <c r="K38" s="256" t="s">
        <v>1346</v>
      </c>
    </row>
    <row r="39" spans="1:11" x14ac:dyDescent="0.3">
      <c r="A39" s="256">
        <v>32</v>
      </c>
      <c r="B39" s="257" t="s">
        <v>1385</v>
      </c>
      <c r="C39" s="276">
        <v>44428</v>
      </c>
      <c r="D39" s="257" t="s">
        <v>1289</v>
      </c>
      <c r="E39" s="256" t="s">
        <v>1703</v>
      </c>
      <c r="F39" s="256" t="s">
        <v>1767</v>
      </c>
      <c r="G39" s="258">
        <v>20272000000</v>
      </c>
      <c r="H39" s="265">
        <v>0.1</v>
      </c>
      <c r="I39" s="258">
        <v>2027200000</v>
      </c>
      <c r="J39" s="258">
        <v>22299200000</v>
      </c>
      <c r="K39" s="256" t="s">
        <v>1346</v>
      </c>
    </row>
    <row r="40" spans="1:11" x14ac:dyDescent="0.3">
      <c r="A40" s="256">
        <v>33</v>
      </c>
      <c r="B40" s="257" t="s">
        <v>1205</v>
      </c>
      <c r="C40" s="276">
        <v>44459</v>
      </c>
      <c r="D40" s="257" t="s">
        <v>1270</v>
      </c>
      <c r="E40" s="256" t="s">
        <v>1702</v>
      </c>
      <c r="F40" s="256" t="s">
        <v>1770</v>
      </c>
      <c r="G40" s="258">
        <v>13417000000</v>
      </c>
      <c r="H40" s="265">
        <v>0</v>
      </c>
      <c r="I40" s="258">
        <v>0</v>
      </c>
      <c r="J40" s="258">
        <v>13417000000</v>
      </c>
      <c r="K40" s="256" t="s">
        <v>1346</v>
      </c>
    </row>
    <row r="41" spans="1:11" x14ac:dyDescent="0.3">
      <c r="A41" s="256">
        <v>34</v>
      </c>
      <c r="B41" s="257" t="s">
        <v>1387</v>
      </c>
      <c r="C41" s="276">
        <v>44520</v>
      </c>
      <c r="D41" s="257" t="s">
        <v>1256</v>
      </c>
      <c r="E41" s="256" t="s">
        <v>1698</v>
      </c>
      <c r="F41" s="256" t="s">
        <v>1767</v>
      </c>
      <c r="G41" s="258">
        <v>25857000000</v>
      </c>
      <c r="H41" s="265">
        <v>0.1</v>
      </c>
      <c r="I41" s="258">
        <v>2585700000</v>
      </c>
      <c r="J41" s="258">
        <v>28442700000</v>
      </c>
      <c r="K41" s="256" t="s">
        <v>1346</v>
      </c>
    </row>
    <row r="42" spans="1:11" x14ac:dyDescent="0.3">
      <c r="A42" s="256">
        <v>35</v>
      </c>
      <c r="B42" s="257" t="s">
        <v>1399</v>
      </c>
      <c r="C42" s="276">
        <v>44221</v>
      </c>
      <c r="D42" s="257" t="s">
        <v>1278</v>
      </c>
      <c r="E42" s="256" t="s">
        <v>1714</v>
      </c>
      <c r="F42" s="256" t="s">
        <v>1766</v>
      </c>
      <c r="G42" s="258">
        <v>16665000000</v>
      </c>
      <c r="H42" s="265">
        <v>0.1</v>
      </c>
      <c r="I42" s="258">
        <v>1666500000</v>
      </c>
      <c r="J42" s="258">
        <v>18331500000</v>
      </c>
      <c r="K42" s="256" t="s">
        <v>1346</v>
      </c>
    </row>
    <row r="43" spans="1:11" x14ac:dyDescent="0.3">
      <c r="A43" s="256">
        <v>36</v>
      </c>
      <c r="B43" s="257" t="s">
        <v>1378</v>
      </c>
      <c r="C43" s="276">
        <v>44252</v>
      </c>
      <c r="D43" s="257" t="s">
        <v>1269</v>
      </c>
      <c r="E43" s="256" t="s">
        <v>1715</v>
      </c>
      <c r="F43" s="256" t="s">
        <v>1730</v>
      </c>
      <c r="G43" s="258">
        <v>14960000000</v>
      </c>
      <c r="H43" s="265">
        <v>0.1</v>
      </c>
      <c r="I43" s="258">
        <v>1496000000</v>
      </c>
      <c r="J43" s="258">
        <v>16456000000</v>
      </c>
      <c r="K43" s="256" t="s">
        <v>1346</v>
      </c>
    </row>
    <row r="44" spans="1:11" x14ac:dyDescent="0.3">
      <c r="A44" s="256">
        <v>37</v>
      </c>
      <c r="B44" s="257" t="s">
        <v>1394</v>
      </c>
      <c r="C44" s="276">
        <v>44280</v>
      </c>
      <c r="D44" s="257" t="s">
        <v>1260</v>
      </c>
      <c r="E44" s="256" t="s">
        <v>1716</v>
      </c>
      <c r="F44" s="256" t="s">
        <v>1730</v>
      </c>
      <c r="G44" s="258">
        <v>18691000000</v>
      </c>
      <c r="H44" s="265">
        <v>0.1</v>
      </c>
      <c r="I44" s="258">
        <v>1869100000</v>
      </c>
      <c r="J44" s="258">
        <v>20560100000</v>
      </c>
      <c r="K44" s="256" t="s">
        <v>1348</v>
      </c>
    </row>
    <row r="45" spans="1:11" x14ac:dyDescent="0.3">
      <c r="A45" s="256">
        <v>38</v>
      </c>
      <c r="B45" s="257" t="s">
        <v>1401</v>
      </c>
      <c r="C45" s="276">
        <v>44311</v>
      </c>
      <c r="D45" s="257" t="s">
        <v>1279</v>
      </c>
      <c r="E45" s="256" t="s">
        <v>1713</v>
      </c>
      <c r="F45" s="256" t="s">
        <v>1770</v>
      </c>
      <c r="G45" s="258">
        <v>11638000000</v>
      </c>
      <c r="H45" s="265">
        <v>0.1</v>
      </c>
      <c r="I45" s="258">
        <v>1163800000</v>
      </c>
      <c r="J45" s="258">
        <v>12801800000</v>
      </c>
      <c r="K45" s="256" t="s">
        <v>1346</v>
      </c>
    </row>
    <row r="46" spans="1:11" x14ac:dyDescent="0.3">
      <c r="A46" s="256">
        <v>39</v>
      </c>
      <c r="B46" s="257" t="s">
        <v>1404</v>
      </c>
      <c r="C46" s="276">
        <v>44372</v>
      </c>
      <c r="D46" s="257" t="s">
        <v>1284</v>
      </c>
      <c r="E46" s="256" t="s">
        <v>1706</v>
      </c>
      <c r="F46" s="256" t="s">
        <v>1770</v>
      </c>
      <c r="G46" s="258">
        <v>12486000000</v>
      </c>
      <c r="H46" s="265">
        <v>0.1</v>
      </c>
      <c r="I46" s="258">
        <v>1248600000</v>
      </c>
      <c r="J46" s="258">
        <v>13734600000</v>
      </c>
      <c r="K46" s="256" t="s">
        <v>1346</v>
      </c>
    </row>
    <row r="47" spans="1:11" x14ac:dyDescent="0.3">
      <c r="A47" s="256">
        <v>40</v>
      </c>
      <c r="B47" s="257" t="s">
        <v>1398</v>
      </c>
      <c r="C47" s="276">
        <v>44433</v>
      </c>
      <c r="D47" s="257" t="s">
        <v>1263</v>
      </c>
      <c r="E47" s="256" t="s">
        <v>1717</v>
      </c>
      <c r="F47" s="256" t="s">
        <v>1768</v>
      </c>
      <c r="G47" s="258">
        <v>9493000000</v>
      </c>
      <c r="H47" s="265">
        <v>0.1</v>
      </c>
      <c r="I47" s="258">
        <v>949300000</v>
      </c>
      <c r="J47" s="258">
        <v>10442300000</v>
      </c>
      <c r="K47" s="256" t="s">
        <v>1346</v>
      </c>
    </row>
    <row r="48" spans="1:11" x14ac:dyDescent="0.3">
      <c r="A48" s="256">
        <v>41</v>
      </c>
      <c r="B48" s="257" t="s">
        <v>1402</v>
      </c>
      <c r="C48" s="276">
        <v>44494</v>
      </c>
      <c r="D48" s="257" t="s">
        <v>1276</v>
      </c>
      <c r="E48" s="256" t="s">
        <v>1696</v>
      </c>
      <c r="F48" s="256" t="s">
        <v>1768</v>
      </c>
      <c r="G48" s="258">
        <v>19917000000</v>
      </c>
      <c r="H48" s="265">
        <v>0.1</v>
      </c>
      <c r="I48" s="258">
        <v>1991700000</v>
      </c>
      <c r="J48" s="258">
        <v>21908700000</v>
      </c>
      <c r="K48" s="256" t="s">
        <v>1346</v>
      </c>
    </row>
    <row r="49" spans="1:11" x14ac:dyDescent="0.3">
      <c r="A49" s="256">
        <v>42</v>
      </c>
      <c r="B49" s="257" t="s">
        <v>1388</v>
      </c>
      <c r="C49" s="276">
        <v>44555</v>
      </c>
      <c r="D49" s="257" t="s">
        <v>1256</v>
      </c>
      <c r="E49" s="256" t="s">
        <v>1698</v>
      </c>
      <c r="F49" s="256" t="s">
        <v>1769</v>
      </c>
      <c r="G49" s="258">
        <v>10326000000</v>
      </c>
      <c r="H49" s="265">
        <v>0.1</v>
      </c>
      <c r="I49" s="258">
        <v>1032600000</v>
      </c>
      <c r="J49" s="258">
        <v>11358600000</v>
      </c>
      <c r="K49" s="256" t="s">
        <v>1346</v>
      </c>
    </row>
    <row r="50" spans="1:11" x14ac:dyDescent="0.3">
      <c r="A50" s="256">
        <v>43</v>
      </c>
      <c r="B50" s="257" t="s">
        <v>1399</v>
      </c>
      <c r="C50" s="276">
        <v>44255</v>
      </c>
      <c r="D50" s="257" t="s">
        <v>1263</v>
      </c>
      <c r="E50" s="256" t="s">
        <v>1717</v>
      </c>
      <c r="F50" s="256" t="s">
        <v>1767</v>
      </c>
      <c r="G50" s="258">
        <v>15614000000</v>
      </c>
      <c r="H50" s="265">
        <v>0.1</v>
      </c>
      <c r="I50" s="258">
        <v>1561400000</v>
      </c>
      <c r="J50" s="258">
        <v>17175400000</v>
      </c>
      <c r="K50" s="256" t="s">
        <v>1346</v>
      </c>
    </row>
    <row r="51" spans="1:11" x14ac:dyDescent="0.3">
      <c r="A51" s="256">
        <v>44</v>
      </c>
      <c r="B51" s="257" t="s">
        <v>1387</v>
      </c>
      <c r="C51" s="276">
        <v>44316</v>
      </c>
      <c r="D51" s="257" t="s">
        <v>1289</v>
      </c>
      <c r="E51" s="256" t="s">
        <v>1703</v>
      </c>
      <c r="F51" s="256" t="s">
        <v>1770</v>
      </c>
      <c r="G51" s="258">
        <v>15750000000</v>
      </c>
      <c r="H51" s="265">
        <v>0.1</v>
      </c>
      <c r="I51" s="258">
        <v>1575000000</v>
      </c>
      <c r="J51" s="258">
        <v>17325000000</v>
      </c>
      <c r="K51" s="256" t="s">
        <v>1346</v>
      </c>
    </row>
    <row r="52" spans="1:11" x14ac:dyDescent="0.3">
      <c r="A52" s="256">
        <v>45</v>
      </c>
      <c r="B52" s="257" t="s">
        <v>1394</v>
      </c>
      <c r="C52" s="276">
        <v>44377</v>
      </c>
      <c r="D52" s="257" t="s">
        <v>1268</v>
      </c>
      <c r="E52" s="256" t="s">
        <v>1718</v>
      </c>
      <c r="F52" s="256" t="s">
        <v>1769</v>
      </c>
      <c r="G52" s="258">
        <v>11357000000</v>
      </c>
      <c r="H52" s="265">
        <v>0.1</v>
      </c>
      <c r="I52" s="258">
        <v>1135700000</v>
      </c>
      <c r="J52" s="258">
        <v>12492700000</v>
      </c>
      <c r="K52" s="256" t="s">
        <v>1346</v>
      </c>
    </row>
    <row r="53" spans="1:11" x14ac:dyDescent="0.3">
      <c r="A53" s="256">
        <v>46</v>
      </c>
      <c r="B53" s="257" t="s">
        <v>1376</v>
      </c>
      <c r="C53" s="276">
        <v>44469</v>
      </c>
      <c r="D53" s="257" t="s">
        <v>1271</v>
      </c>
      <c r="E53" s="256" t="s">
        <v>1719</v>
      </c>
      <c r="F53" s="256" t="s">
        <v>1766</v>
      </c>
      <c r="G53" s="258">
        <v>13377000000</v>
      </c>
      <c r="H53" s="265">
        <v>0.1</v>
      </c>
      <c r="I53" s="258">
        <v>1337700000</v>
      </c>
      <c r="J53" s="258">
        <v>14714700000</v>
      </c>
      <c r="K53" s="256" t="s">
        <v>1346</v>
      </c>
    </row>
    <row r="54" spans="1:11" x14ac:dyDescent="0.3">
      <c r="A54" s="256">
        <v>47</v>
      </c>
      <c r="B54" s="257" t="s">
        <v>1396</v>
      </c>
      <c r="C54" s="276">
        <v>44286</v>
      </c>
      <c r="D54" s="257" t="s">
        <v>1275</v>
      </c>
      <c r="E54" s="256" t="s">
        <v>1720</v>
      </c>
      <c r="F54" s="256" t="s">
        <v>1768</v>
      </c>
      <c r="G54" s="258">
        <v>18376000000</v>
      </c>
      <c r="H54" s="265">
        <v>0.1</v>
      </c>
      <c r="I54" s="258">
        <v>1837600000</v>
      </c>
      <c r="J54" s="258">
        <v>20213600000</v>
      </c>
      <c r="K54" s="256" t="s">
        <v>1346</v>
      </c>
    </row>
    <row r="55" spans="1:11" x14ac:dyDescent="0.3">
      <c r="A55" s="256">
        <v>48</v>
      </c>
      <c r="B55" s="257" t="s">
        <v>1368</v>
      </c>
      <c r="C55" s="276">
        <v>44347</v>
      </c>
      <c r="D55" s="257" t="s">
        <v>1293</v>
      </c>
      <c r="E55" s="256" t="s">
        <v>1708</v>
      </c>
      <c r="F55" s="256" t="s">
        <v>1767</v>
      </c>
      <c r="G55" s="258">
        <v>15739000000</v>
      </c>
      <c r="H55" s="265">
        <v>0.1</v>
      </c>
      <c r="I55" s="258">
        <v>1573900000</v>
      </c>
      <c r="J55" s="258">
        <v>17312900000</v>
      </c>
      <c r="K55" s="256" t="s">
        <v>1346</v>
      </c>
    </row>
    <row r="56" spans="1:11" x14ac:dyDescent="0.3">
      <c r="A56" s="256">
        <v>49</v>
      </c>
      <c r="B56" s="257" t="s">
        <v>1403</v>
      </c>
      <c r="C56" s="276">
        <v>44500</v>
      </c>
      <c r="D56" s="257" t="s">
        <v>1276</v>
      </c>
      <c r="E56" s="256" t="s">
        <v>1696</v>
      </c>
      <c r="F56" s="256" t="s">
        <v>1769</v>
      </c>
      <c r="G56" s="258">
        <v>24417000000</v>
      </c>
      <c r="H56" s="265">
        <v>0.1</v>
      </c>
      <c r="I56" s="258">
        <v>2441700000</v>
      </c>
      <c r="J56" s="258">
        <v>26858700000</v>
      </c>
      <c r="K56" s="256" t="s">
        <v>1346</v>
      </c>
    </row>
    <row r="57" spans="1:11" x14ac:dyDescent="0.3">
      <c r="A57" s="256">
        <v>50</v>
      </c>
      <c r="B57" s="257" t="s">
        <v>1203</v>
      </c>
      <c r="C57" s="276">
        <v>44561</v>
      </c>
      <c r="D57" s="257" t="s">
        <v>1255</v>
      </c>
      <c r="E57" s="256" t="s">
        <v>1688</v>
      </c>
      <c r="F57" s="256" t="s">
        <v>1767</v>
      </c>
      <c r="G57" s="258">
        <v>18900000000</v>
      </c>
      <c r="H57" s="265">
        <v>0.1</v>
      </c>
      <c r="I57" s="258">
        <v>1890000000</v>
      </c>
      <c r="J57" s="258">
        <v>20790000000</v>
      </c>
      <c r="K57" s="256" t="s">
        <v>1346</v>
      </c>
    </row>
    <row r="58" spans="1:11" x14ac:dyDescent="0.3">
      <c r="A58" s="266" t="s">
        <v>1351</v>
      </c>
      <c r="B58" s="266"/>
      <c r="C58" s="266"/>
      <c r="D58" s="266"/>
      <c r="E58" s="266"/>
      <c r="F58" s="266"/>
      <c r="G58" s="267">
        <f>SUM(G8:G57)</f>
        <v>874337000000</v>
      </c>
      <c r="H58" s="266"/>
      <c r="I58" s="267">
        <f>SUM(I8:I57)</f>
        <v>77328300000</v>
      </c>
      <c r="J58" s="267">
        <f>SUM(J8:J57)</f>
        <v>951665300000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1700</v>
      </c>
      <c r="F62" s="256" t="s">
        <v>1771</v>
      </c>
      <c r="G62" s="258">
        <v>24422000000</v>
      </c>
      <c r="H62" s="265">
        <v>0.1</v>
      </c>
      <c r="I62" s="258">
        <v>2442200000</v>
      </c>
      <c r="J62" s="258">
        <v>26864200000</v>
      </c>
      <c r="K62" s="256" t="s">
        <v>1346</v>
      </c>
    </row>
    <row r="63" spans="1:11" x14ac:dyDescent="0.3">
      <c r="A63" s="256">
        <v>2</v>
      </c>
      <c r="B63" s="257" t="s">
        <v>1201</v>
      </c>
      <c r="C63" s="276">
        <v>44318</v>
      </c>
      <c r="D63" s="257" t="s">
        <v>1262</v>
      </c>
      <c r="E63" s="256" t="s">
        <v>1728</v>
      </c>
      <c r="F63" s="256" t="s">
        <v>1772</v>
      </c>
      <c r="G63" s="258">
        <v>35728000000</v>
      </c>
      <c r="H63" s="265">
        <v>0.1</v>
      </c>
      <c r="I63" s="258">
        <v>3572800000</v>
      </c>
      <c r="J63" s="258">
        <v>39300800000</v>
      </c>
      <c r="K63" s="256" t="s">
        <v>1346</v>
      </c>
    </row>
    <row r="64" spans="1:11" x14ac:dyDescent="0.3">
      <c r="A64" s="256">
        <v>3</v>
      </c>
      <c r="B64" s="257" t="s">
        <v>1202</v>
      </c>
      <c r="C64" s="276">
        <v>44320</v>
      </c>
      <c r="D64" s="257" t="s">
        <v>1267</v>
      </c>
      <c r="E64" s="256" t="s">
        <v>1701</v>
      </c>
      <c r="F64" s="256" t="s">
        <v>1773</v>
      </c>
      <c r="G64" s="258">
        <v>36578000000</v>
      </c>
      <c r="H64" s="265">
        <v>0.1</v>
      </c>
      <c r="I64" s="258">
        <v>3657800000</v>
      </c>
      <c r="J64" s="258">
        <v>40235800000</v>
      </c>
      <c r="K64" s="256" t="s">
        <v>1346</v>
      </c>
    </row>
    <row r="65" spans="1:11" x14ac:dyDescent="0.3">
      <c r="A65" s="256">
        <v>4</v>
      </c>
      <c r="B65" s="257" t="s">
        <v>1355</v>
      </c>
      <c r="C65" s="276">
        <v>44321</v>
      </c>
      <c r="D65" s="257" t="s">
        <v>1277</v>
      </c>
      <c r="E65" s="256" t="s">
        <v>1711</v>
      </c>
      <c r="F65" s="256" t="s">
        <v>1774</v>
      </c>
      <c r="G65" s="258">
        <v>14747000000</v>
      </c>
      <c r="H65" s="265">
        <v>0.1</v>
      </c>
      <c r="I65" s="258">
        <v>1474700000</v>
      </c>
      <c r="J65" s="258">
        <v>16221700000</v>
      </c>
      <c r="K65" s="256" t="s">
        <v>1346</v>
      </c>
    </row>
    <row r="66" spans="1:11" x14ac:dyDescent="0.3">
      <c r="A66" s="256">
        <v>5</v>
      </c>
      <c r="B66" s="257" t="s">
        <v>1356</v>
      </c>
      <c r="C66" s="276">
        <v>44323</v>
      </c>
      <c r="D66" s="257" t="s">
        <v>1270</v>
      </c>
      <c r="E66" s="256" t="s">
        <v>1702</v>
      </c>
      <c r="F66" s="256" t="s">
        <v>1772</v>
      </c>
      <c r="G66" s="258">
        <v>12433000000</v>
      </c>
      <c r="H66" s="265">
        <v>0.1</v>
      </c>
      <c r="I66" s="258">
        <v>1243300000</v>
      </c>
      <c r="J66" s="258">
        <v>13676300000</v>
      </c>
      <c r="K66" s="256" t="s">
        <v>1346</v>
      </c>
    </row>
    <row r="67" spans="1:11" x14ac:dyDescent="0.3">
      <c r="A67" s="256">
        <v>6</v>
      </c>
      <c r="B67" s="257" t="s">
        <v>1358</v>
      </c>
      <c r="C67" s="276">
        <v>44324</v>
      </c>
      <c r="D67" s="257" t="s">
        <v>1290</v>
      </c>
      <c r="E67" s="256" t="s">
        <v>1707</v>
      </c>
      <c r="F67" s="256" t="s">
        <v>1772</v>
      </c>
      <c r="G67" s="258">
        <v>20781000000</v>
      </c>
      <c r="H67" s="265">
        <v>0.1</v>
      </c>
      <c r="I67" s="258">
        <v>2078100000</v>
      </c>
      <c r="J67" s="258">
        <v>22859100000</v>
      </c>
      <c r="K67" s="256" t="s">
        <v>1346</v>
      </c>
    </row>
    <row r="68" spans="1:11" x14ac:dyDescent="0.3">
      <c r="A68" s="256">
        <v>7</v>
      </c>
      <c r="B68" s="257" t="s">
        <v>1360</v>
      </c>
      <c r="C68" s="276">
        <v>44325</v>
      </c>
      <c r="D68" s="257" t="s">
        <v>1275</v>
      </c>
      <c r="E68" s="256" t="s">
        <v>1720</v>
      </c>
      <c r="F68" s="256" t="s">
        <v>1773</v>
      </c>
      <c r="G68" s="258">
        <v>21529000000</v>
      </c>
      <c r="H68" s="265">
        <v>0.1</v>
      </c>
      <c r="I68" s="258">
        <v>2152900000</v>
      </c>
      <c r="J68" s="258">
        <v>23681900000</v>
      </c>
      <c r="K68" s="256" t="s">
        <v>1348</v>
      </c>
    </row>
    <row r="69" spans="1:11" x14ac:dyDescent="0.3">
      <c r="A69" s="256">
        <v>8</v>
      </c>
      <c r="B69" s="257" t="s">
        <v>1362</v>
      </c>
      <c r="C69" s="276">
        <v>44326</v>
      </c>
      <c r="D69" s="257" t="s">
        <v>1255</v>
      </c>
      <c r="E69" s="256" t="s">
        <v>1688</v>
      </c>
      <c r="F69" s="256" t="s">
        <v>1774</v>
      </c>
      <c r="G69" s="258">
        <v>24344000000</v>
      </c>
      <c r="H69" s="265">
        <v>0.1</v>
      </c>
      <c r="I69" s="258">
        <v>2434400000</v>
      </c>
      <c r="J69" s="258">
        <v>26778400000</v>
      </c>
      <c r="K69" s="256" t="s">
        <v>1346</v>
      </c>
    </row>
    <row r="70" spans="1:11" x14ac:dyDescent="0.3">
      <c r="A70" s="256">
        <v>9</v>
      </c>
      <c r="B70" s="257" t="s">
        <v>1364</v>
      </c>
      <c r="C70" s="276">
        <v>44327</v>
      </c>
      <c r="D70" s="257" t="s">
        <v>1264</v>
      </c>
      <c r="E70" s="256" t="s">
        <v>1749</v>
      </c>
      <c r="F70" s="256" t="s">
        <v>1771</v>
      </c>
      <c r="G70" s="258">
        <v>22318000000</v>
      </c>
      <c r="H70" s="265">
        <v>0.1</v>
      </c>
      <c r="I70" s="258">
        <v>2231800000</v>
      </c>
      <c r="J70" s="258">
        <v>24549800000</v>
      </c>
      <c r="K70" s="256" t="s">
        <v>1346</v>
      </c>
    </row>
    <row r="71" spans="1:11" x14ac:dyDescent="0.3">
      <c r="A71" s="256">
        <v>10</v>
      </c>
      <c r="B71" s="257" t="s">
        <v>1366</v>
      </c>
      <c r="C71" s="276">
        <v>44328</v>
      </c>
      <c r="D71" s="257" t="s">
        <v>1258</v>
      </c>
      <c r="E71" s="256" t="s">
        <v>1694</v>
      </c>
      <c r="F71" s="256" t="s">
        <v>1774</v>
      </c>
      <c r="G71" s="258">
        <v>34109000000</v>
      </c>
      <c r="H71" s="265">
        <v>0.1</v>
      </c>
      <c r="I71" s="258">
        <v>3410900000</v>
      </c>
      <c r="J71" s="258">
        <v>37519900000</v>
      </c>
      <c r="K71" s="256" t="s">
        <v>1348</v>
      </c>
    </row>
    <row r="72" spans="1:11" x14ac:dyDescent="0.3">
      <c r="A72" s="256">
        <v>11</v>
      </c>
      <c r="B72" s="257" t="s">
        <v>1368</v>
      </c>
      <c r="C72" s="276">
        <v>44471</v>
      </c>
      <c r="D72" s="257" t="s">
        <v>1261</v>
      </c>
      <c r="E72" s="256" t="s">
        <v>1765</v>
      </c>
      <c r="F72" s="256" t="s">
        <v>1774</v>
      </c>
      <c r="G72" s="258">
        <v>16072000000</v>
      </c>
      <c r="H72" s="265">
        <v>0</v>
      </c>
      <c r="I72" s="258">
        <v>0</v>
      </c>
      <c r="J72" s="258">
        <v>16072000000</v>
      </c>
      <c r="K72" s="256" t="s">
        <v>1346</v>
      </c>
    </row>
    <row r="73" spans="1:11" x14ac:dyDescent="0.3">
      <c r="A73" s="256">
        <v>12</v>
      </c>
      <c r="B73" s="257" t="s">
        <v>1371</v>
      </c>
      <c r="C73" s="276">
        <v>44472</v>
      </c>
      <c r="D73" s="257" t="s">
        <v>1269</v>
      </c>
      <c r="E73" s="256" t="s">
        <v>1715</v>
      </c>
      <c r="F73" s="256" t="s">
        <v>1772</v>
      </c>
      <c r="G73" s="258">
        <v>19279000000</v>
      </c>
      <c r="H73" s="265">
        <v>0.1</v>
      </c>
      <c r="I73" s="258">
        <v>1927900000</v>
      </c>
      <c r="J73" s="258">
        <v>21206900000</v>
      </c>
      <c r="K73" s="256" t="s">
        <v>1346</v>
      </c>
    </row>
    <row r="74" spans="1:11" x14ac:dyDescent="0.3">
      <c r="A74" s="256">
        <v>13</v>
      </c>
      <c r="B74" s="257" t="s">
        <v>1373</v>
      </c>
      <c r="C74" s="276">
        <v>44474</v>
      </c>
      <c r="D74" s="257" t="s">
        <v>1280</v>
      </c>
      <c r="E74" s="256" t="s">
        <v>1726</v>
      </c>
      <c r="F74" s="256" t="s">
        <v>1773</v>
      </c>
      <c r="G74" s="258">
        <v>19075000000</v>
      </c>
      <c r="H74" s="265">
        <v>0.1</v>
      </c>
      <c r="I74" s="258">
        <v>1907500000</v>
      </c>
      <c r="J74" s="258">
        <v>20982500000</v>
      </c>
      <c r="K74" s="256" t="s">
        <v>1348</v>
      </c>
    </row>
    <row r="75" spans="1:11" x14ac:dyDescent="0.3">
      <c r="A75" s="256">
        <v>14</v>
      </c>
      <c r="B75" s="257" t="s">
        <v>1374</v>
      </c>
      <c r="C75" s="276">
        <v>44475</v>
      </c>
      <c r="D75" s="257" t="s">
        <v>1264</v>
      </c>
      <c r="E75" s="256" t="s">
        <v>1749</v>
      </c>
      <c r="F75" s="256" t="s">
        <v>1773</v>
      </c>
      <c r="G75" s="258">
        <v>19315000000</v>
      </c>
      <c r="H75" s="265">
        <v>0.1</v>
      </c>
      <c r="I75" s="258">
        <v>1931500000</v>
      </c>
      <c r="J75" s="258">
        <v>21246500000</v>
      </c>
      <c r="K75" s="256" t="s">
        <v>1348</v>
      </c>
    </row>
    <row r="76" spans="1:11" x14ac:dyDescent="0.3">
      <c r="A76" s="256">
        <v>15</v>
      </c>
      <c r="B76" s="257" t="s">
        <v>1376</v>
      </c>
      <c r="C76" s="276">
        <v>44476</v>
      </c>
      <c r="D76" s="257" t="s">
        <v>1281</v>
      </c>
      <c r="E76" s="256" t="s">
        <v>1721</v>
      </c>
      <c r="F76" s="256" t="s">
        <v>1773</v>
      </c>
      <c r="G76" s="258">
        <v>18227000000</v>
      </c>
      <c r="H76" s="265">
        <v>0.1</v>
      </c>
      <c r="I76" s="258">
        <v>1822700000</v>
      </c>
      <c r="J76" s="258">
        <v>20049700000</v>
      </c>
      <c r="K76" s="256" t="s">
        <v>1346</v>
      </c>
    </row>
    <row r="77" spans="1:11" x14ac:dyDescent="0.3">
      <c r="A77" s="256">
        <v>16</v>
      </c>
      <c r="B77" s="257" t="s">
        <v>1378</v>
      </c>
      <c r="C77" s="276">
        <v>44477</v>
      </c>
      <c r="D77" s="257" t="s">
        <v>1294</v>
      </c>
      <c r="E77" s="256" t="s">
        <v>1751</v>
      </c>
      <c r="F77" s="256" t="s">
        <v>1773</v>
      </c>
      <c r="G77" s="258">
        <v>21603000000</v>
      </c>
      <c r="H77" s="265">
        <v>0.1</v>
      </c>
      <c r="I77" s="258">
        <v>2160300000</v>
      </c>
      <c r="J77" s="258">
        <v>23763300000</v>
      </c>
      <c r="K77" s="256" t="s">
        <v>1346</v>
      </c>
    </row>
    <row r="78" spans="1:11" x14ac:dyDescent="0.3">
      <c r="A78" s="256">
        <v>17</v>
      </c>
      <c r="B78" s="257" t="s">
        <v>1379</v>
      </c>
      <c r="C78" s="276">
        <v>44478</v>
      </c>
      <c r="D78" s="257" t="s">
        <v>1259</v>
      </c>
      <c r="E78" s="256" t="s">
        <v>1700</v>
      </c>
      <c r="F78" s="256" t="s">
        <v>1773</v>
      </c>
      <c r="G78" s="258">
        <v>25800000000</v>
      </c>
      <c r="H78" s="265">
        <v>0.1</v>
      </c>
      <c r="I78" s="258">
        <v>2580000000</v>
      </c>
      <c r="J78" s="258">
        <v>28380000000</v>
      </c>
      <c r="K78" s="256" t="s">
        <v>1346</v>
      </c>
    </row>
    <row r="79" spans="1:11" x14ac:dyDescent="0.3">
      <c r="A79" s="256">
        <v>18</v>
      </c>
      <c r="B79" s="257" t="s">
        <v>1381</v>
      </c>
      <c r="C79" s="276">
        <v>44479</v>
      </c>
      <c r="D79" s="257" t="s">
        <v>1264</v>
      </c>
      <c r="E79" s="256" t="s">
        <v>1749</v>
      </c>
      <c r="F79" s="256" t="s">
        <v>1771</v>
      </c>
      <c r="G79" s="258">
        <v>21438000000</v>
      </c>
      <c r="H79" s="265">
        <v>0.1</v>
      </c>
      <c r="I79" s="258">
        <v>2143800000</v>
      </c>
      <c r="J79" s="258">
        <v>23581800000</v>
      </c>
      <c r="K79" s="256" t="s">
        <v>1346</v>
      </c>
    </row>
    <row r="80" spans="1:11" x14ac:dyDescent="0.3">
      <c r="A80" s="256">
        <v>19</v>
      </c>
      <c r="B80" s="257" t="s">
        <v>1382</v>
      </c>
      <c r="C80" s="276">
        <v>44481</v>
      </c>
      <c r="D80" s="257" t="s">
        <v>1286</v>
      </c>
      <c r="E80" s="256" t="s">
        <v>1729</v>
      </c>
      <c r="F80" s="256" t="s">
        <v>1773</v>
      </c>
      <c r="G80" s="258">
        <v>32031000000</v>
      </c>
      <c r="H80" s="265">
        <v>0.1</v>
      </c>
      <c r="I80" s="258">
        <v>3203100000</v>
      </c>
      <c r="J80" s="258">
        <v>35234100000</v>
      </c>
      <c r="K80" s="256" t="s">
        <v>1346</v>
      </c>
    </row>
    <row r="81" spans="1:11" x14ac:dyDescent="0.3">
      <c r="A81" s="256">
        <v>20</v>
      </c>
      <c r="B81" s="257" t="s">
        <v>1383</v>
      </c>
      <c r="C81" s="276">
        <v>44301</v>
      </c>
      <c r="D81" s="257" t="s">
        <v>1258</v>
      </c>
      <c r="E81" s="256" t="s">
        <v>1694</v>
      </c>
      <c r="F81" s="256" t="s">
        <v>1772</v>
      </c>
      <c r="G81" s="258">
        <v>21002000000</v>
      </c>
      <c r="H81" s="265">
        <v>0</v>
      </c>
      <c r="I81" s="258">
        <v>0</v>
      </c>
      <c r="J81" s="258">
        <v>21002000000</v>
      </c>
      <c r="K81" s="256" t="s">
        <v>1346</v>
      </c>
    </row>
    <row r="82" spans="1:11" x14ac:dyDescent="0.3">
      <c r="A82" s="256">
        <v>21</v>
      </c>
      <c r="B82" s="257" t="s">
        <v>1203</v>
      </c>
      <c r="C82" s="276">
        <v>44362</v>
      </c>
      <c r="D82" s="257" t="s">
        <v>1269</v>
      </c>
      <c r="E82" s="256" t="s">
        <v>1715</v>
      </c>
      <c r="F82" s="256" t="s">
        <v>1773</v>
      </c>
      <c r="G82" s="258">
        <v>20017000000</v>
      </c>
      <c r="H82" s="265">
        <v>0.1</v>
      </c>
      <c r="I82" s="258">
        <v>2001700000</v>
      </c>
      <c r="J82" s="258">
        <v>22018700000</v>
      </c>
      <c r="K82" s="256" t="s">
        <v>1346</v>
      </c>
    </row>
    <row r="83" spans="1:11" x14ac:dyDescent="0.3">
      <c r="A83" s="256">
        <v>22</v>
      </c>
      <c r="B83" s="257" t="s">
        <v>1204</v>
      </c>
      <c r="C83" s="276">
        <v>44392</v>
      </c>
      <c r="D83" s="257" t="s">
        <v>1276</v>
      </c>
      <c r="E83" s="256" t="s">
        <v>1696</v>
      </c>
      <c r="F83" s="256" t="s">
        <v>1774</v>
      </c>
      <c r="G83" s="258">
        <v>23993000000</v>
      </c>
      <c r="H83" s="265">
        <v>0.1</v>
      </c>
      <c r="I83" s="258">
        <v>2399300000</v>
      </c>
      <c r="J83" s="258">
        <v>26392300000</v>
      </c>
      <c r="K83" s="256" t="s">
        <v>1346</v>
      </c>
    </row>
    <row r="84" spans="1:11" x14ac:dyDescent="0.3">
      <c r="A84" s="256">
        <v>23</v>
      </c>
      <c r="B84" s="257" t="s">
        <v>1205</v>
      </c>
      <c r="C84" s="276">
        <v>44423</v>
      </c>
      <c r="D84" s="257" t="s">
        <v>1280</v>
      </c>
      <c r="E84" s="256" t="s">
        <v>1726</v>
      </c>
      <c r="F84" s="256" t="s">
        <v>1773</v>
      </c>
      <c r="G84" s="258">
        <v>30033000000</v>
      </c>
      <c r="H84" s="265">
        <v>0.1</v>
      </c>
      <c r="I84" s="258">
        <v>3003300000</v>
      </c>
      <c r="J84" s="258">
        <v>33036300000</v>
      </c>
      <c r="K84" s="256" t="s">
        <v>1346</v>
      </c>
    </row>
    <row r="85" spans="1:11" x14ac:dyDescent="0.3">
      <c r="A85" s="256">
        <v>24</v>
      </c>
      <c r="B85" s="257" t="s">
        <v>1385</v>
      </c>
      <c r="C85" s="276">
        <v>44454</v>
      </c>
      <c r="D85" s="257" t="s">
        <v>1255</v>
      </c>
      <c r="E85" s="256" t="s">
        <v>1688</v>
      </c>
      <c r="F85" s="256" t="s">
        <v>1773</v>
      </c>
      <c r="G85" s="258">
        <v>21903000000</v>
      </c>
      <c r="H85" s="265">
        <v>0.1</v>
      </c>
      <c r="I85" s="258">
        <v>2190300000</v>
      </c>
      <c r="J85" s="258">
        <v>24093300000</v>
      </c>
      <c r="K85" s="256" t="s">
        <v>1346</v>
      </c>
    </row>
    <row r="86" spans="1:11" x14ac:dyDescent="0.3">
      <c r="A86" s="256">
        <v>25</v>
      </c>
      <c r="B86" s="257" t="s">
        <v>1387</v>
      </c>
      <c r="C86" s="276">
        <v>44484</v>
      </c>
      <c r="D86" s="257" t="s">
        <v>1260</v>
      </c>
      <c r="E86" s="256" t="s">
        <v>1716</v>
      </c>
      <c r="F86" s="256" t="s">
        <v>1773</v>
      </c>
      <c r="G86" s="258">
        <v>23851000000</v>
      </c>
      <c r="H86" s="265">
        <v>0.1</v>
      </c>
      <c r="I86" s="258">
        <v>2385100000</v>
      </c>
      <c r="J86" s="258">
        <v>26236100000</v>
      </c>
      <c r="K86" s="256" t="s">
        <v>1346</v>
      </c>
    </row>
    <row r="87" spans="1:11" x14ac:dyDescent="0.3">
      <c r="A87" s="256">
        <v>26</v>
      </c>
      <c r="B87" s="257" t="s">
        <v>1388</v>
      </c>
      <c r="C87" s="276">
        <v>44216</v>
      </c>
      <c r="D87" s="257" t="s">
        <v>1262</v>
      </c>
      <c r="E87" s="256" t="s">
        <v>1728</v>
      </c>
      <c r="F87" s="256" t="s">
        <v>1774</v>
      </c>
      <c r="G87" s="258">
        <v>15306000000</v>
      </c>
      <c r="H87" s="265">
        <v>0.1</v>
      </c>
      <c r="I87" s="258">
        <v>1530600000</v>
      </c>
      <c r="J87" s="258">
        <v>16836600000</v>
      </c>
      <c r="K87" s="256" t="s">
        <v>1346</v>
      </c>
    </row>
    <row r="88" spans="1:11" x14ac:dyDescent="0.3">
      <c r="A88" s="256">
        <v>27</v>
      </c>
      <c r="B88" s="257" t="s">
        <v>1391</v>
      </c>
      <c r="C88" s="276">
        <v>44306</v>
      </c>
      <c r="D88" s="257" t="s">
        <v>1275</v>
      </c>
      <c r="E88" s="256" t="s">
        <v>1720</v>
      </c>
      <c r="F88" s="256" t="s">
        <v>1773</v>
      </c>
      <c r="G88" s="258">
        <v>25426000000</v>
      </c>
      <c r="H88" s="265">
        <v>0.1</v>
      </c>
      <c r="I88" s="258">
        <v>2542600000</v>
      </c>
      <c r="J88" s="258">
        <v>27968600000</v>
      </c>
      <c r="K88" s="256" t="s">
        <v>1346</v>
      </c>
    </row>
    <row r="89" spans="1:11" x14ac:dyDescent="0.3">
      <c r="A89" s="256">
        <v>28</v>
      </c>
      <c r="B89" s="257" t="s">
        <v>1392</v>
      </c>
      <c r="C89" s="276">
        <v>44336</v>
      </c>
      <c r="D89" s="257" t="s">
        <v>1283</v>
      </c>
      <c r="E89" s="256" t="s">
        <v>1727</v>
      </c>
      <c r="F89" s="256" t="s">
        <v>1774</v>
      </c>
      <c r="G89" s="258">
        <v>30576000000</v>
      </c>
      <c r="H89" s="265">
        <v>0.1</v>
      </c>
      <c r="I89" s="258">
        <v>3057600000</v>
      </c>
      <c r="J89" s="258">
        <v>33633600000</v>
      </c>
      <c r="K89" s="256" t="s">
        <v>1346</v>
      </c>
    </row>
    <row r="90" spans="1:11" x14ac:dyDescent="0.3">
      <c r="A90" s="256">
        <v>29</v>
      </c>
      <c r="B90" s="257" t="s">
        <v>1394</v>
      </c>
      <c r="C90" s="276">
        <v>44397</v>
      </c>
      <c r="D90" s="257" t="s">
        <v>1274</v>
      </c>
      <c r="E90" s="256" t="s">
        <v>1722</v>
      </c>
      <c r="F90" s="256" t="s">
        <v>1772</v>
      </c>
      <c r="G90" s="258">
        <v>13769000000</v>
      </c>
      <c r="H90" s="265">
        <v>0.1</v>
      </c>
      <c r="I90" s="258">
        <v>1376900000</v>
      </c>
      <c r="J90" s="258">
        <v>15145900000</v>
      </c>
      <c r="K90" s="256" t="s">
        <v>1346</v>
      </c>
    </row>
    <row r="91" spans="1:11" x14ac:dyDescent="0.3">
      <c r="A91" s="256">
        <v>30</v>
      </c>
      <c r="B91" s="257" t="s">
        <v>1396</v>
      </c>
      <c r="C91" s="276">
        <v>44428</v>
      </c>
      <c r="D91" s="257" t="s">
        <v>1257</v>
      </c>
      <c r="E91" s="256" t="s">
        <v>1753</v>
      </c>
      <c r="F91" s="256" t="s">
        <v>1774</v>
      </c>
      <c r="G91" s="258">
        <v>27998000000</v>
      </c>
      <c r="H91" s="265">
        <v>0.1</v>
      </c>
      <c r="I91" s="258">
        <v>2799800000</v>
      </c>
      <c r="J91" s="258">
        <v>30797800000</v>
      </c>
      <c r="K91" s="256" t="s">
        <v>1346</v>
      </c>
    </row>
    <row r="92" spans="1:11" x14ac:dyDescent="0.3">
      <c r="A92" s="256">
        <v>31</v>
      </c>
      <c r="B92" s="257" t="s">
        <v>1397</v>
      </c>
      <c r="C92" s="276">
        <v>44459</v>
      </c>
      <c r="D92" s="257" t="s">
        <v>1258</v>
      </c>
      <c r="E92" s="256" t="s">
        <v>1694</v>
      </c>
      <c r="F92" s="256" t="s">
        <v>1774</v>
      </c>
      <c r="G92" s="258">
        <v>18946000000</v>
      </c>
      <c r="H92" s="265">
        <v>0.1</v>
      </c>
      <c r="I92" s="258">
        <v>1894600000</v>
      </c>
      <c r="J92" s="258">
        <v>20840600000</v>
      </c>
      <c r="K92" s="256" t="s">
        <v>1346</v>
      </c>
    </row>
    <row r="93" spans="1:11" x14ac:dyDescent="0.3">
      <c r="A93" s="256">
        <v>32</v>
      </c>
      <c r="B93" s="257" t="s">
        <v>1398</v>
      </c>
      <c r="C93" s="276">
        <v>44489</v>
      </c>
      <c r="D93" s="257" t="s">
        <v>1282</v>
      </c>
      <c r="E93" s="256" t="s">
        <v>1754</v>
      </c>
      <c r="F93" s="256" t="s">
        <v>1771</v>
      </c>
      <c r="G93" s="258">
        <v>14578000000</v>
      </c>
      <c r="H93" s="265">
        <v>0.1</v>
      </c>
      <c r="I93" s="258">
        <v>1457800000</v>
      </c>
      <c r="J93" s="258">
        <v>16035800000</v>
      </c>
      <c r="K93" s="256" t="s">
        <v>1348</v>
      </c>
    </row>
    <row r="94" spans="1:11" x14ac:dyDescent="0.3">
      <c r="A94" s="256">
        <v>33</v>
      </c>
      <c r="B94" s="257" t="s">
        <v>1399</v>
      </c>
      <c r="C94" s="276">
        <v>44520</v>
      </c>
      <c r="D94" s="257" t="s">
        <v>1263</v>
      </c>
      <c r="E94" s="256" t="s">
        <v>1717</v>
      </c>
      <c r="F94" s="256" t="s">
        <v>1772</v>
      </c>
      <c r="G94" s="258">
        <v>20589000000</v>
      </c>
      <c r="H94" s="265">
        <v>0.1</v>
      </c>
      <c r="I94" s="258">
        <v>2058900000</v>
      </c>
      <c r="J94" s="258">
        <v>22647900000</v>
      </c>
      <c r="K94" s="256" t="s">
        <v>1348</v>
      </c>
    </row>
    <row r="95" spans="1:11" x14ac:dyDescent="0.3">
      <c r="A95" s="256">
        <v>34</v>
      </c>
      <c r="B95" s="257" t="s">
        <v>1401</v>
      </c>
      <c r="C95" s="276">
        <v>44550</v>
      </c>
      <c r="D95" s="257" t="s">
        <v>1273</v>
      </c>
      <c r="E95" s="256" t="s">
        <v>1704</v>
      </c>
      <c r="F95" s="256" t="s">
        <v>1773</v>
      </c>
      <c r="G95" s="258">
        <v>26579000000</v>
      </c>
      <c r="H95" s="265">
        <v>0</v>
      </c>
      <c r="I95" s="258">
        <v>0</v>
      </c>
      <c r="J95" s="258">
        <v>26579000000</v>
      </c>
      <c r="K95" s="256" t="s">
        <v>1348</v>
      </c>
    </row>
    <row r="96" spans="1:11" x14ac:dyDescent="0.3">
      <c r="A96" s="256">
        <v>35</v>
      </c>
      <c r="B96" s="257" t="s">
        <v>1402</v>
      </c>
      <c r="C96" s="276">
        <v>44221</v>
      </c>
      <c r="D96" s="257" t="s">
        <v>1267</v>
      </c>
      <c r="E96" s="256" t="s">
        <v>1701</v>
      </c>
      <c r="F96" s="256" t="s">
        <v>1773</v>
      </c>
      <c r="G96" s="258">
        <v>16256000000</v>
      </c>
      <c r="H96" s="265">
        <v>0.1</v>
      </c>
      <c r="I96" s="258">
        <v>1625600000</v>
      </c>
      <c r="J96" s="258">
        <v>17881600000</v>
      </c>
      <c r="K96" s="256" t="s">
        <v>1346</v>
      </c>
    </row>
    <row r="97" spans="1:11" x14ac:dyDescent="0.3">
      <c r="A97" s="256">
        <v>36</v>
      </c>
      <c r="B97" s="257" t="s">
        <v>1403</v>
      </c>
      <c r="C97" s="276">
        <v>44252</v>
      </c>
      <c r="D97" s="257" t="s">
        <v>1293</v>
      </c>
      <c r="E97" s="256" t="s">
        <v>1708</v>
      </c>
      <c r="F97" s="256" t="s">
        <v>1771</v>
      </c>
      <c r="G97" s="258">
        <v>18719000000</v>
      </c>
      <c r="H97" s="265">
        <v>0.1</v>
      </c>
      <c r="I97" s="258">
        <v>1871900000</v>
      </c>
      <c r="J97" s="258">
        <v>20590900000</v>
      </c>
      <c r="K97" s="256" t="s">
        <v>1346</v>
      </c>
    </row>
    <row r="98" spans="1:11" x14ac:dyDescent="0.3">
      <c r="A98" s="256">
        <v>37</v>
      </c>
      <c r="B98" s="257" t="s">
        <v>1404</v>
      </c>
      <c r="C98" s="276">
        <v>44280</v>
      </c>
      <c r="D98" s="257" t="s">
        <v>1264</v>
      </c>
      <c r="E98" s="256" t="s">
        <v>1749</v>
      </c>
      <c r="F98" s="256" t="s">
        <v>1772</v>
      </c>
      <c r="G98" s="258">
        <v>23353000000</v>
      </c>
      <c r="H98" s="265">
        <v>0.1</v>
      </c>
      <c r="I98" s="258">
        <v>2335300000</v>
      </c>
      <c r="J98" s="258">
        <v>25688300000</v>
      </c>
      <c r="K98" s="256" t="s">
        <v>1346</v>
      </c>
    </row>
    <row r="99" spans="1:11" x14ac:dyDescent="0.3">
      <c r="A99" s="256">
        <v>38</v>
      </c>
      <c r="B99" s="257" t="s">
        <v>1405</v>
      </c>
      <c r="C99" s="276">
        <v>44341</v>
      </c>
      <c r="D99" s="257" t="s">
        <v>1258</v>
      </c>
      <c r="E99" s="256" t="s">
        <v>1694</v>
      </c>
      <c r="F99" s="256" t="s">
        <v>1772</v>
      </c>
      <c r="G99" s="258">
        <v>12548000000</v>
      </c>
      <c r="H99" s="265">
        <v>0</v>
      </c>
      <c r="I99" s="258">
        <v>0</v>
      </c>
      <c r="J99" s="258">
        <v>12548000000</v>
      </c>
      <c r="K99" s="256" t="s">
        <v>1348</v>
      </c>
    </row>
    <row r="100" spans="1:11" x14ac:dyDescent="0.3">
      <c r="A100" s="256">
        <v>39</v>
      </c>
      <c r="B100" s="257" t="s">
        <v>1406</v>
      </c>
      <c r="C100" s="276">
        <v>44402</v>
      </c>
      <c r="D100" s="257" t="s">
        <v>1290</v>
      </c>
      <c r="E100" s="256" t="s">
        <v>1707</v>
      </c>
      <c r="F100" s="256" t="s">
        <v>1772</v>
      </c>
      <c r="G100" s="258">
        <v>14566000000</v>
      </c>
      <c r="H100" s="265">
        <v>0.1</v>
      </c>
      <c r="I100" s="258">
        <v>1456600000</v>
      </c>
      <c r="J100" s="258">
        <v>16022600000</v>
      </c>
      <c r="K100" s="256" t="s">
        <v>1346</v>
      </c>
    </row>
    <row r="101" spans="1:11" x14ac:dyDescent="0.3">
      <c r="A101" s="256">
        <v>40</v>
      </c>
      <c r="B101" s="257" t="s">
        <v>1408</v>
      </c>
      <c r="C101" s="276">
        <v>44433</v>
      </c>
      <c r="D101" s="257" t="s">
        <v>1280</v>
      </c>
      <c r="E101" s="256" t="s">
        <v>1726</v>
      </c>
      <c r="F101" s="256" t="s">
        <v>1774</v>
      </c>
      <c r="G101" s="258">
        <v>30237000000</v>
      </c>
      <c r="H101" s="265">
        <v>0.1</v>
      </c>
      <c r="I101" s="258">
        <v>3023700000</v>
      </c>
      <c r="J101" s="258">
        <v>33260700000</v>
      </c>
      <c r="K101" s="256" t="s">
        <v>1346</v>
      </c>
    </row>
    <row r="102" spans="1:11" x14ac:dyDescent="0.3">
      <c r="A102" s="256">
        <v>41</v>
      </c>
      <c r="B102" s="257" t="s">
        <v>1409</v>
      </c>
      <c r="C102" s="276">
        <v>44464</v>
      </c>
      <c r="D102" s="257" t="s">
        <v>1280</v>
      </c>
      <c r="E102" s="256" t="s">
        <v>1726</v>
      </c>
      <c r="F102" s="256" t="s">
        <v>1771</v>
      </c>
      <c r="G102" s="258">
        <v>36345000000</v>
      </c>
      <c r="H102" s="265">
        <v>0.1</v>
      </c>
      <c r="I102" s="258">
        <v>3634500000</v>
      </c>
      <c r="J102" s="258">
        <v>39979500000</v>
      </c>
      <c r="K102" s="256" t="s">
        <v>1346</v>
      </c>
    </row>
    <row r="103" spans="1:11" x14ac:dyDescent="0.3">
      <c r="A103" s="256">
        <v>42</v>
      </c>
      <c r="B103" s="257" t="s">
        <v>1411</v>
      </c>
      <c r="C103" s="276">
        <v>44525</v>
      </c>
      <c r="D103" s="257" t="s">
        <v>1264</v>
      </c>
      <c r="E103" s="256" t="s">
        <v>1749</v>
      </c>
      <c r="F103" s="256" t="s">
        <v>1771</v>
      </c>
      <c r="G103" s="258">
        <v>17621000000</v>
      </c>
      <c r="H103" s="265">
        <v>0.1</v>
      </c>
      <c r="I103" s="258">
        <v>1762100000</v>
      </c>
      <c r="J103" s="258">
        <v>19383100000</v>
      </c>
      <c r="K103" s="256" t="s">
        <v>1346</v>
      </c>
    </row>
    <row r="104" spans="1:11" x14ac:dyDescent="0.3">
      <c r="A104" s="256">
        <v>43</v>
      </c>
      <c r="B104" s="257" t="s">
        <v>1414</v>
      </c>
      <c r="C104" s="276">
        <v>44555</v>
      </c>
      <c r="D104" s="257" t="s">
        <v>1287</v>
      </c>
      <c r="E104" s="256" t="s">
        <v>1752</v>
      </c>
      <c r="F104" s="256" t="s">
        <v>1772</v>
      </c>
      <c r="G104" s="258">
        <v>26319000000</v>
      </c>
      <c r="H104" s="265">
        <v>0.1</v>
      </c>
      <c r="I104" s="258">
        <v>2631900000</v>
      </c>
      <c r="J104" s="258">
        <v>28950900000</v>
      </c>
      <c r="K104" s="256" t="s">
        <v>1348</v>
      </c>
    </row>
    <row r="105" spans="1:11" x14ac:dyDescent="0.3">
      <c r="A105" s="256">
        <v>44</v>
      </c>
      <c r="B105" s="257" t="s">
        <v>1415</v>
      </c>
      <c r="C105" s="276">
        <v>44316</v>
      </c>
      <c r="D105" s="257" t="s">
        <v>1255</v>
      </c>
      <c r="E105" s="256" t="s">
        <v>1688</v>
      </c>
      <c r="F105" s="256" t="s">
        <v>1771</v>
      </c>
      <c r="G105" s="258">
        <v>32333000000</v>
      </c>
      <c r="H105" s="265">
        <v>0.1</v>
      </c>
      <c r="I105" s="258">
        <v>3233300000</v>
      </c>
      <c r="J105" s="258">
        <v>35566300000</v>
      </c>
      <c r="K105" s="256" t="s">
        <v>1346</v>
      </c>
    </row>
    <row r="106" spans="1:11" x14ac:dyDescent="0.3">
      <c r="A106" s="256">
        <v>45</v>
      </c>
      <c r="B106" s="257" t="s">
        <v>1206</v>
      </c>
      <c r="C106" s="276">
        <v>44377</v>
      </c>
      <c r="D106" s="257" t="s">
        <v>1281</v>
      </c>
      <c r="E106" s="256" t="s">
        <v>1721</v>
      </c>
      <c r="F106" s="256" t="s">
        <v>1771</v>
      </c>
      <c r="G106" s="258">
        <v>21422000000</v>
      </c>
      <c r="H106" s="265">
        <v>0</v>
      </c>
      <c r="I106" s="258">
        <v>0</v>
      </c>
      <c r="J106" s="258">
        <v>21422000000</v>
      </c>
      <c r="K106" s="256" t="s">
        <v>1346</v>
      </c>
    </row>
    <row r="107" spans="1:11" x14ac:dyDescent="0.3">
      <c r="A107" s="256">
        <v>46</v>
      </c>
      <c r="B107" s="257" t="s">
        <v>1207</v>
      </c>
      <c r="C107" s="276">
        <v>44469</v>
      </c>
      <c r="D107" s="257" t="s">
        <v>1283</v>
      </c>
      <c r="E107" s="256" t="s">
        <v>1727</v>
      </c>
      <c r="F107" s="256" t="s">
        <v>1774</v>
      </c>
      <c r="G107" s="258">
        <v>22329000000</v>
      </c>
      <c r="H107" s="265">
        <v>0.1</v>
      </c>
      <c r="I107" s="258">
        <v>2232900000</v>
      </c>
      <c r="J107" s="258">
        <v>24561900000</v>
      </c>
      <c r="K107" s="256" t="s">
        <v>1346</v>
      </c>
    </row>
    <row r="108" spans="1:11" x14ac:dyDescent="0.3">
      <c r="A108" s="256">
        <v>47</v>
      </c>
      <c r="B108" s="257" t="s">
        <v>1208</v>
      </c>
      <c r="C108" s="276">
        <v>44530</v>
      </c>
      <c r="D108" s="257" t="s">
        <v>1289</v>
      </c>
      <c r="E108" s="256" t="s">
        <v>1703</v>
      </c>
      <c r="F108" s="256" t="s">
        <v>1773</v>
      </c>
      <c r="G108" s="258">
        <v>22268000000</v>
      </c>
      <c r="H108" s="265">
        <v>0.1</v>
      </c>
      <c r="I108" s="258">
        <v>2226800000</v>
      </c>
      <c r="J108" s="258">
        <v>24494800000</v>
      </c>
      <c r="K108" s="256" t="s">
        <v>1346</v>
      </c>
    </row>
    <row r="109" spans="1:11" x14ac:dyDescent="0.3">
      <c r="A109" s="256">
        <v>48</v>
      </c>
      <c r="B109" s="257" t="s">
        <v>1209</v>
      </c>
      <c r="C109" s="276">
        <v>44408</v>
      </c>
      <c r="D109" s="257" t="s">
        <v>1283</v>
      </c>
      <c r="E109" s="256" t="s">
        <v>1727</v>
      </c>
      <c r="F109" s="256" t="s">
        <v>1771</v>
      </c>
      <c r="G109" s="258">
        <v>36325000000</v>
      </c>
      <c r="H109" s="265">
        <v>0</v>
      </c>
      <c r="I109" s="258">
        <v>0</v>
      </c>
      <c r="J109" s="258">
        <v>36325000000</v>
      </c>
      <c r="K109" s="256" t="s">
        <v>1348</v>
      </c>
    </row>
    <row r="110" spans="1:11" x14ac:dyDescent="0.3">
      <c r="A110" s="256">
        <v>49</v>
      </c>
      <c r="B110" s="257" t="s">
        <v>1418</v>
      </c>
      <c r="C110" s="276">
        <v>44439</v>
      </c>
      <c r="D110" s="257" t="s">
        <v>1278</v>
      </c>
      <c r="E110" s="256" t="s">
        <v>1714</v>
      </c>
      <c r="F110" s="256" t="s">
        <v>1773</v>
      </c>
      <c r="G110" s="258">
        <v>27798000000</v>
      </c>
      <c r="H110" s="265">
        <v>0.1</v>
      </c>
      <c r="I110" s="258">
        <v>2779800000</v>
      </c>
      <c r="J110" s="258">
        <v>30577800000</v>
      </c>
      <c r="K110" s="256" t="s">
        <v>1346</v>
      </c>
    </row>
    <row r="111" spans="1:11" x14ac:dyDescent="0.3">
      <c r="A111" s="256">
        <v>50</v>
      </c>
      <c r="B111" s="257" t="s">
        <v>1419</v>
      </c>
      <c r="C111" s="276">
        <v>44561</v>
      </c>
      <c r="D111" s="257" t="s">
        <v>1286</v>
      </c>
      <c r="E111" s="256" t="s">
        <v>1729</v>
      </c>
      <c r="F111" s="256" t="s">
        <v>1771</v>
      </c>
      <c r="G111" s="258">
        <v>22152000000</v>
      </c>
      <c r="H111" s="265">
        <v>0.1</v>
      </c>
      <c r="I111" s="258">
        <v>2215200000</v>
      </c>
      <c r="J111" s="258">
        <v>24367200000</v>
      </c>
      <c r="K111" s="256" t="s">
        <v>1346</v>
      </c>
    </row>
    <row r="112" spans="1:11" x14ac:dyDescent="0.3">
      <c r="A112" s="266" t="s">
        <v>1351</v>
      </c>
      <c r="B112" s="266"/>
      <c r="C112" s="266"/>
      <c r="D112" s="266"/>
      <c r="E112" s="266"/>
      <c r="F112" s="266"/>
      <c r="G112" s="267">
        <f>SUM(G62:G111)</f>
        <v>1154986000000</v>
      </c>
      <c r="H112" s="266"/>
      <c r="I112" s="267">
        <f>SUM(I62:I111)</f>
        <v>102103800000</v>
      </c>
      <c r="J112" s="267">
        <f>SUM(J62:J111)</f>
        <v>1257089800000</v>
      </c>
      <c r="K112" s="26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1775</v>
      </c>
      <c r="C1" s="256"/>
      <c r="D1" s="256"/>
      <c r="E1" s="256"/>
      <c r="F1" s="256"/>
      <c r="G1" s="256"/>
      <c r="H1" s="256"/>
      <c r="I1" s="256"/>
      <c r="J1" s="256"/>
      <c r="K1" s="256"/>
    </row>
    <row r="2" spans="1:11" x14ac:dyDescent="0.3">
      <c r="A2" s="256" t="s">
        <v>1339</v>
      </c>
      <c r="B2" s="257">
        <v>101770848</v>
      </c>
      <c r="C2" s="256"/>
      <c r="D2" s="256"/>
      <c r="E2" s="256"/>
      <c r="F2" s="256"/>
      <c r="G2" s="256"/>
      <c r="H2" s="256"/>
      <c r="I2" s="256"/>
      <c r="J2" s="256"/>
      <c r="K2" s="256"/>
    </row>
    <row r="3" spans="1:11" x14ac:dyDescent="0.3">
      <c r="A3" s="256" t="s">
        <v>1343</v>
      </c>
      <c r="B3" s="258">
        <v>468158108525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1201</v>
      </c>
      <c r="C8" s="276">
        <v>44317</v>
      </c>
      <c r="D8" s="257" t="s">
        <v>1299</v>
      </c>
      <c r="E8" s="256" t="s">
        <v>1776</v>
      </c>
      <c r="F8" s="256" t="s">
        <v>1731</v>
      </c>
      <c r="G8" s="258">
        <v>9741000000</v>
      </c>
      <c r="H8" s="265">
        <v>0.1</v>
      </c>
      <c r="I8" s="258">
        <v>974100000</v>
      </c>
      <c r="J8" s="258">
        <v>10715100000</v>
      </c>
      <c r="K8" s="256" t="s">
        <v>1346</v>
      </c>
    </row>
    <row r="9" spans="1:11" x14ac:dyDescent="0.3">
      <c r="A9" s="256">
        <v>2</v>
      </c>
      <c r="B9" s="257" t="s">
        <v>1392</v>
      </c>
      <c r="C9" s="276">
        <v>44318</v>
      </c>
      <c r="D9" s="257" t="s">
        <v>1280</v>
      </c>
      <c r="E9" s="256" t="s">
        <v>1777</v>
      </c>
      <c r="F9" s="256" t="s">
        <v>1778</v>
      </c>
      <c r="G9" s="258">
        <v>4707000000</v>
      </c>
      <c r="H9" s="265">
        <v>0</v>
      </c>
      <c r="I9" s="258">
        <v>0</v>
      </c>
      <c r="J9" s="258">
        <v>4707000000</v>
      </c>
      <c r="K9" s="256" t="s">
        <v>1346</v>
      </c>
    </row>
    <row r="10" spans="1:11" x14ac:dyDescent="0.3">
      <c r="A10" s="256">
        <v>3</v>
      </c>
      <c r="B10" s="257" t="s">
        <v>1205</v>
      </c>
      <c r="C10" s="276">
        <v>44472</v>
      </c>
      <c r="D10" s="257" t="s">
        <v>1264</v>
      </c>
      <c r="E10" s="256" t="s">
        <v>1779</v>
      </c>
      <c r="F10" s="256" t="s">
        <v>1780</v>
      </c>
      <c r="G10" s="258">
        <v>3000000000</v>
      </c>
      <c r="H10" s="265">
        <v>0.1</v>
      </c>
      <c r="I10" s="258">
        <v>300000000</v>
      </c>
      <c r="J10" s="258">
        <v>3300000000</v>
      </c>
      <c r="K10" s="256" t="s">
        <v>1346</v>
      </c>
    </row>
    <row r="11" spans="1:11" x14ac:dyDescent="0.3">
      <c r="A11" s="256">
        <v>4</v>
      </c>
      <c r="B11" s="257" t="s">
        <v>1200</v>
      </c>
      <c r="C11" s="276">
        <v>44473</v>
      </c>
      <c r="D11" s="257" t="s">
        <v>1301</v>
      </c>
      <c r="E11" s="256" t="s">
        <v>1781</v>
      </c>
      <c r="F11" s="256" t="s">
        <v>1741</v>
      </c>
      <c r="G11" s="258">
        <v>9986000000</v>
      </c>
      <c r="H11" s="265">
        <v>0</v>
      </c>
      <c r="I11" s="258">
        <v>0</v>
      </c>
      <c r="J11" s="258">
        <v>9986000000</v>
      </c>
      <c r="K11" s="256" t="s">
        <v>1346</v>
      </c>
    </row>
    <row r="12" spans="1:11" x14ac:dyDescent="0.3">
      <c r="A12" s="256">
        <v>5</v>
      </c>
      <c r="B12" s="257" t="s">
        <v>1385</v>
      </c>
      <c r="C12" s="276">
        <v>44474</v>
      </c>
      <c r="D12" s="257" t="s">
        <v>1270</v>
      </c>
      <c r="E12" s="256" t="s">
        <v>1782</v>
      </c>
      <c r="F12" s="256" t="s">
        <v>1780</v>
      </c>
      <c r="G12" s="258">
        <v>6517000000</v>
      </c>
      <c r="H12" s="265">
        <v>0.1</v>
      </c>
      <c r="I12" s="258">
        <v>651700000</v>
      </c>
      <c r="J12" s="258">
        <v>7168700000</v>
      </c>
      <c r="K12" s="256" t="s">
        <v>1346</v>
      </c>
    </row>
    <row r="13" spans="1:11" x14ac:dyDescent="0.3">
      <c r="A13" s="256">
        <v>6</v>
      </c>
      <c r="B13" s="257" t="s">
        <v>1394</v>
      </c>
      <c r="C13" s="276">
        <v>44475</v>
      </c>
      <c r="D13" s="257" t="s">
        <v>1280</v>
      </c>
      <c r="E13" s="256" t="s">
        <v>1777</v>
      </c>
      <c r="F13" s="256" t="s">
        <v>1731</v>
      </c>
      <c r="G13" s="258">
        <v>2746000000</v>
      </c>
      <c r="H13" s="265">
        <v>0.1</v>
      </c>
      <c r="I13" s="258">
        <v>274600000</v>
      </c>
      <c r="J13" s="258">
        <v>3020600000</v>
      </c>
      <c r="K13" s="256" t="s">
        <v>1348</v>
      </c>
    </row>
    <row r="14" spans="1:11" x14ac:dyDescent="0.3">
      <c r="A14" s="256">
        <v>7</v>
      </c>
      <c r="B14" s="257" t="s">
        <v>1405</v>
      </c>
      <c r="C14" s="276">
        <v>44476</v>
      </c>
      <c r="D14" s="257" t="s">
        <v>1277</v>
      </c>
      <c r="E14" s="256" t="s">
        <v>1783</v>
      </c>
      <c r="F14" s="256" t="s">
        <v>1780</v>
      </c>
      <c r="G14" s="258">
        <v>5890000000</v>
      </c>
      <c r="H14" s="265">
        <v>0.1</v>
      </c>
      <c r="I14" s="258">
        <v>589000000</v>
      </c>
      <c r="J14" s="258">
        <v>6479000000</v>
      </c>
      <c r="K14" s="256" t="s">
        <v>1346</v>
      </c>
    </row>
    <row r="15" spans="1:11" x14ac:dyDescent="0.3">
      <c r="A15" s="256">
        <v>8</v>
      </c>
      <c r="B15" s="257" t="s">
        <v>1360</v>
      </c>
      <c r="C15" s="276">
        <v>44477</v>
      </c>
      <c r="D15" s="257" t="s">
        <v>1302</v>
      </c>
      <c r="E15" s="256" t="s">
        <v>1784</v>
      </c>
      <c r="F15" s="256" t="s">
        <v>1778</v>
      </c>
      <c r="G15" s="258">
        <v>3941000000</v>
      </c>
      <c r="H15" s="265">
        <v>0.1</v>
      </c>
      <c r="I15" s="258">
        <v>394100000</v>
      </c>
      <c r="J15" s="258">
        <v>4335100000</v>
      </c>
      <c r="K15" s="256" t="s">
        <v>1346</v>
      </c>
    </row>
    <row r="16" spans="1:11" x14ac:dyDescent="0.3">
      <c r="A16" s="256">
        <v>9</v>
      </c>
      <c r="B16" s="257" t="s">
        <v>1401</v>
      </c>
      <c r="C16" s="276">
        <v>44478</v>
      </c>
      <c r="D16" s="257" t="s">
        <v>1278</v>
      </c>
      <c r="E16" s="256" t="s">
        <v>1785</v>
      </c>
      <c r="F16" s="256" t="s">
        <v>1741</v>
      </c>
      <c r="G16" s="258">
        <v>8878000000</v>
      </c>
      <c r="H16" s="265">
        <v>0.1</v>
      </c>
      <c r="I16" s="258">
        <v>887800000</v>
      </c>
      <c r="J16" s="258">
        <v>9765800000</v>
      </c>
      <c r="K16" s="256" t="s">
        <v>1346</v>
      </c>
    </row>
    <row r="17" spans="1:11" x14ac:dyDescent="0.3">
      <c r="A17" s="256">
        <v>10</v>
      </c>
      <c r="B17" s="257" t="s">
        <v>1405</v>
      </c>
      <c r="C17" s="276">
        <v>44479</v>
      </c>
      <c r="D17" s="257" t="s">
        <v>1284</v>
      </c>
      <c r="E17" s="256" t="s">
        <v>1786</v>
      </c>
      <c r="F17" s="256" t="s">
        <v>1780</v>
      </c>
      <c r="G17" s="258">
        <v>10416000000</v>
      </c>
      <c r="H17" s="265">
        <v>0.1</v>
      </c>
      <c r="I17" s="258">
        <v>1041600000</v>
      </c>
      <c r="J17" s="258">
        <v>11457600000</v>
      </c>
      <c r="K17" s="256" t="s">
        <v>1346</v>
      </c>
    </row>
    <row r="18" spans="1:11" x14ac:dyDescent="0.3">
      <c r="A18" s="256">
        <v>11</v>
      </c>
      <c r="B18" s="257" t="s">
        <v>1362</v>
      </c>
      <c r="C18" s="276">
        <v>44480</v>
      </c>
      <c r="D18" s="257" t="s">
        <v>1302</v>
      </c>
      <c r="E18" s="256" t="s">
        <v>1784</v>
      </c>
      <c r="F18" s="256" t="s">
        <v>1787</v>
      </c>
      <c r="G18" s="258">
        <v>8160000000</v>
      </c>
      <c r="H18" s="265">
        <v>0.1</v>
      </c>
      <c r="I18" s="258">
        <v>816000000</v>
      </c>
      <c r="J18" s="258">
        <v>8976000000</v>
      </c>
      <c r="K18" s="256" t="s">
        <v>1346</v>
      </c>
    </row>
    <row r="19" spans="1:11" x14ac:dyDescent="0.3">
      <c r="A19" s="256">
        <v>12</v>
      </c>
      <c r="B19" s="257" t="s">
        <v>1399</v>
      </c>
      <c r="C19" s="276">
        <v>44481</v>
      </c>
      <c r="D19" s="257" t="s">
        <v>1259</v>
      </c>
      <c r="E19" s="256" t="s">
        <v>1788</v>
      </c>
      <c r="F19" s="256" t="s">
        <v>1778</v>
      </c>
      <c r="G19" s="258">
        <v>6039000000</v>
      </c>
      <c r="H19" s="265">
        <v>0.1</v>
      </c>
      <c r="I19" s="258">
        <v>603900000</v>
      </c>
      <c r="J19" s="258">
        <v>6642900000</v>
      </c>
      <c r="K19" s="256" t="s">
        <v>1346</v>
      </c>
    </row>
    <row r="20" spans="1:11" x14ac:dyDescent="0.3">
      <c r="A20" s="256">
        <v>13</v>
      </c>
      <c r="B20" s="257" t="s">
        <v>1374</v>
      </c>
      <c r="C20" s="276">
        <v>44211</v>
      </c>
      <c r="D20" s="257" t="s">
        <v>1282</v>
      </c>
      <c r="E20" s="256" t="s">
        <v>1789</v>
      </c>
      <c r="F20" s="256" t="s">
        <v>1787</v>
      </c>
      <c r="G20" s="258">
        <v>10829000000</v>
      </c>
      <c r="H20" s="265">
        <v>0.1</v>
      </c>
      <c r="I20" s="258">
        <v>1082900000</v>
      </c>
      <c r="J20" s="258">
        <v>11911900000</v>
      </c>
      <c r="K20" s="256" t="s">
        <v>1346</v>
      </c>
    </row>
    <row r="21" spans="1:11" x14ac:dyDescent="0.3">
      <c r="A21" s="256">
        <v>14</v>
      </c>
      <c r="B21" s="257" t="s">
        <v>1401</v>
      </c>
      <c r="C21" s="276">
        <v>44242</v>
      </c>
      <c r="D21" s="257" t="s">
        <v>1263</v>
      </c>
      <c r="E21" s="256" t="s">
        <v>1790</v>
      </c>
      <c r="F21" s="256" t="s">
        <v>1780</v>
      </c>
      <c r="G21" s="258">
        <v>3911000000</v>
      </c>
      <c r="H21" s="265">
        <v>0.1</v>
      </c>
      <c r="I21" s="258">
        <v>391100000</v>
      </c>
      <c r="J21" s="258">
        <v>4302100000</v>
      </c>
      <c r="K21" s="256" t="s">
        <v>1346</v>
      </c>
    </row>
    <row r="22" spans="1:11" x14ac:dyDescent="0.3">
      <c r="A22" s="256">
        <v>15</v>
      </c>
      <c r="B22" s="257" t="s">
        <v>1202</v>
      </c>
      <c r="C22" s="276">
        <v>44275</v>
      </c>
      <c r="D22" s="257" t="s">
        <v>1299</v>
      </c>
      <c r="E22" s="256" t="s">
        <v>1776</v>
      </c>
      <c r="F22" s="256" t="s">
        <v>1791</v>
      </c>
      <c r="G22" s="258">
        <v>10736000000</v>
      </c>
      <c r="H22" s="265">
        <v>0.1</v>
      </c>
      <c r="I22" s="258">
        <v>1073600000</v>
      </c>
      <c r="J22" s="258">
        <v>11809600000</v>
      </c>
      <c r="K22" s="256" t="s">
        <v>1346</v>
      </c>
    </row>
    <row r="23" spans="1:11" x14ac:dyDescent="0.3">
      <c r="A23" s="256">
        <v>16</v>
      </c>
      <c r="B23" s="257" t="s">
        <v>1360</v>
      </c>
      <c r="C23" s="276">
        <v>44306</v>
      </c>
      <c r="D23" s="257" t="s">
        <v>1292</v>
      </c>
      <c r="E23" s="256" t="s">
        <v>1792</v>
      </c>
      <c r="F23" s="256" t="s">
        <v>1731</v>
      </c>
      <c r="G23" s="258">
        <v>9342000000</v>
      </c>
      <c r="H23" s="265">
        <v>0.1</v>
      </c>
      <c r="I23" s="258">
        <v>934200000</v>
      </c>
      <c r="J23" s="258">
        <v>10276200000</v>
      </c>
      <c r="K23" s="256" t="s">
        <v>1346</v>
      </c>
    </row>
    <row r="24" spans="1:11" x14ac:dyDescent="0.3">
      <c r="A24" s="256">
        <v>17</v>
      </c>
      <c r="B24" s="257" t="s">
        <v>1387</v>
      </c>
      <c r="C24" s="276">
        <v>44336</v>
      </c>
      <c r="D24" s="257" t="s">
        <v>1270</v>
      </c>
      <c r="E24" s="256" t="s">
        <v>1782</v>
      </c>
      <c r="F24" s="256" t="s">
        <v>1787</v>
      </c>
      <c r="G24" s="258">
        <v>4978000000</v>
      </c>
      <c r="H24" s="265">
        <v>0.1</v>
      </c>
      <c r="I24" s="258">
        <v>497800000</v>
      </c>
      <c r="J24" s="258">
        <v>5475800000</v>
      </c>
      <c r="K24" s="256" t="s">
        <v>1346</v>
      </c>
    </row>
    <row r="25" spans="1:11" x14ac:dyDescent="0.3">
      <c r="A25" s="256">
        <v>18</v>
      </c>
      <c r="B25" s="257" t="s">
        <v>1362</v>
      </c>
      <c r="C25" s="276">
        <v>44367</v>
      </c>
      <c r="D25" s="257" t="s">
        <v>1292</v>
      </c>
      <c r="E25" s="256" t="s">
        <v>1792</v>
      </c>
      <c r="F25" s="256" t="s">
        <v>1731</v>
      </c>
      <c r="G25" s="258">
        <v>6942000000</v>
      </c>
      <c r="H25" s="265">
        <v>0.1</v>
      </c>
      <c r="I25" s="258">
        <v>694200000</v>
      </c>
      <c r="J25" s="258">
        <v>7636200000</v>
      </c>
      <c r="K25" s="256" t="s">
        <v>1346</v>
      </c>
    </row>
    <row r="26" spans="1:11" x14ac:dyDescent="0.3">
      <c r="A26" s="256">
        <v>19</v>
      </c>
      <c r="B26" s="257" t="s">
        <v>1392</v>
      </c>
      <c r="C26" s="276">
        <v>44397</v>
      </c>
      <c r="D26" s="257" t="s">
        <v>1285</v>
      </c>
      <c r="E26" s="256" t="s">
        <v>1793</v>
      </c>
      <c r="F26" s="256" t="s">
        <v>1787</v>
      </c>
      <c r="G26" s="258">
        <v>3428000000</v>
      </c>
      <c r="H26" s="265">
        <v>0.1</v>
      </c>
      <c r="I26" s="258">
        <v>342800000</v>
      </c>
      <c r="J26" s="258">
        <v>3770800000</v>
      </c>
      <c r="K26" s="256" t="s">
        <v>1346</v>
      </c>
    </row>
    <row r="27" spans="1:11" x14ac:dyDescent="0.3">
      <c r="A27" s="256">
        <v>20</v>
      </c>
      <c r="B27" s="257" t="s">
        <v>1376</v>
      </c>
      <c r="C27" s="276">
        <v>44428</v>
      </c>
      <c r="D27" s="257" t="s">
        <v>1282</v>
      </c>
      <c r="E27" s="256" t="s">
        <v>1789</v>
      </c>
      <c r="F27" s="256" t="s">
        <v>1741</v>
      </c>
      <c r="G27" s="258">
        <v>5817000000</v>
      </c>
      <c r="H27" s="265">
        <v>0.1</v>
      </c>
      <c r="I27" s="258">
        <v>581700000</v>
      </c>
      <c r="J27" s="258">
        <v>6398700000</v>
      </c>
      <c r="K27" s="256" t="s">
        <v>1348</v>
      </c>
    </row>
    <row r="28" spans="1:11" x14ac:dyDescent="0.3">
      <c r="A28" s="256">
        <v>21</v>
      </c>
      <c r="B28" s="257" t="s">
        <v>1387</v>
      </c>
      <c r="C28" s="276">
        <v>44459</v>
      </c>
      <c r="D28" s="257" t="s">
        <v>1274</v>
      </c>
      <c r="E28" s="256" t="s">
        <v>1794</v>
      </c>
      <c r="F28" s="256" t="s">
        <v>1731</v>
      </c>
      <c r="G28" s="258">
        <v>6361000000</v>
      </c>
      <c r="H28" s="265">
        <v>0</v>
      </c>
      <c r="I28" s="258">
        <v>0</v>
      </c>
      <c r="J28" s="258">
        <v>6361000000</v>
      </c>
      <c r="K28" s="256" t="s">
        <v>1348</v>
      </c>
    </row>
    <row r="29" spans="1:11" x14ac:dyDescent="0.3">
      <c r="A29" s="256">
        <v>22</v>
      </c>
      <c r="B29" s="257" t="s">
        <v>1200</v>
      </c>
      <c r="C29" s="276">
        <v>44489</v>
      </c>
      <c r="D29" s="257" t="s">
        <v>1294</v>
      </c>
      <c r="E29" s="256" t="s">
        <v>1795</v>
      </c>
      <c r="F29" s="256" t="s">
        <v>1780</v>
      </c>
      <c r="G29" s="258">
        <v>2795000000</v>
      </c>
      <c r="H29" s="265">
        <v>0</v>
      </c>
      <c r="I29" s="258">
        <v>0</v>
      </c>
      <c r="J29" s="258">
        <v>2795000000</v>
      </c>
      <c r="K29" s="256" t="s">
        <v>1346</v>
      </c>
    </row>
    <row r="30" spans="1:11" x14ac:dyDescent="0.3">
      <c r="A30" s="256">
        <v>23</v>
      </c>
      <c r="B30" s="257" t="s">
        <v>1371</v>
      </c>
      <c r="C30" s="276">
        <v>44520</v>
      </c>
      <c r="D30" s="257" t="s">
        <v>1290</v>
      </c>
      <c r="E30" s="256" t="s">
        <v>1796</v>
      </c>
      <c r="F30" s="256" t="s">
        <v>1791</v>
      </c>
      <c r="G30" s="258">
        <v>8116000000</v>
      </c>
      <c r="H30" s="265">
        <v>0.1</v>
      </c>
      <c r="I30" s="258">
        <v>811600000</v>
      </c>
      <c r="J30" s="258">
        <v>8927600000</v>
      </c>
      <c r="K30" s="256" t="s">
        <v>1348</v>
      </c>
    </row>
    <row r="31" spans="1:11" x14ac:dyDescent="0.3">
      <c r="A31" s="256">
        <v>24</v>
      </c>
      <c r="B31" s="257" t="s">
        <v>1362</v>
      </c>
      <c r="C31" s="276">
        <v>44550</v>
      </c>
      <c r="D31" s="257" t="s">
        <v>1288</v>
      </c>
      <c r="E31" s="256" t="s">
        <v>1797</v>
      </c>
      <c r="F31" s="256" t="s">
        <v>1778</v>
      </c>
      <c r="G31" s="258">
        <v>3595000000</v>
      </c>
      <c r="H31" s="265">
        <v>0.1</v>
      </c>
      <c r="I31" s="258">
        <v>359500000</v>
      </c>
      <c r="J31" s="258">
        <v>3954500000</v>
      </c>
      <c r="K31" s="256" t="s">
        <v>1348</v>
      </c>
    </row>
    <row r="32" spans="1:11" x14ac:dyDescent="0.3">
      <c r="A32" s="256">
        <v>25</v>
      </c>
      <c r="B32" s="257" t="s">
        <v>1388</v>
      </c>
      <c r="C32" s="276">
        <v>44221</v>
      </c>
      <c r="D32" s="257" t="s">
        <v>1283</v>
      </c>
      <c r="E32" s="256" t="s">
        <v>1798</v>
      </c>
      <c r="F32" s="256" t="s">
        <v>1791</v>
      </c>
      <c r="G32" s="258">
        <v>3755000000</v>
      </c>
      <c r="H32" s="265">
        <v>0.1</v>
      </c>
      <c r="I32" s="258">
        <v>375500000</v>
      </c>
      <c r="J32" s="258">
        <v>4130500000</v>
      </c>
      <c r="K32" s="256" t="s">
        <v>1346</v>
      </c>
    </row>
    <row r="33" spans="1:11" x14ac:dyDescent="0.3">
      <c r="A33" s="256">
        <v>26</v>
      </c>
      <c r="B33" s="257" t="s">
        <v>1378</v>
      </c>
      <c r="C33" s="276">
        <v>44255</v>
      </c>
      <c r="D33" s="257" t="s">
        <v>1282</v>
      </c>
      <c r="E33" s="256" t="s">
        <v>1789</v>
      </c>
      <c r="F33" s="256" t="s">
        <v>1731</v>
      </c>
      <c r="G33" s="258">
        <v>6111000000</v>
      </c>
      <c r="H33" s="265">
        <v>0.1</v>
      </c>
      <c r="I33" s="258">
        <v>611100000</v>
      </c>
      <c r="J33" s="258">
        <v>6722100000</v>
      </c>
      <c r="K33" s="256" t="s">
        <v>1346</v>
      </c>
    </row>
    <row r="34" spans="1:11" x14ac:dyDescent="0.3">
      <c r="A34" s="256">
        <v>27</v>
      </c>
      <c r="B34" s="257" t="s">
        <v>1378</v>
      </c>
      <c r="C34" s="276">
        <v>44316</v>
      </c>
      <c r="D34" s="257" t="s">
        <v>1271</v>
      </c>
      <c r="E34" s="256" t="s">
        <v>1799</v>
      </c>
      <c r="F34" s="256" t="s">
        <v>1741</v>
      </c>
      <c r="G34" s="258">
        <v>3997000000</v>
      </c>
      <c r="H34" s="265">
        <v>0.1</v>
      </c>
      <c r="I34" s="258">
        <v>399700000</v>
      </c>
      <c r="J34" s="258">
        <v>4396700000</v>
      </c>
      <c r="K34" s="256" t="s">
        <v>1346</v>
      </c>
    </row>
    <row r="35" spans="1:11" x14ac:dyDescent="0.3">
      <c r="A35" s="256">
        <v>28</v>
      </c>
      <c r="B35" s="257" t="s">
        <v>1396</v>
      </c>
      <c r="C35" s="276">
        <v>44377</v>
      </c>
      <c r="D35" s="257" t="s">
        <v>1280</v>
      </c>
      <c r="E35" s="256" t="s">
        <v>1777</v>
      </c>
      <c r="F35" s="256" t="s">
        <v>1791</v>
      </c>
      <c r="G35" s="258">
        <v>8597000000</v>
      </c>
      <c r="H35" s="265">
        <v>0.1</v>
      </c>
      <c r="I35" s="258">
        <v>859700000</v>
      </c>
      <c r="J35" s="258">
        <v>9456700000</v>
      </c>
      <c r="K35" s="256" t="s">
        <v>1346</v>
      </c>
    </row>
    <row r="36" spans="1:11" x14ac:dyDescent="0.3">
      <c r="A36" s="256">
        <v>29</v>
      </c>
      <c r="B36" s="257" t="s">
        <v>1379</v>
      </c>
      <c r="C36" s="276">
        <v>44469</v>
      </c>
      <c r="D36" s="257" t="s">
        <v>1271</v>
      </c>
      <c r="E36" s="256" t="s">
        <v>1799</v>
      </c>
      <c r="F36" s="256" t="s">
        <v>1780</v>
      </c>
      <c r="G36" s="258">
        <v>7625000000</v>
      </c>
      <c r="H36" s="265">
        <v>0.1</v>
      </c>
      <c r="I36" s="258">
        <v>762500000</v>
      </c>
      <c r="J36" s="258">
        <v>8387500000</v>
      </c>
      <c r="K36" s="256" t="s">
        <v>1346</v>
      </c>
    </row>
    <row r="37" spans="1:11" x14ac:dyDescent="0.3">
      <c r="A37" s="256">
        <v>30</v>
      </c>
      <c r="B37" s="257" t="s">
        <v>1362</v>
      </c>
      <c r="C37" s="276">
        <v>44530</v>
      </c>
      <c r="D37" s="257" t="s">
        <v>1291</v>
      </c>
      <c r="E37" s="256" t="s">
        <v>1800</v>
      </c>
      <c r="F37" s="256" t="s">
        <v>1780</v>
      </c>
      <c r="G37" s="258">
        <v>10392000000</v>
      </c>
      <c r="H37" s="265">
        <v>0.1</v>
      </c>
      <c r="I37" s="258">
        <v>1039200000</v>
      </c>
      <c r="J37" s="258">
        <v>11431200000</v>
      </c>
      <c r="K37" s="256" t="s">
        <v>1346</v>
      </c>
    </row>
    <row r="38" spans="1:11" x14ac:dyDescent="0.3">
      <c r="A38" s="256">
        <v>31</v>
      </c>
      <c r="B38" s="257" t="s">
        <v>1368</v>
      </c>
      <c r="C38" s="276">
        <v>44286</v>
      </c>
      <c r="D38" s="257" t="s">
        <v>1287</v>
      </c>
      <c r="E38" s="256" t="s">
        <v>1801</v>
      </c>
      <c r="F38" s="256" t="s">
        <v>1791</v>
      </c>
      <c r="G38" s="258">
        <v>10790000000</v>
      </c>
      <c r="H38" s="265">
        <v>0.1</v>
      </c>
      <c r="I38" s="258">
        <v>1079000000</v>
      </c>
      <c r="J38" s="258">
        <v>11869000000</v>
      </c>
      <c r="K38" s="256" t="s">
        <v>1346</v>
      </c>
    </row>
    <row r="39" spans="1:11" x14ac:dyDescent="0.3">
      <c r="A39" s="256">
        <v>32</v>
      </c>
      <c r="B39" s="257" t="s">
        <v>1391</v>
      </c>
      <c r="C39" s="276">
        <v>44347</v>
      </c>
      <c r="D39" s="257" t="s">
        <v>1256</v>
      </c>
      <c r="E39" s="256" t="s">
        <v>1802</v>
      </c>
      <c r="F39" s="256" t="s">
        <v>1778</v>
      </c>
      <c r="G39" s="258">
        <v>10239000000</v>
      </c>
      <c r="H39" s="265">
        <v>0.1</v>
      </c>
      <c r="I39" s="258">
        <v>1023900000</v>
      </c>
      <c r="J39" s="258">
        <v>11262900000</v>
      </c>
      <c r="K39" s="256" t="s">
        <v>1346</v>
      </c>
    </row>
    <row r="40" spans="1:11" x14ac:dyDescent="0.3">
      <c r="A40" s="256">
        <v>33</v>
      </c>
      <c r="B40" s="257" t="s">
        <v>1388</v>
      </c>
      <c r="C40" s="276">
        <v>44408</v>
      </c>
      <c r="D40" s="257" t="s">
        <v>1274</v>
      </c>
      <c r="E40" s="256" t="s">
        <v>1794</v>
      </c>
      <c r="F40" s="256" t="s">
        <v>1780</v>
      </c>
      <c r="G40" s="258">
        <v>10040000000</v>
      </c>
      <c r="H40" s="265">
        <v>0.1</v>
      </c>
      <c r="I40" s="258">
        <v>1004000000</v>
      </c>
      <c r="J40" s="258">
        <v>11044000000</v>
      </c>
      <c r="K40" s="256" t="s">
        <v>1346</v>
      </c>
    </row>
    <row r="41" spans="1:11" x14ac:dyDescent="0.3">
      <c r="A41" s="256">
        <v>34</v>
      </c>
      <c r="B41" s="257" t="s">
        <v>1391</v>
      </c>
      <c r="C41" s="276">
        <v>44439</v>
      </c>
      <c r="D41" s="257" t="s">
        <v>1274</v>
      </c>
      <c r="E41" s="256" t="s">
        <v>1794</v>
      </c>
      <c r="F41" s="256" t="s">
        <v>1778</v>
      </c>
      <c r="G41" s="258">
        <v>7719000000</v>
      </c>
      <c r="H41" s="265">
        <v>0.1</v>
      </c>
      <c r="I41" s="258">
        <v>771900000</v>
      </c>
      <c r="J41" s="258">
        <v>8490900000</v>
      </c>
      <c r="K41" s="256" t="s">
        <v>1346</v>
      </c>
    </row>
    <row r="42" spans="1:11" x14ac:dyDescent="0.3">
      <c r="A42" s="256">
        <v>35</v>
      </c>
      <c r="B42" s="257" t="s">
        <v>1355</v>
      </c>
      <c r="C42" s="276">
        <v>44500</v>
      </c>
      <c r="D42" s="257" t="s">
        <v>1299</v>
      </c>
      <c r="E42" s="256" t="s">
        <v>1776</v>
      </c>
      <c r="F42" s="256" t="s">
        <v>1741</v>
      </c>
      <c r="G42" s="258">
        <v>5243000000</v>
      </c>
      <c r="H42" s="265">
        <v>0.1</v>
      </c>
      <c r="I42" s="258">
        <v>524300000</v>
      </c>
      <c r="J42" s="258">
        <v>5767300000</v>
      </c>
      <c r="K42" s="256" t="s">
        <v>1346</v>
      </c>
    </row>
    <row r="43" spans="1:11" x14ac:dyDescent="0.3">
      <c r="A43" s="256">
        <v>36</v>
      </c>
      <c r="B43" s="257" t="s">
        <v>1379</v>
      </c>
      <c r="C43" s="276">
        <v>44561</v>
      </c>
      <c r="D43" s="257" t="s">
        <v>1282</v>
      </c>
      <c r="E43" s="256" t="s">
        <v>1789</v>
      </c>
      <c r="F43" s="256" t="s">
        <v>1780</v>
      </c>
      <c r="G43" s="258">
        <v>3083000000</v>
      </c>
      <c r="H43" s="265">
        <v>0.1</v>
      </c>
      <c r="I43" s="258">
        <v>308300000</v>
      </c>
      <c r="J43" s="258">
        <v>3391300000</v>
      </c>
      <c r="K43" s="256" t="s">
        <v>1346</v>
      </c>
    </row>
    <row r="44" spans="1:11" x14ac:dyDescent="0.3">
      <c r="A44" s="256">
        <v>37</v>
      </c>
      <c r="B44" s="257" t="s">
        <v>1401</v>
      </c>
      <c r="C44" s="276">
        <v>44561</v>
      </c>
      <c r="D44" s="257" t="s">
        <v>1259</v>
      </c>
      <c r="E44" s="256" t="s">
        <v>1788</v>
      </c>
      <c r="F44" s="256" t="s">
        <v>1741</v>
      </c>
      <c r="G44" s="258">
        <v>3788000000</v>
      </c>
      <c r="H44" s="265">
        <v>0.1</v>
      </c>
      <c r="I44" s="258">
        <v>378800000</v>
      </c>
      <c r="J44" s="258">
        <v>4166800000</v>
      </c>
      <c r="K44" s="256" t="s">
        <v>1346</v>
      </c>
    </row>
    <row r="45" spans="1:11" x14ac:dyDescent="0.3">
      <c r="A45" s="256">
        <v>38</v>
      </c>
      <c r="B45" s="257" t="s">
        <v>1381</v>
      </c>
      <c r="C45" s="276">
        <v>44561</v>
      </c>
      <c r="D45" s="257" t="s">
        <v>1282</v>
      </c>
      <c r="E45" s="256" t="s">
        <v>1789</v>
      </c>
      <c r="F45" s="256" t="s">
        <v>1741</v>
      </c>
      <c r="G45" s="258">
        <v>3099000000</v>
      </c>
      <c r="H45" s="265">
        <v>0.1</v>
      </c>
      <c r="I45" s="258">
        <v>309900000</v>
      </c>
      <c r="J45" s="258">
        <v>3408900000</v>
      </c>
      <c r="K45" s="256" t="s">
        <v>1346</v>
      </c>
    </row>
    <row r="46" spans="1:11" x14ac:dyDescent="0.3">
      <c r="A46" s="256">
        <v>39</v>
      </c>
      <c r="B46" s="257" t="s">
        <v>1388</v>
      </c>
      <c r="C46" s="276">
        <v>44561</v>
      </c>
      <c r="D46" s="257" t="s">
        <v>1289</v>
      </c>
      <c r="E46" s="256" t="s">
        <v>1803</v>
      </c>
      <c r="F46" s="256" t="s">
        <v>1791</v>
      </c>
      <c r="G46" s="258">
        <v>6417000000</v>
      </c>
      <c r="H46" s="265">
        <v>0</v>
      </c>
      <c r="I46" s="258">
        <v>0</v>
      </c>
      <c r="J46" s="258">
        <v>6417000000</v>
      </c>
      <c r="K46" s="256" t="s">
        <v>1346</v>
      </c>
    </row>
    <row r="47" spans="1:11" x14ac:dyDescent="0.3">
      <c r="A47" s="256">
        <v>40</v>
      </c>
      <c r="B47" s="257" t="s">
        <v>1396</v>
      </c>
      <c r="C47" s="276">
        <v>44561</v>
      </c>
      <c r="D47" s="257" t="s">
        <v>1260</v>
      </c>
      <c r="E47" s="256" t="s">
        <v>1804</v>
      </c>
      <c r="F47" s="256" t="s">
        <v>1791</v>
      </c>
      <c r="G47" s="258">
        <v>4627000000</v>
      </c>
      <c r="H47" s="265">
        <v>0.1</v>
      </c>
      <c r="I47" s="258">
        <v>462700000</v>
      </c>
      <c r="J47" s="258">
        <v>5089700000</v>
      </c>
      <c r="K47" s="256" t="s">
        <v>1348</v>
      </c>
    </row>
    <row r="48" spans="1:11" x14ac:dyDescent="0.3">
      <c r="A48" s="256">
        <v>41</v>
      </c>
      <c r="B48" s="257" t="s">
        <v>1406</v>
      </c>
      <c r="C48" s="276">
        <v>44561</v>
      </c>
      <c r="D48" s="257" t="s">
        <v>1277</v>
      </c>
      <c r="E48" s="256" t="s">
        <v>1783</v>
      </c>
      <c r="F48" s="256" t="s">
        <v>1791</v>
      </c>
      <c r="G48" s="258">
        <v>7960000000</v>
      </c>
      <c r="H48" s="265">
        <v>0.1</v>
      </c>
      <c r="I48" s="258">
        <v>796000000</v>
      </c>
      <c r="J48" s="258">
        <v>8756000000</v>
      </c>
      <c r="K48" s="256" t="s">
        <v>1346</v>
      </c>
    </row>
    <row r="49" spans="1:11" x14ac:dyDescent="0.3">
      <c r="A49" s="256">
        <v>42</v>
      </c>
      <c r="B49" s="257" t="s">
        <v>1388</v>
      </c>
      <c r="C49" s="276">
        <v>44561</v>
      </c>
      <c r="D49" s="257" t="s">
        <v>1272</v>
      </c>
      <c r="E49" s="256" t="s">
        <v>1805</v>
      </c>
      <c r="F49" s="256" t="s">
        <v>1731</v>
      </c>
      <c r="G49" s="258">
        <v>5072000000</v>
      </c>
      <c r="H49" s="265">
        <v>0.1</v>
      </c>
      <c r="I49" s="258">
        <v>507200000</v>
      </c>
      <c r="J49" s="258">
        <v>5579200000</v>
      </c>
      <c r="K49" s="256" t="s">
        <v>1346</v>
      </c>
    </row>
    <row r="50" spans="1:11" x14ac:dyDescent="0.3">
      <c r="A50" s="256">
        <v>43</v>
      </c>
      <c r="B50" s="257" t="s">
        <v>1402</v>
      </c>
      <c r="C50" s="276">
        <v>44561</v>
      </c>
      <c r="D50" s="257" t="s">
        <v>1263</v>
      </c>
      <c r="E50" s="256" t="s">
        <v>1790</v>
      </c>
      <c r="F50" s="256" t="s">
        <v>1780</v>
      </c>
      <c r="G50" s="258">
        <v>4119000000</v>
      </c>
      <c r="H50" s="265">
        <v>0.1</v>
      </c>
      <c r="I50" s="258">
        <v>411900000</v>
      </c>
      <c r="J50" s="258">
        <v>4530900000</v>
      </c>
      <c r="K50" s="256" t="s">
        <v>1348</v>
      </c>
    </row>
    <row r="51" spans="1:11" x14ac:dyDescent="0.3">
      <c r="A51" s="256">
        <v>44</v>
      </c>
      <c r="B51" s="257" t="s">
        <v>1404</v>
      </c>
      <c r="C51" s="276">
        <v>44561</v>
      </c>
      <c r="D51" s="257" t="s">
        <v>1281</v>
      </c>
      <c r="E51" s="256" t="s">
        <v>1806</v>
      </c>
      <c r="F51" s="256" t="s">
        <v>1731</v>
      </c>
      <c r="G51" s="258">
        <v>2904000000</v>
      </c>
      <c r="H51" s="265">
        <v>0</v>
      </c>
      <c r="I51" s="258">
        <v>0</v>
      </c>
      <c r="J51" s="258">
        <v>2904000000</v>
      </c>
      <c r="K51" s="256" t="s">
        <v>1346</v>
      </c>
    </row>
    <row r="52" spans="1:11" x14ac:dyDescent="0.3">
      <c r="A52" s="256">
        <v>45</v>
      </c>
      <c r="B52" s="257" t="s">
        <v>1391</v>
      </c>
      <c r="C52" s="276">
        <v>44561</v>
      </c>
      <c r="D52" s="257" t="s">
        <v>1283</v>
      </c>
      <c r="E52" s="256" t="s">
        <v>1798</v>
      </c>
      <c r="F52" s="256" t="s">
        <v>1778</v>
      </c>
      <c r="G52" s="258">
        <v>4916000000</v>
      </c>
      <c r="H52" s="265">
        <v>0.1</v>
      </c>
      <c r="I52" s="258">
        <v>491600000</v>
      </c>
      <c r="J52" s="258">
        <v>5407600000</v>
      </c>
      <c r="K52" s="256" t="s">
        <v>1346</v>
      </c>
    </row>
    <row r="53" spans="1:11" x14ac:dyDescent="0.3">
      <c r="A53" s="256">
        <v>46</v>
      </c>
      <c r="B53" s="257" t="s">
        <v>1397</v>
      </c>
      <c r="C53" s="276">
        <v>44561</v>
      </c>
      <c r="D53" s="257" t="s">
        <v>1280</v>
      </c>
      <c r="E53" s="256" t="s">
        <v>1777</v>
      </c>
      <c r="F53" s="256" t="s">
        <v>1787</v>
      </c>
      <c r="G53" s="258">
        <v>4953000000</v>
      </c>
      <c r="H53" s="265">
        <v>0.1</v>
      </c>
      <c r="I53" s="258">
        <v>495300000</v>
      </c>
      <c r="J53" s="258">
        <v>5448300000</v>
      </c>
      <c r="K53" s="256" t="s">
        <v>1346</v>
      </c>
    </row>
    <row r="54" spans="1:11" x14ac:dyDescent="0.3">
      <c r="A54" s="256">
        <v>47</v>
      </c>
      <c r="B54" s="257" t="s">
        <v>1202</v>
      </c>
      <c r="C54" s="276">
        <v>44561</v>
      </c>
      <c r="D54" s="257" t="s">
        <v>1296</v>
      </c>
      <c r="E54" s="256" t="s">
        <v>1807</v>
      </c>
      <c r="F54" s="256" t="s">
        <v>1787</v>
      </c>
      <c r="G54" s="258">
        <v>6146000000</v>
      </c>
      <c r="H54" s="265">
        <v>0.1</v>
      </c>
      <c r="I54" s="258">
        <v>614600000</v>
      </c>
      <c r="J54" s="258">
        <v>6760600000</v>
      </c>
      <c r="K54" s="256" t="s">
        <v>1346</v>
      </c>
    </row>
    <row r="55" spans="1:11" x14ac:dyDescent="0.3">
      <c r="A55" s="256">
        <v>48</v>
      </c>
      <c r="B55" s="257" t="s">
        <v>1397</v>
      </c>
      <c r="C55" s="276">
        <v>44561</v>
      </c>
      <c r="D55" s="257" t="s">
        <v>1275</v>
      </c>
      <c r="E55" s="256" t="s">
        <v>1808</v>
      </c>
      <c r="F55" s="256" t="s">
        <v>1787</v>
      </c>
      <c r="G55" s="258">
        <v>5471000000</v>
      </c>
      <c r="H55" s="265">
        <v>0.1</v>
      </c>
      <c r="I55" s="258">
        <v>547100000</v>
      </c>
      <c r="J55" s="258">
        <v>6018100000</v>
      </c>
      <c r="K55" s="256" t="s">
        <v>1346</v>
      </c>
    </row>
    <row r="56" spans="1:11" x14ac:dyDescent="0.3">
      <c r="A56" s="256">
        <v>49</v>
      </c>
      <c r="B56" s="257" t="s">
        <v>1397</v>
      </c>
      <c r="C56" s="276">
        <v>44561</v>
      </c>
      <c r="D56" s="257" t="s">
        <v>1260</v>
      </c>
      <c r="E56" s="256" t="s">
        <v>1804</v>
      </c>
      <c r="F56" s="256" t="s">
        <v>1787</v>
      </c>
      <c r="G56" s="258">
        <v>5543000000</v>
      </c>
      <c r="H56" s="265">
        <v>0.1</v>
      </c>
      <c r="I56" s="258">
        <v>554300000</v>
      </c>
      <c r="J56" s="258">
        <v>6097300000</v>
      </c>
      <c r="K56" s="256" t="s">
        <v>1348</v>
      </c>
    </row>
    <row r="57" spans="1:11" x14ac:dyDescent="0.3">
      <c r="A57" s="256">
        <v>50</v>
      </c>
      <c r="B57" s="257" t="s">
        <v>1398</v>
      </c>
      <c r="C57" s="276">
        <v>44561</v>
      </c>
      <c r="D57" s="257" t="s">
        <v>1260</v>
      </c>
      <c r="E57" s="256" t="s">
        <v>1804</v>
      </c>
      <c r="F57" s="256" t="s">
        <v>1741</v>
      </c>
      <c r="G57" s="258">
        <v>8353000000</v>
      </c>
      <c r="H57" s="265">
        <v>0</v>
      </c>
      <c r="I57" s="258">
        <v>0</v>
      </c>
      <c r="J57" s="258">
        <v>8353000000</v>
      </c>
      <c r="K57" s="256" t="s">
        <v>1346</v>
      </c>
    </row>
    <row r="58" spans="1:11" x14ac:dyDescent="0.3">
      <c r="A58" s="266" t="s">
        <v>1351</v>
      </c>
      <c r="B58" s="266"/>
      <c r="C58" s="266"/>
      <c r="D58" s="266"/>
      <c r="E58" s="266"/>
      <c r="F58" s="266"/>
      <c r="G58" s="267">
        <f>SUM(G8:G57)</f>
        <v>317830000000</v>
      </c>
      <c r="H58" s="266"/>
      <c r="I58" s="267">
        <f>SUM(I8:I57)</f>
        <v>27630700000</v>
      </c>
      <c r="J58" s="267">
        <f>SUM(J8:J57)</f>
        <v>345460700000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1285</v>
      </c>
      <c r="E62" s="256" t="s">
        <v>1793</v>
      </c>
      <c r="F62" s="256" t="s">
        <v>1809</v>
      </c>
      <c r="G62" s="258">
        <v>10713000000</v>
      </c>
      <c r="H62" s="265">
        <v>0.1</v>
      </c>
      <c r="I62" s="258">
        <v>1071300000</v>
      </c>
      <c r="J62" s="258">
        <v>11784300000</v>
      </c>
      <c r="K62" s="256" t="s">
        <v>1346</v>
      </c>
    </row>
    <row r="63" spans="1:11" x14ac:dyDescent="0.3">
      <c r="A63" s="256">
        <v>2</v>
      </c>
      <c r="B63" s="257" t="s">
        <v>1201</v>
      </c>
      <c r="C63" s="276">
        <v>44318</v>
      </c>
      <c r="D63" s="257" t="s">
        <v>1267</v>
      </c>
      <c r="E63" s="256" t="s">
        <v>1810</v>
      </c>
      <c r="F63" s="256" t="s">
        <v>1811</v>
      </c>
      <c r="G63" s="258">
        <v>7909000000</v>
      </c>
      <c r="H63" s="265">
        <v>0.1</v>
      </c>
      <c r="I63" s="258">
        <v>790900000</v>
      </c>
      <c r="J63" s="258">
        <v>8699900000</v>
      </c>
      <c r="K63" s="256" t="s">
        <v>1348</v>
      </c>
    </row>
    <row r="64" spans="1:11" x14ac:dyDescent="0.3">
      <c r="A64" s="256">
        <v>3</v>
      </c>
      <c r="B64" s="257" t="s">
        <v>1202</v>
      </c>
      <c r="C64" s="276">
        <v>44472</v>
      </c>
      <c r="D64" s="257" t="s">
        <v>1302</v>
      </c>
      <c r="E64" s="256" t="s">
        <v>1784</v>
      </c>
      <c r="F64" s="256" t="s">
        <v>1812</v>
      </c>
      <c r="G64" s="258">
        <v>8349000000</v>
      </c>
      <c r="H64" s="265">
        <v>0.1</v>
      </c>
      <c r="I64" s="258">
        <v>834900000</v>
      </c>
      <c r="J64" s="258">
        <v>9183900000</v>
      </c>
      <c r="K64" s="256" t="s">
        <v>1346</v>
      </c>
    </row>
    <row r="65" spans="1:11" x14ac:dyDescent="0.3">
      <c r="A65" s="256">
        <v>4</v>
      </c>
      <c r="B65" s="257" t="s">
        <v>1355</v>
      </c>
      <c r="C65" s="276">
        <v>44473</v>
      </c>
      <c r="D65" s="257" t="s">
        <v>1290</v>
      </c>
      <c r="E65" s="256" t="s">
        <v>1796</v>
      </c>
      <c r="F65" s="256" t="s">
        <v>1811</v>
      </c>
      <c r="G65" s="258">
        <v>5486000000</v>
      </c>
      <c r="H65" s="265">
        <v>0</v>
      </c>
      <c r="I65" s="258">
        <v>0</v>
      </c>
      <c r="J65" s="258">
        <v>5486000000</v>
      </c>
      <c r="K65" s="256" t="s">
        <v>1346</v>
      </c>
    </row>
    <row r="66" spans="1:11" x14ac:dyDescent="0.3">
      <c r="A66" s="256">
        <v>5</v>
      </c>
      <c r="B66" s="257" t="s">
        <v>1356</v>
      </c>
      <c r="C66" s="276">
        <v>44474</v>
      </c>
      <c r="D66" s="257" t="s">
        <v>1261</v>
      </c>
      <c r="E66" s="256" t="s">
        <v>1813</v>
      </c>
      <c r="F66" s="256" t="s">
        <v>1814</v>
      </c>
      <c r="G66" s="258">
        <v>8237000000</v>
      </c>
      <c r="H66" s="265">
        <v>0.1</v>
      </c>
      <c r="I66" s="258">
        <v>823700000</v>
      </c>
      <c r="J66" s="258">
        <v>9060700000</v>
      </c>
      <c r="K66" s="256" t="s">
        <v>1346</v>
      </c>
    </row>
    <row r="67" spans="1:11" x14ac:dyDescent="0.3">
      <c r="A67" s="256">
        <v>6</v>
      </c>
      <c r="B67" s="257" t="s">
        <v>1358</v>
      </c>
      <c r="C67" s="276">
        <v>44475</v>
      </c>
      <c r="D67" s="257" t="s">
        <v>1257</v>
      </c>
      <c r="E67" s="256" t="s">
        <v>1815</v>
      </c>
      <c r="F67" s="256" t="s">
        <v>1809</v>
      </c>
      <c r="G67" s="258">
        <v>8551000000</v>
      </c>
      <c r="H67" s="265">
        <v>0.1</v>
      </c>
      <c r="I67" s="258">
        <v>855100000</v>
      </c>
      <c r="J67" s="258">
        <v>9406100000</v>
      </c>
      <c r="K67" s="256" t="s">
        <v>1346</v>
      </c>
    </row>
    <row r="68" spans="1:11" x14ac:dyDescent="0.3">
      <c r="A68" s="256">
        <v>7</v>
      </c>
      <c r="B68" s="257" t="s">
        <v>1360</v>
      </c>
      <c r="C68" s="276">
        <v>44476</v>
      </c>
      <c r="D68" s="257" t="s">
        <v>1261</v>
      </c>
      <c r="E68" s="256" t="s">
        <v>1813</v>
      </c>
      <c r="F68" s="256" t="s">
        <v>1811</v>
      </c>
      <c r="G68" s="258">
        <v>3763000000</v>
      </c>
      <c r="H68" s="265">
        <v>0.1</v>
      </c>
      <c r="I68" s="258">
        <v>376300000</v>
      </c>
      <c r="J68" s="258">
        <v>4139300000</v>
      </c>
      <c r="K68" s="256" t="s">
        <v>1348</v>
      </c>
    </row>
    <row r="69" spans="1:11" x14ac:dyDescent="0.3">
      <c r="A69" s="256">
        <v>8</v>
      </c>
      <c r="B69" s="257" t="s">
        <v>1362</v>
      </c>
      <c r="C69" s="276">
        <v>44477</v>
      </c>
      <c r="D69" s="257" t="s">
        <v>1272</v>
      </c>
      <c r="E69" s="256" t="s">
        <v>1805</v>
      </c>
      <c r="F69" s="256" t="s">
        <v>1812</v>
      </c>
      <c r="G69" s="258">
        <v>7615000000</v>
      </c>
      <c r="H69" s="265">
        <v>0.1</v>
      </c>
      <c r="I69" s="258">
        <v>761500000</v>
      </c>
      <c r="J69" s="258">
        <v>8376500000</v>
      </c>
      <c r="K69" s="256" t="s">
        <v>1346</v>
      </c>
    </row>
    <row r="70" spans="1:11" x14ac:dyDescent="0.3">
      <c r="A70" s="256">
        <v>9</v>
      </c>
      <c r="B70" s="257" t="s">
        <v>1364</v>
      </c>
      <c r="C70" s="276">
        <v>44478</v>
      </c>
      <c r="D70" s="257" t="s">
        <v>1284</v>
      </c>
      <c r="E70" s="256" t="s">
        <v>1786</v>
      </c>
      <c r="F70" s="256" t="s">
        <v>1814</v>
      </c>
      <c r="G70" s="258">
        <v>10278000000</v>
      </c>
      <c r="H70" s="265">
        <v>0.1</v>
      </c>
      <c r="I70" s="258">
        <v>1027800000</v>
      </c>
      <c r="J70" s="258">
        <v>11305800000</v>
      </c>
      <c r="K70" s="256" t="s">
        <v>1346</v>
      </c>
    </row>
    <row r="71" spans="1:11" x14ac:dyDescent="0.3">
      <c r="A71" s="256">
        <v>10</v>
      </c>
      <c r="B71" s="257" t="s">
        <v>1366</v>
      </c>
      <c r="C71" s="276">
        <v>44479</v>
      </c>
      <c r="D71" s="257" t="s">
        <v>1262</v>
      </c>
      <c r="E71" s="256" t="s">
        <v>1816</v>
      </c>
      <c r="F71" s="256" t="s">
        <v>1809</v>
      </c>
      <c r="G71" s="258">
        <v>10367000000</v>
      </c>
      <c r="H71" s="265">
        <v>0.1</v>
      </c>
      <c r="I71" s="258">
        <v>1036700000</v>
      </c>
      <c r="J71" s="258">
        <v>11403700000</v>
      </c>
      <c r="K71" s="256" t="s">
        <v>1346</v>
      </c>
    </row>
    <row r="72" spans="1:11" x14ac:dyDescent="0.3">
      <c r="A72" s="256">
        <v>11</v>
      </c>
      <c r="B72" s="257" t="s">
        <v>1368</v>
      </c>
      <c r="C72" s="276">
        <v>44480</v>
      </c>
      <c r="D72" s="257" t="s">
        <v>1285</v>
      </c>
      <c r="E72" s="256" t="s">
        <v>1793</v>
      </c>
      <c r="F72" s="256" t="s">
        <v>1811</v>
      </c>
      <c r="G72" s="258">
        <v>13576000000</v>
      </c>
      <c r="H72" s="265">
        <v>0</v>
      </c>
      <c r="I72" s="258">
        <v>0</v>
      </c>
      <c r="J72" s="258">
        <v>13576000000</v>
      </c>
      <c r="K72" s="256" t="s">
        <v>1346</v>
      </c>
    </row>
    <row r="73" spans="1:11" x14ac:dyDescent="0.3">
      <c r="A73" s="256">
        <v>12</v>
      </c>
      <c r="B73" s="257" t="s">
        <v>1371</v>
      </c>
      <c r="C73" s="276">
        <v>44481</v>
      </c>
      <c r="D73" s="257" t="s">
        <v>1303</v>
      </c>
      <c r="E73" s="256" t="s">
        <v>1817</v>
      </c>
      <c r="F73" s="256" t="s">
        <v>1812</v>
      </c>
      <c r="G73" s="258">
        <v>14636000000</v>
      </c>
      <c r="H73" s="265">
        <v>0.1</v>
      </c>
      <c r="I73" s="258">
        <v>1463600000</v>
      </c>
      <c r="J73" s="258">
        <v>16099600000</v>
      </c>
      <c r="K73" s="256" t="s">
        <v>1346</v>
      </c>
    </row>
    <row r="74" spans="1:11" x14ac:dyDescent="0.3">
      <c r="A74" s="256">
        <v>13</v>
      </c>
      <c r="B74" s="257" t="s">
        <v>1373</v>
      </c>
      <c r="C74" s="276">
        <v>44211</v>
      </c>
      <c r="D74" s="257" t="s">
        <v>1290</v>
      </c>
      <c r="E74" s="256" t="s">
        <v>1796</v>
      </c>
      <c r="F74" s="256" t="s">
        <v>1814</v>
      </c>
      <c r="G74" s="258">
        <v>13713000000</v>
      </c>
      <c r="H74" s="265">
        <v>0.1</v>
      </c>
      <c r="I74" s="258">
        <v>1371300000</v>
      </c>
      <c r="J74" s="258">
        <v>15084300000</v>
      </c>
      <c r="K74" s="256" t="s">
        <v>1346</v>
      </c>
    </row>
    <row r="75" spans="1:11" x14ac:dyDescent="0.3">
      <c r="A75" s="256">
        <v>14</v>
      </c>
      <c r="B75" s="257" t="s">
        <v>1374</v>
      </c>
      <c r="C75" s="276">
        <v>44242</v>
      </c>
      <c r="D75" s="257" t="s">
        <v>1284</v>
      </c>
      <c r="E75" s="256" t="s">
        <v>1786</v>
      </c>
      <c r="F75" s="256" t="s">
        <v>1812</v>
      </c>
      <c r="G75" s="258">
        <v>7347000000</v>
      </c>
      <c r="H75" s="265">
        <v>0.1</v>
      </c>
      <c r="I75" s="258">
        <v>734700000</v>
      </c>
      <c r="J75" s="258">
        <v>8081700000</v>
      </c>
      <c r="K75" s="256" t="s">
        <v>1346</v>
      </c>
    </row>
    <row r="76" spans="1:11" x14ac:dyDescent="0.3">
      <c r="A76" s="256">
        <v>15</v>
      </c>
      <c r="B76" s="257" t="s">
        <v>1376</v>
      </c>
      <c r="C76" s="276">
        <v>44275</v>
      </c>
      <c r="D76" s="257" t="s">
        <v>1282</v>
      </c>
      <c r="E76" s="256" t="s">
        <v>1789</v>
      </c>
      <c r="F76" s="256" t="s">
        <v>1809</v>
      </c>
      <c r="G76" s="258">
        <v>6751000000</v>
      </c>
      <c r="H76" s="265">
        <v>0.1</v>
      </c>
      <c r="I76" s="258">
        <v>675100000</v>
      </c>
      <c r="J76" s="258">
        <v>7426100000</v>
      </c>
      <c r="K76" s="256" t="s">
        <v>1346</v>
      </c>
    </row>
    <row r="77" spans="1:11" x14ac:dyDescent="0.3">
      <c r="A77" s="256">
        <v>16</v>
      </c>
      <c r="B77" s="257" t="s">
        <v>1378</v>
      </c>
      <c r="C77" s="276">
        <v>44306</v>
      </c>
      <c r="D77" s="257" t="s">
        <v>1261</v>
      </c>
      <c r="E77" s="256" t="s">
        <v>1813</v>
      </c>
      <c r="F77" s="256" t="s">
        <v>1809</v>
      </c>
      <c r="G77" s="258">
        <v>11410000000</v>
      </c>
      <c r="H77" s="265">
        <v>0.1</v>
      </c>
      <c r="I77" s="258">
        <v>1141000000</v>
      </c>
      <c r="J77" s="258">
        <v>12551000000</v>
      </c>
      <c r="K77" s="256" t="s">
        <v>1346</v>
      </c>
    </row>
    <row r="78" spans="1:11" x14ac:dyDescent="0.3">
      <c r="A78" s="256">
        <v>17</v>
      </c>
      <c r="B78" s="257" t="s">
        <v>1379</v>
      </c>
      <c r="C78" s="276">
        <v>44336</v>
      </c>
      <c r="D78" s="257" t="s">
        <v>1289</v>
      </c>
      <c r="E78" s="256" t="s">
        <v>1803</v>
      </c>
      <c r="F78" s="256" t="s">
        <v>1812</v>
      </c>
      <c r="G78" s="258">
        <v>5789000000</v>
      </c>
      <c r="H78" s="265">
        <v>0.1</v>
      </c>
      <c r="I78" s="258">
        <v>578900000</v>
      </c>
      <c r="J78" s="258">
        <v>6367900000</v>
      </c>
      <c r="K78" s="256" t="s">
        <v>1346</v>
      </c>
    </row>
    <row r="79" spans="1:11" x14ac:dyDescent="0.3">
      <c r="A79" s="256">
        <v>18</v>
      </c>
      <c r="B79" s="257" t="s">
        <v>1381</v>
      </c>
      <c r="C79" s="276">
        <v>44367</v>
      </c>
      <c r="D79" s="257" t="s">
        <v>1290</v>
      </c>
      <c r="E79" s="256" t="s">
        <v>1796</v>
      </c>
      <c r="F79" s="256" t="s">
        <v>1809</v>
      </c>
      <c r="G79" s="258">
        <v>13385000000</v>
      </c>
      <c r="H79" s="265">
        <v>0.1</v>
      </c>
      <c r="I79" s="258">
        <v>1338500000</v>
      </c>
      <c r="J79" s="258">
        <v>14723500000</v>
      </c>
      <c r="K79" s="256" t="s">
        <v>1346</v>
      </c>
    </row>
    <row r="80" spans="1:11" x14ac:dyDescent="0.3">
      <c r="A80" s="256">
        <v>19</v>
      </c>
      <c r="B80" s="257" t="s">
        <v>1382</v>
      </c>
      <c r="C80" s="276">
        <v>44397</v>
      </c>
      <c r="D80" s="257" t="s">
        <v>1290</v>
      </c>
      <c r="E80" s="256" t="s">
        <v>1796</v>
      </c>
      <c r="F80" s="256" t="s">
        <v>1811</v>
      </c>
      <c r="G80" s="258">
        <v>13343000000</v>
      </c>
      <c r="H80" s="265">
        <v>0.1</v>
      </c>
      <c r="I80" s="258">
        <v>1334300000</v>
      </c>
      <c r="J80" s="258">
        <v>14677300000</v>
      </c>
      <c r="K80" s="256" t="s">
        <v>1346</v>
      </c>
    </row>
    <row r="81" spans="1:11" x14ac:dyDescent="0.3">
      <c r="A81" s="256">
        <v>20</v>
      </c>
      <c r="B81" s="257" t="s">
        <v>1383</v>
      </c>
      <c r="C81" s="276">
        <v>44428</v>
      </c>
      <c r="D81" s="257" t="s">
        <v>1283</v>
      </c>
      <c r="E81" s="256" t="s">
        <v>1798</v>
      </c>
      <c r="F81" s="256" t="s">
        <v>1809</v>
      </c>
      <c r="G81" s="258">
        <v>7335000000</v>
      </c>
      <c r="H81" s="265">
        <v>0.1</v>
      </c>
      <c r="I81" s="258">
        <v>733500000</v>
      </c>
      <c r="J81" s="258">
        <v>8068500000</v>
      </c>
      <c r="K81" s="256" t="s">
        <v>1346</v>
      </c>
    </row>
    <row r="82" spans="1:11" x14ac:dyDescent="0.3">
      <c r="A82" s="256">
        <v>21</v>
      </c>
      <c r="B82" s="257" t="s">
        <v>1203</v>
      </c>
      <c r="C82" s="276">
        <v>44459</v>
      </c>
      <c r="D82" s="257" t="s">
        <v>1292</v>
      </c>
      <c r="E82" s="256" t="s">
        <v>1792</v>
      </c>
      <c r="F82" s="256" t="s">
        <v>1814</v>
      </c>
      <c r="G82" s="258">
        <v>6523000000</v>
      </c>
      <c r="H82" s="265">
        <v>0.1</v>
      </c>
      <c r="I82" s="258">
        <v>652300000</v>
      </c>
      <c r="J82" s="258">
        <v>7175300000</v>
      </c>
      <c r="K82" s="256" t="s">
        <v>1346</v>
      </c>
    </row>
    <row r="83" spans="1:11" x14ac:dyDescent="0.3">
      <c r="A83" s="256">
        <v>22</v>
      </c>
      <c r="B83" s="257" t="s">
        <v>1204</v>
      </c>
      <c r="C83" s="276">
        <v>44489</v>
      </c>
      <c r="D83" s="257" t="s">
        <v>1300</v>
      </c>
      <c r="E83" s="256" t="s">
        <v>1818</v>
      </c>
      <c r="F83" s="256" t="s">
        <v>1809</v>
      </c>
      <c r="G83" s="258">
        <v>6524000000</v>
      </c>
      <c r="H83" s="265">
        <v>0.1</v>
      </c>
      <c r="I83" s="258">
        <v>652400000</v>
      </c>
      <c r="J83" s="258">
        <v>7176400000</v>
      </c>
      <c r="K83" s="256" t="s">
        <v>1346</v>
      </c>
    </row>
    <row r="84" spans="1:11" x14ac:dyDescent="0.3">
      <c r="A84" s="256">
        <v>23</v>
      </c>
      <c r="B84" s="257" t="s">
        <v>1205</v>
      </c>
      <c r="C84" s="276">
        <v>44520</v>
      </c>
      <c r="D84" s="257" t="s">
        <v>1298</v>
      </c>
      <c r="E84" s="256" t="s">
        <v>1819</v>
      </c>
      <c r="F84" s="256" t="s">
        <v>1812</v>
      </c>
      <c r="G84" s="258">
        <v>13320000000</v>
      </c>
      <c r="H84" s="265">
        <v>0.1</v>
      </c>
      <c r="I84" s="258">
        <v>1332000000</v>
      </c>
      <c r="J84" s="258">
        <v>14652000000</v>
      </c>
      <c r="K84" s="256" t="s">
        <v>1346</v>
      </c>
    </row>
    <row r="85" spans="1:11" x14ac:dyDescent="0.3">
      <c r="A85" s="256">
        <v>24</v>
      </c>
      <c r="B85" s="257" t="s">
        <v>1385</v>
      </c>
      <c r="C85" s="276">
        <v>44550</v>
      </c>
      <c r="D85" s="257" t="s">
        <v>1294</v>
      </c>
      <c r="E85" s="256" t="s">
        <v>1795</v>
      </c>
      <c r="F85" s="256" t="s">
        <v>1811</v>
      </c>
      <c r="G85" s="258">
        <v>8267000000</v>
      </c>
      <c r="H85" s="265">
        <v>0.1</v>
      </c>
      <c r="I85" s="258">
        <v>826700000</v>
      </c>
      <c r="J85" s="258">
        <v>9093700000</v>
      </c>
      <c r="K85" s="256" t="s">
        <v>1348</v>
      </c>
    </row>
    <row r="86" spans="1:11" x14ac:dyDescent="0.3">
      <c r="A86" s="256">
        <v>25</v>
      </c>
      <c r="B86" s="257" t="s">
        <v>1387</v>
      </c>
      <c r="C86" s="276">
        <v>44221</v>
      </c>
      <c r="D86" s="257" t="s">
        <v>1267</v>
      </c>
      <c r="E86" s="256" t="s">
        <v>1810</v>
      </c>
      <c r="F86" s="256" t="s">
        <v>1809</v>
      </c>
      <c r="G86" s="258">
        <v>12286000000</v>
      </c>
      <c r="H86" s="265">
        <v>0.1</v>
      </c>
      <c r="I86" s="258">
        <v>1228600000</v>
      </c>
      <c r="J86" s="258">
        <v>13514600000</v>
      </c>
      <c r="K86" s="256" t="s">
        <v>1346</v>
      </c>
    </row>
    <row r="87" spans="1:11" x14ac:dyDescent="0.3">
      <c r="A87" s="256">
        <v>26</v>
      </c>
      <c r="B87" s="257" t="s">
        <v>1388</v>
      </c>
      <c r="C87" s="276">
        <v>44255</v>
      </c>
      <c r="D87" s="257" t="s">
        <v>1297</v>
      </c>
      <c r="E87" s="256" t="s">
        <v>1820</v>
      </c>
      <c r="F87" s="256" t="s">
        <v>1812</v>
      </c>
      <c r="G87" s="258">
        <v>6157000000</v>
      </c>
      <c r="H87" s="265">
        <v>0.1</v>
      </c>
      <c r="I87" s="258">
        <v>615700000</v>
      </c>
      <c r="J87" s="258">
        <v>6772700000</v>
      </c>
      <c r="K87" s="256" t="s">
        <v>1346</v>
      </c>
    </row>
    <row r="88" spans="1:11" x14ac:dyDescent="0.3">
      <c r="A88" s="256">
        <v>27</v>
      </c>
      <c r="B88" s="257" t="s">
        <v>1391</v>
      </c>
      <c r="C88" s="276">
        <v>44316</v>
      </c>
      <c r="D88" s="257" t="s">
        <v>1282</v>
      </c>
      <c r="E88" s="256" t="s">
        <v>1789</v>
      </c>
      <c r="F88" s="256" t="s">
        <v>1812</v>
      </c>
      <c r="G88" s="258">
        <v>13278000000</v>
      </c>
      <c r="H88" s="265">
        <v>0.1</v>
      </c>
      <c r="I88" s="258">
        <v>1327800000</v>
      </c>
      <c r="J88" s="258">
        <v>14605800000</v>
      </c>
      <c r="K88" s="256" t="s">
        <v>1348</v>
      </c>
    </row>
    <row r="89" spans="1:11" x14ac:dyDescent="0.3">
      <c r="A89" s="256">
        <v>28</v>
      </c>
      <c r="B89" s="257" t="s">
        <v>1392</v>
      </c>
      <c r="C89" s="276">
        <v>44377</v>
      </c>
      <c r="D89" s="257" t="s">
        <v>1302</v>
      </c>
      <c r="E89" s="256" t="s">
        <v>1784</v>
      </c>
      <c r="F89" s="256" t="s">
        <v>1809</v>
      </c>
      <c r="G89" s="258">
        <v>8125000000</v>
      </c>
      <c r="H89" s="265">
        <v>0</v>
      </c>
      <c r="I89" s="258">
        <v>0</v>
      </c>
      <c r="J89" s="258">
        <v>8125000000</v>
      </c>
      <c r="K89" s="256" t="s">
        <v>1346</v>
      </c>
    </row>
    <row r="90" spans="1:11" x14ac:dyDescent="0.3">
      <c r="A90" s="256">
        <v>29</v>
      </c>
      <c r="B90" s="257" t="s">
        <v>1394</v>
      </c>
      <c r="C90" s="276">
        <v>44469</v>
      </c>
      <c r="D90" s="257" t="s">
        <v>1289</v>
      </c>
      <c r="E90" s="256" t="s">
        <v>1803</v>
      </c>
      <c r="F90" s="256" t="s">
        <v>1809</v>
      </c>
      <c r="G90" s="258">
        <v>4311000000</v>
      </c>
      <c r="H90" s="265">
        <v>0.1</v>
      </c>
      <c r="I90" s="258">
        <v>431100000</v>
      </c>
      <c r="J90" s="258">
        <v>4742100000</v>
      </c>
      <c r="K90" s="256" t="s">
        <v>1346</v>
      </c>
    </row>
    <row r="91" spans="1:11" x14ac:dyDescent="0.3">
      <c r="A91" s="256">
        <v>30</v>
      </c>
      <c r="B91" s="257" t="s">
        <v>1396</v>
      </c>
      <c r="C91" s="276">
        <v>44530</v>
      </c>
      <c r="D91" s="257" t="s">
        <v>1280</v>
      </c>
      <c r="E91" s="256" t="s">
        <v>1777</v>
      </c>
      <c r="F91" s="256" t="s">
        <v>1811</v>
      </c>
      <c r="G91" s="258">
        <v>13076000000</v>
      </c>
      <c r="H91" s="265">
        <v>0.1</v>
      </c>
      <c r="I91" s="258">
        <v>1307600000</v>
      </c>
      <c r="J91" s="258">
        <v>14383600000</v>
      </c>
      <c r="K91" s="256" t="s">
        <v>1346</v>
      </c>
    </row>
    <row r="92" spans="1:11" x14ac:dyDescent="0.3">
      <c r="A92" s="256">
        <v>31</v>
      </c>
      <c r="B92" s="257" t="s">
        <v>1397</v>
      </c>
      <c r="C92" s="276">
        <v>44286</v>
      </c>
      <c r="D92" s="257" t="s">
        <v>1299</v>
      </c>
      <c r="E92" s="256" t="s">
        <v>1776</v>
      </c>
      <c r="F92" s="256" t="s">
        <v>1809</v>
      </c>
      <c r="G92" s="258">
        <v>4370000000</v>
      </c>
      <c r="H92" s="265">
        <v>0.1</v>
      </c>
      <c r="I92" s="258">
        <v>437000000</v>
      </c>
      <c r="J92" s="258">
        <v>4807000000</v>
      </c>
      <c r="K92" s="256" t="s">
        <v>1346</v>
      </c>
    </row>
    <row r="93" spans="1:11" x14ac:dyDescent="0.3">
      <c r="A93" s="256">
        <v>32</v>
      </c>
      <c r="B93" s="257" t="s">
        <v>1398</v>
      </c>
      <c r="C93" s="276">
        <v>44347</v>
      </c>
      <c r="D93" s="257" t="s">
        <v>1268</v>
      </c>
      <c r="E93" s="256" t="s">
        <v>1821</v>
      </c>
      <c r="F93" s="256" t="s">
        <v>1812</v>
      </c>
      <c r="G93" s="258">
        <v>10757000000</v>
      </c>
      <c r="H93" s="265">
        <v>0.1</v>
      </c>
      <c r="I93" s="258">
        <v>1075700000</v>
      </c>
      <c r="J93" s="258">
        <v>11832700000</v>
      </c>
      <c r="K93" s="256" t="s">
        <v>1348</v>
      </c>
    </row>
    <row r="94" spans="1:11" x14ac:dyDescent="0.3">
      <c r="A94" s="256">
        <v>33</v>
      </c>
      <c r="B94" s="257" t="s">
        <v>1399</v>
      </c>
      <c r="C94" s="276">
        <v>44408</v>
      </c>
      <c r="D94" s="257" t="s">
        <v>1276</v>
      </c>
      <c r="E94" s="256" t="s">
        <v>1822</v>
      </c>
      <c r="F94" s="256" t="s">
        <v>1812</v>
      </c>
      <c r="G94" s="258">
        <v>14300000000</v>
      </c>
      <c r="H94" s="265">
        <v>0</v>
      </c>
      <c r="I94" s="258">
        <v>0</v>
      </c>
      <c r="J94" s="258">
        <v>14300000000</v>
      </c>
      <c r="K94" s="256" t="s">
        <v>1346</v>
      </c>
    </row>
    <row r="95" spans="1:11" x14ac:dyDescent="0.3">
      <c r="A95" s="256">
        <v>34</v>
      </c>
      <c r="B95" s="257" t="s">
        <v>1401</v>
      </c>
      <c r="C95" s="276">
        <v>44439</v>
      </c>
      <c r="D95" s="257" t="s">
        <v>1263</v>
      </c>
      <c r="E95" s="256" t="s">
        <v>1790</v>
      </c>
      <c r="F95" s="256" t="s">
        <v>1814</v>
      </c>
      <c r="G95" s="258">
        <v>5310000000</v>
      </c>
      <c r="H95" s="265">
        <v>0.1</v>
      </c>
      <c r="I95" s="258">
        <v>531000000</v>
      </c>
      <c r="J95" s="258">
        <v>5841000000</v>
      </c>
      <c r="K95" s="256" t="s">
        <v>1346</v>
      </c>
    </row>
    <row r="96" spans="1:11" x14ac:dyDescent="0.3">
      <c r="A96" s="256">
        <v>35</v>
      </c>
      <c r="B96" s="257" t="s">
        <v>1402</v>
      </c>
      <c r="C96" s="276">
        <v>44500</v>
      </c>
      <c r="D96" s="257" t="s">
        <v>1288</v>
      </c>
      <c r="E96" s="256" t="s">
        <v>1797</v>
      </c>
      <c r="F96" s="256" t="s">
        <v>1814</v>
      </c>
      <c r="G96" s="258">
        <v>6689000000</v>
      </c>
      <c r="H96" s="265">
        <v>0.1</v>
      </c>
      <c r="I96" s="258">
        <v>668900000</v>
      </c>
      <c r="J96" s="258">
        <v>7357900000</v>
      </c>
      <c r="K96" s="256" t="s">
        <v>1346</v>
      </c>
    </row>
    <row r="97" spans="1:11" x14ac:dyDescent="0.3">
      <c r="A97" s="256">
        <v>36</v>
      </c>
      <c r="B97" s="257" t="s">
        <v>1403</v>
      </c>
      <c r="C97" s="276">
        <v>44561</v>
      </c>
      <c r="D97" s="257" t="s">
        <v>1268</v>
      </c>
      <c r="E97" s="256" t="s">
        <v>1821</v>
      </c>
      <c r="F97" s="256" t="s">
        <v>1809</v>
      </c>
      <c r="G97" s="258">
        <v>10334000000</v>
      </c>
      <c r="H97" s="265">
        <v>0.1</v>
      </c>
      <c r="I97" s="258">
        <v>1033400000</v>
      </c>
      <c r="J97" s="258">
        <v>11367400000</v>
      </c>
      <c r="K97" s="256" t="s">
        <v>1346</v>
      </c>
    </row>
    <row r="98" spans="1:11" x14ac:dyDescent="0.3">
      <c r="A98" s="256">
        <v>37</v>
      </c>
      <c r="B98" s="257" t="s">
        <v>1404</v>
      </c>
      <c r="C98" s="276">
        <v>44561</v>
      </c>
      <c r="D98" s="257" t="s">
        <v>1267</v>
      </c>
      <c r="E98" s="256" t="s">
        <v>1810</v>
      </c>
      <c r="F98" s="256" t="s">
        <v>1812</v>
      </c>
      <c r="G98" s="258">
        <v>4369000000</v>
      </c>
      <c r="H98" s="265">
        <v>0.1</v>
      </c>
      <c r="I98" s="258">
        <v>436900000</v>
      </c>
      <c r="J98" s="258">
        <v>4805900000</v>
      </c>
      <c r="K98" s="256" t="s">
        <v>1346</v>
      </c>
    </row>
    <row r="99" spans="1:11" x14ac:dyDescent="0.3">
      <c r="A99" s="256">
        <v>38</v>
      </c>
      <c r="B99" s="257" t="s">
        <v>1405</v>
      </c>
      <c r="C99" s="276">
        <v>44561</v>
      </c>
      <c r="D99" s="257" t="s">
        <v>1287</v>
      </c>
      <c r="E99" s="256" t="s">
        <v>1801</v>
      </c>
      <c r="F99" s="256" t="s">
        <v>1812</v>
      </c>
      <c r="G99" s="258">
        <v>14191000000</v>
      </c>
      <c r="H99" s="265">
        <v>0</v>
      </c>
      <c r="I99" s="258">
        <v>0</v>
      </c>
      <c r="J99" s="258">
        <v>14191000000</v>
      </c>
      <c r="K99" s="256" t="s">
        <v>1346</v>
      </c>
    </row>
    <row r="100" spans="1:11" x14ac:dyDescent="0.3">
      <c r="A100" s="256">
        <v>39</v>
      </c>
      <c r="B100" s="257" t="s">
        <v>1406</v>
      </c>
      <c r="C100" s="276">
        <v>44561</v>
      </c>
      <c r="D100" s="257" t="s">
        <v>1281</v>
      </c>
      <c r="E100" s="256" t="s">
        <v>1806</v>
      </c>
      <c r="F100" s="256" t="s">
        <v>1811</v>
      </c>
      <c r="G100" s="258">
        <v>4055000000</v>
      </c>
      <c r="H100" s="265">
        <v>0</v>
      </c>
      <c r="I100" s="258">
        <v>0</v>
      </c>
      <c r="J100" s="258">
        <v>4055000000</v>
      </c>
      <c r="K100" s="256" t="s">
        <v>1348</v>
      </c>
    </row>
    <row r="101" spans="1:11" x14ac:dyDescent="0.3">
      <c r="A101" s="256">
        <v>40</v>
      </c>
      <c r="B101" s="257" t="s">
        <v>1408</v>
      </c>
      <c r="C101" s="276">
        <v>44561</v>
      </c>
      <c r="D101" s="257" t="s">
        <v>1278</v>
      </c>
      <c r="E101" s="256" t="s">
        <v>1785</v>
      </c>
      <c r="F101" s="256" t="s">
        <v>1809</v>
      </c>
      <c r="G101" s="258">
        <v>12693000000</v>
      </c>
      <c r="H101" s="265">
        <v>0.1</v>
      </c>
      <c r="I101" s="258">
        <v>1269300000</v>
      </c>
      <c r="J101" s="258">
        <v>13962300000</v>
      </c>
      <c r="K101" s="256" t="s">
        <v>1346</v>
      </c>
    </row>
    <row r="102" spans="1:11" x14ac:dyDescent="0.3">
      <c r="A102" s="256">
        <v>41</v>
      </c>
      <c r="B102" s="257" t="s">
        <v>1409</v>
      </c>
      <c r="C102" s="276">
        <v>44561</v>
      </c>
      <c r="D102" s="257" t="s">
        <v>1281</v>
      </c>
      <c r="E102" s="256" t="s">
        <v>1806</v>
      </c>
      <c r="F102" s="256" t="s">
        <v>1809</v>
      </c>
      <c r="G102" s="258">
        <v>11416000000</v>
      </c>
      <c r="H102" s="265">
        <v>0.1</v>
      </c>
      <c r="I102" s="258">
        <v>1141600000</v>
      </c>
      <c r="J102" s="258">
        <v>12557600000</v>
      </c>
      <c r="K102" s="256" t="s">
        <v>1346</v>
      </c>
    </row>
    <row r="103" spans="1:11" x14ac:dyDescent="0.3">
      <c r="A103" s="256">
        <v>42</v>
      </c>
      <c r="B103" s="257" t="s">
        <v>1411</v>
      </c>
      <c r="C103" s="276">
        <v>44561</v>
      </c>
      <c r="D103" s="257" t="s">
        <v>1271</v>
      </c>
      <c r="E103" s="256" t="s">
        <v>1799</v>
      </c>
      <c r="F103" s="256" t="s">
        <v>1809</v>
      </c>
      <c r="G103" s="258">
        <v>9918000000</v>
      </c>
      <c r="H103" s="265">
        <v>0.1</v>
      </c>
      <c r="I103" s="258">
        <v>991800000</v>
      </c>
      <c r="J103" s="258">
        <v>10909800000</v>
      </c>
      <c r="K103" s="256" t="s">
        <v>1346</v>
      </c>
    </row>
    <row r="104" spans="1:11" x14ac:dyDescent="0.3">
      <c r="A104" s="256">
        <v>43</v>
      </c>
      <c r="B104" s="257" t="s">
        <v>1414</v>
      </c>
      <c r="C104" s="276">
        <v>44561</v>
      </c>
      <c r="D104" s="257" t="s">
        <v>1289</v>
      </c>
      <c r="E104" s="256" t="s">
        <v>1803</v>
      </c>
      <c r="F104" s="256" t="s">
        <v>1812</v>
      </c>
      <c r="G104" s="258">
        <v>11887000000</v>
      </c>
      <c r="H104" s="265">
        <v>0.1</v>
      </c>
      <c r="I104" s="258">
        <v>1188700000</v>
      </c>
      <c r="J104" s="258">
        <v>13075700000</v>
      </c>
      <c r="K104" s="256" t="s">
        <v>1346</v>
      </c>
    </row>
    <row r="105" spans="1:11" x14ac:dyDescent="0.3">
      <c r="A105" s="256">
        <v>44</v>
      </c>
      <c r="B105" s="257" t="s">
        <v>1415</v>
      </c>
      <c r="C105" s="276">
        <v>44561</v>
      </c>
      <c r="D105" s="257" t="s">
        <v>1269</v>
      </c>
      <c r="E105" s="256" t="s">
        <v>1823</v>
      </c>
      <c r="F105" s="256" t="s">
        <v>1809</v>
      </c>
      <c r="G105" s="258">
        <v>6771000000</v>
      </c>
      <c r="H105" s="265">
        <v>0.1</v>
      </c>
      <c r="I105" s="258">
        <v>677100000</v>
      </c>
      <c r="J105" s="258">
        <v>7448100000</v>
      </c>
      <c r="K105" s="256" t="s">
        <v>1348</v>
      </c>
    </row>
    <row r="106" spans="1:11" x14ac:dyDescent="0.3">
      <c r="A106" s="256">
        <v>45</v>
      </c>
      <c r="B106" s="257" t="s">
        <v>1206</v>
      </c>
      <c r="C106" s="276">
        <v>44561</v>
      </c>
      <c r="D106" s="257" t="s">
        <v>1267</v>
      </c>
      <c r="E106" s="256" t="s">
        <v>1810</v>
      </c>
      <c r="F106" s="256" t="s">
        <v>1814</v>
      </c>
      <c r="G106" s="258">
        <v>4640000000</v>
      </c>
      <c r="H106" s="265">
        <v>0.1</v>
      </c>
      <c r="I106" s="258">
        <v>464000000</v>
      </c>
      <c r="J106" s="258">
        <v>5104000000</v>
      </c>
      <c r="K106" s="256" t="s">
        <v>1346</v>
      </c>
    </row>
    <row r="107" spans="1:11" x14ac:dyDescent="0.3">
      <c r="A107" s="256">
        <v>46</v>
      </c>
      <c r="B107" s="257" t="s">
        <v>1207</v>
      </c>
      <c r="C107" s="276">
        <v>44561</v>
      </c>
      <c r="D107" s="257" t="s">
        <v>1291</v>
      </c>
      <c r="E107" s="256" t="s">
        <v>1800</v>
      </c>
      <c r="F107" s="256" t="s">
        <v>1809</v>
      </c>
      <c r="G107" s="258">
        <v>10565000000</v>
      </c>
      <c r="H107" s="265">
        <v>0.1</v>
      </c>
      <c r="I107" s="258">
        <v>1056500000</v>
      </c>
      <c r="J107" s="258">
        <v>11621500000</v>
      </c>
      <c r="K107" s="256" t="s">
        <v>1348</v>
      </c>
    </row>
    <row r="108" spans="1:11" x14ac:dyDescent="0.3">
      <c r="A108" s="256">
        <v>47</v>
      </c>
      <c r="B108" s="257" t="s">
        <v>1208</v>
      </c>
      <c r="C108" s="276">
        <v>44561</v>
      </c>
      <c r="D108" s="257" t="s">
        <v>1263</v>
      </c>
      <c r="E108" s="256" t="s">
        <v>1790</v>
      </c>
      <c r="F108" s="256" t="s">
        <v>1809</v>
      </c>
      <c r="G108" s="258">
        <v>3922000000</v>
      </c>
      <c r="H108" s="265">
        <v>0.1</v>
      </c>
      <c r="I108" s="258">
        <v>392200000</v>
      </c>
      <c r="J108" s="258">
        <v>4314200000</v>
      </c>
      <c r="K108" s="256" t="s">
        <v>1346</v>
      </c>
    </row>
    <row r="109" spans="1:11" x14ac:dyDescent="0.3">
      <c r="A109" s="256">
        <v>48</v>
      </c>
      <c r="B109" s="257" t="s">
        <v>1209</v>
      </c>
      <c r="C109" s="276">
        <v>44561</v>
      </c>
      <c r="D109" s="257" t="s">
        <v>1270</v>
      </c>
      <c r="E109" s="256" t="s">
        <v>1782</v>
      </c>
      <c r="F109" s="256" t="s">
        <v>1809</v>
      </c>
      <c r="G109" s="258">
        <v>4786000000</v>
      </c>
      <c r="H109" s="265">
        <v>0.1</v>
      </c>
      <c r="I109" s="258">
        <v>478600000</v>
      </c>
      <c r="J109" s="258">
        <v>5264600000</v>
      </c>
      <c r="K109" s="256" t="s">
        <v>1346</v>
      </c>
    </row>
    <row r="110" spans="1:11" x14ac:dyDescent="0.3">
      <c r="A110" s="256">
        <v>49</v>
      </c>
      <c r="B110" s="257" t="s">
        <v>1418</v>
      </c>
      <c r="C110" s="276">
        <v>44561</v>
      </c>
      <c r="D110" s="257" t="s">
        <v>1283</v>
      </c>
      <c r="E110" s="256" t="s">
        <v>1798</v>
      </c>
      <c r="F110" s="256" t="s">
        <v>1811</v>
      </c>
      <c r="G110" s="258">
        <v>5421000000</v>
      </c>
      <c r="H110" s="265">
        <v>0.1</v>
      </c>
      <c r="I110" s="258">
        <v>542100000</v>
      </c>
      <c r="J110" s="258">
        <v>5963100000</v>
      </c>
      <c r="K110" s="256" t="s">
        <v>1346</v>
      </c>
    </row>
    <row r="111" spans="1:11" x14ac:dyDescent="0.3">
      <c r="A111" s="256">
        <v>50</v>
      </c>
      <c r="B111" s="257" t="s">
        <v>1419</v>
      </c>
      <c r="C111" s="276">
        <v>44561</v>
      </c>
      <c r="D111" s="257" t="s">
        <v>1266</v>
      </c>
      <c r="E111" s="256" t="s">
        <v>1824</v>
      </c>
      <c r="F111" s="256" t="s">
        <v>1814</v>
      </c>
      <c r="G111" s="258">
        <v>3919000000</v>
      </c>
      <c r="H111" s="265">
        <v>0.1</v>
      </c>
      <c r="I111" s="258">
        <v>391900000</v>
      </c>
      <c r="J111" s="258">
        <v>4310900000</v>
      </c>
      <c r="K111" s="256" t="s">
        <v>1346</v>
      </c>
    </row>
    <row r="112" spans="1:11" x14ac:dyDescent="0.3">
      <c r="A112" s="266" t="s">
        <v>1351</v>
      </c>
      <c r="B112" s="266"/>
      <c r="C112" s="266"/>
      <c r="D112" s="266"/>
      <c r="E112" s="266"/>
      <c r="F112" s="266"/>
      <c r="G112" s="267">
        <f>SUM(G62:G111)</f>
        <v>440733000000</v>
      </c>
      <c r="H112" s="266"/>
      <c r="I112" s="267">
        <f>SUM(I62:I111)</f>
        <v>38100000000</v>
      </c>
      <c r="J112" s="267">
        <f>SUM(J62:J111)</f>
        <v>478833000000</v>
      </c>
      <c r="K112" s="266"/>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569</v>
      </c>
      <c r="C1" s="256"/>
      <c r="D1" s="256"/>
      <c r="E1" s="256"/>
      <c r="F1" s="256"/>
      <c r="G1" s="256"/>
      <c r="H1" s="256"/>
      <c r="I1" s="256"/>
      <c r="J1" s="256"/>
      <c r="K1" s="256"/>
    </row>
    <row r="2" spans="1:11" x14ac:dyDescent="0.3">
      <c r="A2" s="256" t="s">
        <v>1339</v>
      </c>
      <c r="B2" s="257">
        <v>102159423</v>
      </c>
      <c r="C2" s="256"/>
      <c r="D2" s="256"/>
      <c r="E2" s="256"/>
      <c r="F2" s="256"/>
      <c r="G2" s="256"/>
      <c r="H2" s="256"/>
      <c r="I2" s="256"/>
      <c r="J2" s="256"/>
      <c r="K2" s="256"/>
    </row>
    <row r="3" spans="1:11" x14ac:dyDescent="0.3">
      <c r="A3" s="256" t="s">
        <v>1343</v>
      </c>
      <c r="B3" s="258">
        <v>378580541096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1366</v>
      </c>
      <c r="C8" s="276">
        <v>44317</v>
      </c>
      <c r="D8" s="257" t="s">
        <v>1295</v>
      </c>
      <c r="E8" s="256" t="s">
        <v>1825</v>
      </c>
      <c r="F8" s="256" t="s">
        <v>1760</v>
      </c>
      <c r="G8" s="258">
        <v>5242000000</v>
      </c>
      <c r="H8" s="265">
        <v>0.1</v>
      </c>
      <c r="I8" s="258">
        <v>524200000</v>
      </c>
      <c r="J8" s="258">
        <v>5766200000</v>
      </c>
      <c r="K8" s="256" t="s">
        <v>1346</v>
      </c>
    </row>
    <row r="9" spans="1:11" x14ac:dyDescent="0.3">
      <c r="A9" s="256">
        <v>2</v>
      </c>
      <c r="B9" s="257" t="s">
        <v>1398</v>
      </c>
      <c r="C9" s="276">
        <v>44318</v>
      </c>
      <c r="D9" s="257" t="s">
        <v>1280</v>
      </c>
      <c r="E9" s="256" t="s">
        <v>1777</v>
      </c>
      <c r="F9" s="256" t="s">
        <v>1760</v>
      </c>
      <c r="G9" s="258">
        <v>7496000000</v>
      </c>
      <c r="H9" s="265">
        <v>0.1</v>
      </c>
      <c r="I9" s="258">
        <v>749600000</v>
      </c>
      <c r="J9" s="258">
        <v>8245600000</v>
      </c>
      <c r="K9" s="256" t="s">
        <v>1346</v>
      </c>
    </row>
    <row r="10" spans="1:11" x14ac:dyDescent="0.3">
      <c r="A10" s="256">
        <v>3</v>
      </c>
      <c r="B10" s="257" t="s">
        <v>1374</v>
      </c>
      <c r="C10" s="276">
        <v>44472</v>
      </c>
      <c r="D10" s="257" t="s">
        <v>1257</v>
      </c>
      <c r="E10" s="256" t="s">
        <v>1815</v>
      </c>
      <c r="F10" s="256" t="s">
        <v>1759</v>
      </c>
      <c r="G10" s="258">
        <v>8464000000</v>
      </c>
      <c r="H10" s="265">
        <v>0.1</v>
      </c>
      <c r="I10" s="258">
        <v>846400000</v>
      </c>
      <c r="J10" s="258">
        <v>9310400000</v>
      </c>
      <c r="K10" s="256" t="s">
        <v>1348</v>
      </c>
    </row>
    <row r="11" spans="1:11" x14ac:dyDescent="0.3">
      <c r="A11" s="256">
        <v>4</v>
      </c>
      <c r="B11" s="257" t="s">
        <v>1371</v>
      </c>
      <c r="C11" s="276">
        <v>44473</v>
      </c>
      <c r="D11" s="257" t="s">
        <v>1293</v>
      </c>
      <c r="E11" s="256" t="s">
        <v>1826</v>
      </c>
      <c r="F11" s="256" t="s">
        <v>1759</v>
      </c>
      <c r="G11" s="258">
        <v>3208000000</v>
      </c>
      <c r="H11" s="265">
        <v>0.1</v>
      </c>
      <c r="I11" s="258">
        <v>320800000</v>
      </c>
      <c r="J11" s="258">
        <v>3528800000</v>
      </c>
      <c r="K11" s="256" t="s">
        <v>1346</v>
      </c>
    </row>
    <row r="12" spans="1:11" x14ac:dyDescent="0.3">
      <c r="A12" s="256">
        <v>5</v>
      </c>
      <c r="B12" s="257" t="s">
        <v>1402</v>
      </c>
      <c r="C12" s="276">
        <v>44474</v>
      </c>
      <c r="D12" s="257" t="s">
        <v>1279</v>
      </c>
      <c r="E12" s="256" t="s">
        <v>1827</v>
      </c>
      <c r="F12" s="256" t="s">
        <v>1758</v>
      </c>
      <c r="G12" s="258">
        <v>6827000000</v>
      </c>
      <c r="H12" s="265">
        <v>0.1</v>
      </c>
      <c r="I12" s="258">
        <v>682700000</v>
      </c>
      <c r="J12" s="258">
        <v>7509700000</v>
      </c>
      <c r="K12" s="256" t="s">
        <v>1346</v>
      </c>
    </row>
    <row r="13" spans="1:11" x14ac:dyDescent="0.3">
      <c r="A13" s="256">
        <v>6</v>
      </c>
      <c r="B13" s="257" t="s">
        <v>1376</v>
      </c>
      <c r="C13" s="276">
        <v>44475</v>
      </c>
      <c r="D13" s="257" t="s">
        <v>1257</v>
      </c>
      <c r="E13" s="256" t="s">
        <v>1815</v>
      </c>
      <c r="F13" s="256" t="s">
        <v>1757</v>
      </c>
      <c r="G13" s="258">
        <v>6255000000</v>
      </c>
      <c r="H13" s="265">
        <v>0.1</v>
      </c>
      <c r="I13" s="258">
        <v>625500000</v>
      </c>
      <c r="J13" s="258">
        <v>6880500000</v>
      </c>
      <c r="K13" s="256" t="s">
        <v>1346</v>
      </c>
    </row>
    <row r="14" spans="1:11" x14ac:dyDescent="0.3">
      <c r="A14" s="256">
        <v>7</v>
      </c>
      <c r="B14" s="257" t="s">
        <v>1201</v>
      </c>
      <c r="C14" s="276">
        <v>44476</v>
      </c>
      <c r="D14" s="257" t="s">
        <v>1286</v>
      </c>
      <c r="E14" s="256" t="s">
        <v>1828</v>
      </c>
      <c r="F14" s="256" t="s">
        <v>1755</v>
      </c>
      <c r="G14" s="258">
        <v>2266000000</v>
      </c>
      <c r="H14" s="265">
        <v>0.1</v>
      </c>
      <c r="I14" s="258">
        <v>226600000</v>
      </c>
      <c r="J14" s="258">
        <v>2492600000</v>
      </c>
      <c r="K14" s="256" t="s">
        <v>1348</v>
      </c>
    </row>
    <row r="15" spans="1:11" x14ac:dyDescent="0.3">
      <c r="A15" s="256">
        <v>8</v>
      </c>
      <c r="B15" s="257" t="s">
        <v>1406</v>
      </c>
      <c r="C15" s="276">
        <v>44477</v>
      </c>
      <c r="D15" s="257" t="s">
        <v>1284</v>
      </c>
      <c r="E15" s="256" t="s">
        <v>1786</v>
      </c>
      <c r="F15" s="256" t="s">
        <v>1755</v>
      </c>
      <c r="G15" s="258">
        <v>4070000000</v>
      </c>
      <c r="H15" s="265">
        <v>0.1</v>
      </c>
      <c r="I15" s="258">
        <v>407000000</v>
      </c>
      <c r="J15" s="258">
        <v>4477000000</v>
      </c>
      <c r="K15" s="256" t="s">
        <v>1346</v>
      </c>
    </row>
    <row r="16" spans="1:11" x14ac:dyDescent="0.3">
      <c r="A16" s="256">
        <v>9</v>
      </c>
      <c r="B16" s="257" t="s">
        <v>1204</v>
      </c>
      <c r="C16" s="276">
        <v>44478</v>
      </c>
      <c r="D16" s="257" t="s">
        <v>1255</v>
      </c>
      <c r="E16" s="273">
        <v>46152</v>
      </c>
      <c r="F16" s="256" t="s">
        <v>1758</v>
      </c>
      <c r="G16" s="258">
        <v>6654000000</v>
      </c>
      <c r="H16" s="265">
        <v>0.1</v>
      </c>
      <c r="I16" s="258">
        <v>665400000</v>
      </c>
      <c r="J16" s="258">
        <v>7319400000</v>
      </c>
      <c r="K16" s="256" t="s">
        <v>1346</v>
      </c>
    </row>
    <row r="17" spans="1:11" x14ac:dyDescent="0.3">
      <c r="A17" s="256">
        <v>10</v>
      </c>
      <c r="B17" s="257" t="s">
        <v>1382</v>
      </c>
      <c r="C17" s="276">
        <v>44479</v>
      </c>
      <c r="D17" s="257" t="s">
        <v>1282</v>
      </c>
      <c r="E17" s="256" t="s">
        <v>1789</v>
      </c>
      <c r="F17" s="256" t="s">
        <v>1757</v>
      </c>
      <c r="G17" s="258">
        <v>5426000000</v>
      </c>
      <c r="H17" s="265">
        <v>0.1</v>
      </c>
      <c r="I17" s="258">
        <v>542600000</v>
      </c>
      <c r="J17" s="258">
        <v>5968600000</v>
      </c>
      <c r="K17" s="256" t="s">
        <v>1348</v>
      </c>
    </row>
    <row r="18" spans="1:11" x14ac:dyDescent="0.3">
      <c r="A18" s="256">
        <v>11</v>
      </c>
      <c r="B18" s="257" t="s">
        <v>1355</v>
      </c>
      <c r="C18" s="276">
        <v>44480</v>
      </c>
      <c r="D18" s="257" t="s">
        <v>1300</v>
      </c>
      <c r="E18" s="256" t="s">
        <v>1818</v>
      </c>
      <c r="F18" s="256" t="s">
        <v>1758</v>
      </c>
      <c r="G18" s="258">
        <v>4913000000</v>
      </c>
      <c r="H18" s="265">
        <v>0.1</v>
      </c>
      <c r="I18" s="258">
        <v>491300000</v>
      </c>
      <c r="J18" s="258">
        <v>5404300000</v>
      </c>
      <c r="K18" s="256" t="s">
        <v>1346</v>
      </c>
    </row>
    <row r="19" spans="1:11" x14ac:dyDescent="0.3">
      <c r="A19" s="256">
        <v>12</v>
      </c>
      <c r="B19" s="257" t="s">
        <v>1408</v>
      </c>
      <c r="C19" s="276">
        <v>44481</v>
      </c>
      <c r="D19" s="257" t="s">
        <v>1277</v>
      </c>
      <c r="E19" s="256" t="s">
        <v>1783</v>
      </c>
      <c r="F19" s="256" t="s">
        <v>1755</v>
      </c>
      <c r="G19" s="258">
        <v>6504000000</v>
      </c>
      <c r="H19" s="265">
        <v>0.1</v>
      </c>
      <c r="I19" s="258">
        <v>650400000</v>
      </c>
      <c r="J19" s="258">
        <v>7154400000</v>
      </c>
      <c r="K19" s="256" t="s">
        <v>1346</v>
      </c>
    </row>
    <row r="20" spans="1:11" x14ac:dyDescent="0.3">
      <c r="A20" s="256">
        <v>13</v>
      </c>
      <c r="B20" s="257" t="s">
        <v>1398</v>
      </c>
      <c r="C20" s="276">
        <v>44211</v>
      </c>
      <c r="D20" s="257" t="s">
        <v>1266</v>
      </c>
      <c r="E20" s="256" t="s">
        <v>1824</v>
      </c>
      <c r="F20" s="256" t="s">
        <v>1755</v>
      </c>
      <c r="G20" s="258">
        <v>8759000000</v>
      </c>
      <c r="H20" s="265">
        <v>0.1</v>
      </c>
      <c r="I20" s="258">
        <v>875900000</v>
      </c>
      <c r="J20" s="258">
        <v>9634900000</v>
      </c>
      <c r="K20" s="256" t="s">
        <v>1346</v>
      </c>
    </row>
    <row r="21" spans="1:11" x14ac:dyDescent="0.3">
      <c r="A21" s="256">
        <v>14</v>
      </c>
      <c r="B21" s="257" t="s">
        <v>1391</v>
      </c>
      <c r="C21" s="276">
        <v>44242</v>
      </c>
      <c r="D21" s="257" t="s">
        <v>1273</v>
      </c>
      <c r="E21" s="256" t="s">
        <v>1829</v>
      </c>
      <c r="F21" s="256" t="s">
        <v>1757</v>
      </c>
      <c r="G21" s="258">
        <v>2708000000</v>
      </c>
      <c r="H21" s="265">
        <v>0.1</v>
      </c>
      <c r="I21" s="258">
        <v>270800000</v>
      </c>
      <c r="J21" s="258">
        <v>2978800000</v>
      </c>
      <c r="K21" s="256" t="s">
        <v>1346</v>
      </c>
    </row>
    <row r="22" spans="1:11" x14ac:dyDescent="0.3">
      <c r="A22" s="256">
        <v>15</v>
      </c>
      <c r="B22" s="257" t="s">
        <v>1402</v>
      </c>
      <c r="C22" s="276">
        <v>44275</v>
      </c>
      <c r="D22" s="257" t="s">
        <v>1259</v>
      </c>
      <c r="E22" s="256" t="s">
        <v>1788</v>
      </c>
      <c r="F22" s="256" t="s">
        <v>1760</v>
      </c>
      <c r="G22" s="258">
        <v>6769000000</v>
      </c>
      <c r="H22" s="265">
        <v>0.1</v>
      </c>
      <c r="I22" s="258">
        <v>676900000</v>
      </c>
      <c r="J22" s="258">
        <v>7445900000</v>
      </c>
      <c r="K22" s="256" t="s">
        <v>1346</v>
      </c>
    </row>
    <row r="23" spans="1:11" x14ac:dyDescent="0.3">
      <c r="A23" s="256">
        <v>16</v>
      </c>
      <c r="B23" s="257" t="s">
        <v>1383</v>
      </c>
      <c r="C23" s="276">
        <v>44306</v>
      </c>
      <c r="D23" s="257" t="s">
        <v>1282</v>
      </c>
      <c r="E23" s="256" t="s">
        <v>1789</v>
      </c>
      <c r="F23" s="256" t="s">
        <v>1758</v>
      </c>
      <c r="G23" s="258">
        <v>5529000000</v>
      </c>
      <c r="H23" s="265">
        <v>0.1</v>
      </c>
      <c r="I23" s="258">
        <v>552900000</v>
      </c>
      <c r="J23" s="258">
        <v>6081900000</v>
      </c>
      <c r="K23" s="256" t="s">
        <v>1346</v>
      </c>
    </row>
    <row r="24" spans="1:11" x14ac:dyDescent="0.3">
      <c r="A24" s="256">
        <v>17</v>
      </c>
      <c r="B24" s="257" t="s">
        <v>1201</v>
      </c>
      <c r="C24" s="276">
        <v>44336</v>
      </c>
      <c r="D24" s="257" t="s">
        <v>1298</v>
      </c>
      <c r="E24" s="256" t="s">
        <v>1819</v>
      </c>
      <c r="F24" s="256" t="s">
        <v>1760</v>
      </c>
      <c r="G24" s="258">
        <v>2848000000</v>
      </c>
      <c r="H24" s="265">
        <v>0.1</v>
      </c>
      <c r="I24" s="258">
        <v>284800000</v>
      </c>
      <c r="J24" s="258">
        <v>3132800000</v>
      </c>
      <c r="K24" s="256" t="s">
        <v>1346</v>
      </c>
    </row>
    <row r="25" spans="1:11" x14ac:dyDescent="0.3">
      <c r="A25" s="256">
        <v>18</v>
      </c>
      <c r="B25" s="257" t="s">
        <v>1392</v>
      </c>
      <c r="C25" s="276">
        <v>44367</v>
      </c>
      <c r="D25" s="257" t="s">
        <v>1273</v>
      </c>
      <c r="E25" s="256" t="s">
        <v>1829</v>
      </c>
      <c r="F25" s="256" t="s">
        <v>1759</v>
      </c>
      <c r="G25" s="258">
        <v>8436000000</v>
      </c>
      <c r="H25" s="265">
        <v>0.1</v>
      </c>
      <c r="I25" s="258">
        <v>843600000</v>
      </c>
      <c r="J25" s="258">
        <v>9279600000</v>
      </c>
      <c r="K25" s="256" t="s">
        <v>1346</v>
      </c>
    </row>
    <row r="26" spans="1:11" x14ac:dyDescent="0.3">
      <c r="A26" s="256">
        <v>19</v>
      </c>
      <c r="B26" s="257" t="s">
        <v>1355</v>
      </c>
      <c r="C26" s="276">
        <v>44397</v>
      </c>
      <c r="D26" s="257" t="s">
        <v>1296</v>
      </c>
      <c r="E26" s="256" t="s">
        <v>1807</v>
      </c>
      <c r="F26" s="256" t="s">
        <v>1757</v>
      </c>
      <c r="G26" s="258">
        <v>5720000000</v>
      </c>
      <c r="H26" s="265">
        <v>0.1</v>
      </c>
      <c r="I26" s="258">
        <v>572000000</v>
      </c>
      <c r="J26" s="258">
        <v>6292000000</v>
      </c>
      <c r="K26" s="256" t="s">
        <v>1346</v>
      </c>
    </row>
    <row r="27" spans="1:11" x14ac:dyDescent="0.3">
      <c r="A27" s="256">
        <v>20</v>
      </c>
      <c r="B27" s="257" t="s">
        <v>1403</v>
      </c>
      <c r="C27" s="276">
        <v>44428</v>
      </c>
      <c r="D27" s="257" t="s">
        <v>1279</v>
      </c>
      <c r="E27" s="256" t="s">
        <v>1827</v>
      </c>
      <c r="F27" s="256" t="s">
        <v>1755</v>
      </c>
      <c r="G27" s="258">
        <v>4813000000</v>
      </c>
      <c r="H27" s="265">
        <v>0.1</v>
      </c>
      <c r="I27" s="258">
        <v>481300000</v>
      </c>
      <c r="J27" s="258">
        <v>5294300000</v>
      </c>
      <c r="K27" s="256" t="s">
        <v>1346</v>
      </c>
    </row>
    <row r="28" spans="1:11" x14ac:dyDescent="0.3">
      <c r="A28" s="256">
        <v>21</v>
      </c>
      <c r="B28" s="257" t="s">
        <v>1405</v>
      </c>
      <c r="C28" s="276">
        <v>44459</v>
      </c>
      <c r="D28" s="257" t="s">
        <v>1281</v>
      </c>
      <c r="E28" s="256" t="s">
        <v>1806</v>
      </c>
      <c r="F28" s="256" t="s">
        <v>1760</v>
      </c>
      <c r="G28" s="258">
        <v>7864000000</v>
      </c>
      <c r="H28" s="265">
        <v>0.1</v>
      </c>
      <c r="I28" s="258">
        <v>786400000</v>
      </c>
      <c r="J28" s="258">
        <v>8650400000</v>
      </c>
      <c r="K28" s="256" t="s">
        <v>1346</v>
      </c>
    </row>
    <row r="29" spans="1:11" x14ac:dyDescent="0.3">
      <c r="A29" s="256">
        <v>22</v>
      </c>
      <c r="B29" s="257" t="s">
        <v>1388</v>
      </c>
      <c r="C29" s="276">
        <v>44489</v>
      </c>
      <c r="D29" s="257" t="s">
        <v>1267</v>
      </c>
      <c r="E29" s="256" t="s">
        <v>1810</v>
      </c>
      <c r="F29" s="256" t="s">
        <v>1755</v>
      </c>
      <c r="G29" s="258">
        <v>3950000000</v>
      </c>
      <c r="H29" s="265">
        <v>0.1</v>
      </c>
      <c r="I29" s="258">
        <v>395000000</v>
      </c>
      <c r="J29" s="258">
        <v>4345000000</v>
      </c>
      <c r="K29" s="256" t="s">
        <v>1346</v>
      </c>
    </row>
    <row r="30" spans="1:11" x14ac:dyDescent="0.3">
      <c r="A30" s="256">
        <v>23</v>
      </c>
      <c r="B30" s="257" t="s">
        <v>1201</v>
      </c>
      <c r="C30" s="276">
        <v>44520</v>
      </c>
      <c r="D30" s="257" t="s">
        <v>1303</v>
      </c>
      <c r="E30" s="256" t="s">
        <v>1817</v>
      </c>
      <c r="F30" s="256" t="s">
        <v>1756</v>
      </c>
      <c r="G30" s="258">
        <v>5773000000</v>
      </c>
      <c r="H30" s="265">
        <v>0.1</v>
      </c>
      <c r="I30" s="258">
        <v>577300000</v>
      </c>
      <c r="J30" s="258">
        <v>6350300000</v>
      </c>
      <c r="K30" s="256" t="s">
        <v>1348</v>
      </c>
    </row>
    <row r="31" spans="1:11" x14ac:dyDescent="0.3">
      <c r="A31" s="256">
        <v>24</v>
      </c>
      <c r="B31" s="257" t="s">
        <v>1376</v>
      </c>
      <c r="C31" s="276">
        <v>44550</v>
      </c>
      <c r="D31" s="257" t="s">
        <v>1265</v>
      </c>
      <c r="E31" s="256" t="s">
        <v>1830</v>
      </c>
      <c r="F31" s="256" t="s">
        <v>1755</v>
      </c>
      <c r="G31" s="258">
        <v>4970000000</v>
      </c>
      <c r="H31" s="265">
        <v>0.1</v>
      </c>
      <c r="I31" s="258">
        <v>497000000</v>
      </c>
      <c r="J31" s="258">
        <v>5467000000</v>
      </c>
      <c r="K31" s="256" t="s">
        <v>1346</v>
      </c>
    </row>
    <row r="32" spans="1:11" x14ac:dyDescent="0.3">
      <c r="A32" s="256">
        <v>25</v>
      </c>
      <c r="B32" s="257" t="s">
        <v>1392</v>
      </c>
      <c r="C32" s="276">
        <v>44221</v>
      </c>
      <c r="D32" s="257" t="s">
        <v>1283</v>
      </c>
      <c r="E32" s="256" t="s">
        <v>1798</v>
      </c>
      <c r="F32" s="256" t="s">
        <v>1756</v>
      </c>
      <c r="G32" s="258">
        <v>5224000000</v>
      </c>
      <c r="H32" s="265">
        <v>0.1</v>
      </c>
      <c r="I32" s="258">
        <v>522400000</v>
      </c>
      <c r="J32" s="258">
        <v>5746400000</v>
      </c>
      <c r="K32" s="256" t="s">
        <v>1346</v>
      </c>
    </row>
    <row r="33" spans="1:11" x14ac:dyDescent="0.3">
      <c r="A33" s="256">
        <v>26</v>
      </c>
      <c r="B33" s="257" t="s">
        <v>1202</v>
      </c>
      <c r="C33" s="276">
        <v>44255</v>
      </c>
      <c r="D33" s="257" t="s">
        <v>1298</v>
      </c>
      <c r="E33" s="256" t="s">
        <v>1819</v>
      </c>
      <c r="F33" s="256" t="s">
        <v>1760</v>
      </c>
      <c r="G33" s="258">
        <v>2417000000</v>
      </c>
      <c r="H33" s="265">
        <v>0.1</v>
      </c>
      <c r="I33" s="258">
        <v>241700000</v>
      </c>
      <c r="J33" s="258">
        <v>2658700000</v>
      </c>
      <c r="K33" s="256" t="s">
        <v>1348</v>
      </c>
    </row>
    <row r="34" spans="1:11" x14ac:dyDescent="0.3">
      <c r="A34" s="256">
        <v>27</v>
      </c>
      <c r="B34" s="257" t="s">
        <v>1202</v>
      </c>
      <c r="C34" s="276">
        <v>44316</v>
      </c>
      <c r="D34" s="257" t="s">
        <v>1286</v>
      </c>
      <c r="E34" s="256" t="s">
        <v>1828</v>
      </c>
      <c r="F34" s="256" t="s">
        <v>1755</v>
      </c>
      <c r="G34" s="258">
        <v>3944000000</v>
      </c>
      <c r="H34" s="265">
        <v>0.1</v>
      </c>
      <c r="I34" s="258">
        <v>394400000</v>
      </c>
      <c r="J34" s="258">
        <v>4338400000</v>
      </c>
      <c r="K34" s="256" t="s">
        <v>1346</v>
      </c>
    </row>
    <row r="35" spans="1:11" x14ac:dyDescent="0.3">
      <c r="A35" s="256">
        <v>28</v>
      </c>
      <c r="B35" s="257" t="s">
        <v>1391</v>
      </c>
      <c r="C35" s="276">
        <v>44377</v>
      </c>
      <c r="D35" s="257" t="s">
        <v>1272</v>
      </c>
      <c r="E35" s="256" t="s">
        <v>1805</v>
      </c>
      <c r="F35" s="256" t="s">
        <v>1757</v>
      </c>
      <c r="G35" s="258">
        <v>8414000000</v>
      </c>
      <c r="H35" s="265">
        <v>0.1</v>
      </c>
      <c r="I35" s="258">
        <v>841400000</v>
      </c>
      <c r="J35" s="258">
        <v>9255400000</v>
      </c>
      <c r="K35" s="256" t="s">
        <v>1348</v>
      </c>
    </row>
    <row r="36" spans="1:11" x14ac:dyDescent="0.3">
      <c r="A36" s="256">
        <v>29</v>
      </c>
      <c r="B36" s="257" t="s">
        <v>1409</v>
      </c>
      <c r="C36" s="276">
        <v>44469</v>
      </c>
      <c r="D36" s="257" t="s">
        <v>1277</v>
      </c>
      <c r="E36" s="256" t="s">
        <v>1783</v>
      </c>
      <c r="F36" s="256" t="s">
        <v>1759</v>
      </c>
      <c r="G36" s="258">
        <v>4799000000</v>
      </c>
      <c r="H36" s="265">
        <v>0.1</v>
      </c>
      <c r="I36" s="258">
        <v>479900000</v>
      </c>
      <c r="J36" s="258">
        <v>5278900000</v>
      </c>
      <c r="K36" s="256" t="s">
        <v>1346</v>
      </c>
    </row>
    <row r="37" spans="1:11" x14ac:dyDescent="0.3">
      <c r="A37" s="256">
        <v>30</v>
      </c>
      <c r="B37" s="257" t="s">
        <v>1201</v>
      </c>
      <c r="C37" s="276">
        <v>44530</v>
      </c>
      <c r="D37" s="257" t="s">
        <v>1294</v>
      </c>
      <c r="E37" s="256" t="s">
        <v>1795</v>
      </c>
      <c r="F37" s="256" t="s">
        <v>1755</v>
      </c>
      <c r="G37" s="258">
        <v>6073000000</v>
      </c>
      <c r="H37" s="265">
        <v>0.1</v>
      </c>
      <c r="I37" s="258">
        <v>607300000</v>
      </c>
      <c r="J37" s="258">
        <v>6680300000</v>
      </c>
      <c r="K37" s="256" t="s">
        <v>1346</v>
      </c>
    </row>
    <row r="38" spans="1:11" x14ac:dyDescent="0.3">
      <c r="A38" s="256">
        <v>31</v>
      </c>
      <c r="B38" s="257" t="s">
        <v>1379</v>
      </c>
      <c r="C38" s="276">
        <v>44286</v>
      </c>
      <c r="D38" s="257" t="s">
        <v>1269</v>
      </c>
      <c r="E38" s="256" t="s">
        <v>1823</v>
      </c>
      <c r="F38" s="256" t="s">
        <v>1757</v>
      </c>
      <c r="G38" s="258">
        <v>7574000000</v>
      </c>
      <c r="H38" s="265">
        <v>0.1</v>
      </c>
      <c r="I38" s="258">
        <v>757400000</v>
      </c>
      <c r="J38" s="258">
        <v>8331400000</v>
      </c>
      <c r="K38" s="256" t="s">
        <v>1346</v>
      </c>
    </row>
    <row r="39" spans="1:11" x14ac:dyDescent="0.3">
      <c r="A39" s="256">
        <v>32</v>
      </c>
      <c r="B39" s="257" t="s">
        <v>1201</v>
      </c>
      <c r="C39" s="276">
        <v>44347</v>
      </c>
      <c r="D39" s="257" t="s">
        <v>1301</v>
      </c>
      <c r="E39" s="256" t="s">
        <v>1781</v>
      </c>
      <c r="F39" s="256" t="s">
        <v>1756</v>
      </c>
      <c r="G39" s="258">
        <v>2263000000</v>
      </c>
      <c r="H39" s="265">
        <v>0.1</v>
      </c>
      <c r="I39" s="258">
        <v>226300000</v>
      </c>
      <c r="J39" s="258">
        <v>2489300000</v>
      </c>
      <c r="K39" s="256" t="s">
        <v>1346</v>
      </c>
    </row>
    <row r="40" spans="1:11" x14ac:dyDescent="0.3">
      <c r="A40" s="256">
        <v>33</v>
      </c>
      <c r="B40" s="257" t="s">
        <v>1385</v>
      </c>
      <c r="C40" s="276">
        <v>44408</v>
      </c>
      <c r="D40" s="257" t="s">
        <v>1264</v>
      </c>
      <c r="E40" s="256" t="s">
        <v>1779</v>
      </c>
      <c r="F40" s="256" t="s">
        <v>1756</v>
      </c>
      <c r="G40" s="258">
        <v>3007000000</v>
      </c>
      <c r="H40" s="265">
        <v>0.1</v>
      </c>
      <c r="I40" s="258">
        <v>300700000</v>
      </c>
      <c r="J40" s="258">
        <v>3307700000</v>
      </c>
      <c r="K40" s="256" t="s">
        <v>1346</v>
      </c>
    </row>
    <row r="41" spans="1:11" x14ac:dyDescent="0.3">
      <c r="A41" s="256">
        <v>34</v>
      </c>
      <c r="B41" s="257" t="s">
        <v>1381</v>
      </c>
      <c r="C41" s="276">
        <v>44439</v>
      </c>
      <c r="D41" s="257" t="s">
        <v>1271</v>
      </c>
      <c r="E41" s="256" t="s">
        <v>1799</v>
      </c>
      <c r="F41" s="256" t="s">
        <v>1757</v>
      </c>
      <c r="G41" s="258">
        <v>5927000000</v>
      </c>
      <c r="H41" s="265">
        <v>0.1</v>
      </c>
      <c r="I41" s="258">
        <v>592700000</v>
      </c>
      <c r="J41" s="258">
        <v>6519700000</v>
      </c>
      <c r="K41" s="256" t="s">
        <v>1346</v>
      </c>
    </row>
    <row r="42" spans="1:11" x14ac:dyDescent="0.3">
      <c r="A42" s="256">
        <v>35</v>
      </c>
      <c r="B42" s="257" t="s">
        <v>1402</v>
      </c>
      <c r="C42" s="276">
        <v>44500</v>
      </c>
      <c r="D42" s="257" t="s">
        <v>1278</v>
      </c>
      <c r="E42" s="256" t="s">
        <v>1785</v>
      </c>
      <c r="F42" s="256" t="s">
        <v>1758</v>
      </c>
      <c r="G42" s="258">
        <v>8353000000</v>
      </c>
      <c r="H42" s="265">
        <v>0.1</v>
      </c>
      <c r="I42" s="258">
        <v>835300000</v>
      </c>
      <c r="J42" s="258">
        <v>9188300000</v>
      </c>
      <c r="K42" s="256" t="s">
        <v>1346</v>
      </c>
    </row>
    <row r="43" spans="1:11" x14ac:dyDescent="0.3">
      <c r="A43" s="256">
        <v>36</v>
      </c>
      <c r="B43" s="257" t="s">
        <v>1378</v>
      </c>
      <c r="C43" s="276">
        <v>44561</v>
      </c>
      <c r="D43" s="257" t="s">
        <v>1257</v>
      </c>
      <c r="E43" s="256" t="s">
        <v>1815</v>
      </c>
      <c r="F43" s="256" t="s">
        <v>1756</v>
      </c>
      <c r="G43" s="258">
        <v>2607000000</v>
      </c>
      <c r="H43" s="265">
        <v>0</v>
      </c>
      <c r="I43" s="258">
        <v>0</v>
      </c>
      <c r="J43" s="258">
        <v>2607000000</v>
      </c>
      <c r="K43" s="256" t="s">
        <v>1346</v>
      </c>
    </row>
    <row r="44" spans="1:11" x14ac:dyDescent="0.3">
      <c r="A44" s="256">
        <v>37</v>
      </c>
      <c r="B44" s="257" t="s">
        <v>1392</v>
      </c>
      <c r="C44" s="276">
        <v>44561</v>
      </c>
      <c r="D44" s="257" t="s">
        <v>1274</v>
      </c>
      <c r="E44" s="256" t="s">
        <v>1794</v>
      </c>
      <c r="F44" s="256" t="s">
        <v>1757</v>
      </c>
      <c r="G44" s="258">
        <v>5343000000</v>
      </c>
      <c r="H44" s="265">
        <v>0.1</v>
      </c>
      <c r="I44" s="258">
        <v>534300000</v>
      </c>
      <c r="J44" s="258">
        <v>5877300000</v>
      </c>
      <c r="K44" s="256" t="s">
        <v>1346</v>
      </c>
    </row>
    <row r="45" spans="1:11" x14ac:dyDescent="0.3">
      <c r="A45" s="256">
        <v>38</v>
      </c>
      <c r="B45" s="257" t="s">
        <v>1200</v>
      </c>
      <c r="C45" s="276">
        <v>44561</v>
      </c>
      <c r="D45" s="257" t="s">
        <v>1304</v>
      </c>
      <c r="E45" s="256" t="s">
        <v>1831</v>
      </c>
      <c r="F45" s="256" t="s">
        <v>1756</v>
      </c>
      <c r="G45" s="258">
        <v>3737000000</v>
      </c>
      <c r="H45" s="265">
        <v>0.1</v>
      </c>
      <c r="I45" s="258">
        <v>373700000</v>
      </c>
      <c r="J45" s="258">
        <v>4110700000</v>
      </c>
      <c r="K45" s="256" t="s">
        <v>1346</v>
      </c>
    </row>
    <row r="46" spans="1:11" x14ac:dyDescent="0.3">
      <c r="A46" s="256">
        <v>39</v>
      </c>
      <c r="B46" s="257" t="s">
        <v>1392</v>
      </c>
      <c r="C46" s="276">
        <v>44561</v>
      </c>
      <c r="D46" s="257" t="s">
        <v>1272</v>
      </c>
      <c r="E46" s="256" t="s">
        <v>1805</v>
      </c>
      <c r="F46" s="256" t="s">
        <v>1756</v>
      </c>
      <c r="G46" s="258">
        <v>4795000000</v>
      </c>
      <c r="H46" s="265">
        <v>0.1</v>
      </c>
      <c r="I46" s="258">
        <v>479500000</v>
      </c>
      <c r="J46" s="258">
        <v>5274500000</v>
      </c>
      <c r="K46" s="256" t="s">
        <v>1346</v>
      </c>
    </row>
    <row r="47" spans="1:11" x14ac:dyDescent="0.3">
      <c r="A47" s="256">
        <v>40</v>
      </c>
      <c r="B47" s="257" t="s">
        <v>1388</v>
      </c>
      <c r="C47" s="276">
        <v>44561</v>
      </c>
      <c r="D47" s="257" t="s">
        <v>1262</v>
      </c>
      <c r="E47" s="256" t="s">
        <v>1816</v>
      </c>
      <c r="F47" s="256" t="s">
        <v>1755</v>
      </c>
      <c r="G47" s="258">
        <v>3112000000</v>
      </c>
      <c r="H47" s="265">
        <v>0.1</v>
      </c>
      <c r="I47" s="258">
        <v>311200000</v>
      </c>
      <c r="J47" s="258">
        <v>3423200000</v>
      </c>
      <c r="K47" s="256" t="s">
        <v>1348</v>
      </c>
    </row>
    <row r="48" spans="1:11" x14ac:dyDescent="0.3">
      <c r="A48" s="256">
        <v>41</v>
      </c>
      <c r="B48" s="257" t="s">
        <v>1356</v>
      </c>
      <c r="C48" s="276">
        <v>44561</v>
      </c>
      <c r="D48" s="257" t="s">
        <v>1300</v>
      </c>
      <c r="E48" s="256" t="s">
        <v>1818</v>
      </c>
      <c r="F48" s="256" t="s">
        <v>1755</v>
      </c>
      <c r="G48" s="258">
        <v>6908000000</v>
      </c>
      <c r="H48" s="265">
        <v>0.1</v>
      </c>
      <c r="I48" s="258">
        <v>690800000</v>
      </c>
      <c r="J48" s="258">
        <v>7598800000</v>
      </c>
      <c r="K48" s="256" t="s">
        <v>1346</v>
      </c>
    </row>
    <row r="49" spans="1:11" x14ac:dyDescent="0.3">
      <c r="A49" s="256">
        <v>42</v>
      </c>
      <c r="B49" s="257" t="s">
        <v>1403</v>
      </c>
      <c r="C49" s="276">
        <v>44561</v>
      </c>
      <c r="D49" s="257" t="s">
        <v>1278</v>
      </c>
      <c r="E49" s="256" t="s">
        <v>1785</v>
      </c>
      <c r="F49" s="256" t="s">
        <v>1760</v>
      </c>
      <c r="G49" s="258">
        <v>6527000000</v>
      </c>
      <c r="H49" s="265">
        <v>0.1</v>
      </c>
      <c r="I49" s="258">
        <v>652700000</v>
      </c>
      <c r="J49" s="258">
        <v>7179700000</v>
      </c>
      <c r="K49" s="256" t="s">
        <v>1348</v>
      </c>
    </row>
    <row r="50" spans="1:11" x14ac:dyDescent="0.3">
      <c r="A50" s="256">
        <v>43</v>
      </c>
      <c r="B50" s="257" t="s">
        <v>1398</v>
      </c>
      <c r="C50" s="276">
        <v>44561</v>
      </c>
      <c r="D50" s="257" t="s">
        <v>1275</v>
      </c>
      <c r="E50" s="256" t="s">
        <v>1808</v>
      </c>
      <c r="F50" s="256" t="s">
        <v>1759</v>
      </c>
      <c r="G50" s="258">
        <v>5088000000</v>
      </c>
      <c r="H50" s="265">
        <v>0.1</v>
      </c>
      <c r="I50" s="258">
        <v>508800000</v>
      </c>
      <c r="J50" s="258">
        <v>5596800000</v>
      </c>
      <c r="K50" s="256" t="s">
        <v>1346</v>
      </c>
    </row>
    <row r="51" spans="1:11" x14ac:dyDescent="0.3">
      <c r="A51" s="256">
        <v>44</v>
      </c>
      <c r="B51" s="257" t="s">
        <v>1396</v>
      </c>
      <c r="C51" s="276">
        <v>44561</v>
      </c>
      <c r="D51" s="257" t="s">
        <v>1268</v>
      </c>
      <c r="E51" s="256" t="s">
        <v>1821</v>
      </c>
      <c r="F51" s="256" t="s">
        <v>1756</v>
      </c>
      <c r="G51" s="258">
        <v>8709000000</v>
      </c>
      <c r="H51" s="265">
        <v>0.1</v>
      </c>
      <c r="I51" s="258">
        <v>870900000</v>
      </c>
      <c r="J51" s="258">
        <v>9579900000</v>
      </c>
      <c r="K51" s="256" t="s">
        <v>1346</v>
      </c>
    </row>
    <row r="52" spans="1:11" x14ac:dyDescent="0.3">
      <c r="A52" s="256">
        <v>45</v>
      </c>
      <c r="B52" s="257" t="s">
        <v>1394</v>
      </c>
      <c r="C52" s="276">
        <v>44561</v>
      </c>
      <c r="D52" s="257" t="s">
        <v>1274</v>
      </c>
      <c r="E52" s="256" t="s">
        <v>1794</v>
      </c>
      <c r="F52" s="256" t="s">
        <v>1760</v>
      </c>
      <c r="G52" s="258">
        <v>7399000000</v>
      </c>
      <c r="H52" s="265">
        <v>0.1</v>
      </c>
      <c r="I52" s="258">
        <v>739900000</v>
      </c>
      <c r="J52" s="258">
        <v>8138900000</v>
      </c>
      <c r="K52" s="256" t="s">
        <v>1346</v>
      </c>
    </row>
    <row r="53" spans="1:11" x14ac:dyDescent="0.3">
      <c r="A53" s="256">
        <v>46</v>
      </c>
      <c r="B53" s="257" t="s">
        <v>1399</v>
      </c>
      <c r="C53" s="276">
        <v>44561</v>
      </c>
      <c r="D53" s="257" t="s">
        <v>1266</v>
      </c>
      <c r="E53" s="256" t="s">
        <v>1824</v>
      </c>
      <c r="F53" s="256" t="s">
        <v>1760</v>
      </c>
      <c r="G53" s="258">
        <v>6114000000</v>
      </c>
      <c r="H53" s="265">
        <v>0.1</v>
      </c>
      <c r="I53" s="258">
        <v>611400000</v>
      </c>
      <c r="J53" s="258">
        <v>6725400000</v>
      </c>
      <c r="K53" s="256" t="s">
        <v>1346</v>
      </c>
    </row>
    <row r="54" spans="1:11" x14ac:dyDescent="0.3">
      <c r="A54" s="256">
        <v>47</v>
      </c>
      <c r="B54" s="257" t="s">
        <v>1373</v>
      </c>
      <c r="C54" s="276">
        <v>44561</v>
      </c>
      <c r="D54" s="257" t="s">
        <v>1293</v>
      </c>
      <c r="E54" s="256" t="s">
        <v>1826</v>
      </c>
      <c r="F54" s="256" t="s">
        <v>1756</v>
      </c>
      <c r="G54" s="258">
        <v>4084000000</v>
      </c>
      <c r="H54" s="265">
        <v>0.1</v>
      </c>
      <c r="I54" s="258">
        <v>408400000</v>
      </c>
      <c r="J54" s="258">
        <v>4492400000</v>
      </c>
      <c r="K54" s="256" t="s">
        <v>1346</v>
      </c>
    </row>
    <row r="55" spans="1:11" x14ac:dyDescent="0.3">
      <c r="A55" s="256">
        <v>48</v>
      </c>
      <c r="B55" s="257" t="s">
        <v>1406</v>
      </c>
      <c r="C55" s="276">
        <v>44561</v>
      </c>
      <c r="D55" s="257" t="s">
        <v>1281</v>
      </c>
      <c r="E55" s="256" t="s">
        <v>1806</v>
      </c>
      <c r="F55" s="256" t="s">
        <v>1760</v>
      </c>
      <c r="G55" s="258">
        <v>4569000000</v>
      </c>
      <c r="H55" s="265">
        <v>0.1</v>
      </c>
      <c r="I55" s="258">
        <v>456900000</v>
      </c>
      <c r="J55" s="258">
        <v>5025900000</v>
      </c>
      <c r="K55" s="256" t="s">
        <v>1348</v>
      </c>
    </row>
    <row r="56" spans="1:11" x14ac:dyDescent="0.3">
      <c r="A56" s="256">
        <v>49</v>
      </c>
      <c r="B56" s="257" t="s">
        <v>1399</v>
      </c>
      <c r="C56" s="276">
        <v>44561</v>
      </c>
      <c r="D56" s="257" t="s">
        <v>1275</v>
      </c>
      <c r="E56" s="256" t="s">
        <v>1808</v>
      </c>
      <c r="F56" s="256" t="s">
        <v>1755</v>
      </c>
      <c r="G56" s="258">
        <v>3358000000</v>
      </c>
      <c r="H56" s="265">
        <v>0.1</v>
      </c>
      <c r="I56" s="258">
        <v>335800000</v>
      </c>
      <c r="J56" s="258">
        <v>3693800000</v>
      </c>
      <c r="K56" s="256" t="s">
        <v>1346</v>
      </c>
    </row>
    <row r="57" spans="1:11" x14ac:dyDescent="0.3">
      <c r="A57" s="256">
        <v>50</v>
      </c>
      <c r="B57" s="257" t="s">
        <v>1205</v>
      </c>
      <c r="C57" s="276">
        <v>44561</v>
      </c>
      <c r="D57" s="257" t="s">
        <v>1255</v>
      </c>
      <c r="E57" s="273">
        <v>46152</v>
      </c>
      <c r="F57" s="256" t="s">
        <v>1759</v>
      </c>
      <c r="G57" s="258">
        <v>8198000000</v>
      </c>
      <c r="H57" s="265">
        <v>0.1</v>
      </c>
      <c r="I57" s="258">
        <v>819800000</v>
      </c>
      <c r="J57" s="258">
        <v>9017800000</v>
      </c>
      <c r="K57" s="256" t="s">
        <v>1346</v>
      </c>
    </row>
    <row r="58" spans="1:11" x14ac:dyDescent="0.3">
      <c r="A58" s="266" t="s">
        <v>1351</v>
      </c>
      <c r="B58" s="266"/>
      <c r="C58" s="266"/>
      <c r="D58" s="266"/>
      <c r="E58" s="266"/>
      <c r="F58" s="266"/>
      <c r="G58" s="267">
        <f>SUM(G8:G57)</f>
        <v>274007000000</v>
      </c>
      <c r="H58" s="266"/>
      <c r="I58" s="267">
        <f>SUM(I8:I57)</f>
        <v>27140000000</v>
      </c>
      <c r="J58" s="267">
        <f>SUM(J8:J57)</f>
        <v>301147000000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1304</v>
      </c>
      <c r="E62" s="256" t="s">
        <v>1831</v>
      </c>
      <c r="F62" s="256" t="s">
        <v>1762</v>
      </c>
      <c r="G62" s="258">
        <v>6458000000</v>
      </c>
      <c r="H62" s="265">
        <v>0.1</v>
      </c>
      <c r="I62" s="258">
        <v>645800000</v>
      </c>
      <c r="J62" s="258">
        <v>7103800000</v>
      </c>
      <c r="K62" s="256" t="s">
        <v>1346</v>
      </c>
    </row>
    <row r="63" spans="1:11" x14ac:dyDescent="0.3">
      <c r="A63" s="256">
        <v>2</v>
      </c>
      <c r="B63" s="257" t="s">
        <v>1201</v>
      </c>
      <c r="C63" s="276">
        <v>44318</v>
      </c>
      <c r="D63" s="257" t="s">
        <v>1271</v>
      </c>
      <c r="E63" s="256" t="s">
        <v>1799</v>
      </c>
      <c r="F63" s="256" t="s">
        <v>1762</v>
      </c>
      <c r="G63" s="258">
        <v>11721000000</v>
      </c>
      <c r="H63" s="265">
        <v>0.1</v>
      </c>
      <c r="I63" s="258">
        <v>1172100000</v>
      </c>
      <c r="J63" s="258">
        <v>12893100000</v>
      </c>
      <c r="K63" s="256" t="s">
        <v>1346</v>
      </c>
    </row>
    <row r="64" spans="1:11" x14ac:dyDescent="0.3">
      <c r="A64" s="256">
        <v>3</v>
      </c>
      <c r="B64" s="257" t="s">
        <v>1202</v>
      </c>
      <c r="C64" s="276">
        <v>44472</v>
      </c>
      <c r="D64" s="257" t="s">
        <v>1300</v>
      </c>
      <c r="E64" s="256" t="s">
        <v>1818</v>
      </c>
      <c r="F64" s="256" t="s">
        <v>1764</v>
      </c>
      <c r="G64" s="258">
        <v>4849000000</v>
      </c>
      <c r="H64" s="265">
        <v>0.1</v>
      </c>
      <c r="I64" s="258">
        <v>484900000</v>
      </c>
      <c r="J64" s="258">
        <v>5333900000</v>
      </c>
      <c r="K64" s="256" t="s">
        <v>1346</v>
      </c>
    </row>
    <row r="65" spans="1:11" x14ac:dyDescent="0.3">
      <c r="A65" s="256">
        <v>4</v>
      </c>
      <c r="B65" s="257" t="s">
        <v>1355</v>
      </c>
      <c r="C65" s="276">
        <v>44473</v>
      </c>
      <c r="D65" s="257" t="s">
        <v>1269</v>
      </c>
      <c r="E65" s="256" t="s">
        <v>1823</v>
      </c>
      <c r="F65" s="256" t="s">
        <v>1832</v>
      </c>
      <c r="G65" s="258">
        <v>7722000000</v>
      </c>
      <c r="H65" s="265">
        <v>0.1</v>
      </c>
      <c r="I65" s="258">
        <v>772200000</v>
      </c>
      <c r="J65" s="258">
        <v>8494200000</v>
      </c>
      <c r="K65" s="256" t="s">
        <v>1346</v>
      </c>
    </row>
    <row r="66" spans="1:11" x14ac:dyDescent="0.3">
      <c r="A66" s="256">
        <v>5</v>
      </c>
      <c r="B66" s="257" t="s">
        <v>1356</v>
      </c>
      <c r="C66" s="276">
        <v>44474</v>
      </c>
      <c r="D66" s="257" t="s">
        <v>1294</v>
      </c>
      <c r="E66" s="256" t="s">
        <v>1795</v>
      </c>
      <c r="F66" s="256" t="s">
        <v>1761</v>
      </c>
      <c r="G66" s="258">
        <v>11260000000</v>
      </c>
      <c r="H66" s="265">
        <v>0</v>
      </c>
      <c r="I66" s="258">
        <v>0</v>
      </c>
      <c r="J66" s="258">
        <v>11260000000</v>
      </c>
      <c r="K66" s="256" t="s">
        <v>1346</v>
      </c>
    </row>
    <row r="67" spans="1:11" x14ac:dyDescent="0.3">
      <c r="A67" s="256">
        <v>6</v>
      </c>
      <c r="B67" s="257" t="s">
        <v>1358</v>
      </c>
      <c r="C67" s="276">
        <v>44475</v>
      </c>
      <c r="D67" s="257" t="s">
        <v>1268</v>
      </c>
      <c r="E67" s="256" t="s">
        <v>1821</v>
      </c>
      <c r="F67" s="256" t="s">
        <v>1761</v>
      </c>
      <c r="G67" s="258">
        <v>3688000000</v>
      </c>
      <c r="H67" s="265">
        <v>0.1</v>
      </c>
      <c r="I67" s="258">
        <v>368800000</v>
      </c>
      <c r="J67" s="258">
        <v>4056800000</v>
      </c>
      <c r="K67" s="256" t="s">
        <v>1348</v>
      </c>
    </row>
    <row r="68" spans="1:11" x14ac:dyDescent="0.3">
      <c r="A68" s="256">
        <v>7</v>
      </c>
      <c r="B68" s="257" t="s">
        <v>1360</v>
      </c>
      <c r="C68" s="276">
        <v>44476</v>
      </c>
      <c r="D68" s="257" t="s">
        <v>1268</v>
      </c>
      <c r="E68" s="256" t="s">
        <v>1821</v>
      </c>
      <c r="F68" s="256" t="s">
        <v>1761</v>
      </c>
      <c r="G68" s="258">
        <v>3282000000</v>
      </c>
      <c r="H68" s="265">
        <v>0.1</v>
      </c>
      <c r="I68" s="258">
        <v>328200000</v>
      </c>
      <c r="J68" s="258">
        <v>3610200000</v>
      </c>
      <c r="K68" s="256" t="s">
        <v>1346</v>
      </c>
    </row>
    <row r="69" spans="1:11" x14ac:dyDescent="0.3">
      <c r="A69" s="256">
        <v>8</v>
      </c>
      <c r="B69" s="257" t="s">
        <v>1362</v>
      </c>
      <c r="C69" s="276">
        <v>44477</v>
      </c>
      <c r="D69" s="257" t="s">
        <v>1258</v>
      </c>
      <c r="E69" s="256" t="s">
        <v>1833</v>
      </c>
      <c r="F69" s="256" t="s">
        <v>1761</v>
      </c>
      <c r="G69" s="258">
        <v>4787000000</v>
      </c>
      <c r="H69" s="265">
        <v>0.1</v>
      </c>
      <c r="I69" s="258">
        <v>478700000</v>
      </c>
      <c r="J69" s="258">
        <v>5265700000</v>
      </c>
      <c r="K69" s="256" t="s">
        <v>1346</v>
      </c>
    </row>
    <row r="70" spans="1:11" x14ac:dyDescent="0.3">
      <c r="A70" s="256">
        <v>9</v>
      </c>
      <c r="B70" s="257" t="s">
        <v>1364</v>
      </c>
      <c r="C70" s="276">
        <v>44478</v>
      </c>
      <c r="D70" s="257" t="s">
        <v>1263</v>
      </c>
      <c r="E70" s="256" t="s">
        <v>1790</v>
      </c>
      <c r="F70" s="256" t="s">
        <v>1832</v>
      </c>
      <c r="G70" s="258">
        <v>3275000000</v>
      </c>
      <c r="H70" s="265">
        <v>0.1</v>
      </c>
      <c r="I70" s="258">
        <v>327500000</v>
      </c>
      <c r="J70" s="258">
        <v>3602500000</v>
      </c>
      <c r="K70" s="256" t="s">
        <v>1346</v>
      </c>
    </row>
    <row r="71" spans="1:11" x14ac:dyDescent="0.3">
      <c r="A71" s="256">
        <v>10</v>
      </c>
      <c r="B71" s="257" t="s">
        <v>1366</v>
      </c>
      <c r="C71" s="276">
        <v>44479</v>
      </c>
      <c r="D71" s="257" t="s">
        <v>1276</v>
      </c>
      <c r="E71" s="256" t="s">
        <v>1822</v>
      </c>
      <c r="F71" s="256" t="s">
        <v>1762</v>
      </c>
      <c r="G71" s="258">
        <v>5519000000</v>
      </c>
      <c r="H71" s="265">
        <v>0.1</v>
      </c>
      <c r="I71" s="258">
        <v>551900000</v>
      </c>
      <c r="J71" s="258">
        <v>6070900000</v>
      </c>
      <c r="K71" s="256" t="s">
        <v>1346</v>
      </c>
    </row>
    <row r="72" spans="1:11" x14ac:dyDescent="0.3">
      <c r="A72" s="256">
        <v>11</v>
      </c>
      <c r="B72" s="257" t="s">
        <v>1368</v>
      </c>
      <c r="C72" s="276">
        <v>44480</v>
      </c>
      <c r="D72" s="257" t="s">
        <v>1264</v>
      </c>
      <c r="E72" s="256" t="s">
        <v>1779</v>
      </c>
      <c r="F72" s="256" t="s">
        <v>1764</v>
      </c>
      <c r="G72" s="258">
        <v>6753000000</v>
      </c>
      <c r="H72" s="265">
        <v>0.1</v>
      </c>
      <c r="I72" s="258">
        <v>675300000</v>
      </c>
      <c r="J72" s="258">
        <v>7428300000</v>
      </c>
      <c r="K72" s="256" t="s">
        <v>1346</v>
      </c>
    </row>
    <row r="73" spans="1:11" x14ac:dyDescent="0.3">
      <c r="A73" s="256">
        <v>12</v>
      </c>
      <c r="B73" s="257" t="s">
        <v>1371</v>
      </c>
      <c r="C73" s="276">
        <v>44481</v>
      </c>
      <c r="D73" s="257" t="s">
        <v>1284</v>
      </c>
      <c r="E73" s="256" t="s">
        <v>1786</v>
      </c>
      <c r="F73" s="256" t="s">
        <v>1761</v>
      </c>
      <c r="G73" s="258">
        <v>8863000000</v>
      </c>
      <c r="H73" s="265">
        <v>0.1</v>
      </c>
      <c r="I73" s="258">
        <v>886300000</v>
      </c>
      <c r="J73" s="258">
        <v>9749300000</v>
      </c>
      <c r="K73" s="256" t="s">
        <v>1346</v>
      </c>
    </row>
    <row r="74" spans="1:11" x14ac:dyDescent="0.3">
      <c r="A74" s="256">
        <v>13</v>
      </c>
      <c r="B74" s="257" t="s">
        <v>1373</v>
      </c>
      <c r="C74" s="276">
        <v>44211</v>
      </c>
      <c r="D74" s="257" t="s">
        <v>1257</v>
      </c>
      <c r="E74" s="256" t="s">
        <v>1815</v>
      </c>
      <c r="F74" s="256" t="s">
        <v>1761</v>
      </c>
      <c r="G74" s="258">
        <v>7918000000</v>
      </c>
      <c r="H74" s="265">
        <v>0.1</v>
      </c>
      <c r="I74" s="258">
        <v>791800000</v>
      </c>
      <c r="J74" s="258">
        <v>8709800000</v>
      </c>
      <c r="K74" s="256" t="s">
        <v>1348</v>
      </c>
    </row>
    <row r="75" spans="1:11" x14ac:dyDescent="0.3">
      <c r="A75" s="256">
        <v>14</v>
      </c>
      <c r="B75" s="257" t="s">
        <v>1374</v>
      </c>
      <c r="C75" s="276">
        <v>44242</v>
      </c>
      <c r="D75" s="257" t="s">
        <v>1299</v>
      </c>
      <c r="E75" s="256" t="s">
        <v>1776</v>
      </c>
      <c r="F75" s="256" t="s">
        <v>1764</v>
      </c>
      <c r="G75" s="258">
        <v>3351000000</v>
      </c>
      <c r="H75" s="265">
        <v>0.1</v>
      </c>
      <c r="I75" s="258">
        <v>335100000</v>
      </c>
      <c r="J75" s="258">
        <v>3686100000</v>
      </c>
      <c r="K75" s="256" t="s">
        <v>1348</v>
      </c>
    </row>
    <row r="76" spans="1:11" x14ac:dyDescent="0.3">
      <c r="A76" s="256">
        <v>15</v>
      </c>
      <c r="B76" s="257" t="s">
        <v>1376</v>
      </c>
      <c r="C76" s="276">
        <v>44275</v>
      </c>
      <c r="D76" s="257" t="s">
        <v>1274</v>
      </c>
      <c r="E76" s="256" t="s">
        <v>1794</v>
      </c>
      <c r="F76" s="256" t="s">
        <v>1832</v>
      </c>
      <c r="G76" s="258">
        <v>7848000000</v>
      </c>
      <c r="H76" s="265">
        <v>0.1</v>
      </c>
      <c r="I76" s="258">
        <v>784800000</v>
      </c>
      <c r="J76" s="258">
        <v>8632800000</v>
      </c>
      <c r="K76" s="256" t="s">
        <v>1346</v>
      </c>
    </row>
    <row r="77" spans="1:11" x14ac:dyDescent="0.3">
      <c r="A77" s="256">
        <v>16</v>
      </c>
      <c r="B77" s="257" t="s">
        <v>1378</v>
      </c>
      <c r="C77" s="276">
        <v>44306</v>
      </c>
      <c r="D77" s="257" t="s">
        <v>1299</v>
      </c>
      <c r="E77" s="256" t="s">
        <v>1776</v>
      </c>
      <c r="F77" s="256" t="s">
        <v>1764</v>
      </c>
      <c r="G77" s="258">
        <v>5269000000</v>
      </c>
      <c r="H77" s="265">
        <v>0.1</v>
      </c>
      <c r="I77" s="258">
        <v>526900000</v>
      </c>
      <c r="J77" s="258">
        <v>5795900000</v>
      </c>
      <c r="K77" s="256" t="s">
        <v>1346</v>
      </c>
    </row>
    <row r="78" spans="1:11" x14ac:dyDescent="0.3">
      <c r="A78" s="256">
        <v>17</v>
      </c>
      <c r="B78" s="257" t="s">
        <v>1379</v>
      </c>
      <c r="C78" s="276">
        <v>44336</v>
      </c>
      <c r="D78" s="257" t="s">
        <v>1287</v>
      </c>
      <c r="E78" s="256" t="s">
        <v>1801</v>
      </c>
      <c r="F78" s="256" t="s">
        <v>1761</v>
      </c>
      <c r="G78" s="258">
        <v>11580000000</v>
      </c>
      <c r="H78" s="265">
        <v>0.1</v>
      </c>
      <c r="I78" s="258">
        <v>1158000000</v>
      </c>
      <c r="J78" s="258">
        <v>12738000000</v>
      </c>
      <c r="K78" s="256" t="s">
        <v>1348</v>
      </c>
    </row>
    <row r="79" spans="1:11" x14ac:dyDescent="0.3">
      <c r="A79" s="256">
        <v>18</v>
      </c>
      <c r="B79" s="257" t="s">
        <v>1381</v>
      </c>
      <c r="C79" s="276">
        <v>44367</v>
      </c>
      <c r="D79" s="257" t="s">
        <v>1282</v>
      </c>
      <c r="E79" s="256" t="s">
        <v>1789</v>
      </c>
      <c r="F79" s="256" t="s">
        <v>1832</v>
      </c>
      <c r="G79" s="258">
        <v>11237000000</v>
      </c>
      <c r="H79" s="265">
        <v>0.1</v>
      </c>
      <c r="I79" s="258">
        <v>1123700000</v>
      </c>
      <c r="J79" s="258">
        <v>12360700000</v>
      </c>
      <c r="K79" s="256" t="s">
        <v>1346</v>
      </c>
    </row>
    <row r="80" spans="1:11" x14ac:dyDescent="0.3">
      <c r="A80" s="256">
        <v>19</v>
      </c>
      <c r="B80" s="257" t="s">
        <v>1382</v>
      </c>
      <c r="C80" s="276">
        <v>44397</v>
      </c>
      <c r="D80" s="257" t="s">
        <v>1297</v>
      </c>
      <c r="E80" s="256" t="s">
        <v>1820</v>
      </c>
      <c r="F80" s="256" t="s">
        <v>1764</v>
      </c>
      <c r="G80" s="258">
        <v>10754000000</v>
      </c>
      <c r="H80" s="265">
        <v>0.1</v>
      </c>
      <c r="I80" s="258">
        <v>1075400000</v>
      </c>
      <c r="J80" s="258">
        <v>11829400000</v>
      </c>
      <c r="K80" s="256" t="s">
        <v>1346</v>
      </c>
    </row>
    <row r="81" spans="1:11" x14ac:dyDescent="0.3">
      <c r="A81" s="256">
        <v>20</v>
      </c>
      <c r="B81" s="257" t="s">
        <v>1383</v>
      </c>
      <c r="C81" s="276">
        <v>44428</v>
      </c>
      <c r="D81" s="257" t="s">
        <v>1264</v>
      </c>
      <c r="E81" s="256" t="s">
        <v>1779</v>
      </c>
      <c r="F81" s="256" t="s">
        <v>1832</v>
      </c>
      <c r="G81" s="258">
        <v>10545000000</v>
      </c>
      <c r="H81" s="265">
        <v>0</v>
      </c>
      <c r="I81" s="258">
        <v>0</v>
      </c>
      <c r="J81" s="258">
        <v>10545000000</v>
      </c>
      <c r="K81" s="256" t="s">
        <v>1346</v>
      </c>
    </row>
    <row r="82" spans="1:11" x14ac:dyDescent="0.3">
      <c r="A82" s="256">
        <v>21</v>
      </c>
      <c r="B82" s="257" t="s">
        <v>1203</v>
      </c>
      <c r="C82" s="276">
        <v>44459</v>
      </c>
      <c r="D82" s="257" t="s">
        <v>1282</v>
      </c>
      <c r="E82" s="256" t="s">
        <v>1789</v>
      </c>
      <c r="F82" s="256" t="s">
        <v>1832</v>
      </c>
      <c r="G82" s="258">
        <v>4818000000</v>
      </c>
      <c r="H82" s="265">
        <v>0.1</v>
      </c>
      <c r="I82" s="258">
        <v>481800000</v>
      </c>
      <c r="J82" s="258">
        <v>5299800000</v>
      </c>
      <c r="K82" s="256" t="s">
        <v>1348</v>
      </c>
    </row>
    <row r="83" spans="1:11" x14ac:dyDescent="0.3">
      <c r="A83" s="256">
        <v>22</v>
      </c>
      <c r="B83" s="257" t="s">
        <v>1204</v>
      </c>
      <c r="C83" s="276">
        <v>44489</v>
      </c>
      <c r="D83" s="257" t="s">
        <v>1266</v>
      </c>
      <c r="E83" s="256" t="s">
        <v>1824</v>
      </c>
      <c r="F83" s="256" t="s">
        <v>1762</v>
      </c>
      <c r="G83" s="258">
        <v>5681000000</v>
      </c>
      <c r="H83" s="265">
        <v>0.1</v>
      </c>
      <c r="I83" s="258">
        <v>568100000</v>
      </c>
      <c r="J83" s="258">
        <v>6249100000</v>
      </c>
      <c r="K83" s="256" t="s">
        <v>1346</v>
      </c>
    </row>
    <row r="84" spans="1:11" x14ac:dyDescent="0.3">
      <c r="A84" s="256">
        <v>23</v>
      </c>
      <c r="B84" s="257" t="s">
        <v>1205</v>
      </c>
      <c r="C84" s="276">
        <v>44520</v>
      </c>
      <c r="D84" s="257" t="s">
        <v>1299</v>
      </c>
      <c r="E84" s="256" t="s">
        <v>1776</v>
      </c>
      <c r="F84" s="256" t="s">
        <v>1764</v>
      </c>
      <c r="G84" s="258">
        <v>4690000000</v>
      </c>
      <c r="H84" s="265">
        <v>0.1</v>
      </c>
      <c r="I84" s="258">
        <v>469000000</v>
      </c>
      <c r="J84" s="258">
        <v>5159000000</v>
      </c>
      <c r="K84" s="256" t="s">
        <v>1348</v>
      </c>
    </row>
    <row r="85" spans="1:11" x14ac:dyDescent="0.3">
      <c r="A85" s="256">
        <v>24</v>
      </c>
      <c r="B85" s="257" t="s">
        <v>1385</v>
      </c>
      <c r="C85" s="276">
        <v>44550</v>
      </c>
      <c r="D85" s="257" t="s">
        <v>1303</v>
      </c>
      <c r="E85" s="256" t="s">
        <v>1817</v>
      </c>
      <c r="F85" s="256" t="s">
        <v>1764</v>
      </c>
      <c r="G85" s="258">
        <v>10718000000</v>
      </c>
      <c r="H85" s="265">
        <v>0.1</v>
      </c>
      <c r="I85" s="258">
        <v>1071800000</v>
      </c>
      <c r="J85" s="258">
        <v>11789800000</v>
      </c>
      <c r="K85" s="256" t="s">
        <v>1346</v>
      </c>
    </row>
    <row r="86" spans="1:11" x14ac:dyDescent="0.3">
      <c r="A86" s="256">
        <v>25</v>
      </c>
      <c r="B86" s="257" t="s">
        <v>1387</v>
      </c>
      <c r="C86" s="276">
        <v>44221</v>
      </c>
      <c r="D86" s="257" t="s">
        <v>1297</v>
      </c>
      <c r="E86" s="256" t="s">
        <v>1820</v>
      </c>
      <c r="F86" s="256" t="s">
        <v>1762</v>
      </c>
      <c r="G86" s="258">
        <v>7154000000</v>
      </c>
      <c r="H86" s="265">
        <v>0.1</v>
      </c>
      <c r="I86" s="258">
        <v>715400000</v>
      </c>
      <c r="J86" s="258">
        <v>7869400000</v>
      </c>
      <c r="K86" s="256" t="s">
        <v>1346</v>
      </c>
    </row>
    <row r="87" spans="1:11" x14ac:dyDescent="0.3">
      <c r="A87" s="256">
        <v>26</v>
      </c>
      <c r="B87" s="257" t="s">
        <v>1388</v>
      </c>
      <c r="C87" s="276">
        <v>44255</v>
      </c>
      <c r="D87" s="257" t="s">
        <v>1268</v>
      </c>
      <c r="E87" s="256" t="s">
        <v>1821</v>
      </c>
      <c r="F87" s="256" t="s">
        <v>1832</v>
      </c>
      <c r="G87" s="258">
        <v>11304000000</v>
      </c>
      <c r="H87" s="265">
        <v>0.1</v>
      </c>
      <c r="I87" s="258">
        <v>1130400000</v>
      </c>
      <c r="J87" s="258">
        <v>12434400000</v>
      </c>
      <c r="K87" s="256" t="s">
        <v>1346</v>
      </c>
    </row>
    <row r="88" spans="1:11" x14ac:dyDescent="0.3">
      <c r="A88" s="256">
        <v>27</v>
      </c>
      <c r="B88" s="257" t="s">
        <v>1391</v>
      </c>
      <c r="C88" s="276">
        <v>44316</v>
      </c>
      <c r="D88" s="257" t="s">
        <v>1289</v>
      </c>
      <c r="E88" s="256" t="s">
        <v>1803</v>
      </c>
      <c r="F88" s="256" t="s">
        <v>1764</v>
      </c>
      <c r="G88" s="258">
        <v>6858000000</v>
      </c>
      <c r="H88" s="265">
        <v>0.1</v>
      </c>
      <c r="I88" s="258">
        <v>685800000</v>
      </c>
      <c r="J88" s="258">
        <v>7543800000</v>
      </c>
      <c r="K88" s="256" t="s">
        <v>1346</v>
      </c>
    </row>
    <row r="89" spans="1:11" x14ac:dyDescent="0.3">
      <c r="A89" s="256">
        <v>28</v>
      </c>
      <c r="B89" s="257" t="s">
        <v>1392</v>
      </c>
      <c r="C89" s="276">
        <v>44377</v>
      </c>
      <c r="D89" s="257" t="s">
        <v>1297</v>
      </c>
      <c r="E89" s="256" t="s">
        <v>1820</v>
      </c>
      <c r="F89" s="256" t="s">
        <v>1762</v>
      </c>
      <c r="G89" s="258">
        <v>6932000000</v>
      </c>
      <c r="H89" s="265">
        <v>0.1</v>
      </c>
      <c r="I89" s="258">
        <v>693200000</v>
      </c>
      <c r="J89" s="258">
        <v>7625200000</v>
      </c>
      <c r="K89" s="256" t="s">
        <v>1346</v>
      </c>
    </row>
    <row r="90" spans="1:11" x14ac:dyDescent="0.3">
      <c r="A90" s="256">
        <v>29</v>
      </c>
      <c r="B90" s="257" t="s">
        <v>1394</v>
      </c>
      <c r="C90" s="276">
        <v>44469</v>
      </c>
      <c r="D90" s="257" t="s">
        <v>1287</v>
      </c>
      <c r="E90" s="256" t="s">
        <v>1801</v>
      </c>
      <c r="F90" s="256" t="s">
        <v>1764</v>
      </c>
      <c r="G90" s="258">
        <v>7585000000</v>
      </c>
      <c r="H90" s="265">
        <v>0.1</v>
      </c>
      <c r="I90" s="258">
        <v>758500000</v>
      </c>
      <c r="J90" s="258">
        <v>8343500000</v>
      </c>
      <c r="K90" s="256" t="s">
        <v>1346</v>
      </c>
    </row>
    <row r="91" spans="1:11" x14ac:dyDescent="0.3">
      <c r="A91" s="256">
        <v>30</v>
      </c>
      <c r="B91" s="257" t="s">
        <v>1396</v>
      </c>
      <c r="C91" s="276">
        <v>44530</v>
      </c>
      <c r="D91" s="257" t="s">
        <v>1255</v>
      </c>
      <c r="E91" s="273">
        <v>46152</v>
      </c>
      <c r="F91" s="256" t="s">
        <v>1832</v>
      </c>
      <c r="G91" s="258">
        <v>10285000000</v>
      </c>
      <c r="H91" s="265">
        <v>0.1</v>
      </c>
      <c r="I91" s="258">
        <v>1028500000</v>
      </c>
      <c r="J91" s="258">
        <v>11313500000</v>
      </c>
      <c r="K91" s="256" t="s">
        <v>1346</v>
      </c>
    </row>
    <row r="92" spans="1:11" x14ac:dyDescent="0.3">
      <c r="A92" s="256">
        <v>31</v>
      </c>
      <c r="B92" s="257" t="s">
        <v>1397</v>
      </c>
      <c r="C92" s="276">
        <v>44286</v>
      </c>
      <c r="D92" s="257" t="s">
        <v>1297</v>
      </c>
      <c r="E92" s="256" t="s">
        <v>1820</v>
      </c>
      <c r="F92" s="256" t="s">
        <v>1764</v>
      </c>
      <c r="G92" s="258">
        <v>9402000000</v>
      </c>
      <c r="H92" s="265">
        <v>0.1</v>
      </c>
      <c r="I92" s="258">
        <v>940200000</v>
      </c>
      <c r="J92" s="258">
        <v>10342200000</v>
      </c>
      <c r="K92" s="256" t="s">
        <v>1348</v>
      </c>
    </row>
    <row r="93" spans="1:11" x14ac:dyDescent="0.3">
      <c r="A93" s="256">
        <v>32</v>
      </c>
      <c r="B93" s="257" t="s">
        <v>1398</v>
      </c>
      <c r="C93" s="276">
        <v>44347</v>
      </c>
      <c r="D93" s="257" t="s">
        <v>1276</v>
      </c>
      <c r="E93" s="256" t="s">
        <v>1822</v>
      </c>
      <c r="F93" s="256" t="s">
        <v>1832</v>
      </c>
      <c r="G93" s="258">
        <v>7824000000</v>
      </c>
      <c r="H93" s="265">
        <v>0.1</v>
      </c>
      <c r="I93" s="258">
        <v>782400000</v>
      </c>
      <c r="J93" s="258">
        <v>8606400000</v>
      </c>
      <c r="K93" s="256" t="s">
        <v>1346</v>
      </c>
    </row>
    <row r="94" spans="1:11" x14ac:dyDescent="0.3">
      <c r="A94" s="256">
        <v>33</v>
      </c>
      <c r="B94" s="257" t="s">
        <v>1399</v>
      </c>
      <c r="C94" s="276">
        <v>44408</v>
      </c>
      <c r="D94" s="257" t="s">
        <v>1259</v>
      </c>
      <c r="E94" s="256" t="s">
        <v>1788</v>
      </c>
      <c r="F94" s="256" t="s">
        <v>1762</v>
      </c>
      <c r="G94" s="258">
        <v>4529000000</v>
      </c>
      <c r="H94" s="265">
        <v>0.1</v>
      </c>
      <c r="I94" s="258">
        <v>452900000</v>
      </c>
      <c r="J94" s="258">
        <v>4981900000</v>
      </c>
      <c r="K94" s="256" t="s">
        <v>1346</v>
      </c>
    </row>
    <row r="95" spans="1:11" x14ac:dyDescent="0.3">
      <c r="A95" s="256">
        <v>34</v>
      </c>
      <c r="B95" s="257" t="s">
        <v>1401</v>
      </c>
      <c r="C95" s="276">
        <v>44439</v>
      </c>
      <c r="D95" s="257" t="s">
        <v>1290</v>
      </c>
      <c r="E95" s="256" t="s">
        <v>1796</v>
      </c>
      <c r="F95" s="256" t="s">
        <v>1832</v>
      </c>
      <c r="G95" s="258">
        <v>3806000000</v>
      </c>
      <c r="H95" s="265">
        <v>0.1</v>
      </c>
      <c r="I95" s="258">
        <v>380600000</v>
      </c>
      <c r="J95" s="258">
        <v>4186600000</v>
      </c>
      <c r="K95" s="256" t="s">
        <v>1346</v>
      </c>
    </row>
    <row r="96" spans="1:11" x14ac:dyDescent="0.3">
      <c r="A96" s="256">
        <v>35</v>
      </c>
      <c r="B96" s="257" t="s">
        <v>1402</v>
      </c>
      <c r="C96" s="276">
        <v>44500</v>
      </c>
      <c r="D96" s="257" t="s">
        <v>1304</v>
      </c>
      <c r="E96" s="256" t="s">
        <v>1831</v>
      </c>
      <c r="F96" s="256" t="s">
        <v>1764</v>
      </c>
      <c r="G96" s="258">
        <v>6366000000</v>
      </c>
      <c r="H96" s="265">
        <v>0.1</v>
      </c>
      <c r="I96" s="258">
        <v>636600000</v>
      </c>
      <c r="J96" s="258">
        <v>7002600000</v>
      </c>
      <c r="K96" s="256" t="s">
        <v>1348</v>
      </c>
    </row>
    <row r="97" spans="1:11" x14ac:dyDescent="0.3">
      <c r="A97" s="256">
        <v>36</v>
      </c>
      <c r="B97" s="257" t="s">
        <v>1403</v>
      </c>
      <c r="C97" s="276">
        <v>44561</v>
      </c>
      <c r="D97" s="257" t="s">
        <v>1269</v>
      </c>
      <c r="E97" s="256" t="s">
        <v>1823</v>
      </c>
      <c r="F97" s="256" t="s">
        <v>1832</v>
      </c>
      <c r="G97" s="258">
        <v>11668000000</v>
      </c>
      <c r="H97" s="265">
        <v>0.1</v>
      </c>
      <c r="I97" s="258">
        <v>1166800000</v>
      </c>
      <c r="J97" s="258">
        <v>12834800000</v>
      </c>
      <c r="K97" s="256" t="s">
        <v>1346</v>
      </c>
    </row>
    <row r="98" spans="1:11" x14ac:dyDescent="0.3">
      <c r="A98" s="256">
        <v>37</v>
      </c>
      <c r="B98" s="257" t="s">
        <v>1404</v>
      </c>
      <c r="C98" s="276">
        <v>44561</v>
      </c>
      <c r="D98" s="257" t="s">
        <v>1291</v>
      </c>
      <c r="E98" s="256" t="s">
        <v>1800</v>
      </c>
      <c r="F98" s="256" t="s">
        <v>1762</v>
      </c>
      <c r="G98" s="258">
        <v>9113000000</v>
      </c>
      <c r="H98" s="265">
        <v>0.1</v>
      </c>
      <c r="I98" s="258">
        <v>911300000</v>
      </c>
      <c r="J98" s="258">
        <v>10024300000</v>
      </c>
      <c r="K98" s="256" t="s">
        <v>1346</v>
      </c>
    </row>
    <row r="99" spans="1:11" x14ac:dyDescent="0.3">
      <c r="A99" s="256">
        <v>38</v>
      </c>
      <c r="B99" s="257" t="s">
        <v>1405</v>
      </c>
      <c r="C99" s="276">
        <v>44561</v>
      </c>
      <c r="D99" s="257" t="s">
        <v>1257</v>
      </c>
      <c r="E99" s="256" t="s">
        <v>1815</v>
      </c>
      <c r="F99" s="256" t="s">
        <v>1832</v>
      </c>
      <c r="G99" s="258">
        <v>11714000000</v>
      </c>
      <c r="H99" s="265">
        <v>0.1</v>
      </c>
      <c r="I99" s="258">
        <v>1171400000</v>
      </c>
      <c r="J99" s="258">
        <v>12885400000</v>
      </c>
      <c r="K99" s="256" t="s">
        <v>1346</v>
      </c>
    </row>
    <row r="100" spans="1:11" x14ac:dyDescent="0.3">
      <c r="A100" s="256">
        <v>39</v>
      </c>
      <c r="B100" s="257" t="s">
        <v>1406</v>
      </c>
      <c r="C100" s="276">
        <v>44561</v>
      </c>
      <c r="D100" s="257" t="s">
        <v>1265</v>
      </c>
      <c r="E100" s="256" t="s">
        <v>1830</v>
      </c>
      <c r="F100" s="256" t="s">
        <v>1762</v>
      </c>
      <c r="G100" s="258">
        <v>3461000000</v>
      </c>
      <c r="H100" s="265">
        <v>0.1</v>
      </c>
      <c r="I100" s="258">
        <v>346100000</v>
      </c>
      <c r="J100" s="258">
        <v>3807100000</v>
      </c>
      <c r="K100" s="256" t="s">
        <v>1346</v>
      </c>
    </row>
    <row r="101" spans="1:11" x14ac:dyDescent="0.3">
      <c r="A101" s="256">
        <v>40</v>
      </c>
      <c r="B101" s="257" t="s">
        <v>1408</v>
      </c>
      <c r="C101" s="276">
        <v>44561</v>
      </c>
      <c r="D101" s="257" t="s">
        <v>1270</v>
      </c>
      <c r="E101" s="256" t="s">
        <v>1782</v>
      </c>
      <c r="F101" s="256" t="s">
        <v>1762</v>
      </c>
      <c r="G101" s="258">
        <v>10832000000</v>
      </c>
      <c r="H101" s="265">
        <v>0.1</v>
      </c>
      <c r="I101" s="258">
        <v>1083200000</v>
      </c>
      <c r="J101" s="258">
        <v>11915200000</v>
      </c>
      <c r="K101" s="256" t="s">
        <v>1346</v>
      </c>
    </row>
    <row r="102" spans="1:11" x14ac:dyDescent="0.3">
      <c r="A102" s="256">
        <v>41</v>
      </c>
      <c r="B102" s="257" t="s">
        <v>1409</v>
      </c>
      <c r="C102" s="276">
        <v>44561</v>
      </c>
      <c r="D102" s="257" t="s">
        <v>1286</v>
      </c>
      <c r="E102" s="256" t="s">
        <v>1828</v>
      </c>
      <c r="F102" s="256" t="s">
        <v>1761</v>
      </c>
      <c r="G102" s="258">
        <v>9657000000</v>
      </c>
      <c r="H102" s="265">
        <v>0.1</v>
      </c>
      <c r="I102" s="258">
        <v>965700000</v>
      </c>
      <c r="J102" s="258">
        <v>10622700000</v>
      </c>
      <c r="K102" s="256" t="s">
        <v>1346</v>
      </c>
    </row>
    <row r="103" spans="1:11" x14ac:dyDescent="0.3">
      <c r="A103" s="256">
        <v>42</v>
      </c>
      <c r="B103" s="257" t="s">
        <v>1411</v>
      </c>
      <c r="C103" s="276">
        <v>44561</v>
      </c>
      <c r="D103" s="257" t="s">
        <v>1273</v>
      </c>
      <c r="E103" s="256" t="s">
        <v>1829</v>
      </c>
      <c r="F103" s="256" t="s">
        <v>1832</v>
      </c>
      <c r="G103" s="258">
        <v>11926000000</v>
      </c>
      <c r="H103" s="265">
        <v>0.1</v>
      </c>
      <c r="I103" s="258">
        <v>1192600000</v>
      </c>
      <c r="J103" s="258">
        <v>13118600000</v>
      </c>
      <c r="K103" s="256" t="s">
        <v>1346</v>
      </c>
    </row>
    <row r="104" spans="1:11" x14ac:dyDescent="0.3">
      <c r="A104" s="256">
        <v>43</v>
      </c>
      <c r="B104" s="257" t="s">
        <v>1414</v>
      </c>
      <c r="C104" s="276">
        <v>44561</v>
      </c>
      <c r="D104" s="257" t="s">
        <v>1283</v>
      </c>
      <c r="E104" s="256" t="s">
        <v>1798</v>
      </c>
      <c r="F104" s="256" t="s">
        <v>1832</v>
      </c>
      <c r="G104" s="258">
        <v>7377000000</v>
      </c>
      <c r="H104" s="265">
        <v>0.1</v>
      </c>
      <c r="I104" s="258">
        <v>737700000</v>
      </c>
      <c r="J104" s="258">
        <v>8114700000</v>
      </c>
      <c r="K104" s="256" t="s">
        <v>1346</v>
      </c>
    </row>
    <row r="105" spans="1:11" x14ac:dyDescent="0.3">
      <c r="A105" s="256">
        <v>44</v>
      </c>
      <c r="B105" s="257" t="s">
        <v>1415</v>
      </c>
      <c r="C105" s="276">
        <v>44561</v>
      </c>
      <c r="D105" s="257" t="s">
        <v>1277</v>
      </c>
      <c r="E105" s="256" t="s">
        <v>1783</v>
      </c>
      <c r="F105" s="256" t="s">
        <v>1761</v>
      </c>
      <c r="G105" s="258">
        <v>8279000000</v>
      </c>
      <c r="H105" s="265">
        <v>0.1</v>
      </c>
      <c r="I105" s="258">
        <v>827900000</v>
      </c>
      <c r="J105" s="258">
        <v>9106900000</v>
      </c>
      <c r="K105" s="256" t="s">
        <v>1348</v>
      </c>
    </row>
    <row r="106" spans="1:11" x14ac:dyDescent="0.3">
      <c r="A106" s="256">
        <v>45</v>
      </c>
      <c r="B106" s="257" t="s">
        <v>1206</v>
      </c>
      <c r="C106" s="276">
        <v>44561</v>
      </c>
      <c r="D106" s="257" t="s">
        <v>1257</v>
      </c>
      <c r="E106" s="256" t="s">
        <v>1815</v>
      </c>
      <c r="F106" s="256" t="s">
        <v>1761</v>
      </c>
      <c r="G106" s="258">
        <v>3751000000</v>
      </c>
      <c r="H106" s="265">
        <v>0.1</v>
      </c>
      <c r="I106" s="258">
        <v>375100000</v>
      </c>
      <c r="J106" s="258">
        <v>4126100000</v>
      </c>
      <c r="K106" s="256" t="s">
        <v>1348</v>
      </c>
    </row>
    <row r="107" spans="1:11" x14ac:dyDescent="0.3">
      <c r="A107" s="256">
        <v>46</v>
      </c>
      <c r="B107" s="257" t="s">
        <v>1207</v>
      </c>
      <c r="C107" s="276">
        <v>44561</v>
      </c>
      <c r="D107" s="257" t="s">
        <v>1298</v>
      </c>
      <c r="E107" s="256" t="s">
        <v>1819</v>
      </c>
      <c r="F107" s="256" t="s">
        <v>1761</v>
      </c>
      <c r="G107" s="258">
        <v>5125000000</v>
      </c>
      <c r="H107" s="265">
        <v>0.1</v>
      </c>
      <c r="I107" s="258">
        <v>512500000</v>
      </c>
      <c r="J107" s="258">
        <v>5637500000</v>
      </c>
      <c r="K107" s="256" t="s">
        <v>1346</v>
      </c>
    </row>
    <row r="108" spans="1:11" x14ac:dyDescent="0.3">
      <c r="A108" s="256">
        <v>47</v>
      </c>
      <c r="B108" s="257" t="s">
        <v>1208</v>
      </c>
      <c r="C108" s="276">
        <v>44561</v>
      </c>
      <c r="D108" s="257" t="s">
        <v>1297</v>
      </c>
      <c r="E108" s="256" t="s">
        <v>1820</v>
      </c>
      <c r="F108" s="256" t="s">
        <v>1832</v>
      </c>
      <c r="G108" s="258">
        <v>7617000000</v>
      </c>
      <c r="H108" s="265">
        <v>0.1</v>
      </c>
      <c r="I108" s="258">
        <v>761700000</v>
      </c>
      <c r="J108" s="258">
        <v>8378700000</v>
      </c>
      <c r="K108" s="256" t="s">
        <v>1346</v>
      </c>
    </row>
    <row r="109" spans="1:11" x14ac:dyDescent="0.3">
      <c r="A109" s="256">
        <v>48</v>
      </c>
      <c r="B109" s="257" t="s">
        <v>1209</v>
      </c>
      <c r="C109" s="276">
        <v>44561</v>
      </c>
      <c r="D109" s="257" t="s">
        <v>1278</v>
      </c>
      <c r="E109" s="256" t="s">
        <v>1785</v>
      </c>
      <c r="F109" s="256" t="s">
        <v>1761</v>
      </c>
      <c r="G109" s="258">
        <v>3597000000</v>
      </c>
      <c r="H109" s="265">
        <v>0.1</v>
      </c>
      <c r="I109" s="258">
        <v>359700000</v>
      </c>
      <c r="J109" s="258">
        <v>3956700000</v>
      </c>
      <c r="K109" s="256" t="s">
        <v>1346</v>
      </c>
    </row>
    <row r="110" spans="1:11" x14ac:dyDescent="0.3">
      <c r="A110" s="256">
        <v>49</v>
      </c>
      <c r="B110" s="257" t="s">
        <v>1418</v>
      </c>
      <c r="C110" s="276">
        <v>44561</v>
      </c>
      <c r="D110" s="257" t="s">
        <v>1280</v>
      </c>
      <c r="E110" s="256" t="s">
        <v>1777</v>
      </c>
      <c r="F110" s="256" t="s">
        <v>1761</v>
      </c>
      <c r="G110" s="258">
        <v>8986000000</v>
      </c>
      <c r="H110" s="265">
        <v>0.1</v>
      </c>
      <c r="I110" s="258">
        <v>898600000</v>
      </c>
      <c r="J110" s="258">
        <v>9884600000</v>
      </c>
      <c r="K110" s="256" t="s">
        <v>1346</v>
      </c>
    </row>
    <row r="111" spans="1:11" x14ac:dyDescent="0.3">
      <c r="A111" s="256">
        <v>50</v>
      </c>
      <c r="B111" s="257" t="s">
        <v>1419</v>
      </c>
      <c r="C111" s="276">
        <v>44561</v>
      </c>
      <c r="D111" s="257" t="s">
        <v>1256</v>
      </c>
      <c r="E111" s="256" t="s">
        <v>1802</v>
      </c>
      <c r="F111" s="256" t="s">
        <v>1761</v>
      </c>
      <c r="G111" s="258">
        <v>9852000000</v>
      </c>
      <c r="H111" s="265">
        <v>0.1</v>
      </c>
      <c r="I111" s="258">
        <v>985200000</v>
      </c>
      <c r="J111" s="258">
        <v>10837200000</v>
      </c>
      <c r="K111" s="256" t="s">
        <v>1348</v>
      </c>
    </row>
    <row r="112" spans="1:11" x14ac:dyDescent="0.3">
      <c r="A112" s="266" t="s">
        <v>1351</v>
      </c>
      <c r="B112" s="266"/>
      <c r="C112" s="266"/>
      <c r="D112" s="266"/>
      <c r="E112" s="266"/>
      <c r="F112" s="266"/>
      <c r="G112" s="267">
        <f>SUM(G62:G111)</f>
        <v>377586000000</v>
      </c>
      <c r="H112" s="266"/>
      <c r="I112" s="267">
        <f>SUM(I62:I111)</f>
        <v>35578100000</v>
      </c>
      <c r="J112" s="267">
        <f>SUM(J62:J111)</f>
        <v>413164100000</v>
      </c>
      <c r="K112" s="266"/>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578</v>
      </c>
      <c r="C1" s="256"/>
      <c r="D1" s="256"/>
      <c r="E1" s="256"/>
      <c r="F1" s="256"/>
      <c r="G1" s="256"/>
      <c r="H1" s="256"/>
      <c r="I1" s="256"/>
      <c r="J1" s="256"/>
      <c r="K1" s="256"/>
    </row>
    <row r="2" spans="1:11" x14ac:dyDescent="0.3">
      <c r="A2" s="256" t="s">
        <v>1339</v>
      </c>
      <c r="B2" s="257">
        <v>102191498</v>
      </c>
      <c r="C2" s="256"/>
      <c r="D2" s="256"/>
      <c r="E2" s="256"/>
      <c r="F2" s="256"/>
      <c r="G2" s="256"/>
      <c r="H2" s="256"/>
      <c r="I2" s="256"/>
      <c r="J2" s="256"/>
      <c r="K2" s="256"/>
    </row>
    <row r="3" spans="1:11" x14ac:dyDescent="0.3">
      <c r="A3" s="256" t="s">
        <v>1343</v>
      </c>
      <c r="B3" s="258">
        <v>485533564712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1381</v>
      </c>
      <c r="C8" s="276">
        <v>44317</v>
      </c>
      <c r="D8" s="257" t="s">
        <v>1269</v>
      </c>
      <c r="E8" s="256" t="s">
        <v>1823</v>
      </c>
      <c r="F8" s="256" t="s">
        <v>1834</v>
      </c>
      <c r="G8" s="258">
        <v>5677000000</v>
      </c>
      <c r="H8" s="265">
        <v>0.1</v>
      </c>
      <c r="I8" s="258">
        <v>567700000</v>
      </c>
      <c r="J8" s="258">
        <v>6244700000</v>
      </c>
      <c r="K8" s="256" t="s">
        <v>1346</v>
      </c>
    </row>
    <row r="9" spans="1:11" x14ac:dyDescent="0.3">
      <c r="A9" s="256">
        <v>2</v>
      </c>
      <c r="B9" s="257" t="s">
        <v>1391</v>
      </c>
      <c r="C9" s="276">
        <v>44318</v>
      </c>
      <c r="D9" s="257" t="s">
        <v>1262</v>
      </c>
      <c r="E9" s="256" t="s">
        <v>1816</v>
      </c>
      <c r="F9" s="256" t="s">
        <v>1741</v>
      </c>
      <c r="G9" s="258">
        <v>7439000000</v>
      </c>
      <c r="H9" s="265">
        <v>0.1</v>
      </c>
      <c r="I9" s="258">
        <v>743900000</v>
      </c>
      <c r="J9" s="258">
        <v>8182900000</v>
      </c>
      <c r="K9" s="256" t="s">
        <v>1346</v>
      </c>
    </row>
    <row r="10" spans="1:11" x14ac:dyDescent="0.3">
      <c r="A10" s="256">
        <v>3</v>
      </c>
      <c r="B10" s="257" t="s">
        <v>1392</v>
      </c>
      <c r="C10" s="276">
        <v>44472</v>
      </c>
      <c r="D10" s="257" t="s">
        <v>1256</v>
      </c>
      <c r="E10" s="256" t="s">
        <v>1802</v>
      </c>
      <c r="F10" s="256" t="s">
        <v>1835</v>
      </c>
      <c r="G10" s="258">
        <v>6413000000</v>
      </c>
      <c r="H10" s="265">
        <v>0.1</v>
      </c>
      <c r="I10" s="258">
        <v>641300000</v>
      </c>
      <c r="J10" s="258">
        <v>7054300000</v>
      </c>
      <c r="K10" s="256" t="s">
        <v>1346</v>
      </c>
    </row>
    <row r="11" spans="1:11" x14ac:dyDescent="0.3">
      <c r="A11" s="256">
        <v>4</v>
      </c>
      <c r="B11" s="257" t="s">
        <v>1364</v>
      </c>
      <c r="C11" s="276">
        <v>44473</v>
      </c>
      <c r="D11" s="257" t="s">
        <v>1288</v>
      </c>
      <c r="E11" s="256" t="s">
        <v>1797</v>
      </c>
      <c r="F11" s="256" t="s">
        <v>1836</v>
      </c>
      <c r="G11" s="258">
        <v>7104000000</v>
      </c>
      <c r="H11" s="265">
        <v>0.1</v>
      </c>
      <c r="I11" s="258">
        <v>710400000</v>
      </c>
      <c r="J11" s="258">
        <v>7814400000</v>
      </c>
      <c r="K11" s="256" t="s">
        <v>1346</v>
      </c>
    </row>
    <row r="12" spans="1:11" x14ac:dyDescent="0.3">
      <c r="A12" s="256">
        <v>5</v>
      </c>
      <c r="B12" s="257" t="s">
        <v>1408</v>
      </c>
      <c r="C12" s="276">
        <v>44474</v>
      </c>
      <c r="D12" s="257" t="s">
        <v>1284</v>
      </c>
      <c r="E12" s="256" t="s">
        <v>1786</v>
      </c>
      <c r="F12" s="256" t="s">
        <v>1835</v>
      </c>
      <c r="G12" s="258">
        <v>6513000000</v>
      </c>
      <c r="H12" s="265">
        <v>0.1</v>
      </c>
      <c r="I12" s="258">
        <v>651300000</v>
      </c>
      <c r="J12" s="258">
        <v>7164300000</v>
      </c>
      <c r="K12" s="256" t="s">
        <v>1346</v>
      </c>
    </row>
    <row r="13" spans="1:11" x14ac:dyDescent="0.3">
      <c r="A13" s="256">
        <v>6</v>
      </c>
      <c r="B13" s="257" t="s">
        <v>1355</v>
      </c>
      <c r="C13" s="276">
        <v>44475</v>
      </c>
      <c r="D13" s="257" t="s">
        <v>1298</v>
      </c>
      <c r="E13" s="256" t="s">
        <v>1819</v>
      </c>
      <c r="F13" s="256" t="s">
        <v>1837</v>
      </c>
      <c r="G13" s="258">
        <v>8154000000</v>
      </c>
      <c r="H13" s="265">
        <v>0.1</v>
      </c>
      <c r="I13" s="258">
        <v>815400000</v>
      </c>
      <c r="J13" s="258">
        <v>8969400000</v>
      </c>
      <c r="K13" s="256" t="s">
        <v>1346</v>
      </c>
    </row>
    <row r="14" spans="1:11" x14ac:dyDescent="0.3">
      <c r="A14" s="256">
        <v>7</v>
      </c>
      <c r="B14" s="257" t="s">
        <v>1411</v>
      </c>
      <c r="C14" s="276">
        <v>44476</v>
      </c>
      <c r="D14" s="257" t="s">
        <v>1277</v>
      </c>
      <c r="E14" s="256" t="s">
        <v>1783</v>
      </c>
      <c r="F14" s="256" t="s">
        <v>1734</v>
      </c>
      <c r="G14" s="258">
        <v>10754000000</v>
      </c>
      <c r="H14" s="265">
        <v>0.1</v>
      </c>
      <c r="I14" s="258">
        <v>1075400000</v>
      </c>
      <c r="J14" s="258">
        <v>11829400000</v>
      </c>
      <c r="K14" s="256" t="s">
        <v>1346</v>
      </c>
    </row>
    <row r="15" spans="1:11" x14ac:dyDescent="0.3">
      <c r="A15" s="256">
        <v>8</v>
      </c>
      <c r="B15" s="257" t="s">
        <v>1409</v>
      </c>
      <c r="C15" s="276">
        <v>44477</v>
      </c>
      <c r="D15" s="257" t="s">
        <v>1284</v>
      </c>
      <c r="E15" s="256" t="s">
        <v>1786</v>
      </c>
      <c r="F15" s="256" t="s">
        <v>1741</v>
      </c>
      <c r="G15" s="258">
        <v>11000000000</v>
      </c>
      <c r="H15" s="265">
        <v>0.1</v>
      </c>
      <c r="I15" s="258">
        <v>1100000000</v>
      </c>
      <c r="J15" s="258">
        <v>12100000000</v>
      </c>
      <c r="K15" s="256" t="s">
        <v>1346</v>
      </c>
    </row>
    <row r="16" spans="1:11" x14ac:dyDescent="0.3">
      <c r="A16" s="256">
        <v>9</v>
      </c>
      <c r="B16" s="257" t="s">
        <v>1394</v>
      </c>
      <c r="C16" s="276">
        <v>44478</v>
      </c>
      <c r="D16" s="257" t="s">
        <v>1272</v>
      </c>
      <c r="E16" s="256" t="s">
        <v>1805</v>
      </c>
      <c r="F16" s="256" t="s">
        <v>1837</v>
      </c>
      <c r="G16" s="258">
        <v>6406000000</v>
      </c>
      <c r="H16" s="265">
        <v>0.1</v>
      </c>
      <c r="I16" s="258">
        <v>640600000</v>
      </c>
      <c r="J16" s="258">
        <v>7046600000</v>
      </c>
      <c r="K16" s="256" t="s">
        <v>1346</v>
      </c>
    </row>
    <row r="17" spans="1:11" x14ac:dyDescent="0.3">
      <c r="A17" s="256">
        <v>10</v>
      </c>
      <c r="B17" s="257" t="s">
        <v>1394</v>
      </c>
      <c r="C17" s="276">
        <v>44479</v>
      </c>
      <c r="D17" s="257" t="s">
        <v>1283</v>
      </c>
      <c r="E17" s="256" t="s">
        <v>1798</v>
      </c>
      <c r="F17" s="256" t="s">
        <v>1741</v>
      </c>
      <c r="G17" s="258">
        <v>10438000000</v>
      </c>
      <c r="H17" s="265">
        <v>0.1</v>
      </c>
      <c r="I17" s="258">
        <v>1043800000</v>
      </c>
      <c r="J17" s="258">
        <v>11481800000</v>
      </c>
      <c r="K17" s="256" t="s">
        <v>1346</v>
      </c>
    </row>
    <row r="18" spans="1:11" x14ac:dyDescent="0.3">
      <c r="A18" s="256">
        <v>11</v>
      </c>
      <c r="B18" s="257" t="s">
        <v>1382</v>
      </c>
      <c r="C18" s="276">
        <v>44480</v>
      </c>
      <c r="D18" s="257" t="s">
        <v>1271</v>
      </c>
      <c r="E18" s="256" t="s">
        <v>1799</v>
      </c>
      <c r="F18" s="256" t="s">
        <v>1837</v>
      </c>
      <c r="G18" s="258">
        <v>6257000000</v>
      </c>
      <c r="H18" s="265">
        <v>0.1</v>
      </c>
      <c r="I18" s="258">
        <v>625700000</v>
      </c>
      <c r="J18" s="258">
        <v>6882700000</v>
      </c>
      <c r="K18" s="256" t="s">
        <v>1346</v>
      </c>
    </row>
    <row r="19" spans="1:11" x14ac:dyDescent="0.3">
      <c r="A19" s="256">
        <v>12</v>
      </c>
      <c r="B19" s="257" t="s">
        <v>1379</v>
      </c>
      <c r="C19" s="276">
        <v>44481</v>
      </c>
      <c r="D19" s="257" t="s">
        <v>1257</v>
      </c>
      <c r="E19" s="256" t="s">
        <v>1815</v>
      </c>
      <c r="F19" s="256" t="s">
        <v>1836</v>
      </c>
      <c r="G19" s="258">
        <v>6667000000</v>
      </c>
      <c r="H19" s="265">
        <v>0.1</v>
      </c>
      <c r="I19" s="258">
        <v>666700000</v>
      </c>
      <c r="J19" s="258">
        <v>7333700000</v>
      </c>
      <c r="K19" s="256" t="s">
        <v>1346</v>
      </c>
    </row>
    <row r="20" spans="1:11" x14ac:dyDescent="0.3">
      <c r="A20" s="256">
        <v>13</v>
      </c>
      <c r="B20" s="257" t="s">
        <v>1383</v>
      </c>
      <c r="C20" s="276">
        <v>44211</v>
      </c>
      <c r="D20" s="257" t="s">
        <v>1271</v>
      </c>
      <c r="E20" s="256" t="s">
        <v>1799</v>
      </c>
      <c r="F20" s="256" t="s">
        <v>1835</v>
      </c>
      <c r="G20" s="258">
        <v>10672000000</v>
      </c>
      <c r="H20" s="265">
        <v>0.1</v>
      </c>
      <c r="I20" s="258">
        <v>1067200000</v>
      </c>
      <c r="J20" s="258">
        <v>11739200000</v>
      </c>
      <c r="K20" s="256" t="s">
        <v>1346</v>
      </c>
    </row>
    <row r="21" spans="1:11" x14ac:dyDescent="0.3">
      <c r="A21" s="256">
        <v>14</v>
      </c>
      <c r="B21" s="257" t="s">
        <v>1364</v>
      </c>
      <c r="C21" s="276">
        <v>44242</v>
      </c>
      <c r="D21" s="257" t="s">
        <v>1291</v>
      </c>
      <c r="E21" s="256" t="s">
        <v>1800</v>
      </c>
      <c r="F21" s="256" t="s">
        <v>1734</v>
      </c>
      <c r="G21" s="258">
        <v>5607000000</v>
      </c>
      <c r="H21" s="265">
        <v>0.1</v>
      </c>
      <c r="I21" s="258">
        <v>560700000</v>
      </c>
      <c r="J21" s="258">
        <v>6167700000</v>
      </c>
      <c r="K21" s="256" t="s">
        <v>1346</v>
      </c>
    </row>
    <row r="22" spans="1:11" x14ac:dyDescent="0.3">
      <c r="A22" s="256">
        <v>15</v>
      </c>
      <c r="B22" s="257" t="s">
        <v>1388</v>
      </c>
      <c r="C22" s="276">
        <v>44275</v>
      </c>
      <c r="D22" s="257" t="s">
        <v>1270</v>
      </c>
      <c r="E22" s="256" t="s">
        <v>1782</v>
      </c>
      <c r="F22" s="256" t="s">
        <v>1734</v>
      </c>
      <c r="G22" s="258">
        <v>7907000000</v>
      </c>
      <c r="H22" s="265">
        <v>0.1</v>
      </c>
      <c r="I22" s="258">
        <v>790700000</v>
      </c>
      <c r="J22" s="258">
        <v>8697700000</v>
      </c>
      <c r="K22" s="256" t="s">
        <v>1346</v>
      </c>
    </row>
    <row r="23" spans="1:11" x14ac:dyDescent="0.3">
      <c r="A23" s="256">
        <v>16</v>
      </c>
      <c r="B23" s="257" t="s">
        <v>1404</v>
      </c>
      <c r="C23" s="276">
        <v>44306</v>
      </c>
      <c r="D23" s="257" t="s">
        <v>1276</v>
      </c>
      <c r="E23" s="256" t="s">
        <v>1822</v>
      </c>
      <c r="F23" s="256" t="s">
        <v>1734</v>
      </c>
      <c r="G23" s="258">
        <v>3814000000</v>
      </c>
      <c r="H23" s="265">
        <v>0.1</v>
      </c>
      <c r="I23" s="258">
        <v>381400000</v>
      </c>
      <c r="J23" s="258">
        <v>4195400000</v>
      </c>
      <c r="K23" s="256" t="s">
        <v>1346</v>
      </c>
    </row>
    <row r="24" spans="1:11" x14ac:dyDescent="0.3">
      <c r="A24" s="256">
        <v>17</v>
      </c>
      <c r="B24" s="257" t="s">
        <v>1404</v>
      </c>
      <c r="C24" s="276">
        <v>44336</v>
      </c>
      <c r="D24" s="257" t="s">
        <v>1279</v>
      </c>
      <c r="E24" s="256" t="s">
        <v>1827</v>
      </c>
      <c r="F24" s="256" t="s">
        <v>1835</v>
      </c>
      <c r="G24" s="258">
        <v>4447000000</v>
      </c>
      <c r="H24" s="265">
        <v>0.1</v>
      </c>
      <c r="I24" s="258">
        <v>444700000</v>
      </c>
      <c r="J24" s="258">
        <v>4891700000</v>
      </c>
      <c r="K24" s="256" t="s">
        <v>1346</v>
      </c>
    </row>
    <row r="25" spans="1:11" x14ac:dyDescent="0.3">
      <c r="A25" s="256">
        <v>18</v>
      </c>
      <c r="B25" s="257" t="s">
        <v>1202</v>
      </c>
      <c r="C25" s="276">
        <v>44367</v>
      </c>
      <c r="D25" s="257" t="s">
        <v>1303</v>
      </c>
      <c r="E25" s="256" t="s">
        <v>1817</v>
      </c>
      <c r="F25" s="256" t="s">
        <v>1836</v>
      </c>
      <c r="G25" s="258">
        <v>7423000000</v>
      </c>
      <c r="H25" s="265">
        <v>0.1</v>
      </c>
      <c r="I25" s="258">
        <v>742300000</v>
      </c>
      <c r="J25" s="258">
        <v>8165300000</v>
      </c>
      <c r="K25" s="256" t="s">
        <v>1346</v>
      </c>
    </row>
    <row r="26" spans="1:11" x14ac:dyDescent="0.3">
      <c r="A26" s="256">
        <v>19</v>
      </c>
      <c r="B26" s="257" t="s">
        <v>1355</v>
      </c>
      <c r="C26" s="276">
        <v>44397</v>
      </c>
      <c r="D26" s="257" t="s">
        <v>1303</v>
      </c>
      <c r="E26" s="256" t="s">
        <v>1817</v>
      </c>
      <c r="F26" s="256" t="s">
        <v>1835</v>
      </c>
      <c r="G26" s="258">
        <v>11184000000</v>
      </c>
      <c r="H26" s="265">
        <v>0.1</v>
      </c>
      <c r="I26" s="258">
        <v>1118400000</v>
      </c>
      <c r="J26" s="258">
        <v>12302400000</v>
      </c>
      <c r="K26" s="256" t="s">
        <v>1346</v>
      </c>
    </row>
    <row r="27" spans="1:11" x14ac:dyDescent="0.3">
      <c r="A27" s="256">
        <v>20</v>
      </c>
      <c r="B27" s="257" t="s">
        <v>1385</v>
      </c>
      <c r="C27" s="276">
        <v>44428</v>
      </c>
      <c r="D27" s="257" t="s">
        <v>1255</v>
      </c>
      <c r="E27" s="273">
        <v>46152</v>
      </c>
      <c r="F27" s="256" t="s">
        <v>1734</v>
      </c>
      <c r="G27" s="258">
        <v>6238000000</v>
      </c>
      <c r="H27" s="265">
        <v>0.1</v>
      </c>
      <c r="I27" s="258">
        <v>623800000</v>
      </c>
      <c r="J27" s="258">
        <v>6861800000</v>
      </c>
      <c r="K27" s="256" t="s">
        <v>1346</v>
      </c>
    </row>
    <row r="28" spans="1:11" x14ac:dyDescent="0.3">
      <c r="A28" s="256">
        <v>21</v>
      </c>
      <c r="B28" s="257" t="s">
        <v>1358</v>
      </c>
      <c r="C28" s="276">
        <v>44459</v>
      </c>
      <c r="D28" s="257" t="s">
        <v>1300</v>
      </c>
      <c r="E28" s="256" t="s">
        <v>1818</v>
      </c>
      <c r="F28" s="256" t="s">
        <v>1837</v>
      </c>
      <c r="G28" s="258">
        <v>6602000000</v>
      </c>
      <c r="H28" s="265">
        <v>0.1</v>
      </c>
      <c r="I28" s="258">
        <v>660200000</v>
      </c>
      <c r="J28" s="258">
        <v>7262200000</v>
      </c>
      <c r="K28" s="256" t="s">
        <v>1346</v>
      </c>
    </row>
    <row r="29" spans="1:11" x14ac:dyDescent="0.3">
      <c r="A29" s="256">
        <v>22</v>
      </c>
      <c r="B29" s="257" t="s">
        <v>1401</v>
      </c>
      <c r="C29" s="276">
        <v>44489</v>
      </c>
      <c r="D29" s="257" t="s">
        <v>1275</v>
      </c>
      <c r="E29" s="256" t="s">
        <v>1808</v>
      </c>
      <c r="F29" s="256" t="s">
        <v>1837</v>
      </c>
      <c r="G29" s="258">
        <v>4966000000</v>
      </c>
      <c r="H29" s="265">
        <v>0.1</v>
      </c>
      <c r="I29" s="258">
        <v>496600000</v>
      </c>
      <c r="J29" s="258">
        <v>5462600000</v>
      </c>
      <c r="K29" s="256" t="s">
        <v>1348</v>
      </c>
    </row>
    <row r="30" spans="1:11" x14ac:dyDescent="0.3">
      <c r="A30" s="256">
        <v>23</v>
      </c>
      <c r="B30" s="257" t="s">
        <v>1355</v>
      </c>
      <c r="C30" s="276">
        <v>44520</v>
      </c>
      <c r="D30" s="257" t="s">
        <v>1286</v>
      </c>
      <c r="E30" s="256" t="s">
        <v>1828</v>
      </c>
      <c r="F30" s="256" t="s">
        <v>1836</v>
      </c>
      <c r="G30" s="258">
        <v>11195000000</v>
      </c>
      <c r="H30" s="265">
        <v>0.1</v>
      </c>
      <c r="I30" s="258">
        <v>1119500000</v>
      </c>
      <c r="J30" s="258">
        <v>12314500000</v>
      </c>
      <c r="K30" s="256" t="s">
        <v>1346</v>
      </c>
    </row>
    <row r="31" spans="1:11" x14ac:dyDescent="0.3">
      <c r="A31" s="256">
        <v>24</v>
      </c>
      <c r="B31" s="257" t="s">
        <v>1405</v>
      </c>
      <c r="C31" s="276">
        <v>44550</v>
      </c>
      <c r="D31" s="257" t="s">
        <v>1279</v>
      </c>
      <c r="E31" s="256" t="s">
        <v>1827</v>
      </c>
      <c r="F31" s="256" t="s">
        <v>1835</v>
      </c>
      <c r="G31" s="258">
        <v>5427000000</v>
      </c>
      <c r="H31" s="265">
        <v>0.1</v>
      </c>
      <c r="I31" s="258">
        <v>542700000</v>
      </c>
      <c r="J31" s="258">
        <v>5969700000</v>
      </c>
      <c r="K31" s="256" t="s">
        <v>1346</v>
      </c>
    </row>
    <row r="32" spans="1:11" x14ac:dyDescent="0.3">
      <c r="A32" s="256">
        <v>25</v>
      </c>
      <c r="B32" s="257" t="s">
        <v>1397</v>
      </c>
      <c r="C32" s="276">
        <v>44221</v>
      </c>
      <c r="D32" s="257" t="s">
        <v>1268</v>
      </c>
      <c r="E32" s="256" t="s">
        <v>1821</v>
      </c>
      <c r="F32" s="256" t="s">
        <v>1837</v>
      </c>
      <c r="G32" s="258">
        <v>10888000000</v>
      </c>
      <c r="H32" s="265">
        <v>0.1</v>
      </c>
      <c r="I32" s="258">
        <v>1088800000</v>
      </c>
      <c r="J32" s="258">
        <v>11976800000</v>
      </c>
      <c r="K32" s="256" t="s">
        <v>1346</v>
      </c>
    </row>
    <row r="33" spans="1:11" x14ac:dyDescent="0.3">
      <c r="A33" s="256">
        <v>26</v>
      </c>
      <c r="B33" s="257" t="s">
        <v>1201</v>
      </c>
      <c r="C33" s="276">
        <v>44255</v>
      </c>
      <c r="D33" s="257" t="s">
        <v>1304</v>
      </c>
      <c r="E33" s="256" t="s">
        <v>1831</v>
      </c>
      <c r="F33" s="256" t="s">
        <v>1837</v>
      </c>
      <c r="G33" s="258">
        <v>10626000000</v>
      </c>
      <c r="H33" s="265">
        <v>0.1</v>
      </c>
      <c r="I33" s="258">
        <v>1062600000</v>
      </c>
      <c r="J33" s="258">
        <v>11688600000</v>
      </c>
      <c r="K33" s="256" t="s">
        <v>1348</v>
      </c>
    </row>
    <row r="34" spans="1:11" x14ac:dyDescent="0.3">
      <c r="A34" s="256">
        <v>27</v>
      </c>
      <c r="B34" s="257" t="s">
        <v>1381</v>
      </c>
      <c r="C34" s="276">
        <v>44316</v>
      </c>
      <c r="D34" s="257" t="s">
        <v>1257</v>
      </c>
      <c r="E34" s="256" t="s">
        <v>1815</v>
      </c>
      <c r="F34" s="256" t="s">
        <v>1741</v>
      </c>
      <c r="G34" s="258">
        <v>4971000000</v>
      </c>
      <c r="H34" s="265">
        <v>0.1</v>
      </c>
      <c r="I34" s="258">
        <v>497100000</v>
      </c>
      <c r="J34" s="258">
        <v>5468100000</v>
      </c>
      <c r="K34" s="256" t="s">
        <v>1346</v>
      </c>
    </row>
    <row r="35" spans="1:11" x14ac:dyDescent="0.3">
      <c r="A35" s="256">
        <v>28</v>
      </c>
      <c r="B35" s="257" t="s">
        <v>1382</v>
      </c>
      <c r="C35" s="276">
        <v>44377</v>
      </c>
      <c r="D35" s="257" t="s">
        <v>1257</v>
      </c>
      <c r="E35" s="256" t="s">
        <v>1815</v>
      </c>
      <c r="F35" s="256" t="s">
        <v>1734</v>
      </c>
      <c r="G35" s="258">
        <v>6578000000</v>
      </c>
      <c r="H35" s="265">
        <v>0.1</v>
      </c>
      <c r="I35" s="258">
        <v>657800000</v>
      </c>
      <c r="J35" s="258">
        <v>7235800000</v>
      </c>
      <c r="K35" s="256" t="s">
        <v>1346</v>
      </c>
    </row>
    <row r="36" spans="1:11" x14ac:dyDescent="0.3">
      <c r="A36" s="256">
        <v>29</v>
      </c>
      <c r="B36" s="257" t="s">
        <v>1392</v>
      </c>
      <c r="C36" s="276">
        <v>44469</v>
      </c>
      <c r="D36" s="257" t="s">
        <v>1262</v>
      </c>
      <c r="E36" s="256" t="s">
        <v>1816</v>
      </c>
      <c r="F36" s="256" t="s">
        <v>1836</v>
      </c>
      <c r="G36" s="258">
        <v>7883000000</v>
      </c>
      <c r="H36" s="265">
        <v>0.1</v>
      </c>
      <c r="I36" s="258">
        <v>788300000</v>
      </c>
      <c r="J36" s="258">
        <v>8671300000</v>
      </c>
      <c r="K36" s="256" t="s">
        <v>1346</v>
      </c>
    </row>
    <row r="37" spans="1:11" x14ac:dyDescent="0.3">
      <c r="A37" s="256">
        <v>30</v>
      </c>
      <c r="B37" s="257" t="s">
        <v>1394</v>
      </c>
      <c r="C37" s="276">
        <v>44530</v>
      </c>
      <c r="D37" s="257" t="s">
        <v>1285</v>
      </c>
      <c r="E37" s="256" t="s">
        <v>1793</v>
      </c>
      <c r="F37" s="256" t="s">
        <v>1834</v>
      </c>
      <c r="G37" s="258">
        <v>5939000000</v>
      </c>
      <c r="H37" s="265">
        <v>0.1</v>
      </c>
      <c r="I37" s="258">
        <v>593900000</v>
      </c>
      <c r="J37" s="258">
        <v>6532900000</v>
      </c>
      <c r="K37" s="256" t="s">
        <v>1346</v>
      </c>
    </row>
    <row r="38" spans="1:11" x14ac:dyDescent="0.3">
      <c r="A38" s="256">
        <v>31</v>
      </c>
      <c r="B38" s="257" t="s">
        <v>1394</v>
      </c>
      <c r="C38" s="276">
        <v>44286</v>
      </c>
      <c r="D38" s="257" t="s">
        <v>1262</v>
      </c>
      <c r="E38" s="256" t="s">
        <v>1816</v>
      </c>
      <c r="F38" s="256" t="s">
        <v>1734</v>
      </c>
      <c r="G38" s="258">
        <v>6628000000</v>
      </c>
      <c r="H38" s="265">
        <v>0.1</v>
      </c>
      <c r="I38" s="258">
        <v>662800000</v>
      </c>
      <c r="J38" s="258">
        <v>7290800000</v>
      </c>
      <c r="K38" s="256" t="s">
        <v>1346</v>
      </c>
    </row>
    <row r="39" spans="1:11" x14ac:dyDescent="0.3">
      <c r="A39" s="256">
        <v>32</v>
      </c>
      <c r="B39" s="257" t="s">
        <v>1403</v>
      </c>
      <c r="C39" s="276">
        <v>44347</v>
      </c>
      <c r="D39" s="257" t="s">
        <v>1263</v>
      </c>
      <c r="E39" s="256" t="s">
        <v>1790</v>
      </c>
      <c r="F39" s="256" t="s">
        <v>1741</v>
      </c>
      <c r="G39" s="258">
        <v>3266000000</v>
      </c>
      <c r="H39" s="265">
        <v>0.1</v>
      </c>
      <c r="I39" s="258">
        <v>326600000</v>
      </c>
      <c r="J39" s="258">
        <v>3592600000</v>
      </c>
      <c r="K39" s="256" t="s">
        <v>1346</v>
      </c>
    </row>
    <row r="40" spans="1:11" x14ac:dyDescent="0.3">
      <c r="A40" s="256">
        <v>33</v>
      </c>
      <c r="B40" s="257" t="s">
        <v>1382</v>
      </c>
      <c r="C40" s="276">
        <v>44408</v>
      </c>
      <c r="D40" s="257" t="s">
        <v>1269</v>
      </c>
      <c r="E40" s="256" t="s">
        <v>1823</v>
      </c>
      <c r="F40" s="256" t="s">
        <v>1837</v>
      </c>
      <c r="G40" s="258">
        <v>10072000000</v>
      </c>
      <c r="H40" s="265">
        <v>0.1</v>
      </c>
      <c r="I40" s="258">
        <v>1007200000</v>
      </c>
      <c r="J40" s="258">
        <v>11079200000</v>
      </c>
      <c r="K40" s="256" t="s">
        <v>1346</v>
      </c>
    </row>
    <row r="41" spans="1:11" x14ac:dyDescent="0.3">
      <c r="A41" s="256">
        <v>34</v>
      </c>
      <c r="B41" s="257" t="s">
        <v>1364</v>
      </c>
      <c r="C41" s="276">
        <v>44439</v>
      </c>
      <c r="D41" s="257" t="s">
        <v>1292</v>
      </c>
      <c r="E41" s="256" t="s">
        <v>1792</v>
      </c>
      <c r="F41" s="256" t="s">
        <v>1834</v>
      </c>
      <c r="G41" s="258">
        <v>5765000000</v>
      </c>
      <c r="H41" s="265">
        <v>0.1</v>
      </c>
      <c r="I41" s="258">
        <v>576500000</v>
      </c>
      <c r="J41" s="258">
        <v>6341500000</v>
      </c>
      <c r="K41" s="256" t="s">
        <v>1346</v>
      </c>
    </row>
    <row r="42" spans="1:11" x14ac:dyDescent="0.3">
      <c r="A42" s="256">
        <v>35</v>
      </c>
      <c r="B42" s="257" t="s">
        <v>1399</v>
      </c>
      <c r="C42" s="276">
        <v>44500</v>
      </c>
      <c r="D42" s="257" t="s">
        <v>1260</v>
      </c>
      <c r="E42" s="256" t="s">
        <v>1804</v>
      </c>
      <c r="F42" s="256" t="s">
        <v>1835</v>
      </c>
      <c r="G42" s="258">
        <v>10143000000</v>
      </c>
      <c r="H42" s="265">
        <v>0.1</v>
      </c>
      <c r="I42" s="258">
        <v>1014300000</v>
      </c>
      <c r="J42" s="258">
        <v>11157300000</v>
      </c>
      <c r="K42" s="256" t="s">
        <v>1346</v>
      </c>
    </row>
    <row r="43" spans="1:11" x14ac:dyDescent="0.3">
      <c r="A43" s="256">
        <v>36</v>
      </c>
      <c r="B43" s="257" t="s">
        <v>1404</v>
      </c>
      <c r="C43" s="276">
        <v>44561</v>
      </c>
      <c r="D43" s="257" t="s">
        <v>1278</v>
      </c>
      <c r="E43" s="256" t="s">
        <v>1785</v>
      </c>
      <c r="F43" s="256" t="s">
        <v>1836</v>
      </c>
      <c r="G43" s="258">
        <v>11129000000</v>
      </c>
      <c r="H43" s="265">
        <v>0.1</v>
      </c>
      <c r="I43" s="258">
        <v>1112900000</v>
      </c>
      <c r="J43" s="258">
        <v>12241900000</v>
      </c>
      <c r="K43" s="256" t="s">
        <v>1346</v>
      </c>
    </row>
    <row r="44" spans="1:11" x14ac:dyDescent="0.3">
      <c r="A44" s="256">
        <v>37</v>
      </c>
      <c r="B44" s="257" t="s">
        <v>1202</v>
      </c>
      <c r="C44" s="276">
        <v>44561</v>
      </c>
      <c r="D44" s="257" t="s">
        <v>1301</v>
      </c>
      <c r="E44" s="256" t="s">
        <v>1781</v>
      </c>
      <c r="F44" s="256" t="s">
        <v>1836</v>
      </c>
      <c r="G44" s="258">
        <v>6779000000</v>
      </c>
      <c r="H44" s="265">
        <v>0.1</v>
      </c>
      <c r="I44" s="258">
        <v>677900000</v>
      </c>
      <c r="J44" s="258">
        <v>7456900000</v>
      </c>
      <c r="K44" s="256" t="s">
        <v>1346</v>
      </c>
    </row>
    <row r="45" spans="1:11" x14ac:dyDescent="0.3">
      <c r="A45" s="256">
        <v>38</v>
      </c>
      <c r="B45" s="257" t="s">
        <v>1356</v>
      </c>
      <c r="C45" s="276">
        <v>44561</v>
      </c>
      <c r="D45" s="257" t="s">
        <v>1296</v>
      </c>
      <c r="E45" s="256" t="s">
        <v>1807</v>
      </c>
      <c r="F45" s="256" t="s">
        <v>1734</v>
      </c>
      <c r="G45" s="258">
        <v>3297000000</v>
      </c>
      <c r="H45" s="265">
        <v>0.1</v>
      </c>
      <c r="I45" s="258">
        <v>329700000</v>
      </c>
      <c r="J45" s="258">
        <v>3626700000</v>
      </c>
      <c r="K45" s="256" t="s">
        <v>1346</v>
      </c>
    </row>
    <row r="46" spans="1:11" x14ac:dyDescent="0.3">
      <c r="A46" s="256">
        <v>39</v>
      </c>
      <c r="B46" s="257" t="s">
        <v>1203</v>
      </c>
      <c r="C46" s="276">
        <v>44561</v>
      </c>
      <c r="D46" s="257" t="s">
        <v>1271</v>
      </c>
      <c r="E46" s="256" t="s">
        <v>1799</v>
      </c>
      <c r="F46" s="256" t="s">
        <v>1734</v>
      </c>
      <c r="G46" s="258">
        <v>9987000000</v>
      </c>
      <c r="H46" s="265">
        <v>0.1</v>
      </c>
      <c r="I46" s="258">
        <v>998700000</v>
      </c>
      <c r="J46" s="258">
        <v>10985700000</v>
      </c>
      <c r="K46" s="256" t="s">
        <v>1346</v>
      </c>
    </row>
    <row r="47" spans="1:11" x14ac:dyDescent="0.3">
      <c r="A47" s="256">
        <v>40</v>
      </c>
      <c r="B47" s="257" t="s">
        <v>1202</v>
      </c>
      <c r="C47" s="276">
        <v>44561</v>
      </c>
      <c r="D47" s="257" t="s">
        <v>1304</v>
      </c>
      <c r="E47" s="256" t="s">
        <v>1831</v>
      </c>
      <c r="F47" s="256" t="s">
        <v>1837</v>
      </c>
      <c r="G47" s="258">
        <v>11266000000</v>
      </c>
      <c r="H47" s="265">
        <v>0.1</v>
      </c>
      <c r="I47" s="258">
        <v>1126600000</v>
      </c>
      <c r="J47" s="258">
        <v>12392600000</v>
      </c>
      <c r="K47" s="256" t="s">
        <v>1346</v>
      </c>
    </row>
    <row r="48" spans="1:11" x14ac:dyDescent="0.3">
      <c r="A48" s="256">
        <v>41</v>
      </c>
      <c r="B48" s="257" t="s">
        <v>1402</v>
      </c>
      <c r="C48" s="276">
        <v>44561</v>
      </c>
      <c r="D48" s="257" t="s">
        <v>1275</v>
      </c>
      <c r="E48" s="256" t="s">
        <v>1808</v>
      </c>
      <c r="F48" s="256" t="s">
        <v>1834</v>
      </c>
      <c r="G48" s="258">
        <v>6324000000</v>
      </c>
      <c r="H48" s="265">
        <v>0.1</v>
      </c>
      <c r="I48" s="258">
        <v>632400000</v>
      </c>
      <c r="J48" s="258">
        <v>6956400000</v>
      </c>
      <c r="K48" s="256" t="s">
        <v>1348</v>
      </c>
    </row>
    <row r="49" spans="1:11" x14ac:dyDescent="0.3">
      <c r="A49" s="256">
        <v>42</v>
      </c>
      <c r="B49" s="257" t="s">
        <v>1366</v>
      </c>
      <c r="C49" s="276">
        <v>44561</v>
      </c>
      <c r="D49" s="257" t="s">
        <v>1288</v>
      </c>
      <c r="E49" s="256" t="s">
        <v>1797</v>
      </c>
      <c r="F49" s="256" t="s">
        <v>1834</v>
      </c>
      <c r="G49" s="258">
        <v>3520000000</v>
      </c>
      <c r="H49" s="265">
        <v>0.1</v>
      </c>
      <c r="I49" s="258">
        <v>352000000</v>
      </c>
      <c r="J49" s="258">
        <v>3872000000</v>
      </c>
      <c r="K49" s="256" t="s">
        <v>1346</v>
      </c>
    </row>
    <row r="50" spans="1:11" x14ac:dyDescent="0.3">
      <c r="A50" s="256">
        <v>43</v>
      </c>
      <c r="B50" s="257" t="s">
        <v>1381</v>
      </c>
      <c r="C50" s="276">
        <v>44561</v>
      </c>
      <c r="D50" s="257" t="s">
        <v>1258</v>
      </c>
      <c r="E50" s="256" t="s">
        <v>1833</v>
      </c>
      <c r="F50" s="256" t="s">
        <v>1837</v>
      </c>
      <c r="G50" s="258">
        <v>4833000000</v>
      </c>
      <c r="H50" s="265">
        <v>0</v>
      </c>
      <c r="I50" s="258">
        <v>0</v>
      </c>
      <c r="J50" s="258">
        <v>4833000000</v>
      </c>
      <c r="K50" s="256" t="s">
        <v>1346</v>
      </c>
    </row>
    <row r="51" spans="1:11" x14ac:dyDescent="0.3">
      <c r="A51" s="256">
        <v>44</v>
      </c>
      <c r="B51" s="257" t="s">
        <v>1396</v>
      </c>
      <c r="C51" s="276">
        <v>44561</v>
      </c>
      <c r="D51" s="257" t="s">
        <v>1262</v>
      </c>
      <c r="E51" s="256" t="s">
        <v>1816</v>
      </c>
      <c r="F51" s="256" t="s">
        <v>1741</v>
      </c>
      <c r="G51" s="258">
        <v>4092000000</v>
      </c>
      <c r="H51" s="265">
        <v>0.1</v>
      </c>
      <c r="I51" s="258">
        <v>409200000</v>
      </c>
      <c r="J51" s="258">
        <v>4501200000</v>
      </c>
      <c r="K51" s="256" t="s">
        <v>1346</v>
      </c>
    </row>
    <row r="52" spans="1:11" x14ac:dyDescent="0.3">
      <c r="A52" s="256">
        <v>45</v>
      </c>
      <c r="B52" s="257" t="s">
        <v>1411</v>
      </c>
      <c r="C52" s="276">
        <v>44561</v>
      </c>
      <c r="D52" s="257" t="s">
        <v>1284</v>
      </c>
      <c r="E52" s="256" t="s">
        <v>1786</v>
      </c>
      <c r="F52" s="256" t="s">
        <v>1734</v>
      </c>
      <c r="G52" s="258">
        <v>8456000000</v>
      </c>
      <c r="H52" s="265">
        <v>0.1</v>
      </c>
      <c r="I52" s="258">
        <v>845600000</v>
      </c>
      <c r="J52" s="258">
        <v>9301600000</v>
      </c>
      <c r="K52" s="256" t="s">
        <v>1346</v>
      </c>
    </row>
    <row r="53" spans="1:11" x14ac:dyDescent="0.3">
      <c r="A53" s="256">
        <v>46</v>
      </c>
      <c r="B53" s="257" t="s">
        <v>1366</v>
      </c>
      <c r="C53" s="276">
        <v>44561</v>
      </c>
      <c r="D53" s="257" t="s">
        <v>1291</v>
      </c>
      <c r="E53" s="256" t="s">
        <v>1800</v>
      </c>
      <c r="F53" s="256" t="s">
        <v>1836</v>
      </c>
      <c r="G53" s="258">
        <v>7075000000</v>
      </c>
      <c r="H53" s="265">
        <v>0.1</v>
      </c>
      <c r="I53" s="258">
        <v>707500000</v>
      </c>
      <c r="J53" s="258">
        <v>7782500000</v>
      </c>
      <c r="K53" s="256" t="s">
        <v>1346</v>
      </c>
    </row>
    <row r="54" spans="1:11" x14ac:dyDescent="0.3">
      <c r="A54" s="256">
        <v>47</v>
      </c>
      <c r="B54" s="257" t="s">
        <v>1356</v>
      </c>
      <c r="C54" s="276">
        <v>44561</v>
      </c>
      <c r="D54" s="257" t="s">
        <v>1299</v>
      </c>
      <c r="E54" s="256" t="s">
        <v>1776</v>
      </c>
      <c r="F54" s="256" t="s">
        <v>1734</v>
      </c>
      <c r="G54" s="258">
        <v>3752000000</v>
      </c>
      <c r="H54" s="265">
        <v>0.1</v>
      </c>
      <c r="I54" s="258">
        <v>375200000</v>
      </c>
      <c r="J54" s="258">
        <v>4127200000</v>
      </c>
      <c r="K54" s="256" t="s">
        <v>1346</v>
      </c>
    </row>
    <row r="55" spans="1:11" x14ac:dyDescent="0.3">
      <c r="A55" s="256">
        <v>48</v>
      </c>
      <c r="B55" s="257" t="s">
        <v>1374</v>
      </c>
      <c r="C55" s="276">
        <v>44561</v>
      </c>
      <c r="D55" s="257" t="s">
        <v>1293</v>
      </c>
      <c r="E55" s="256" t="s">
        <v>1826</v>
      </c>
      <c r="F55" s="256" t="s">
        <v>1734</v>
      </c>
      <c r="G55" s="258">
        <v>8928000000</v>
      </c>
      <c r="H55" s="265">
        <v>0.1</v>
      </c>
      <c r="I55" s="258">
        <v>892800000</v>
      </c>
      <c r="J55" s="258">
        <v>9820800000</v>
      </c>
      <c r="K55" s="256" t="s">
        <v>1346</v>
      </c>
    </row>
    <row r="56" spans="1:11" x14ac:dyDescent="0.3">
      <c r="A56" s="256">
        <v>49</v>
      </c>
      <c r="B56" s="257" t="s">
        <v>1398</v>
      </c>
      <c r="C56" s="276">
        <v>44561</v>
      </c>
      <c r="D56" s="257" t="s">
        <v>1268</v>
      </c>
      <c r="E56" s="256" t="s">
        <v>1821</v>
      </c>
      <c r="F56" s="256" t="s">
        <v>1835</v>
      </c>
      <c r="G56" s="258">
        <v>10530000000</v>
      </c>
      <c r="H56" s="265">
        <v>0.1</v>
      </c>
      <c r="I56" s="258">
        <v>1053000000</v>
      </c>
      <c r="J56" s="258">
        <v>11583000000</v>
      </c>
      <c r="K56" s="256" t="s">
        <v>1346</v>
      </c>
    </row>
    <row r="57" spans="1:11" x14ac:dyDescent="0.3">
      <c r="A57" s="256">
        <v>50</v>
      </c>
      <c r="B57" s="257" t="s">
        <v>1405</v>
      </c>
      <c r="C57" s="276">
        <v>44561</v>
      </c>
      <c r="D57" s="257" t="s">
        <v>1276</v>
      </c>
      <c r="E57" s="256" t="s">
        <v>1822</v>
      </c>
      <c r="F57" s="256" t="s">
        <v>1836</v>
      </c>
      <c r="G57" s="258">
        <v>6722000000</v>
      </c>
      <c r="H57" s="265">
        <v>0.1</v>
      </c>
      <c r="I57" s="258">
        <v>672200000</v>
      </c>
      <c r="J57" s="258">
        <v>7394200000</v>
      </c>
      <c r="K57" s="256" t="s">
        <v>1348</v>
      </c>
    </row>
    <row r="58" spans="1:11" x14ac:dyDescent="0.3">
      <c r="A58" s="266" t="s">
        <v>1351</v>
      </c>
      <c r="B58" s="266"/>
      <c r="C58" s="266"/>
      <c r="D58" s="266"/>
      <c r="E58" s="266"/>
      <c r="F58" s="266"/>
      <c r="G58" s="267">
        <f>SUM(G8:G57)</f>
        <v>367753000000</v>
      </c>
      <c r="H58" s="266"/>
      <c r="I58" s="267">
        <f>SUM(I8:I57)</f>
        <v>36292000000</v>
      </c>
      <c r="J58" s="267">
        <f>SUM(J8:J57)</f>
        <v>404045000000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1293</v>
      </c>
      <c r="E62" s="256" t="s">
        <v>1826</v>
      </c>
      <c r="F62" s="256" t="s">
        <v>1838</v>
      </c>
      <c r="G62" s="258">
        <v>11090000000</v>
      </c>
      <c r="H62" s="265">
        <v>0.1</v>
      </c>
      <c r="I62" s="258">
        <v>1109000000</v>
      </c>
      <c r="J62" s="258">
        <v>12199000000</v>
      </c>
      <c r="K62" s="256" t="s">
        <v>1346</v>
      </c>
    </row>
    <row r="63" spans="1:11" x14ac:dyDescent="0.3">
      <c r="A63" s="256">
        <v>2</v>
      </c>
      <c r="B63" s="257" t="s">
        <v>1201</v>
      </c>
      <c r="C63" s="276">
        <v>44318</v>
      </c>
      <c r="D63" s="257" t="s">
        <v>1268</v>
      </c>
      <c r="E63" s="256" t="s">
        <v>1821</v>
      </c>
      <c r="F63" s="256" t="s">
        <v>1839</v>
      </c>
      <c r="G63" s="258">
        <v>6854000000</v>
      </c>
      <c r="H63" s="265">
        <v>0.1</v>
      </c>
      <c r="I63" s="258">
        <v>685400000</v>
      </c>
      <c r="J63" s="258">
        <v>7539400000</v>
      </c>
      <c r="K63" s="256" t="s">
        <v>1346</v>
      </c>
    </row>
    <row r="64" spans="1:11" x14ac:dyDescent="0.3">
      <c r="A64" s="256">
        <v>3</v>
      </c>
      <c r="B64" s="257" t="s">
        <v>1202</v>
      </c>
      <c r="C64" s="276">
        <v>44472</v>
      </c>
      <c r="D64" s="257" t="s">
        <v>1296</v>
      </c>
      <c r="E64" s="256" t="s">
        <v>1807</v>
      </c>
      <c r="F64" s="256" t="s">
        <v>1839</v>
      </c>
      <c r="G64" s="258">
        <v>15017000000</v>
      </c>
      <c r="H64" s="265">
        <v>0.1</v>
      </c>
      <c r="I64" s="258">
        <v>1501700000</v>
      </c>
      <c r="J64" s="258">
        <v>16518700000</v>
      </c>
      <c r="K64" s="256" t="s">
        <v>1346</v>
      </c>
    </row>
    <row r="65" spans="1:11" x14ac:dyDescent="0.3">
      <c r="A65" s="256">
        <v>4</v>
      </c>
      <c r="B65" s="257" t="s">
        <v>1355</v>
      </c>
      <c r="C65" s="276">
        <v>44473</v>
      </c>
      <c r="D65" s="257" t="s">
        <v>1286</v>
      </c>
      <c r="E65" s="256" t="s">
        <v>1828</v>
      </c>
      <c r="F65" s="256" t="s">
        <v>1838</v>
      </c>
      <c r="G65" s="258">
        <v>12254000000</v>
      </c>
      <c r="H65" s="265">
        <v>0.1</v>
      </c>
      <c r="I65" s="258">
        <v>1225400000</v>
      </c>
      <c r="J65" s="258">
        <v>13479400000</v>
      </c>
      <c r="K65" s="256" t="s">
        <v>1348</v>
      </c>
    </row>
    <row r="66" spans="1:11" x14ac:dyDescent="0.3">
      <c r="A66" s="256">
        <v>5</v>
      </c>
      <c r="B66" s="257" t="s">
        <v>1356</v>
      </c>
      <c r="C66" s="276">
        <v>44474</v>
      </c>
      <c r="D66" s="257" t="s">
        <v>1304</v>
      </c>
      <c r="E66" s="256" t="s">
        <v>1831</v>
      </c>
      <c r="F66" s="256" t="s">
        <v>1840</v>
      </c>
      <c r="G66" s="258">
        <v>5498000000</v>
      </c>
      <c r="H66" s="265">
        <v>0.1</v>
      </c>
      <c r="I66" s="258">
        <v>549800000</v>
      </c>
      <c r="J66" s="258">
        <v>6047800000</v>
      </c>
      <c r="K66" s="256" t="s">
        <v>1346</v>
      </c>
    </row>
    <row r="67" spans="1:11" x14ac:dyDescent="0.3">
      <c r="A67" s="256">
        <v>6</v>
      </c>
      <c r="B67" s="257" t="s">
        <v>1358</v>
      </c>
      <c r="C67" s="276">
        <v>44475</v>
      </c>
      <c r="D67" s="257" t="s">
        <v>1302</v>
      </c>
      <c r="E67" s="256" t="s">
        <v>1784</v>
      </c>
      <c r="F67" s="256" t="s">
        <v>1839</v>
      </c>
      <c r="G67" s="258">
        <v>4564000000</v>
      </c>
      <c r="H67" s="265">
        <v>0.1</v>
      </c>
      <c r="I67" s="258">
        <v>456400000</v>
      </c>
      <c r="J67" s="258">
        <v>5020400000</v>
      </c>
      <c r="K67" s="256" t="s">
        <v>1346</v>
      </c>
    </row>
    <row r="68" spans="1:11" x14ac:dyDescent="0.3">
      <c r="A68" s="256">
        <v>7</v>
      </c>
      <c r="B68" s="257" t="s">
        <v>1360</v>
      </c>
      <c r="C68" s="276">
        <v>44476</v>
      </c>
      <c r="D68" s="257" t="s">
        <v>1264</v>
      </c>
      <c r="E68" s="256" t="s">
        <v>1779</v>
      </c>
      <c r="F68" s="256" t="s">
        <v>1840</v>
      </c>
      <c r="G68" s="258">
        <v>5365000000</v>
      </c>
      <c r="H68" s="265">
        <v>0</v>
      </c>
      <c r="I68" s="258">
        <v>0</v>
      </c>
      <c r="J68" s="258">
        <v>5365000000</v>
      </c>
      <c r="K68" s="256" t="s">
        <v>1346</v>
      </c>
    </row>
    <row r="69" spans="1:11" x14ac:dyDescent="0.3">
      <c r="A69" s="256">
        <v>8</v>
      </c>
      <c r="B69" s="257" t="s">
        <v>1362</v>
      </c>
      <c r="C69" s="276">
        <v>44477</v>
      </c>
      <c r="D69" s="257" t="s">
        <v>1293</v>
      </c>
      <c r="E69" s="256" t="s">
        <v>1826</v>
      </c>
      <c r="F69" s="256" t="s">
        <v>1840</v>
      </c>
      <c r="G69" s="258">
        <v>7877000000</v>
      </c>
      <c r="H69" s="265">
        <v>0.1</v>
      </c>
      <c r="I69" s="258">
        <v>787700000</v>
      </c>
      <c r="J69" s="258">
        <v>8664700000</v>
      </c>
      <c r="K69" s="256" t="s">
        <v>1346</v>
      </c>
    </row>
    <row r="70" spans="1:11" x14ac:dyDescent="0.3">
      <c r="A70" s="256">
        <v>9</v>
      </c>
      <c r="B70" s="257" t="s">
        <v>1364</v>
      </c>
      <c r="C70" s="276">
        <v>44478</v>
      </c>
      <c r="D70" s="257" t="s">
        <v>1296</v>
      </c>
      <c r="E70" s="256" t="s">
        <v>1807</v>
      </c>
      <c r="F70" s="256" t="s">
        <v>1840</v>
      </c>
      <c r="G70" s="258">
        <v>10776000000</v>
      </c>
      <c r="H70" s="265">
        <v>0.1</v>
      </c>
      <c r="I70" s="258">
        <v>1077600000</v>
      </c>
      <c r="J70" s="258">
        <v>11853600000</v>
      </c>
      <c r="K70" s="256" t="s">
        <v>1346</v>
      </c>
    </row>
    <row r="71" spans="1:11" x14ac:dyDescent="0.3">
      <c r="A71" s="256">
        <v>10</v>
      </c>
      <c r="B71" s="257" t="s">
        <v>1366</v>
      </c>
      <c r="C71" s="276">
        <v>44479</v>
      </c>
      <c r="D71" s="257" t="s">
        <v>1262</v>
      </c>
      <c r="E71" s="256" t="s">
        <v>1816</v>
      </c>
      <c r="F71" s="256" t="s">
        <v>1838</v>
      </c>
      <c r="G71" s="258">
        <v>5571000000</v>
      </c>
      <c r="H71" s="265">
        <v>0.1</v>
      </c>
      <c r="I71" s="258">
        <v>557100000</v>
      </c>
      <c r="J71" s="258">
        <v>6128100000</v>
      </c>
      <c r="K71" s="256" t="s">
        <v>1346</v>
      </c>
    </row>
    <row r="72" spans="1:11" x14ac:dyDescent="0.3">
      <c r="A72" s="256">
        <v>11</v>
      </c>
      <c r="B72" s="257" t="s">
        <v>1368</v>
      </c>
      <c r="C72" s="276">
        <v>44480</v>
      </c>
      <c r="D72" s="257" t="s">
        <v>1299</v>
      </c>
      <c r="E72" s="256" t="s">
        <v>1776</v>
      </c>
      <c r="F72" s="256" t="s">
        <v>1841</v>
      </c>
      <c r="G72" s="258">
        <v>11034000000</v>
      </c>
      <c r="H72" s="265">
        <v>0.1</v>
      </c>
      <c r="I72" s="258">
        <v>1103400000</v>
      </c>
      <c r="J72" s="258">
        <v>12137400000</v>
      </c>
      <c r="K72" s="256" t="s">
        <v>1348</v>
      </c>
    </row>
    <row r="73" spans="1:11" x14ac:dyDescent="0.3">
      <c r="A73" s="256">
        <v>12</v>
      </c>
      <c r="B73" s="257" t="s">
        <v>1371</v>
      </c>
      <c r="C73" s="276">
        <v>44481</v>
      </c>
      <c r="D73" s="257" t="s">
        <v>1284</v>
      </c>
      <c r="E73" s="256" t="s">
        <v>1786</v>
      </c>
      <c r="F73" s="256" t="s">
        <v>1839</v>
      </c>
      <c r="G73" s="258">
        <v>15284000000</v>
      </c>
      <c r="H73" s="265">
        <v>0.1</v>
      </c>
      <c r="I73" s="258">
        <v>1528400000</v>
      </c>
      <c r="J73" s="258">
        <v>16812400000</v>
      </c>
      <c r="K73" s="256" t="s">
        <v>1346</v>
      </c>
    </row>
    <row r="74" spans="1:11" x14ac:dyDescent="0.3">
      <c r="A74" s="256">
        <v>13</v>
      </c>
      <c r="B74" s="257" t="s">
        <v>1373</v>
      </c>
      <c r="C74" s="276">
        <v>44211</v>
      </c>
      <c r="D74" s="257" t="s">
        <v>1292</v>
      </c>
      <c r="E74" s="256" t="s">
        <v>1792</v>
      </c>
      <c r="F74" s="256" t="s">
        <v>1839</v>
      </c>
      <c r="G74" s="258">
        <v>12258000000</v>
      </c>
      <c r="H74" s="265">
        <v>0.1</v>
      </c>
      <c r="I74" s="258">
        <v>1225800000</v>
      </c>
      <c r="J74" s="258">
        <v>13483800000</v>
      </c>
      <c r="K74" s="256" t="s">
        <v>1346</v>
      </c>
    </row>
    <row r="75" spans="1:11" x14ac:dyDescent="0.3">
      <c r="A75" s="256">
        <v>14</v>
      </c>
      <c r="B75" s="257" t="s">
        <v>1374</v>
      </c>
      <c r="C75" s="276">
        <v>44242</v>
      </c>
      <c r="D75" s="257" t="s">
        <v>1269</v>
      </c>
      <c r="E75" s="256" t="s">
        <v>1823</v>
      </c>
      <c r="F75" s="256" t="s">
        <v>1840</v>
      </c>
      <c r="G75" s="258">
        <v>10658000000</v>
      </c>
      <c r="H75" s="265">
        <v>0.1</v>
      </c>
      <c r="I75" s="258">
        <v>1065800000</v>
      </c>
      <c r="J75" s="258">
        <v>11723800000</v>
      </c>
      <c r="K75" s="256" t="s">
        <v>1346</v>
      </c>
    </row>
    <row r="76" spans="1:11" x14ac:dyDescent="0.3">
      <c r="A76" s="256">
        <v>15</v>
      </c>
      <c r="B76" s="257" t="s">
        <v>1376</v>
      </c>
      <c r="C76" s="276">
        <v>44275</v>
      </c>
      <c r="D76" s="257" t="s">
        <v>1259</v>
      </c>
      <c r="E76" s="256" t="s">
        <v>1788</v>
      </c>
      <c r="F76" s="256" t="s">
        <v>1839</v>
      </c>
      <c r="G76" s="258">
        <v>10214000000</v>
      </c>
      <c r="H76" s="265">
        <v>0.1</v>
      </c>
      <c r="I76" s="258">
        <v>1021400000</v>
      </c>
      <c r="J76" s="258">
        <v>11235400000</v>
      </c>
      <c r="K76" s="256" t="s">
        <v>1346</v>
      </c>
    </row>
    <row r="77" spans="1:11" x14ac:dyDescent="0.3">
      <c r="A77" s="256">
        <v>16</v>
      </c>
      <c r="B77" s="257" t="s">
        <v>1378</v>
      </c>
      <c r="C77" s="276">
        <v>44306</v>
      </c>
      <c r="D77" s="257" t="s">
        <v>1279</v>
      </c>
      <c r="E77" s="256" t="s">
        <v>1827</v>
      </c>
      <c r="F77" s="256" t="s">
        <v>1838</v>
      </c>
      <c r="G77" s="258">
        <v>5464000000</v>
      </c>
      <c r="H77" s="265">
        <v>0.1</v>
      </c>
      <c r="I77" s="258">
        <v>546400000</v>
      </c>
      <c r="J77" s="258">
        <v>6010400000</v>
      </c>
      <c r="K77" s="256" t="s">
        <v>1346</v>
      </c>
    </row>
    <row r="78" spans="1:11" x14ac:dyDescent="0.3">
      <c r="A78" s="256">
        <v>17</v>
      </c>
      <c r="B78" s="257" t="s">
        <v>1379</v>
      </c>
      <c r="C78" s="276">
        <v>44336</v>
      </c>
      <c r="D78" s="257" t="s">
        <v>1273</v>
      </c>
      <c r="E78" s="256" t="s">
        <v>1829</v>
      </c>
      <c r="F78" s="256" t="s">
        <v>1841</v>
      </c>
      <c r="G78" s="258">
        <v>12012000000</v>
      </c>
      <c r="H78" s="265">
        <v>0.1</v>
      </c>
      <c r="I78" s="258">
        <v>1201200000</v>
      </c>
      <c r="J78" s="258">
        <v>13213200000</v>
      </c>
      <c r="K78" s="256" t="s">
        <v>1346</v>
      </c>
    </row>
    <row r="79" spans="1:11" x14ac:dyDescent="0.3">
      <c r="A79" s="256">
        <v>18</v>
      </c>
      <c r="B79" s="257" t="s">
        <v>1381</v>
      </c>
      <c r="C79" s="276">
        <v>44367</v>
      </c>
      <c r="D79" s="257" t="s">
        <v>1268</v>
      </c>
      <c r="E79" s="256" t="s">
        <v>1821</v>
      </c>
      <c r="F79" s="256" t="s">
        <v>1838</v>
      </c>
      <c r="G79" s="258">
        <v>12062000000</v>
      </c>
      <c r="H79" s="265">
        <v>0.1</v>
      </c>
      <c r="I79" s="258">
        <v>1206200000</v>
      </c>
      <c r="J79" s="258">
        <v>13268200000</v>
      </c>
      <c r="K79" s="256" t="s">
        <v>1346</v>
      </c>
    </row>
    <row r="80" spans="1:11" x14ac:dyDescent="0.3">
      <c r="A80" s="256">
        <v>19</v>
      </c>
      <c r="B80" s="257" t="s">
        <v>1382</v>
      </c>
      <c r="C80" s="276">
        <v>44397</v>
      </c>
      <c r="D80" s="257" t="s">
        <v>1282</v>
      </c>
      <c r="E80" s="256" t="s">
        <v>1789</v>
      </c>
      <c r="F80" s="256" t="s">
        <v>1839</v>
      </c>
      <c r="G80" s="258">
        <v>12076000000</v>
      </c>
      <c r="H80" s="265">
        <v>0.1</v>
      </c>
      <c r="I80" s="258">
        <v>1207600000</v>
      </c>
      <c r="J80" s="258">
        <v>13283600000</v>
      </c>
      <c r="K80" s="256" t="s">
        <v>1346</v>
      </c>
    </row>
    <row r="81" spans="1:11" x14ac:dyDescent="0.3">
      <c r="A81" s="256">
        <v>20</v>
      </c>
      <c r="B81" s="257" t="s">
        <v>1383</v>
      </c>
      <c r="C81" s="276">
        <v>44428</v>
      </c>
      <c r="D81" s="257" t="s">
        <v>1263</v>
      </c>
      <c r="E81" s="256" t="s">
        <v>1790</v>
      </c>
      <c r="F81" s="256" t="s">
        <v>1840</v>
      </c>
      <c r="G81" s="258">
        <v>10583000000</v>
      </c>
      <c r="H81" s="265">
        <v>0.1</v>
      </c>
      <c r="I81" s="258">
        <v>1058300000</v>
      </c>
      <c r="J81" s="258">
        <v>11641300000</v>
      </c>
      <c r="K81" s="256" t="s">
        <v>1346</v>
      </c>
    </row>
    <row r="82" spans="1:11" x14ac:dyDescent="0.3">
      <c r="A82" s="256">
        <v>21</v>
      </c>
      <c r="B82" s="257" t="s">
        <v>1203</v>
      </c>
      <c r="C82" s="276">
        <v>44459</v>
      </c>
      <c r="D82" s="257" t="s">
        <v>1262</v>
      </c>
      <c r="E82" s="256" t="s">
        <v>1816</v>
      </c>
      <c r="F82" s="256" t="s">
        <v>1839</v>
      </c>
      <c r="G82" s="258">
        <v>12545000000</v>
      </c>
      <c r="H82" s="265">
        <v>0.1</v>
      </c>
      <c r="I82" s="258">
        <v>1254500000</v>
      </c>
      <c r="J82" s="258">
        <v>13799500000</v>
      </c>
      <c r="K82" s="256" t="s">
        <v>1346</v>
      </c>
    </row>
    <row r="83" spans="1:11" x14ac:dyDescent="0.3">
      <c r="A83" s="256">
        <v>22</v>
      </c>
      <c r="B83" s="257" t="s">
        <v>1204</v>
      </c>
      <c r="C83" s="276">
        <v>44489</v>
      </c>
      <c r="D83" s="257" t="s">
        <v>1266</v>
      </c>
      <c r="E83" s="256" t="s">
        <v>1824</v>
      </c>
      <c r="F83" s="256" t="s">
        <v>1841</v>
      </c>
      <c r="G83" s="258">
        <v>14572000000</v>
      </c>
      <c r="H83" s="265">
        <v>0.1</v>
      </c>
      <c r="I83" s="258">
        <v>1457200000</v>
      </c>
      <c r="J83" s="258">
        <v>16029200000</v>
      </c>
      <c r="K83" s="256" t="s">
        <v>1346</v>
      </c>
    </row>
    <row r="84" spans="1:11" x14ac:dyDescent="0.3">
      <c r="A84" s="256">
        <v>23</v>
      </c>
      <c r="B84" s="257" t="s">
        <v>1205</v>
      </c>
      <c r="C84" s="276">
        <v>44520</v>
      </c>
      <c r="D84" s="257" t="s">
        <v>1290</v>
      </c>
      <c r="E84" s="256" t="s">
        <v>1796</v>
      </c>
      <c r="F84" s="256" t="s">
        <v>1841</v>
      </c>
      <c r="G84" s="258">
        <v>14042000000</v>
      </c>
      <c r="H84" s="265">
        <v>0.1</v>
      </c>
      <c r="I84" s="258">
        <v>1404200000</v>
      </c>
      <c r="J84" s="258">
        <v>15446200000</v>
      </c>
      <c r="K84" s="256" t="s">
        <v>1346</v>
      </c>
    </row>
    <row r="85" spans="1:11" x14ac:dyDescent="0.3">
      <c r="A85" s="256">
        <v>24</v>
      </c>
      <c r="B85" s="257" t="s">
        <v>1385</v>
      </c>
      <c r="C85" s="276">
        <v>44550</v>
      </c>
      <c r="D85" s="257" t="s">
        <v>1297</v>
      </c>
      <c r="E85" s="256" t="s">
        <v>1820</v>
      </c>
      <c r="F85" s="256" t="s">
        <v>1840</v>
      </c>
      <c r="G85" s="258">
        <v>12976000000</v>
      </c>
      <c r="H85" s="265">
        <v>0.1</v>
      </c>
      <c r="I85" s="258">
        <v>1297600000</v>
      </c>
      <c r="J85" s="258">
        <v>14273600000</v>
      </c>
      <c r="K85" s="256" t="s">
        <v>1346</v>
      </c>
    </row>
    <row r="86" spans="1:11" x14ac:dyDescent="0.3">
      <c r="A86" s="256">
        <v>25</v>
      </c>
      <c r="B86" s="257" t="s">
        <v>1387</v>
      </c>
      <c r="C86" s="276">
        <v>44221</v>
      </c>
      <c r="D86" s="257" t="s">
        <v>1269</v>
      </c>
      <c r="E86" s="256" t="s">
        <v>1823</v>
      </c>
      <c r="F86" s="256" t="s">
        <v>1839</v>
      </c>
      <c r="G86" s="258">
        <v>6714000000</v>
      </c>
      <c r="H86" s="265">
        <v>0.1</v>
      </c>
      <c r="I86" s="258">
        <v>671400000</v>
      </c>
      <c r="J86" s="258">
        <v>7385400000</v>
      </c>
      <c r="K86" s="256" t="s">
        <v>1346</v>
      </c>
    </row>
    <row r="87" spans="1:11" x14ac:dyDescent="0.3">
      <c r="A87" s="256">
        <v>26</v>
      </c>
      <c r="B87" s="257" t="s">
        <v>1388</v>
      </c>
      <c r="C87" s="276">
        <v>44255</v>
      </c>
      <c r="D87" s="257" t="s">
        <v>1263</v>
      </c>
      <c r="E87" s="256" t="s">
        <v>1790</v>
      </c>
      <c r="F87" s="256" t="s">
        <v>1840</v>
      </c>
      <c r="G87" s="258">
        <v>13782000000</v>
      </c>
      <c r="H87" s="265">
        <v>0.1</v>
      </c>
      <c r="I87" s="258">
        <v>1378200000</v>
      </c>
      <c r="J87" s="258">
        <v>15160200000</v>
      </c>
      <c r="K87" s="256" t="s">
        <v>1346</v>
      </c>
    </row>
    <row r="88" spans="1:11" x14ac:dyDescent="0.3">
      <c r="A88" s="256">
        <v>27</v>
      </c>
      <c r="B88" s="257" t="s">
        <v>1391</v>
      </c>
      <c r="C88" s="276">
        <v>44316</v>
      </c>
      <c r="D88" s="257" t="s">
        <v>1294</v>
      </c>
      <c r="E88" s="256" t="s">
        <v>1795</v>
      </c>
      <c r="F88" s="256" t="s">
        <v>1841</v>
      </c>
      <c r="G88" s="258">
        <v>10331000000</v>
      </c>
      <c r="H88" s="265">
        <v>0.1</v>
      </c>
      <c r="I88" s="258">
        <v>1033100000</v>
      </c>
      <c r="J88" s="258">
        <v>11364100000</v>
      </c>
      <c r="K88" s="256" t="s">
        <v>1346</v>
      </c>
    </row>
    <row r="89" spans="1:11" x14ac:dyDescent="0.3">
      <c r="A89" s="256">
        <v>28</v>
      </c>
      <c r="B89" s="257" t="s">
        <v>1392</v>
      </c>
      <c r="C89" s="276">
        <v>44377</v>
      </c>
      <c r="D89" s="257" t="s">
        <v>1287</v>
      </c>
      <c r="E89" s="256" t="s">
        <v>1801</v>
      </c>
      <c r="F89" s="256" t="s">
        <v>1841</v>
      </c>
      <c r="G89" s="258">
        <v>14867000000</v>
      </c>
      <c r="H89" s="265">
        <v>0.1</v>
      </c>
      <c r="I89" s="258">
        <v>1486700000</v>
      </c>
      <c r="J89" s="258">
        <v>16353700000</v>
      </c>
      <c r="K89" s="256" t="s">
        <v>1348</v>
      </c>
    </row>
    <row r="90" spans="1:11" x14ac:dyDescent="0.3">
      <c r="A90" s="256">
        <v>29</v>
      </c>
      <c r="B90" s="257" t="s">
        <v>1394</v>
      </c>
      <c r="C90" s="276">
        <v>44469</v>
      </c>
      <c r="D90" s="257" t="s">
        <v>1298</v>
      </c>
      <c r="E90" s="256" t="s">
        <v>1819</v>
      </c>
      <c r="F90" s="256" t="s">
        <v>1839</v>
      </c>
      <c r="G90" s="258">
        <v>11864000000</v>
      </c>
      <c r="H90" s="265">
        <v>0</v>
      </c>
      <c r="I90" s="258">
        <v>0</v>
      </c>
      <c r="J90" s="258">
        <v>11864000000</v>
      </c>
      <c r="K90" s="256" t="s">
        <v>1348</v>
      </c>
    </row>
    <row r="91" spans="1:11" x14ac:dyDescent="0.3">
      <c r="A91" s="256">
        <v>30</v>
      </c>
      <c r="B91" s="257" t="s">
        <v>1396</v>
      </c>
      <c r="C91" s="276">
        <v>44530</v>
      </c>
      <c r="D91" s="257" t="s">
        <v>1259</v>
      </c>
      <c r="E91" s="256" t="s">
        <v>1788</v>
      </c>
      <c r="F91" s="256" t="s">
        <v>1841</v>
      </c>
      <c r="G91" s="258">
        <v>9774000000</v>
      </c>
      <c r="H91" s="265">
        <v>0.1</v>
      </c>
      <c r="I91" s="258">
        <v>977400000</v>
      </c>
      <c r="J91" s="258">
        <v>10751400000</v>
      </c>
      <c r="K91" s="256" t="s">
        <v>1346</v>
      </c>
    </row>
    <row r="92" spans="1:11" x14ac:dyDescent="0.3">
      <c r="A92" s="256">
        <v>31</v>
      </c>
      <c r="B92" s="257" t="s">
        <v>1397</v>
      </c>
      <c r="C92" s="276">
        <v>44286</v>
      </c>
      <c r="D92" s="257" t="s">
        <v>1268</v>
      </c>
      <c r="E92" s="256" t="s">
        <v>1821</v>
      </c>
      <c r="F92" s="256" t="s">
        <v>1839</v>
      </c>
      <c r="G92" s="258">
        <v>14263000000</v>
      </c>
      <c r="H92" s="265">
        <v>0</v>
      </c>
      <c r="I92" s="258">
        <v>0</v>
      </c>
      <c r="J92" s="258">
        <v>14263000000</v>
      </c>
      <c r="K92" s="256" t="s">
        <v>1346</v>
      </c>
    </row>
    <row r="93" spans="1:11" x14ac:dyDescent="0.3">
      <c r="A93" s="256">
        <v>32</v>
      </c>
      <c r="B93" s="257" t="s">
        <v>1398</v>
      </c>
      <c r="C93" s="276">
        <v>44347</v>
      </c>
      <c r="D93" s="257" t="s">
        <v>1257</v>
      </c>
      <c r="E93" s="256" t="s">
        <v>1815</v>
      </c>
      <c r="F93" s="256" t="s">
        <v>1838</v>
      </c>
      <c r="G93" s="258">
        <v>7096000000</v>
      </c>
      <c r="H93" s="265">
        <v>0.1</v>
      </c>
      <c r="I93" s="258">
        <v>709600000</v>
      </c>
      <c r="J93" s="258">
        <v>7805600000</v>
      </c>
      <c r="K93" s="256" t="s">
        <v>1348</v>
      </c>
    </row>
    <row r="94" spans="1:11" x14ac:dyDescent="0.3">
      <c r="A94" s="256">
        <v>33</v>
      </c>
      <c r="B94" s="257" t="s">
        <v>1399</v>
      </c>
      <c r="C94" s="276">
        <v>44408</v>
      </c>
      <c r="D94" s="257" t="s">
        <v>1277</v>
      </c>
      <c r="E94" s="256" t="s">
        <v>1783</v>
      </c>
      <c r="F94" s="256" t="s">
        <v>1840</v>
      </c>
      <c r="G94" s="258">
        <v>8939000000</v>
      </c>
      <c r="H94" s="265">
        <v>0.1</v>
      </c>
      <c r="I94" s="258">
        <v>893900000</v>
      </c>
      <c r="J94" s="258">
        <v>9832900000</v>
      </c>
      <c r="K94" s="256" t="s">
        <v>1348</v>
      </c>
    </row>
    <row r="95" spans="1:11" x14ac:dyDescent="0.3">
      <c r="A95" s="256">
        <v>34</v>
      </c>
      <c r="B95" s="257" t="s">
        <v>1401</v>
      </c>
      <c r="C95" s="276">
        <v>44439</v>
      </c>
      <c r="D95" s="257" t="s">
        <v>1264</v>
      </c>
      <c r="E95" s="256" t="s">
        <v>1779</v>
      </c>
      <c r="F95" s="256" t="s">
        <v>1840</v>
      </c>
      <c r="G95" s="258">
        <v>5757000000</v>
      </c>
      <c r="H95" s="265">
        <v>0.1</v>
      </c>
      <c r="I95" s="258">
        <v>575700000</v>
      </c>
      <c r="J95" s="258">
        <v>6332700000</v>
      </c>
      <c r="K95" s="256" t="s">
        <v>1346</v>
      </c>
    </row>
    <row r="96" spans="1:11" x14ac:dyDescent="0.3">
      <c r="A96" s="256">
        <v>35</v>
      </c>
      <c r="B96" s="257" t="s">
        <v>1402</v>
      </c>
      <c r="C96" s="276">
        <v>44500</v>
      </c>
      <c r="D96" s="257" t="s">
        <v>1273</v>
      </c>
      <c r="E96" s="256" t="s">
        <v>1829</v>
      </c>
      <c r="F96" s="256" t="s">
        <v>1838</v>
      </c>
      <c r="G96" s="258">
        <v>11768000000</v>
      </c>
      <c r="H96" s="265">
        <v>0.1</v>
      </c>
      <c r="I96" s="258">
        <v>1176800000</v>
      </c>
      <c r="J96" s="258">
        <v>12944800000</v>
      </c>
      <c r="K96" s="256" t="s">
        <v>1346</v>
      </c>
    </row>
    <row r="97" spans="1:11" x14ac:dyDescent="0.3">
      <c r="A97" s="256">
        <v>36</v>
      </c>
      <c r="B97" s="257" t="s">
        <v>1403</v>
      </c>
      <c r="C97" s="276">
        <v>44561</v>
      </c>
      <c r="D97" s="257" t="s">
        <v>1272</v>
      </c>
      <c r="E97" s="256" t="s">
        <v>1805</v>
      </c>
      <c r="F97" s="256" t="s">
        <v>1839</v>
      </c>
      <c r="G97" s="258">
        <v>6920000000</v>
      </c>
      <c r="H97" s="265">
        <v>0.1</v>
      </c>
      <c r="I97" s="258">
        <v>692000000</v>
      </c>
      <c r="J97" s="258">
        <v>7612000000</v>
      </c>
      <c r="K97" s="256" t="s">
        <v>1346</v>
      </c>
    </row>
    <row r="98" spans="1:11" x14ac:dyDescent="0.3">
      <c r="A98" s="256">
        <v>37</v>
      </c>
      <c r="B98" s="257" t="s">
        <v>1404</v>
      </c>
      <c r="C98" s="276">
        <v>44561</v>
      </c>
      <c r="D98" s="257" t="s">
        <v>1296</v>
      </c>
      <c r="E98" s="256" t="s">
        <v>1807</v>
      </c>
      <c r="F98" s="256" t="s">
        <v>1840</v>
      </c>
      <c r="G98" s="258">
        <v>6879000000</v>
      </c>
      <c r="H98" s="265">
        <v>0</v>
      </c>
      <c r="I98" s="258">
        <v>0</v>
      </c>
      <c r="J98" s="258">
        <v>6879000000</v>
      </c>
      <c r="K98" s="256" t="s">
        <v>1346</v>
      </c>
    </row>
    <row r="99" spans="1:11" x14ac:dyDescent="0.3">
      <c r="A99" s="256">
        <v>38</v>
      </c>
      <c r="B99" s="257" t="s">
        <v>1405</v>
      </c>
      <c r="C99" s="276">
        <v>44561</v>
      </c>
      <c r="D99" s="257" t="s">
        <v>1300</v>
      </c>
      <c r="E99" s="256" t="s">
        <v>1818</v>
      </c>
      <c r="F99" s="256" t="s">
        <v>1839</v>
      </c>
      <c r="G99" s="258">
        <v>11557000000</v>
      </c>
      <c r="H99" s="265">
        <v>0.1</v>
      </c>
      <c r="I99" s="258">
        <v>1155700000</v>
      </c>
      <c r="J99" s="258">
        <v>12712700000</v>
      </c>
      <c r="K99" s="256" t="s">
        <v>1348</v>
      </c>
    </row>
    <row r="100" spans="1:11" x14ac:dyDescent="0.3">
      <c r="A100" s="256">
        <v>39</v>
      </c>
      <c r="B100" s="257" t="s">
        <v>1406</v>
      </c>
      <c r="C100" s="276">
        <v>44561</v>
      </c>
      <c r="D100" s="257" t="s">
        <v>1258</v>
      </c>
      <c r="E100" s="256" t="s">
        <v>1833</v>
      </c>
      <c r="F100" s="256" t="s">
        <v>1840</v>
      </c>
      <c r="G100" s="258">
        <v>9949000000</v>
      </c>
      <c r="H100" s="265">
        <v>0</v>
      </c>
      <c r="I100" s="258">
        <v>0</v>
      </c>
      <c r="J100" s="258">
        <v>9949000000</v>
      </c>
      <c r="K100" s="256" t="s">
        <v>1348</v>
      </c>
    </row>
    <row r="101" spans="1:11" x14ac:dyDescent="0.3">
      <c r="A101" s="256">
        <v>40</v>
      </c>
      <c r="B101" s="257" t="s">
        <v>1408</v>
      </c>
      <c r="C101" s="276">
        <v>44561</v>
      </c>
      <c r="D101" s="257" t="s">
        <v>1262</v>
      </c>
      <c r="E101" s="256" t="s">
        <v>1816</v>
      </c>
      <c r="F101" s="256" t="s">
        <v>1838</v>
      </c>
      <c r="G101" s="258">
        <v>9447000000</v>
      </c>
      <c r="H101" s="265">
        <v>0.1</v>
      </c>
      <c r="I101" s="258">
        <v>944700000</v>
      </c>
      <c r="J101" s="258">
        <v>10391700000</v>
      </c>
      <c r="K101" s="256" t="s">
        <v>1346</v>
      </c>
    </row>
    <row r="102" spans="1:11" x14ac:dyDescent="0.3">
      <c r="A102" s="256">
        <v>41</v>
      </c>
      <c r="B102" s="257" t="s">
        <v>1409</v>
      </c>
      <c r="C102" s="276">
        <v>44561</v>
      </c>
      <c r="D102" s="257" t="s">
        <v>1280</v>
      </c>
      <c r="E102" s="256" t="s">
        <v>1777</v>
      </c>
      <c r="F102" s="256" t="s">
        <v>1841</v>
      </c>
      <c r="G102" s="258">
        <v>10087000000</v>
      </c>
      <c r="H102" s="265">
        <v>0.1</v>
      </c>
      <c r="I102" s="258">
        <v>1008700000</v>
      </c>
      <c r="J102" s="258">
        <v>11095700000</v>
      </c>
      <c r="K102" s="256" t="s">
        <v>1346</v>
      </c>
    </row>
    <row r="103" spans="1:11" x14ac:dyDescent="0.3">
      <c r="A103" s="256">
        <v>42</v>
      </c>
      <c r="B103" s="257" t="s">
        <v>1411</v>
      </c>
      <c r="C103" s="276">
        <v>44561</v>
      </c>
      <c r="D103" s="257" t="s">
        <v>1263</v>
      </c>
      <c r="E103" s="256" t="s">
        <v>1790</v>
      </c>
      <c r="F103" s="256" t="s">
        <v>1841</v>
      </c>
      <c r="G103" s="258">
        <v>7710000000</v>
      </c>
      <c r="H103" s="265">
        <v>0.1</v>
      </c>
      <c r="I103" s="258">
        <v>771000000</v>
      </c>
      <c r="J103" s="258">
        <v>8481000000</v>
      </c>
      <c r="K103" s="256" t="s">
        <v>1346</v>
      </c>
    </row>
    <row r="104" spans="1:11" x14ac:dyDescent="0.3">
      <c r="A104" s="256">
        <v>43</v>
      </c>
      <c r="B104" s="257" t="s">
        <v>1414</v>
      </c>
      <c r="C104" s="276">
        <v>44561</v>
      </c>
      <c r="D104" s="257" t="s">
        <v>1279</v>
      </c>
      <c r="E104" s="256" t="s">
        <v>1827</v>
      </c>
      <c r="F104" s="256" t="s">
        <v>1839</v>
      </c>
      <c r="G104" s="258">
        <v>11812000000</v>
      </c>
      <c r="H104" s="265">
        <v>0.1</v>
      </c>
      <c r="I104" s="258">
        <v>1181200000</v>
      </c>
      <c r="J104" s="258">
        <v>12993200000</v>
      </c>
      <c r="K104" s="256" t="s">
        <v>1346</v>
      </c>
    </row>
    <row r="105" spans="1:11" x14ac:dyDescent="0.3">
      <c r="A105" s="256">
        <v>44</v>
      </c>
      <c r="B105" s="257" t="s">
        <v>1415</v>
      </c>
      <c r="C105" s="276">
        <v>44561</v>
      </c>
      <c r="D105" s="257" t="s">
        <v>1257</v>
      </c>
      <c r="E105" s="256" t="s">
        <v>1815</v>
      </c>
      <c r="F105" s="256" t="s">
        <v>1840</v>
      </c>
      <c r="G105" s="258">
        <v>7240000000</v>
      </c>
      <c r="H105" s="265">
        <v>0.1</v>
      </c>
      <c r="I105" s="258">
        <v>724000000</v>
      </c>
      <c r="J105" s="258">
        <v>7964000000</v>
      </c>
      <c r="K105" s="256" t="s">
        <v>1346</v>
      </c>
    </row>
    <row r="106" spans="1:11" x14ac:dyDescent="0.3">
      <c r="A106" s="256">
        <v>45</v>
      </c>
      <c r="B106" s="257" t="s">
        <v>1206</v>
      </c>
      <c r="C106" s="276">
        <v>44561</v>
      </c>
      <c r="D106" s="257" t="s">
        <v>1259</v>
      </c>
      <c r="E106" s="256" t="s">
        <v>1788</v>
      </c>
      <c r="F106" s="256" t="s">
        <v>1838</v>
      </c>
      <c r="G106" s="258">
        <v>6728000000</v>
      </c>
      <c r="H106" s="265">
        <v>0</v>
      </c>
      <c r="I106" s="258">
        <v>0</v>
      </c>
      <c r="J106" s="258">
        <v>6728000000</v>
      </c>
      <c r="K106" s="256" t="s">
        <v>1346</v>
      </c>
    </row>
    <row r="107" spans="1:11" x14ac:dyDescent="0.3">
      <c r="A107" s="256">
        <v>46</v>
      </c>
      <c r="B107" s="257" t="s">
        <v>1207</v>
      </c>
      <c r="C107" s="276">
        <v>44561</v>
      </c>
      <c r="D107" s="257" t="s">
        <v>1272</v>
      </c>
      <c r="E107" s="256" t="s">
        <v>1805</v>
      </c>
      <c r="F107" s="256" t="s">
        <v>1840</v>
      </c>
      <c r="G107" s="258">
        <v>12454000000</v>
      </c>
      <c r="H107" s="265">
        <v>0.1</v>
      </c>
      <c r="I107" s="258">
        <v>1245400000</v>
      </c>
      <c r="J107" s="258">
        <v>13699400000</v>
      </c>
      <c r="K107" s="256" t="s">
        <v>1346</v>
      </c>
    </row>
    <row r="108" spans="1:11" x14ac:dyDescent="0.3">
      <c r="A108" s="256">
        <v>47</v>
      </c>
      <c r="B108" s="257" t="s">
        <v>1208</v>
      </c>
      <c r="C108" s="276">
        <v>44561</v>
      </c>
      <c r="D108" s="257" t="s">
        <v>1303</v>
      </c>
      <c r="E108" s="256" t="s">
        <v>1817</v>
      </c>
      <c r="F108" s="256" t="s">
        <v>1839</v>
      </c>
      <c r="G108" s="258">
        <v>5944000000</v>
      </c>
      <c r="H108" s="265">
        <v>0</v>
      </c>
      <c r="I108" s="258">
        <v>0</v>
      </c>
      <c r="J108" s="258">
        <v>5944000000</v>
      </c>
      <c r="K108" s="256" t="s">
        <v>1346</v>
      </c>
    </row>
    <row r="109" spans="1:11" x14ac:dyDescent="0.3">
      <c r="A109" s="256">
        <v>48</v>
      </c>
      <c r="B109" s="257" t="s">
        <v>1209</v>
      </c>
      <c r="C109" s="276">
        <v>44561</v>
      </c>
      <c r="D109" s="257" t="s">
        <v>1302</v>
      </c>
      <c r="E109" s="256" t="s">
        <v>1784</v>
      </c>
      <c r="F109" s="256" t="s">
        <v>1838</v>
      </c>
      <c r="G109" s="258">
        <v>7464000000</v>
      </c>
      <c r="H109" s="265">
        <v>0.1</v>
      </c>
      <c r="I109" s="258">
        <v>746400000</v>
      </c>
      <c r="J109" s="258">
        <v>8210400000</v>
      </c>
      <c r="K109" s="256" t="s">
        <v>1348</v>
      </c>
    </row>
    <row r="110" spans="1:11" x14ac:dyDescent="0.3">
      <c r="A110" s="256">
        <v>49</v>
      </c>
      <c r="B110" s="257" t="s">
        <v>1418</v>
      </c>
      <c r="C110" s="276">
        <v>44561</v>
      </c>
      <c r="D110" s="257" t="s">
        <v>1266</v>
      </c>
      <c r="E110" s="256" t="s">
        <v>1824</v>
      </c>
      <c r="F110" s="256" t="s">
        <v>1838</v>
      </c>
      <c r="G110" s="258">
        <v>10641000000</v>
      </c>
      <c r="H110" s="265">
        <v>0.1</v>
      </c>
      <c r="I110" s="258">
        <v>1064100000</v>
      </c>
      <c r="J110" s="258">
        <v>11705100000</v>
      </c>
      <c r="K110" s="256" t="s">
        <v>1346</v>
      </c>
    </row>
    <row r="111" spans="1:11" x14ac:dyDescent="0.3">
      <c r="A111" s="256">
        <v>50</v>
      </c>
      <c r="B111" s="257" t="s">
        <v>1419</v>
      </c>
      <c r="C111" s="276">
        <v>44561</v>
      </c>
      <c r="D111" s="257" t="s">
        <v>1272</v>
      </c>
      <c r="E111" s="256" t="s">
        <v>1805</v>
      </c>
      <c r="F111" s="256" t="s">
        <v>1841</v>
      </c>
      <c r="G111" s="258">
        <v>6624000000</v>
      </c>
      <c r="H111" s="265">
        <v>0</v>
      </c>
      <c r="I111" s="258">
        <v>0</v>
      </c>
      <c r="J111" s="258">
        <v>6624000000</v>
      </c>
      <c r="K111" s="256" t="s">
        <v>1346</v>
      </c>
    </row>
    <row r="112" spans="1:11" x14ac:dyDescent="0.3">
      <c r="A112" s="266" t="s">
        <v>1351</v>
      </c>
      <c r="B112" s="266"/>
      <c r="C112" s="266"/>
      <c r="D112" s="266"/>
      <c r="E112" s="266"/>
      <c r="F112" s="266"/>
      <c r="G112" s="267">
        <f>SUM(G62:G111)</f>
        <v>497257000000</v>
      </c>
      <c r="H112" s="266"/>
      <c r="I112" s="267">
        <f>SUM(I62:I111)</f>
        <v>42964100000</v>
      </c>
      <c r="J112" s="267">
        <f>SUM(J62:J111)</f>
        <v>540221100000</v>
      </c>
      <c r="K112" s="266"/>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586</v>
      </c>
      <c r="C1" s="256"/>
      <c r="D1" s="256"/>
      <c r="E1" s="256"/>
      <c r="F1" s="256"/>
      <c r="G1" s="256"/>
      <c r="H1" s="256"/>
      <c r="I1" s="256"/>
      <c r="J1" s="256"/>
      <c r="K1" s="256"/>
    </row>
    <row r="2" spans="1:11" x14ac:dyDescent="0.3">
      <c r="A2" s="256" t="s">
        <v>1339</v>
      </c>
      <c r="B2" s="257">
        <v>102264812</v>
      </c>
      <c r="C2" s="256"/>
      <c r="D2" s="256"/>
      <c r="E2" s="256"/>
      <c r="F2" s="256"/>
      <c r="G2" s="256"/>
      <c r="H2" s="256"/>
      <c r="I2" s="256"/>
      <c r="J2" s="256"/>
      <c r="K2" s="256"/>
    </row>
    <row r="3" spans="1:11" x14ac:dyDescent="0.3">
      <c r="A3" s="256" t="s">
        <v>1343</v>
      </c>
      <c r="B3" s="258">
        <v>830555780828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1368</v>
      </c>
      <c r="C8" s="276">
        <v>44317</v>
      </c>
      <c r="D8" s="257" t="s">
        <v>1295</v>
      </c>
      <c r="E8" s="256" t="s">
        <v>1825</v>
      </c>
      <c r="F8" s="256" t="s">
        <v>1842</v>
      </c>
      <c r="G8" s="258">
        <v>17971000000</v>
      </c>
      <c r="H8" s="265">
        <v>0</v>
      </c>
      <c r="I8" s="258">
        <v>0</v>
      </c>
      <c r="J8" s="258">
        <v>17971000000</v>
      </c>
      <c r="K8" s="256" t="s">
        <v>1346</v>
      </c>
    </row>
    <row r="9" spans="1:11" x14ac:dyDescent="0.3">
      <c r="A9" s="256">
        <v>2</v>
      </c>
      <c r="B9" s="257" t="s">
        <v>1355</v>
      </c>
      <c r="C9" s="276">
        <v>44318</v>
      </c>
      <c r="D9" s="257" t="s">
        <v>1304</v>
      </c>
      <c r="E9" s="256" t="s">
        <v>1831</v>
      </c>
      <c r="F9" s="256" t="s">
        <v>1741</v>
      </c>
      <c r="G9" s="258">
        <v>11496000000</v>
      </c>
      <c r="H9" s="265">
        <v>0.1</v>
      </c>
      <c r="I9" s="258">
        <v>1149600000</v>
      </c>
      <c r="J9" s="258">
        <v>12645600000</v>
      </c>
      <c r="K9" s="256" t="s">
        <v>1348</v>
      </c>
    </row>
    <row r="10" spans="1:11" x14ac:dyDescent="0.3">
      <c r="A10" s="256">
        <v>3</v>
      </c>
      <c r="B10" s="257" t="s">
        <v>1203</v>
      </c>
      <c r="C10" s="276">
        <v>44472</v>
      </c>
      <c r="D10" s="257" t="s">
        <v>1282</v>
      </c>
      <c r="E10" s="256" t="s">
        <v>1789</v>
      </c>
      <c r="F10" s="256" t="s">
        <v>1842</v>
      </c>
      <c r="G10" s="258">
        <v>4927000000</v>
      </c>
      <c r="H10" s="265">
        <v>0.1</v>
      </c>
      <c r="I10" s="258">
        <v>492700000</v>
      </c>
      <c r="J10" s="258">
        <v>5419700000</v>
      </c>
      <c r="K10" s="256" t="s">
        <v>1346</v>
      </c>
    </row>
    <row r="11" spans="1:11" x14ac:dyDescent="0.3">
      <c r="A11" s="256">
        <v>4</v>
      </c>
      <c r="B11" s="257" t="s">
        <v>1202</v>
      </c>
      <c r="C11" s="276">
        <v>44473</v>
      </c>
      <c r="D11" s="257" t="s">
        <v>1294</v>
      </c>
      <c r="E11" s="256" t="s">
        <v>1795</v>
      </c>
      <c r="F11" s="256" t="s">
        <v>1741</v>
      </c>
      <c r="G11" s="258">
        <v>12594000000</v>
      </c>
      <c r="H11" s="265">
        <v>0.1</v>
      </c>
      <c r="I11" s="258">
        <v>1259400000</v>
      </c>
      <c r="J11" s="258">
        <v>13853400000</v>
      </c>
      <c r="K11" s="256" t="s">
        <v>1346</v>
      </c>
    </row>
    <row r="12" spans="1:11" x14ac:dyDescent="0.3">
      <c r="A12" s="256">
        <v>5</v>
      </c>
      <c r="B12" s="257" t="s">
        <v>1414</v>
      </c>
      <c r="C12" s="276">
        <v>44474</v>
      </c>
      <c r="D12" s="257" t="s">
        <v>1277</v>
      </c>
      <c r="E12" s="256" t="s">
        <v>1783</v>
      </c>
      <c r="F12" s="256" t="s">
        <v>1843</v>
      </c>
      <c r="G12" s="258">
        <v>11106000000</v>
      </c>
      <c r="H12" s="265">
        <v>0.1</v>
      </c>
      <c r="I12" s="258">
        <v>1110600000</v>
      </c>
      <c r="J12" s="258">
        <v>12216600000</v>
      </c>
      <c r="K12" s="256" t="s">
        <v>1348</v>
      </c>
    </row>
    <row r="13" spans="1:11" x14ac:dyDescent="0.3">
      <c r="A13" s="256">
        <v>6</v>
      </c>
      <c r="B13" s="257" t="s">
        <v>1360</v>
      </c>
      <c r="C13" s="276">
        <v>44475</v>
      </c>
      <c r="D13" s="257" t="s">
        <v>1300</v>
      </c>
      <c r="E13" s="256" t="s">
        <v>1818</v>
      </c>
      <c r="F13" s="256" t="s">
        <v>1844</v>
      </c>
      <c r="G13" s="258">
        <v>17202000000</v>
      </c>
      <c r="H13" s="265">
        <v>0</v>
      </c>
      <c r="I13" s="258">
        <v>0</v>
      </c>
      <c r="J13" s="258">
        <v>17202000000</v>
      </c>
      <c r="K13" s="256" t="s">
        <v>1346</v>
      </c>
    </row>
    <row r="14" spans="1:11" x14ac:dyDescent="0.3">
      <c r="A14" s="256">
        <v>7</v>
      </c>
      <c r="B14" s="257" t="s">
        <v>1356</v>
      </c>
      <c r="C14" s="276">
        <v>44476</v>
      </c>
      <c r="D14" s="257" t="s">
        <v>1298</v>
      </c>
      <c r="E14" s="256" t="s">
        <v>1819</v>
      </c>
      <c r="F14" s="256" t="s">
        <v>1844</v>
      </c>
      <c r="G14" s="258">
        <v>9417000000</v>
      </c>
      <c r="H14" s="265">
        <v>0</v>
      </c>
      <c r="I14" s="258">
        <v>0</v>
      </c>
      <c r="J14" s="258">
        <v>9417000000</v>
      </c>
      <c r="K14" s="256" t="s">
        <v>1346</v>
      </c>
    </row>
    <row r="15" spans="1:11" x14ac:dyDescent="0.3">
      <c r="A15" s="256">
        <v>8</v>
      </c>
      <c r="B15" s="257" t="s">
        <v>1396</v>
      </c>
      <c r="C15" s="276">
        <v>44477</v>
      </c>
      <c r="D15" s="257" t="s">
        <v>1272</v>
      </c>
      <c r="E15" s="256" t="s">
        <v>1805</v>
      </c>
      <c r="F15" s="256" t="s">
        <v>1842</v>
      </c>
      <c r="G15" s="258">
        <v>5158000000</v>
      </c>
      <c r="H15" s="265">
        <v>0.1</v>
      </c>
      <c r="I15" s="258">
        <v>515800000</v>
      </c>
      <c r="J15" s="258">
        <v>5673800000</v>
      </c>
      <c r="K15" s="256" t="s">
        <v>1346</v>
      </c>
    </row>
    <row r="16" spans="1:11" x14ac:dyDescent="0.3">
      <c r="A16" s="256">
        <v>9</v>
      </c>
      <c r="B16" s="257" t="s">
        <v>1414</v>
      </c>
      <c r="C16" s="276">
        <v>44478</v>
      </c>
      <c r="D16" s="257" t="s">
        <v>1284</v>
      </c>
      <c r="E16" s="256" t="s">
        <v>1786</v>
      </c>
      <c r="F16" s="256" t="s">
        <v>1842</v>
      </c>
      <c r="G16" s="258">
        <v>9466000000</v>
      </c>
      <c r="H16" s="265">
        <v>0</v>
      </c>
      <c r="I16" s="258">
        <v>0</v>
      </c>
      <c r="J16" s="258">
        <v>9466000000</v>
      </c>
      <c r="K16" s="256" t="s">
        <v>1346</v>
      </c>
    </row>
    <row r="17" spans="1:11" x14ac:dyDescent="0.3">
      <c r="A17" s="256">
        <v>10</v>
      </c>
      <c r="B17" s="257" t="s">
        <v>1415</v>
      </c>
      <c r="C17" s="276">
        <v>44479</v>
      </c>
      <c r="D17" s="257" t="s">
        <v>1284</v>
      </c>
      <c r="E17" s="256" t="s">
        <v>1786</v>
      </c>
      <c r="F17" s="256" t="s">
        <v>1741</v>
      </c>
      <c r="G17" s="258">
        <v>12341000000</v>
      </c>
      <c r="H17" s="265">
        <v>0.1</v>
      </c>
      <c r="I17" s="258">
        <v>1234100000</v>
      </c>
      <c r="J17" s="258">
        <v>13575100000</v>
      </c>
      <c r="K17" s="256" t="s">
        <v>1346</v>
      </c>
    </row>
    <row r="18" spans="1:11" x14ac:dyDescent="0.3">
      <c r="A18" s="256">
        <v>11</v>
      </c>
      <c r="B18" s="257" t="s">
        <v>1396</v>
      </c>
      <c r="C18" s="276">
        <v>44480</v>
      </c>
      <c r="D18" s="257" t="s">
        <v>1285</v>
      </c>
      <c r="E18" s="256" t="s">
        <v>1793</v>
      </c>
      <c r="F18" s="256" t="s">
        <v>1845</v>
      </c>
      <c r="G18" s="258">
        <v>16810000000</v>
      </c>
      <c r="H18" s="265">
        <v>0</v>
      </c>
      <c r="I18" s="258">
        <v>0</v>
      </c>
      <c r="J18" s="258">
        <v>16810000000</v>
      </c>
      <c r="K18" s="256" t="s">
        <v>1346</v>
      </c>
    </row>
    <row r="19" spans="1:11" x14ac:dyDescent="0.3">
      <c r="A19" s="256">
        <v>12</v>
      </c>
      <c r="B19" s="257" t="s">
        <v>1373</v>
      </c>
      <c r="C19" s="276">
        <v>44481</v>
      </c>
      <c r="D19" s="257" t="s">
        <v>1290</v>
      </c>
      <c r="E19" s="256" t="s">
        <v>1796</v>
      </c>
      <c r="F19" s="256" t="s">
        <v>1842</v>
      </c>
      <c r="G19" s="258">
        <v>17559000000</v>
      </c>
      <c r="H19" s="265">
        <v>0.1</v>
      </c>
      <c r="I19" s="258">
        <v>1755900000</v>
      </c>
      <c r="J19" s="258">
        <v>19314900000</v>
      </c>
      <c r="K19" s="256" t="s">
        <v>1346</v>
      </c>
    </row>
    <row r="20" spans="1:11" x14ac:dyDescent="0.3">
      <c r="A20" s="256">
        <v>13</v>
      </c>
      <c r="B20" s="257" t="s">
        <v>1403</v>
      </c>
      <c r="C20" s="276">
        <v>44211</v>
      </c>
      <c r="D20" s="257" t="s">
        <v>1259</v>
      </c>
      <c r="E20" s="256" t="s">
        <v>1788</v>
      </c>
      <c r="F20" s="256" t="s">
        <v>1845</v>
      </c>
      <c r="G20" s="258">
        <v>13618000000</v>
      </c>
      <c r="H20" s="265">
        <v>0.1</v>
      </c>
      <c r="I20" s="258">
        <v>1361800000</v>
      </c>
      <c r="J20" s="258">
        <v>14979800000</v>
      </c>
      <c r="K20" s="256" t="s">
        <v>1346</v>
      </c>
    </row>
    <row r="21" spans="1:11" x14ac:dyDescent="0.3">
      <c r="A21" s="256">
        <v>14</v>
      </c>
      <c r="B21" s="257" t="s">
        <v>1364</v>
      </c>
      <c r="C21" s="276">
        <v>44242</v>
      </c>
      <c r="D21" s="257" t="s">
        <v>1261</v>
      </c>
      <c r="E21" s="256" t="s">
        <v>1813</v>
      </c>
      <c r="F21" s="256" t="s">
        <v>1842</v>
      </c>
      <c r="G21" s="258">
        <v>18085000000</v>
      </c>
      <c r="H21" s="265">
        <v>0.1</v>
      </c>
      <c r="I21" s="258">
        <v>1808500000</v>
      </c>
      <c r="J21" s="258">
        <v>19893500000</v>
      </c>
      <c r="K21" s="256" t="s">
        <v>1346</v>
      </c>
    </row>
    <row r="22" spans="1:11" x14ac:dyDescent="0.3">
      <c r="A22" s="256">
        <v>15</v>
      </c>
      <c r="B22" s="257" t="s">
        <v>1406</v>
      </c>
      <c r="C22" s="276">
        <v>44275</v>
      </c>
      <c r="D22" s="257" t="s">
        <v>1276</v>
      </c>
      <c r="E22" s="256" t="s">
        <v>1822</v>
      </c>
      <c r="F22" s="256" t="s">
        <v>1843</v>
      </c>
      <c r="G22" s="258">
        <v>13684000000</v>
      </c>
      <c r="H22" s="265">
        <v>0.1</v>
      </c>
      <c r="I22" s="258">
        <v>1368400000</v>
      </c>
      <c r="J22" s="258">
        <v>15052400000</v>
      </c>
      <c r="K22" s="256" t="s">
        <v>1346</v>
      </c>
    </row>
    <row r="23" spans="1:11" x14ac:dyDescent="0.3">
      <c r="A23" s="256">
        <v>16</v>
      </c>
      <c r="B23" s="257" t="s">
        <v>1408</v>
      </c>
      <c r="C23" s="276">
        <v>44306</v>
      </c>
      <c r="D23" s="257" t="s">
        <v>1276</v>
      </c>
      <c r="E23" s="256" t="s">
        <v>1822</v>
      </c>
      <c r="F23" s="256" t="s">
        <v>1844</v>
      </c>
      <c r="G23" s="258">
        <v>6498000000</v>
      </c>
      <c r="H23" s="265">
        <v>0.1</v>
      </c>
      <c r="I23" s="258">
        <v>649800000</v>
      </c>
      <c r="J23" s="258">
        <v>7147800000</v>
      </c>
      <c r="K23" s="256" t="s">
        <v>1346</v>
      </c>
    </row>
    <row r="24" spans="1:11" x14ac:dyDescent="0.3">
      <c r="A24" s="256">
        <v>17</v>
      </c>
      <c r="B24" s="257" t="s">
        <v>1406</v>
      </c>
      <c r="C24" s="276">
        <v>44336</v>
      </c>
      <c r="D24" s="257" t="s">
        <v>1279</v>
      </c>
      <c r="E24" s="256" t="s">
        <v>1827</v>
      </c>
      <c r="F24" s="256" t="s">
        <v>1845</v>
      </c>
      <c r="G24" s="258">
        <v>9689000000</v>
      </c>
      <c r="H24" s="265">
        <v>0.1</v>
      </c>
      <c r="I24" s="258">
        <v>968900000</v>
      </c>
      <c r="J24" s="258">
        <v>10657900000</v>
      </c>
      <c r="K24" s="256" t="s">
        <v>1346</v>
      </c>
    </row>
    <row r="25" spans="1:11" x14ac:dyDescent="0.3">
      <c r="A25" s="256">
        <v>18</v>
      </c>
      <c r="B25" s="257" t="s">
        <v>1397</v>
      </c>
      <c r="C25" s="276">
        <v>44367</v>
      </c>
      <c r="D25" s="257" t="s">
        <v>1272</v>
      </c>
      <c r="E25" s="256" t="s">
        <v>1805</v>
      </c>
      <c r="F25" s="256" t="s">
        <v>1846</v>
      </c>
      <c r="G25" s="258">
        <v>15232000000</v>
      </c>
      <c r="H25" s="265">
        <v>0.1</v>
      </c>
      <c r="I25" s="258">
        <v>1523200000</v>
      </c>
      <c r="J25" s="258">
        <v>16755200000</v>
      </c>
      <c r="K25" s="256" t="s">
        <v>1346</v>
      </c>
    </row>
    <row r="26" spans="1:11" x14ac:dyDescent="0.3">
      <c r="A26" s="256">
        <v>19</v>
      </c>
      <c r="B26" s="257" t="s">
        <v>1358</v>
      </c>
      <c r="C26" s="276">
        <v>44397</v>
      </c>
      <c r="D26" s="257" t="s">
        <v>1299</v>
      </c>
      <c r="E26" s="256" t="s">
        <v>1776</v>
      </c>
      <c r="F26" s="256" t="s">
        <v>1843</v>
      </c>
      <c r="G26" s="258">
        <v>14949000000</v>
      </c>
      <c r="H26" s="265">
        <v>0</v>
      </c>
      <c r="I26" s="258">
        <v>0</v>
      </c>
      <c r="J26" s="258">
        <v>14949000000</v>
      </c>
      <c r="K26" s="256" t="s">
        <v>1346</v>
      </c>
    </row>
    <row r="27" spans="1:11" x14ac:dyDescent="0.3">
      <c r="A27" s="256">
        <v>20</v>
      </c>
      <c r="B27" s="257" t="s">
        <v>1362</v>
      </c>
      <c r="C27" s="276">
        <v>44428</v>
      </c>
      <c r="D27" s="257" t="s">
        <v>1300</v>
      </c>
      <c r="E27" s="256" t="s">
        <v>1818</v>
      </c>
      <c r="F27" s="256" t="s">
        <v>1845</v>
      </c>
      <c r="G27" s="258">
        <v>15319000000</v>
      </c>
      <c r="H27" s="265">
        <v>0.1</v>
      </c>
      <c r="I27" s="258">
        <v>1531900000</v>
      </c>
      <c r="J27" s="258">
        <v>16850900000</v>
      </c>
      <c r="K27" s="256" t="s">
        <v>1346</v>
      </c>
    </row>
    <row r="28" spans="1:11" x14ac:dyDescent="0.3">
      <c r="A28" s="256">
        <v>21</v>
      </c>
      <c r="B28" s="257" t="s">
        <v>1364</v>
      </c>
      <c r="C28" s="276">
        <v>44459</v>
      </c>
      <c r="D28" s="257" t="s">
        <v>1302</v>
      </c>
      <c r="E28" s="256" t="s">
        <v>1784</v>
      </c>
      <c r="F28" s="256" t="s">
        <v>1845</v>
      </c>
      <c r="G28" s="258">
        <v>7515000000</v>
      </c>
      <c r="H28" s="265">
        <v>0.1</v>
      </c>
      <c r="I28" s="258">
        <v>751500000</v>
      </c>
      <c r="J28" s="258">
        <v>8266500000</v>
      </c>
      <c r="K28" s="256" t="s">
        <v>1346</v>
      </c>
    </row>
    <row r="29" spans="1:11" x14ac:dyDescent="0.3">
      <c r="A29" s="256">
        <v>22</v>
      </c>
      <c r="B29" s="257" t="s">
        <v>1360</v>
      </c>
      <c r="C29" s="276">
        <v>44489</v>
      </c>
      <c r="D29" s="257" t="s">
        <v>1299</v>
      </c>
      <c r="E29" s="256" t="s">
        <v>1776</v>
      </c>
      <c r="F29" s="256" t="s">
        <v>1741</v>
      </c>
      <c r="G29" s="258">
        <v>6780000000</v>
      </c>
      <c r="H29" s="265">
        <v>0.1</v>
      </c>
      <c r="I29" s="258">
        <v>678000000</v>
      </c>
      <c r="J29" s="258">
        <v>7458000000</v>
      </c>
      <c r="K29" s="256" t="s">
        <v>1346</v>
      </c>
    </row>
    <row r="30" spans="1:11" x14ac:dyDescent="0.3">
      <c r="A30" s="256">
        <v>23</v>
      </c>
      <c r="B30" s="257" t="s">
        <v>1355</v>
      </c>
      <c r="C30" s="276">
        <v>44520</v>
      </c>
      <c r="D30" s="257" t="s">
        <v>1294</v>
      </c>
      <c r="E30" s="256" t="s">
        <v>1795</v>
      </c>
      <c r="F30" s="256" t="s">
        <v>1741</v>
      </c>
      <c r="G30" s="258">
        <v>9337000000</v>
      </c>
      <c r="H30" s="265">
        <v>0.1</v>
      </c>
      <c r="I30" s="258">
        <v>933700000</v>
      </c>
      <c r="J30" s="258">
        <v>10270700000</v>
      </c>
      <c r="K30" s="256" t="s">
        <v>1346</v>
      </c>
    </row>
    <row r="31" spans="1:11" x14ac:dyDescent="0.3">
      <c r="A31" s="256">
        <v>24</v>
      </c>
      <c r="B31" s="257" t="s">
        <v>1391</v>
      </c>
      <c r="C31" s="276">
        <v>44550</v>
      </c>
      <c r="D31" s="257" t="s">
        <v>1270</v>
      </c>
      <c r="E31" s="256" t="s">
        <v>1782</v>
      </c>
      <c r="F31" s="256" t="s">
        <v>1844</v>
      </c>
      <c r="G31" s="258">
        <v>14992000000</v>
      </c>
      <c r="H31" s="265">
        <v>0.1</v>
      </c>
      <c r="I31" s="258">
        <v>1499200000</v>
      </c>
      <c r="J31" s="258">
        <v>16491200000</v>
      </c>
      <c r="K31" s="256" t="s">
        <v>1348</v>
      </c>
    </row>
    <row r="32" spans="1:11" x14ac:dyDescent="0.3">
      <c r="A32" s="256">
        <v>25</v>
      </c>
      <c r="B32" s="257" t="s">
        <v>1371</v>
      </c>
      <c r="C32" s="276">
        <v>44221</v>
      </c>
      <c r="D32" s="257" t="s">
        <v>1295</v>
      </c>
      <c r="E32" s="256" t="s">
        <v>1825</v>
      </c>
      <c r="F32" s="256" t="s">
        <v>1741</v>
      </c>
      <c r="G32" s="258">
        <v>13447000000</v>
      </c>
      <c r="H32" s="265">
        <v>0.1</v>
      </c>
      <c r="I32" s="258">
        <v>1344700000</v>
      </c>
      <c r="J32" s="258">
        <v>14791700000</v>
      </c>
      <c r="K32" s="256" t="s">
        <v>1346</v>
      </c>
    </row>
    <row r="33" spans="1:11" x14ac:dyDescent="0.3">
      <c r="A33" s="256">
        <v>26</v>
      </c>
      <c r="B33" s="257" t="s">
        <v>1396</v>
      </c>
      <c r="C33" s="276">
        <v>44255</v>
      </c>
      <c r="D33" s="257" t="s">
        <v>1283</v>
      </c>
      <c r="E33" s="256" t="s">
        <v>1798</v>
      </c>
      <c r="F33" s="256" t="s">
        <v>1845</v>
      </c>
      <c r="G33" s="258">
        <v>13956000000</v>
      </c>
      <c r="H33" s="265">
        <v>0.1</v>
      </c>
      <c r="I33" s="258">
        <v>1395600000</v>
      </c>
      <c r="J33" s="258">
        <v>15351600000</v>
      </c>
      <c r="K33" s="256" t="s">
        <v>1348</v>
      </c>
    </row>
    <row r="34" spans="1:11" x14ac:dyDescent="0.3">
      <c r="A34" s="256">
        <v>27</v>
      </c>
      <c r="B34" s="257" t="s">
        <v>1383</v>
      </c>
      <c r="C34" s="276">
        <v>44316</v>
      </c>
      <c r="D34" s="257" t="s">
        <v>1257</v>
      </c>
      <c r="E34" s="256" t="s">
        <v>1815</v>
      </c>
      <c r="F34" s="256" t="s">
        <v>1842</v>
      </c>
      <c r="G34" s="258">
        <v>5063000000</v>
      </c>
      <c r="H34" s="265">
        <v>0.1</v>
      </c>
      <c r="I34" s="258">
        <v>506300000</v>
      </c>
      <c r="J34" s="258">
        <v>5569300000</v>
      </c>
      <c r="K34" s="256" t="s">
        <v>1346</v>
      </c>
    </row>
    <row r="35" spans="1:11" x14ac:dyDescent="0.3">
      <c r="A35" s="256">
        <v>28</v>
      </c>
      <c r="B35" s="257" t="s">
        <v>1401</v>
      </c>
      <c r="C35" s="276">
        <v>44377</v>
      </c>
      <c r="D35" s="257" t="s">
        <v>1260</v>
      </c>
      <c r="E35" s="256" t="s">
        <v>1804</v>
      </c>
      <c r="F35" s="256" t="s">
        <v>1845</v>
      </c>
      <c r="G35" s="258">
        <v>9249000000</v>
      </c>
      <c r="H35" s="265">
        <v>0.1</v>
      </c>
      <c r="I35" s="258">
        <v>924900000</v>
      </c>
      <c r="J35" s="258">
        <v>10173900000</v>
      </c>
      <c r="K35" s="256" t="s">
        <v>1346</v>
      </c>
    </row>
    <row r="36" spans="1:11" x14ac:dyDescent="0.3">
      <c r="A36" s="256">
        <v>29</v>
      </c>
      <c r="B36" s="257" t="s">
        <v>1356</v>
      </c>
      <c r="C36" s="276">
        <v>44469</v>
      </c>
      <c r="D36" s="257" t="s">
        <v>1304</v>
      </c>
      <c r="E36" s="256" t="s">
        <v>1831</v>
      </c>
      <c r="F36" s="256" t="s">
        <v>1843</v>
      </c>
      <c r="G36" s="258">
        <v>12484000000</v>
      </c>
      <c r="H36" s="265">
        <v>0.1</v>
      </c>
      <c r="I36" s="258">
        <v>1248400000</v>
      </c>
      <c r="J36" s="258">
        <v>13732400000</v>
      </c>
      <c r="K36" s="256" t="s">
        <v>1346</v>
      </c>
    </row>
    <row r="37" spans="1:11" x14ac:dyDescent="0.3">
      <c r="A37" s="256">
        <v>30</v>
      </c>
      <c r="B37" s="257" t="s">
        <v>1402</v>
      </c>
      <c r="C37" s="276">
        <v>44530</v>
      </c>
      <c r="D37" s="257" t="s">
        <v>1260</v>
      </c>
      <c r="E37" s="256" t="s">
        <v>1804</v>
      </c>
      <c r="F37" s="256" t="s">
        <v>1741</v>
      </c>
      <c r="G37" s="258">
        <v>12958000000</v>
      </c>
      <c r="H37" s="265">
        <v>0.1</v>
      </c>
      <c r="I37" s="258">
        <v>1295800000</v>
      </c>
      <c r="J37" s="258">
        <v>14253800000</v>
      </c>
      <c r="K37" s="256" t="s">
        <v>1346</v>
      </c>
    </row>
    <row r="38" spans="1:11" x14ac:dyDescent="0.3">
      <c r="A38" s="256">
        <v>31</v>
      </c>
      <c r="B38" s="257" t="s">
        <v>1203</v>
      </c>
      <c r="C38" s="276">
        <v>44286</v>
      </c>
      <c r="D38" s="257" t="s">
        <v>1257</v>
      </c>
      <c r="E38" s="256" t="s">
        <v>1815</v>
      </c>
      <c r="F38" s="256" t="s">
        <v>1844</v>
      </c>
      <c r="G38" s="258">
        <v>18358000000</v>
      </c>
      <c r="H38" s="265">
        <v>0.1</v>
      </c>
      <c r="I38" s="258">
        <v>1835800000</v>
      </c>
      <c r="J38" s="258">
        <v>20193800000</v>
      </c>
      <c r="K38" s="256" t="s">
        <v>1346</v>
      </c>
    </row>
    <row r="39" spans="1:11" x14ac:dyDescent="0.3">
      <c r="A39" s="256">
        <v>32</v>
      </c>
      <c r="B39" s="257" t="s">
        <v>1368</v>
      </c>
      <c r="C39" s="276">
        <v>44347</v>
      </c>
      <c r="D39" s="257" t="s">
        <v>1288</v>
      </c>
      <c r="E39" s="256" t="s">
        <v>1797</v>
      </c>
      <c r="F39" s="256" t="s">
        <v>1844</v>
      </c>
      <c r="G39" s="258">
        <v>16899000000</v>
      </c>
      <c r="H39" s="265">
        <v>0.1</v>
      </c>
      <c r="I39" s="258">
        <v>1689900000</v>
      </c>
      <c r="J39" s="258">
        <v>18588900000</v>
      </c>
      <c r="K39" s="256" t="s">
        <v>1346</v>
      </c>
    </row>
    <row r="40" spans="1:11" x14ac:dyDescent="0.3">
      <c r="A40" s="256">
        <v>33</v>
      </c>
      <c r="B40" s="257" t="s">
        <v>1399</v>
      </c>
      <c r="C40" s="276">
        <v>44408</v>
      </c>
      <c r="D40" s="257" t="s">
        <v>1268</v>
      </c>
      <c r="E40" s="256" t="s">
        <v>1821</v>
      </c>
      <c r="F40" s="256" t="s">
        <v>1844</v>
      </c>
      <c r="G40" s="258">
        <v>6403000000</v>
      </c>
      <c r="H40" s="265">
        <v>0</v>
      </c>
      <c r="I40" s="258">
        <v>0</v>
      </c>
      <c r="J40" s="258">
        <v>6403000000</v>
      </c>
      <c r="K40" s="256" t="s">
        <v>1346</v>
      </c>
    </row>
    <row r="41" spans="1:11" x14ac:dyDescent="0.3">
      <c r="A41" s="256">
        <v>34</v>
      </c>
      <c r="B41" s="257" t="s">
        <v>1366</v>
      </c>
      <c r="C41" s="276">
        <v>44439</v>
      </c>
      <c r="D41" s="257" t="s">
        <v>1292</v>
      </c>
      <c r="E41" s="256" t="s">
        <v>1792</v>
      </c>
      <c r="F41" s="256" t="s">
        <v>1842</v>
      </c>
      <c r="G41" s="258">
        <v>11441000000</v>
      </c>
      <c r="H41" s="265">
        <v>0.1</v>
      </c>
      <c r="I41" s="258">
        <v>1144100000</v>
      </c>
      <c r="J41" s="258">
        <v>12585100000</v>
      </c>
      <c r="K41" s="256" t="s">
        <v>1346</v>
      </c>
    </row>
    <row r="42" spans="1:11" x14ac:dyDescent="0.3">
      <c r="A42" s="256">
        <v>35</v>
      </c>
      <c r="B42" s="257" t="s">
        <v>1408</v>
      </c>
      <c r="C42" s="276">
        <v>44500</v>
      </c>
      <c r="D42" s="257" t="s">
        <v>1279</v>
      </c>
      <c r="E42" s="256" t="s">
        <v>1827</v>
      </c>
      <c r="F42" s="256" t="s">
        <v>1844</v>
      </c>
      <c r="G42" s="258">
        <v>16325000000</v>
      </c>
      <c r="H42" s="265">
        <v>0.1</v>
      </c>
      <c r="I42" s="258">
        <v>1632500000</v>
      </c>
      <c r="J42" s="258">
        <v>17957500000</v>
      </c>
      <c r="K42" s="256" t="s">
        <v>1346</v>
      </c>
    </row>
    <row r="43" spans="1:11" x14ac:dyDescent="0.3">
      <c r="A43" s="256">
        <v>36</v>
      </c>
      <c r="B43" s="257" t="s">
        <v>1358</v>
      </c>
      <c r="C43" s="276">
        <v>44561</v>
      </c>
      <c r="D43" s="257" t="s">
        <v>1304</v>
      </c>
      <c r="E43" s="256" t="s">
        <v>1831</v>
      </c>
      <c r="F43" s="256" t="s">
        <v>1843</v>
      </c>
      <c r="G43" s="258">
        <v>17710000000</v>
      </c>
      <c r="H43" s="265">
        <v>0.1</v>
      </c>
      <c r="I43" s="258">
        <v>1771000000</v>
      </c>
      <c r="J43" s="258">
        <v>19481000000</v>
      </c>
      <c r="K43" s="256" t="s">
        <v>1346</v>
      </c>
    </row>
    <row r="44" spans="1:11" x14ac:dyDescent="0.3">
      <c r="A44" s="256">
        <v>37</v>
      </c>
      <c r="B44" s="257" t="s">
        <v>1364</v>
      </c>
      <c r="C44" s="276">
        <v>44561</v>
      </c>
      <c r="D44" s="257" t="s">
        <v>1300</v>
      </c>
      <c r="E44" s="256" t="s">
        <v>1818</v>
      </c>
      <c r="F44" s="256" t="s">
        <v>1843</v>
      </c>
      <c r="G44" s="258">
        <v>13916000000</v>
      </c>
      <c r="H44" s="265">
        <v>0.1</v>
      </c>
      <c r="I44" s="258">
        <v>1391600000</v>
      </c>
      <c r="J44" s="258">
        <v>15307600000</v>
      </c>
      <c r="K44" s="256" t="s">
        <v>1348</v>
      </c>
    </row>
    <row r="45" spans="1:11" x14ac:dyDescent="0.3">
      <c r="A45" s="256">
        <v>38</v>
      </c>
      <c r="B45" s="257" t="s">
        <v>1368</v>
      </c>
      <c r="C45" s="276">
        <v>44561</v>
      </c>
      <c r="D45" s="257" t="s">
        <v>1292</v>
      </c>
      <c r="E45" s="256" t="s">
        <v>1792</v>
      </c>
      <c r="F45" s="256" t="s">
        <v>1846</v>
      </c>
      <c r="G45" s="258">
        <v>9734000000</v>
      </c>
      <c r="H45" s="265">
        <v>0.1</v>
      </c>
      <c r="I45" s="258">
        <v>973400000</v>
      </c>
      <c r="J45" s="258">
        <v>10707400000</v>
      </c>
      <c r="K45" s="256" t="s">
        <v>1346</v>
      </c>
    </row>
    <row r="46" spans="1:11" x14ac:dyDescent="0.3">
      <c r="A46" s="256">
        <v>39</v>
      </c>
      <c r="B46" s="257" t="s">
        <v>1360</v>
      </c>
      <c r="C46" s="276">
        <v>44561</v>
      </c>
      <c r="D46" s="257" t="s">
        <v>1304</v>
      </c>
      <c r="E46" s="256" t="s">
        <v>1831</v>
      </c>
      <c r="F46" s="256" t="s">
        <v>1844</v>
      </c>
      <c r="G46" s="258">
        <v>8846000000</v>
      </c>
      <c r="H46" s="265">
        <v>0.1</v>
      </c>
      <c r="I46" s="258">
        <v>884600000</v>
      </c>
      <c r="J46" s="258">
        <v>9730600000</v>
      </c>
      <c r="K46" s="256" t="s">
        <v>1348</v>
      </c>
    </row>
    <row r="47" spans="1:11" x14ac:dyDescent="0.3">
      <c r="A47" s="256">
        <v>40</v>
      </c>
      <c r="B47" s="257" t="s">
        <v>1404</v>
      </c>
      <c r="C47" s="276">
        <v>44561</v>
      </c>
      <c r="D47" s="257" t="s">
        <v>1263</v>
      </c>
      <c r="E47" s="256" t="s">
        <v>1790</v>
      </c>
      <c r="F47" s="256" t="s">
        <v>1845</v>
      </c>
      <c r="G47" s="258">
        <v>6906000000</v>
      </c>
      <c r="H47" s="265">
        <v>0.1</v>
      </c>
      <c r="I47" s="258">
        <v>690600000</v>
      </c>
      <c r="J47" s="258">
        <v>7596600000</v>
      </c>
      <c r="K47" s="256" t="s">
        <v>1346</v>
      </c>
    </row>
    <row r="48" spans="1:11" x14ac:dyDescent="0.3">
      <c r="A48" s="256">
        <v>41</v>
      </c>
      <c r="B48" s="257" t="s">
        <v>1397</v>
      </c>
      <c r="C48" s="276">
        <v>44561</v>
      </c>
      <c r="D48" s="257" t="s">
        <v>1285</v>
      </c>
      <c r="E48" s="256" t="s">
        <v>1793</v>
      </c>
      <c r="F48" s="256" t="s">
        <v>1741</v>
      </c>
      <c r="G48" s="258">
        <v>5241000000</v>
      </c>
      <c r="H48" s="265">
        <v>0.1</v>
      </c>
      <c r="I48" s="258">
        <v>524100000</v>
      </c>
      <c r="J48" s="258">
        <v>5765100000</v>
      </c>
      <c r="K48" s="256" t="s">
        <v>1346</v>
      </c>
    </row>
    <row r="49" spans="1:11" x14ac:dyDescent="0.3">
      <c r="A49" s="256">
        <v>42</v>
      </c>
      <c r="B49" s="257" t="s">
        <v>1397</v>
      </c>
      <c r="C49" s="276">
        <v>44561</v>
      </c>
      <c r="D49" s="257" t="s">
        <v>1283</v>
      </c>
      <c r="E49" s="256" t="s">
        <v>1798</v>
      </c>
      <c r="F49" s="256" t="s">
        <v>1741</v>
      </c>
      <c r="G49" s="258">
        <v>14821000000</v>
      </c>
      <c r="H49" s="265">
        <v>0.1</v>
      </c>
      <c r="I49" s="258">
        <v>1482100000</v>
      </c>
      <c r="J49" s="258">
        <v>16303100000</v>
      </c>
      <c r="K49" s="256" t="s">
        <v>1346</v>
      </c>
    </row>
    <row r="50" spans="1:11" x14ac:dyDescent="0.3">
      <c r="A50" s="256">
        <v>43</v>
      </c>
      <c r="B50" s="257" t="s">
        <v>1392</v>
      </c>
      <c r="C50" s="276">
        <v>44561</v>
      </c>
      <c r="D50" s="257" t="s">
        <v>1270</v>
      </c>
      <c r="E50" s="256" t="s">
        <v>1782</v>
      </c>
      <c r="F50" s="256" t="s">
        <v>1843</v>
      </c>
      <c r="G50" s="258">
        <v>16750000000</v>
      </c>
      <c r="H50" s="265">
        <v>0.1</v>
      </c>
      <c r="I50" s="258">
        <v>1675000000</v>
      </c>
      <c r="J50" s="258">
        <v>18425000000</v>
      </c>
      <c r="K50" s="256" t="s">
        <v>1346</v>
      </c>
    </row>
    <row r="51" spans="1:11" x14ac:dyDescent="0.3">
      <c r="A51" s="256">
        <v>44</v>
      </c>
      <c r="B51" s="257" t="s">
        <v>1366</v>
      </c>
      <c r="C51" s="276">
        <v>44561</v>
      </c>
      <c r="D51" s="257" t="s">
        <v>1302</v>
      </c>
      <c r="E51" s="256" t="s">
        <v>1784</v>
      </c>
      <c r="F51" s="256" t="s">
        <v>1741</v>
      </c>
      <c r="G51" s="258">
        <v>12906000000</v>
      </c>
      <c r="H51" s="265">
        <v>0.1</v>
      </c>
      <c r="I51" s="258">
        <v>1290600000</v>
      </c>
      <c r="J51" s="258">
        <v>14196600000</v>
      </c>
      <c r="K51" s="256" t="s">
        <v>1346</v>
      </c>
    </row>
    <row r="52" spans="1:11" x14ac:dyDescent="0.3">
      <c r="A52" s="256">
        <v>45</v>
      </c>
      <c r="B52" s="257" t="s">
        <v>1397</v>
      </c>
      <c r="C52" s="276">
        <v>44561</v>
      </c>
      <c r="D52" s="257" t="s">
        <v>1262</v>
      </c>
      <c r="E52" s="256" t="s">
        <v>1816</v>
      </c>
      <c r="F52" s="256" t="s">
        <v>1845</v>
      </c>
      <c r="G52" s="258">
        <v>10660000000</v>
      </c>
      <c r="H52" s="265">
        <v>0.1</v>
      </c>
      <c r="I52" s="258">
        <v>1066000000</v>
      </c>
      <c r="J52" s="258">
        <v>11726000000</v>
      </c>
      <c r="K52" s="256" t="s">
        <v>1348</v>
      </c>
    </row>
    <row r="53" spans="1:11" x14ac:dyDescent="0.3">
      <c r="A53" s="256">
        <v>46</v>
      </c>
      <c r="B53" s="257" t="s">
        <v>1366</v>
      </c>
      <c r="C53" s="276">
        <v>44561</v>
      </c>
      <c r="D53" s="257" t="s">
        <v>1261</v>
      </c>
      <c r="E53" s="256" t="s">
        <v>1813</v>
      </c>
      <c r="F53" s="256" t="s">
        <v>1846</v>
      </c>
      <c r="G53" s="258">
        <v>10669000000</v>
      </c>
      <c r="H53" s="265">
        <v>0.1</v>
      </c>
      <c r="I53" s="258">
        <v>1066900000</v>
      </c>
      <c r="J53" s="258">
        <v>11735900000</v>
      </c>
      <c r="K53" s="256" t="s">
        <v>1346</v>
      </c>
    </row>
    <row r="54" spans="1:11" x14ac:dyDescent="0.3">
      <c r="A54" s="256">
        <v>47</v>
      </c>
      <c r="B54" s="257" t="s">
        <v>1403</v>
      </c>
      <c r="C54" s="276">
        <v>44561</v>
      </c>
      <c r="D54" s="257" t="s">
        <v>1260</v>
      </c>
      <c r="E54" s="256" t="s">
        <v>1804</v>
      </c>
      <c r="F54" s="256" t="s">
        <v>1844</v>
      </c>
      <c r="G54" s="258">
        <v>14214000000</v>
      </c>
      <c r="H54" s="265">
        <v>0.1</v>
      </c>
      <c r="I54" s="258">
        <v>1421400000</v>
      </c>
      <c r="J54" s="258">
        <v>15635400000</v>
      </c>
      <c r="K54" s="256" t="s">
        <v>1346</v>
      </c>
    </row>
    <row r="55" spans="1:11" x14ac:dyDescent="0.3">
      <c r="A55" s="256">
        <v>48</v>
      </c>
      <c r="B55" s="257" t="s">
        <v>1368</v>
      </c>
      <c r="C55" s="276">
        <v>44561</v>
      </c>
      <c r="D55" s="257" t="s">
        <v>1302</v>
      </c>
      <c r="E55" s="256" t="s">
        <v>1784</v>
      </c>
      <c r="F55" s="256" t="s">
        <v>1844</v>
      </c>
      <c r="G55" s="258">
        <v>17076000000</v>
      </c>
      <c r="H55" s="265">
        <v>0.1</v>
      </c>
      <c r="I55" s="258">
        <v>1707600000</v>
      </c>
      <c r="J55" s="258">
        <v>18783600000</v>
      </c>
      <c r="K55" s="256" t="s">
        <v>1346</v>
      </c>
    </row>
    <row r="56" spans="1:11" x14ac:dyDescent="0.3">
      <c r="A56" s="256">
        <v>49</v>
      </c>
      <c r="B56" s="257" t="s">
        <v>1374</v>
      </c>
      <c r="C56" s="276">
        <v>44561</v>
      </c>
      <c r="D56" s="257" t="s">
        <v>1290</v>
      </c>
      <c r="E56" s="256" t="s">
        <v>1796</v>
      </c>
      <c r="F56" s="256" t="s">
        <v>1842</v>
      </c>
      <c r="G56" s="258">
        <v>15624000000</v>
      </c>
      <c r="H56" s="265">
        <v>0.1</v>
      </c>
      <c r="I56" s="258">
        <v>1562400000</v>
      </c>
      <c r="J56" s="258">
        <v>17186400000</v>
      </c>
      <c r="K56" s="256" t="s">
        <v>1346</v>
      </c>
    </row>
    <row r="57" spans="1:11" x14ac:dyDescent="0.3">
      <c r="A57" s="256">
        <v>50</v>
      </c>
      <c r="B57" s="257" t="s">
        <v>1404</v>
      </c>
      <c r="C57" s="276">
        <v>44561</v>
      </c>
      <c r="D57" s="257" t="s">
        <v>1260</v>
      </c>
      <c r="E57" s="256" t="s">
        <v>1804</v>
      </c>
      <c r="F57" s="256" t="s">
        <v>1846</v>
      </c>
      <c r="G57" s="258">
        <v>6155000000</v>
      </c>
      <c r="H57" s="265">
        <v>0</v>
      </c>
      <c r="I57" s="258">
        <v>0</v>
      </c>
      <c r="J57" s="258">
        <v>6155000000</v>
      </c>
      <c r="K57" s="256" t="s">
        <v>1346</v>
      </c>
    </row>
    <row r="58" spans="1:11" x14ac:dyDescent="0.3">
      <c r="A58" s="266" t="s">
        <v>1351</v>
      </c>
      <c r="B58" s="266"/>
      <c r="C58" s="266"/>
      <c r="D58" s="266"/>
      <c r="E58" s="266"/>
      <c r="F58" s="266"/>
      <c r="G58" s="267">
        <f>SUM(G8:G57)</f>
        <v>609556000000</v>
      </c>
      <c r="H58" s="266"/>
      <c r="I58" s="267">
        <f>SUM(I8:I57)</f>
        <v>51118300000</v>
      </c>
      <c r="J58" s="267">
        <f>SUM(J8:J57)</f>
        <v>660674300000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1762</v>
      </c>
      <c r="G62" s="258">
        <v>12096000000</v>
      </c>
      <c r="H62" s="265">
        <v>0.1</v>
      </c>
      <c r="I62" s="258">
        <v>1209600000</v>
      </c>
      <c r="J62" s="258">
        <v>13305600000</v>
      </c>
      <c r="K62" s="256" t="s">
        <v>1346</v>
      </c>
    </row>
    <row r="63" spans="1:11" x14ac:dyDescent="0.3">
      <c r="A63" s="256">
        <v>2</v>
      </c>
      <c r="B63" s="257" t="s">
        <v>1201</v>
      </c>
      <c r="C63" s="276">
        <v>44318</v>
      </c>
      <c r="D63" s="257" t="s">
        <v>1267</v>
      </c>
      <c r="E63" s="256" t="s">
        <v>1810</v>
      </c>
      <c r="F63" s="256" t="s">
        <v>1847</v>
      </c>
      <c r="G63" s="258">
        <v>19106000000</v>
      </c>
      <c r="H63" s="265">
        <v>0.1</v>
      </c>
      <c r="I63" s="258">
        <v>1910600000</v>
      </c>
      <c r="J63" s="258">
        <v>21016600000</v>
      </c>
      <c r="K63" s="256" t="s">
        <v>1346</v>
      </c>
    </row>
    <row r="64" spans="1:11" x14ac:dyDescent="0.3">
      <c r="A64" s="256">
        <v>3</v>
      </c>
      <c r="B64" s="257" t="s">
        <v>1202</v>
      </c>
      <c r="C64" s="276">
        <v>44472</v>
      </c>
      <c r="D64" s="257" t="s">
        <v>1291</v>
      </c>
      <c r="E64" s="256" t="s">
        <v>1800</v>
      </c>
      <c r="F64" s="256" t="s">
        <v>1762</v>
      </c>
      <c r="G64" s="258">
        <v>10770000000</v>
      </c>
      <c r="H64" s="265">
        <v>0.1</v>
      </c>
      <c r="I64" s="258">
        <v>1077000000</v>
      </c>
      <c r="J64" s="258">
        <v>11847000000</v>
      </c>
      <c r="K64" s="256" t="s">
        <v>1346</v>
      </c>
    </row>
    <row r="65" spans="1:11" x14ac:dyDescent="0.3">
      <c r="A65" s="256">
        <v>4</v>
      </c>
      <c r="B65" s="257" t="s">
        <v>1355</v>
      </c>
      <c r="C65" s="276">
        <v>44473</v>
      </c>
      <c r="D65" s="257" t="s">
        <v>1297</v>
      </c>
      <c r="E65" s="256" t="s">
        <v>1820</v>
      </c>
      <c r="F65" s="256" t="s">
        <v>1848</v>
      </c>
      <c r="G65" s="258">
        <v>12500000000</v>
      </c>
      <c r="H65" s="265">
        <v>0.1</v>
      </c>
      <c r="I65" s="258">
        <v>1250000000</v>
      </c>
      <c r="J65" s="258">
        <v>13750000000</v>
      </c>
      <c r="K65" s="256" t="s">
        <v>1346</v>
      </c>
    </row>
    <row r="66" spans="1:11" x14ac:dyDescent="0.3">
      <c r="A66" s="256">
        <v>5</v>
      </c>
      <c r="B66" s="257" t="s">
        <v>1356</v>
      </c>
      <c r="C66" s="276">
        <v>44474</v>
      </c>
      <c r="D66" s="257" t="s">
        <v>1275</v>
      </c>
      <c r="E66" s="256" t="s">
        <v>1808</v>
      </c>
      <c r="F66" s="256" t="s">
        <v>1849</v>
      </c>
      <c r="G66" s="258">
        <v>16166000000</v>
      </c>
      <c r="H66" s="265">
        <v>0.1</v>
      </c>
      <c r="I66" s="258">
        <v>1616600000</v>
      </c>
      <c r="J66" s="258">
        <v>17782600000</v>
      </c>
      <c r="K66" s="256" t="s">
        <v>1346</v>
      </c>
    </row>
    <row r="67" spans="1:11" x14ac:dyDescent="0.3">
      <c r="A67" s="256">
        <v>6</v>
      </c>
      <c r="B67" s="257" t="s">
        <v>1358</v>
      </c>
      <c r="C67" s="276">
        <v>44475</v>
      </c>
      <c r="D67" s="257" t="s">
        <v>1277</v>
      </c>
      <c r="E67" s="256" t="s">
        <v>1783</v>
      </c>
      <c r="F67" s="256" t="s">
        <v>1848</v>
      </c>
      <c r="G67" s="258">
        <v>18269000000</v>
      </c>
      <c r="H67" s="265">
        <v>0.1</v>
      </c>
      <c r="I67" s="258">
        <v>1826900000</v>
      </c>
      <c r="J67" s="258">
        <v>20095900000</v>
      </c>
      <c r="K67" s="256" t="s">
        <v>1346</v>
      </c>
    </row>
    <row r="68" spans="1:11" x14ac:dyDescent="0.3">
      <c r="A68" s="256">
        <v>7</v>
      </c>
      <c r="B68" s="257" t="s">
        <v>1360</v>
      </c>
      <c r="C68" s="276">
        <v>44476</v>
      </c>
      <c r="D68" s="257" t="s">
        <v>1297</v>
      </c>
      <c r="E68" s="256" t="s">
        <v>1820</v>
      </c>
      <c r="F68" s="256" t="s">
        <v>1848</v>
      </c>
      <c r="G68" s="258">
        <v>24341000000</v>
      </c>
      <c r="H68" s="265">
        <v>0.1</v>
      </c>
      <c r="I68" s="258">
        <v>2434100000</v>
      </c>
      <c r="J68" s="258">
        <v>26775100000</v>
      </c>
      <c r="K68" s="256" t="s">
        <v>1346</v>
      </c>
    </row>
    <row r="69" spans="1:11" x14ac:dyDescent="0.3">
      <c r="A69" s="256">
        <v>8</v>
      </c>
      <c r="B69" s="257" t="s">
        <v>1362</v>
      </c>
      <c r="C69" s="276">
        <v>44477</v>
      </c>
      <c r="D69" s="257" t="s">
        <v>1300</v>
      </c>
      <c r="E69" s="256" t="s">
        <v>1818</v>
      </c>
      <c r="F69" s="256" t="s">
        <v>1849</v>
      </c>
      <c r="G69" s="258">
        <v>24364000000</v>
      </c>
      <c r="H69" s="265">
        <v>0.1</v>
      </c>
      <c r="I69" s="258">
        <v>2436400000</v>
      </c>
      <c r="J69" s="258">
        <v>26800400000</v>
      </c>
      <c r="K69" s="256" t="s">
        <v>1346</v>
      </c>
    </row>
    <row r="70" spans="1:11" x14ac:dyDescent="0.3">
      <c r="A70" s="256">
        <v>9</v>
      </c>
      <c r="B70" s="257" t="s">
        <v>1364</v>
      </c>
      <c r="C70" s="276">
        <v>44478</v>
      </c>
      <c r="D70" s="257" t="s">
        <v>1282</v>
      </c>
      <c r="E70" s="256" t="s">
        <v>1789</v>
      </c>
      <c r="F70" s="256" t="s">
        <v>1848</v>
      </c>
      <c r="G70" s="258">
        <v>6759000000</v>
      </c>
      <c r="H70" s="265">
        <v>0.1</v>
      </c>
      <c r="I70" s="258">
        <v>675900000</v>
      </c>
      <c r="J70" s="258">
        <v>7434900000</v>
      </c>
      <c r="K70" s="256" t="s">
        <v>1346</v>
      </c>
    </row>
    <row r="71" spans="1:11" x14ac:dyDescent="0.3">
      <c r="A71" s="256">
        <v>10</v>
      </c>
      <c r="B71" s="257" t="s">
        <v>1366</v>
      </c>
      <c r="C71" s="276">
        <v>44479</v>
      </c>
      <c r="D71" s="257" t="s">
        <v>1289</v>
      </c>
      <c r="E71" s="256" t="s">
        <v>1803</v>
      </c>
      <c r="F71" s="256" t="s">
        <v>1847</v>
      </c>
      <c r="G71" s="258">
        <v>20711000000</v>
      </c>
      <c r="H71" s="265">
        <v>0.1</v>
      </c>
      <c r="I71" s="258">
        <v>2071100000</v>
      </c>
      <c r="J71" s="258">
        <v>22782100000</v>
      </c>
      <c r="K71" s="256" t="s">
        <v>1346</v>
      </c>
    </row>
    <row r="72" spans="1:11" x14ac:dyDescent="0.3">
      <c r="A72" s="256">
        <v>11</v>
      </c>
      <c r="B72" s="257" t="s">
        <v>1368</v>
      </c>
      <c r="C72" s="276">
        <v>44480</v>
      </c>
      <c r="D72" s="257" t="s">
        <v>1290</v>
      </c>
      <c r="E72" s="256" t="s">
        <v>1796</v>
      </c>
      <c r="F72" s="256" t="s">
        <v>1847</v>
      </c>
      <c r="G72" s="258">
        <v>19435000000</v>
      </c>
      <c r="H72" s="265">
        <v>0.1</v>
      </c>
      <c r="I72" s="258">
        <v>1943500000</v>
      </c>
      <c r="J72" s="258">
        <v>21378500000</v>
      </c>
      <c r="K72" s="256" t="s">
        <v>1346</v>
      </c>
    </row>
    <row r="73" spans="1:11" x14ac:dyDescent="0.3">
      <c r="A73" s="256">
        <v>12</v>
      </c>
      <c r="B73" s="257" t="s">
        <v>1371</v>
      </c>
      <c r="C73" s="276">
        <v>44481</v>
      </c>
      <c r="D73" s="257" t="s">
        <v>1260</v>
      </c>
      <c r="E73" s="256" t="s">
        <v>1804</v>
      </c>
      <c r="F73" s="256" t="s">
        <v>1762</v>
      </c>
      <c r="G73" s="258">
        <v>22773000000</v>
      </c>
      <c r="H73" s="265">
        <v>0.1</v>
      </c>
      <c r="I73" s="258">
        <v>2277300000</v>
      </c>
      <c r="J73" s="258">
        <v>25050300000</v>
      </c>
      <c r="K73" s="256" t="s">
        <v>1346</v>
      </c>
    </row>
    <row r="74" spans="1:11" x14ac:dyDescent="0.3">
      <c r="A74" s="256">
        <v>13</v>
      </c>
      <c r="B74" s="257" t="s">
        <v>1373</v>
      </c>
      <c r="C74" s="276">
        <v>44211</v>
      </c>
      <c r="D74" s="257" t="s">
        <v>1303</v>
      </c>
      <c r="E74" s="256" t="s">
        <v>1817</v>
      </c>
      <c r="F74" s="256" t="s">
        <v>1762</v>
      </c>
      <c r="G74" s="258">
        <v>9730000000</v>
      </c>
      <c r="H74" s="265">
        <v>0.1</v>
      </c>
      <c r="I74" s="258">
        <v>973000000</v>
      </c>
      <c r="J74" s="258">
        <v>10703000000</v>
      </c>
      <c r="K74" s="256" t="s">
        <v>1346</v>
      </c>
    </row>
    <row r="75" spans="1:11" x14ac:dyDescent="0.3">
      <c r="A75" s="256">
        <v>14</v>
      </c>
      <c r="B75" s="257" t="s">
        <v>1374</v>
      </c>
      <c r="C75" s="276">
        <v>44242</v>
      </c>
      <c r="D75" s="257" t="s">
        <v>1291</v>
      </c>
      <c r="E75" s="256" t="s">
        <v>1800</v>
      </c>
      <c r="F75" s="256" t="s">
        <v>1847</v>
      </c>
      <c r="G75" s="258">
        <v>10677000000</v>
      </c>
      <c r="H75" s="265">
        <v>0.1</v>
      </c>
      <c r="I75" s="258">
        <v>1067700000</v>
      </c>
      <c r="J75" s="258">
        <v>11744700000</v>
      </c>
      <c r="K75" s="256" t="s">
        <v>1346</v>
      </c>
    </row>
    <row r="76" spans="1:11" x14ac:dyDescent="0.3">
      <c r="A76" s="256">
        <v>15</v>
      </c>
      <c r="B76" s="257" t="s">
        <v>1376</v>
      </c>
      <c r="C76" s="276">
        <v>44275</v>
      </c>
      <c r="D76" s="257" t="s">
        <v>1266</v>
      </c>
      <c r="E76" s="256" t="s">
        <v>1824</v>
      </c>
      <c r="F76" s="256" t="s">
        <v>1849</v>
      </c>
      <c r="G76" s="258">
        <v>15299000000</v>
      </c>
      <c r="H76" s="265">
        <v>0.1</v>
      </c>
      <c r="I76" s="258">
        <v>1529900000</v>
      </c>
      <c r="J76" s="258">
        <v>16828900000</v>
      </c>
      <c r="K76" s="256" t="s">
        <v>1346</v>
      </c>
    </row>
    <row r="77" spans="1:11" x14ac:dyDescent="0.3">
      <c r="A77" s="256">
        <v>16</v>
      </c>
      <c r="B77" s="257" t="s">
        <v>1378</v>
      </c>
      <c r="C77" s="276">
        <v>44306</v>
      </c>
      <c r="D77" s="257" t="s">
        <v>1270</v>
      </c>
      <c r="E77" s="256" t="s">
        <v>1782</v>
      </c>
      <c r="F77" s="256" t="s">
        <v>1849</v>
      </c>
      <c r="G77" s="258">
        <v>23398000000</v>
      </c>
      <c r="H77" s="265">
        <v>0.1</v>
      </c>
      <c r="I77" s="258">
        <v>2339800000</v>
      </c>
      <c r="J77" s="258">
        <v>25737800000</v>
      </c>
      <c r="K77" s="256" t="s">
        <v>1346</v>
      </c>
    </row>
    <row r="78" spans="1:11" x14ac:dyDescent="0.3">
      <c r="A78" s="256">
        <v>17</v>
      </c>
      <c r="B78" s="257" t="s">
        <v>1379</v>
      </c>
      <c r="C78" s="276">
        <v>44336</v>
      </c>
      <c r="D78" s="257" t="s">
        <v>1287</v>
      </c>
      <c r="E78" s="256" t="s">
        <v>1801</v>
      </c>
      <c r="F78" s="256" t="s">
        <v>1849</v>
      </c>
      <c r="G78" s="258">
        <v>21001000000</v>
      </c>
      <c r="H78" s="265">
        <v>0.1</v>
      </c>
      <c r="I78" s="258">
        <v>2100100000</v>
      </c>
      <c r="J78" s="258">
        <v>23101100000</v>
      </c>
      <c r="K78" s="256" t="s">
        <v>1346</v>
      </c>
    </row>
    <row r="79" spans="1:11" x14ac:dyDescent="0.3">
      <c r="A79" s="256">
        <v>18</v>
      </c>
      <c r="B79" s="257" t="s">
        <v>1381</v>
      </c>
      <c r="C79" s="276">
        <v>44367</v>
      </c>
      <c r="D79" s="257" t="s">
        <v>1258</v>
      </c>
      <c r="E79" s="256" t="s">
        <v>1833</v>
      </c>
      <c r="F79" s="256" t="s">
        <v>1762</v>
      </c>
      <c r="G79" s="258">
        <v>24106000000</v>
      </c>
      <c r="H79" s="265">
        <v>0.1</v>
      </c>
      <c r="I79" s="258">
        <v>2410600000</v>
      </c>
      <c r="J79" s="258">
        <v>26516600000</v>
      </c>
      <c r="K79" s="256" t="s">
        <v>1348</v>
      </c>
    </row>
    <row r="80" spans="1:11" x14ac:dyDescent="0.3">
      <c r="A80" s="256">
        <v>19</v>
      </c>
      <c r="B80" s="257" t="s">
        <v>1382</v>
      </c>
      <c r="C80" s="276">
        <v>44397</v>
      </c>
      <c r="D80" s="257" t="s">
        <v>1286</v>
      </c>
      <c r="E80" s="256" t="s">
        <v>1828</v>
      </c>
      <c r="F80" s="256" t="s">
        <v>1849</v>
      </c>
      <c r="G80" s="258">
        <v>13637000000</v>
      </c>
      <c r="H80" s="265">
        <v>0.1</v>
      </c>
      <c r="I80" s="258">
        <v>1363700000</v>
      </c>
      <c r="J80" s="258">
        <v>15000700000</v>
      </c>
      <c r="K80" s="256" t="s">
        <v>1346</v>
      </c>
    </row>
    <row r="81" spans="1:11" x14ac:dyDescent="0.3">
      <c r="A81" s="256">
        <v>20</v>
      </c>
      <c r="B81" s="257" t="s">
        <v>1383</v>
      </c>
      <c r="C81" s="276">
        <v>44428</v>
      </c>
      <c r="D81" s="257" t="s">
        <v>1293</v>
      </c>
      <c r="E81" s="256" t="s">
        <v>1826</v>
      </c>
      <c r="F81" s="256" t="s">
        <v>1762</v>
      </c>
      <c r="G81" s="258">
        <v>17285000000</v>
      </c>
      <c r="H81" s="265">
        <v>0</v>
      </c>
      <c r="I81" s="258">
        <v>0</v>
      </c>
      <c r="J81" s="258">
        <v>17285000000</v>
      </c>
      <c r="K81" s="256" t="s">
        <v>1346</v>
      </c>
    </row>
    <row r="82" spans="1:11" x14ac:dyDescent="0.3">
      <c r="A82" s="256">
        <v>21</v>
      </c>
      <c r="B82" s="257" t="s">
        <v>1203</v>
      </c>
      <c r="C82" s="276">
        <v>44459</v>
      </c>
      <c r="D82" s="257" t="s">
        <v>1294</v>
      </c>
      <c r="E82" s="256" t="s">
        <v>1795</v>
      </c>
      <c r="F82" s="256" t="s">
        <v>1849</v>
      </c>
      <c r="G82" s="258">
        <v>13545000000</v>
      </c>
      <c r="H82" s="265">
        <v>0.1</v>
      </c>
      <c r="I82" s="258">
        <v>1354500000</v>
      </c>
      <c r="J82" s="258">
        <v>14899500000</v>
      </c>
      <c r="K82" s="256" t="s">
        <v>1346</v>
      </c>
    </row>
    <row r="83" spans="1:11" x14ac:dyDescent="0.3">
      <c r="A83" s="256">
        <v>22</v>
      </c>
      <c r="B83" s="257" t="s">
        <v>1204</v>
      </c>
      <c r="C83" s="276">
        <v>44489</v>
      </c>
      <c r="D83" s="257" t="s">
        <v>1286</v>
      </c>
      <c r="E83" s="256" t="s">
        <v>1828</v>
      </c>
      <c r="F83" s="256" t="s">
        <v>1848</v>
      </c>
      <c r="G83" s="258">
        <v>9820000000</v>
      </c>
      <c r="H83" s="265">
        <v>0.1</v>
      </c>
      <c r="I83" s="258">
        <v>982000000</v>
      </c>
      <c r="J83" s="258">
        <v>10802000000</v>
      </c>
      <c r="K83" s="256" t="s">
        <v>1346</v>
      </c>
    </row>
    <row r="84" spans="1:11" x14ac:dyDescent="0.3">
      <c r="A84" s="256">
        <v>23</v>
      </c>
      <c r="B84" s="257" t="s">
        <v>1205</v>
      </c>
      <c r="C84" s="276">
        <v>44520</v>
      </c>
      <c r="D84" s="257" t="s">
        <v>1291</v>
      </c>
      <c r="E84" s="256" t="s">
        <v>1800</v>
      </c>
      <c r="F84" s="256" t="s">
        <v>1849</v>
      </c>
      <c r="G84" s="258">
        <v>17274000000</v>
      </c>
      <c r="H84" s="265">
        <v>0.1</v>
      </c>
      <c r="I84" s="258">
        <v>1727400000</v>
      </c>
      <c r="J84" s="258">
        <v>19001400000</v>
      </c>
      <c r="K84" s="256" t="s">
        <v>1346</v>
      </c>
    </row>
    <row r="85" spans="1:11" x14ac:dyDescent="0.3">
      <c r="A85" s="256">
        <v>24</v>
      </c>
      <c r="B85" s="257" t="s">
        <v>1385</v>
      </c>
      <c r="C85" s="276">
        <v>44550</v>
      </c>
      <c r="D85" s="257" t="s">
        <v>1274</v>
      </c>
      <c r="E85" s="256" t="s">
        <v>1794</v>
      </c>
      <c r="F85" s="256" t="s">
        <v>1849</v>
      </c>
      <c r="G85" s="258">
        <v>10027000000</v>
      </c>
      <c r="H85" s="265">
        <v>0.1</v>
      </c>
      <c r="I85" s="258">
        <v>1002700000</v>
      </c>
      <c r="J85" s="258">
        <v>11029700000</v>
      </c>
      <c r="K85" s="256" t="s">
        <v>1346</v>
      </c>
    </row>
    <row r="86" spans="1:11" x14ac:dyDescent="0.3">
      <c r="A86" s="256">
        <v>25</v>
      </c>
      <c r="B86" s="257" t="s">
        <v>1387</v>
      </c>
      <c r="C86" s="276">
        <v>44221</v>
      </c>
      <c r="D86" s="257" t="s">
        <v>1287</v>
      </c>
      <c r="E86" s="256" t="s">
        <v>1801</v>
      </c>
      <c r="F86" s="256" t="s">
        <v>1849</v>
      </c>
      <c r="G86" s="258">
        <v>11099000000</v>
      </c>
      <c r="H86" s="265">
        <v>0.1</v>
      </c>
      <c r="I86" s="258">
        <v>1109900000</v>
      </c>
      <c r="J86" s="258">
        <v>12208900000</v>
      </c>
      <c r="K86" s="256" t="s">
        <v>1346</v>
      </c>
    </row>
    <row r="87" spans="1:11" x14ac:dyDescent="0.3">
      <c r="A87" s="256">
        <v>26</v>
      </c>
      <c r="B87" s="257" t="s">
        <v>1388</v>
      </c>
      <c r="C87" s="276">
        <v>44255</v>
      </c>
      <c r="D87" s="257" t="s">
        <v>1282</v>
      </c>
      <c r="E87" s="256" t="s">
        <v>1789</v>
      </c>
      <c r="F87" s="256" t="s">
        <v>1762</v>
      </c>
      <c r="G87" s="258">
        <v>15436000000</v>
      </c>
      <c r="H87" s="265">
        <v>0.1</v>
      </c>
      <c r="I87" s="258">
        <v>1543600000</v>
      </c>
      <c r="J87" s="258">
        <v>16979600000</v>
      </c>
      <c r="K87" s="256" t="s">
        <v>1346</v>
      </c>
    </row>
    <row r="88" spans="1:11" x14ac:dyDescent="0.3">
      <c r="A88" s="256">
        <v>27</v>
      </c>
      <c r="B88" s="257" t="s">
        <v>1391</v>
      </c>
      <c r="C88" s="276">
        <v>44316</v>
      </c>
      <c r="D88" s="257" t="s">
        <v>1259</v>
      </c>
      <c r="E88" s="256" t="s">
        <v>1788</v>
      </c>
      <c r="F88" s="256" t="s">
        <v>1762</v>
      </c>
      <c r="G88" s="258">
        <v>25256000000</v>
      </c>
      <c r="H88" s="265">
        <v>0.1</v>
      </c>
      <c r="I88" s="258">
        <v>2525600000</v>
      </c>
      <c r="J88" s="258">
        <v>27781600000</v>
      </c>
      <c r="K88" s="256" t="s">
        <v>1346</v>
      </c>
    </row>
    <row r="89" spans="1:11" x14ac:dyDescent="0.3">
      <c r="A89" s="256">
        <v>28</v>
      </c>
      <c r="B89" s="257" t="s">
        <v>1392</v>
      </c>
      <c r="C89" s="276">
        <v>44377</v>
      </c>
      <c r="D89" s="257" t="s">
        <v>1287</v>
      </c>
      <c r="E89" s="256" t="s">
        <v>1801</v>
      </c>
      <c r="F89" s="256" t="s">
        <v>1762</v>
      </c>
      <c r="G89" s="258">
        <v>9305000000</v>
      </c>
      <c r="H89" s="265">
        <v>0.1</v>
      </c>
      <c r="I89" s="258">
        <v>930500000</v>
      </c>
      <c r="J89" s="258">
        <v>10235500000</v>
      </c>
      <c r="K89" s="256" t="s">
        <v>1346</v>
      </c>
    </row>
    <row r="90" spans="1:11" x14ac:dyDescent="0.3">
      <c r="A90" s="256">
        <v>29</v>
      </c>
      <c r="B90" s="257" t="s">
        <v>1394</v>
      </c>
      <c r="C90" s="276">
        <v>44469</v>
      </c>
      <c r="D90" s="257" t="s">
        <v>1290</v>
      </c>
      <c r="E90" s="256" t="s">
        <v>1796</v>
      </c>
      <c r="F90" s="256" t="s">
        <v>1762</v>
      </c>
      <c r="G90" s="258">
        <v>13914000000</v>
      </c>
      <c r="H90" s="265">
        <v>0.1</v>
      </c>
      <c r="I90" s="258">
        <v>1391400000</v>
      </c>
      <c r="J90" s="258">
        <v>15305400000</v>
      </c>
      <c r="K90" s="256" t="s">
        <v>1346</v>
      </c>
    </row>
    <row r="91" spans="1:11" x14ac:dyDescent="0.3">
      <c r="A91" s="256">
        <v>30</v>
      </c>
      <c r="B91" s="257" t="s">
        <v>1396</v>
      </c>
      <c r="C91" s="276">
        <v>44530</v>
      </c>
      <c r="D91" s="257" t="s">
        <v>1257</v>
      </c>
      <c r="E91" s="256" t="s">
        <v>1815</v>
      </c>
      <c r="F91" s="256" t="s">
        <v>1847</v>
      </c>
      <c r="G91" s="258">
        <v>14485000000</v>
      </c>
      <c r="H91" s="265">
        <v>0.1</v>
      </c>
      <c r="I91" s="258">
        <v>1448500000</v>
      </c>
      <c r="J91" s="258">
        <v>15933500000</v>
      </c>
      <c r="K91" s="256" t="s">
        <v>1346</v>
      </c>
    </row>
    <row r="92" spans="1:11" x14ac:dyDescent="0.3">
      <c r="A92" s="256">
        <v>31</v>
      </c>
      <c r="B92" s="257" t="s">
        <v>1397</v>
      </c>
      <c r="C92" s="276">
        <v>44286</v>
      </c>
      <c r="D92" s="257" t="s">
        <v>1272</v>
      </c>
      <c r="E92" s="256" t="s">
        <v>1805</v>
      </c>
      <c r="F92" s="256" t="s">
        <v>1762</v>
      </c>
      <c r="G92" s="258">
        <v>25423000000</v>
      </c>
      <c r="H92" s="265">
        <v>0</v>
      </c>
      <c r="I92" s="258">
        <v>0</v>
      </c>
      <c r="J92" s="258">
        <v>25423000000</v>
      </c>
      <c r="K92" s="256" t="s">
        <v>1346</v>
      </c>
    </row>
    <row r="93" spans="1:11" x14ac:dyDescent="0.3">
      <c r="A93" s="256">
        <v>32</v>
      </c>
      <c r="B93" s="257" t="s">
        <v>1398</v>
      </c>
      <c r="C93" s="276">
        <v>44347</v>
      </c>
      <c r="D93" s="257" t="s">
        <v>1267</v>
      </c>
      <c r="E93" s="256" t="s">
        <v>1810</v>
      </c>
      <c r="F93" s="256" t="s">
        <v>1847</v>
      </c>
      <c r="G93" s="258">
        <v>17231000000</v>
      </c>
      <c r="H93" s="265">
        <v>0.1</v>
      </c>
      <c r="I93" s="258">
        <v>1723100000</v>
      </c>
      <c r="J93" s="258">
        <v>18954100000</v>
      </c>
      <c r="K93" s="256" t="s">
        <v>1346</v>
      </c>
    </row>
    <row r="94" spans="1:11" x14ac:dyDescent="0.3">
      <c r="A94" s="256">
        <v>33</v>
      </c>
      <c r="B94" s="257" t="s">
        <v>1399</v>
      </c>
      <c r="C94" s="276">
        <v>44408</v>
      </c>
      <c r="D94" s="257" t="s">
        <v>1269</v>
      </c>
      <c r="E94" s="256" t="s">
        <v>1823</v>
      </c>
      <c r="F94" s="256" t="s">
        <v>1849</v>
      </c>
      <c r="G94" s="258">
        <v>22935000000</v>
      </c>
      <c r="H94" s="265">
        <v>0.1</v>
      </c>
      <c r="I94" s="258">
        <v>2293500000</v>
      </c>
      <c r="J94" s="258">
        <v>25228500000</v>
      </c>
      <c r="K94" s="256" t="s">
        <v>1348</v>
      </c>
    </row>
    <row r="95" spans="1:11" x14ac:dyDescent="0.3">
      <c r="A95" s="256">
        <v>34</v>
      </c>
      <c r="B95" s="257" t="s">
        <v>1401</v>
      </c>
      <c r="C95" s="276">
        <v>44439</v>
      </c>
      <c r="D95" s="257" t="s">
        <v>1266</v>
      </c>
      <c r="E95" s="256" t="s">
        <v>1824</v>
      </c>
      <c r="F95" s="256" t="s">
        <v>1848</v>
      </c>
      <c r="G95" s="258">
        <v>23990000000</v>
      </c>
      <c r="H95" s="265">
        <v>0.1</v>
      </c>
      <c r="I95" s="258">
        <v>2399000000</v>
      </c>
      <c r="J95" s="258">
        <v>26389000000</v>
      </c>
      <c r="K95" s="256" t="s">
        <v>1346</v>
      </c>
    </row>
    <row r="96" spans="1:11" x14ac:dyDescent="0.3">
      <c r="A96" s="256">
        <v>35</v>
      </c>
      <c r="B96" s="257" t="s">
        <v>1402</v>
      </c>
      <c r="C96" s="276">
        <v>44500</v>
      </c>
      <c r="D96" s="257" t="s">
        <v>1278</v>
      </c>
      <c r="E96" s="256" t="s">
        <v>1785</v>
      </c>
      <c r="F96" s="256" t="s">
        <v>1762</v>
      </c>
      <c r="G96" s="258">
        <v>14565000000</v>
      </c>
      <c r="H96" s="265">
        <v>0</v>
      </c>
      <c r="I96" s="258">
        <v>0</v>
      </c>
      <c r="J96" s="258">
        <v>14565000000</v>
      </c>
      <c r="K96" s="256" t="s">
        <v>1348</v>
      </c>
    </row>
    <row r="97" spans="1:11" x14ac:dyDescent="0.3">
      <c r="A97" s="256">
        <v>36</v>
      </c>
      <c r="B97" s="257" t="s">
        <v>1403</v>
      </c>
      <c r="C97" s="276">
        <v>44561</v>
      </c>
      <c r="D97" s="257" t="s">
        <v>1287</v>
      </c>
      <c r="E97" s="256" t="s">
        <v>1801</v>
      </c>
      <c r="F97" s="256" t="s">
        <v>1848</v>
      </c>
      <c r="G97" s="258">
        <v>22142000000</v>
      </c>
      <c r="H97" s="265">
        <v>0.1</v>
      </c>
      <c r="I97" s="258">
        <v>2214200000</v>
      </c>
      <c r="J97" s="258">
        <v>24356200000</v>
      </c>
      <c r="K97" s="256" t="s">
        <v>1346</v>
      </c>
    </row>
    <row r="98" spans="1:11" x14ac:dyDescent="0.3">
      <c r="A98" s="256">
        <v>37</v>
      </c>
      <c r="B98" s="257" t="s">
        <v>1404</v>
      </c>
      <c r="C98" s="276">
        <v>44561</v>
      </c>
      <c r="D98" s="257" t="s">
        <v>1281</v>
      </c>
      <c r="E98" s="256" t="s">
        <v>1806</v>
      </c>
      <c r="F98" s="256" t="s">
        <v>1849</v>
      </c>
      <c r="G98" s="258">
        <v>7800000000</v>
      </c>
      <c r="H98" s="265">
        <v>0.1</v>
      </c>
      <c r="I98" s="258">
        <v>780000000</v>
      </c>
      <c r="J98" s="258">
        <v>8580000000</v>
      </c>
      <c r="K98" s="256" t="s">
        <v>1346</v>
      </c>
    </row>
    <row r="99" spans="1:11" x14ac:dyDescent="0.3">
      <c r="A99" s="256">
        <v>38</v>
      </c>
      <c r="B99" s="257" t="s">
        <v>1405</v>
      </c>
      <c r="C99" s="276">
        <v>44561</v>
      </c>
      <c r="D99" s="257" t="s">
        <v>1276</v>
      </c>
      <c r="E99" s="256" t="s">
        <v>1822</v>
      </c>
      <c r="F99" s="256" t="s">
        <v>1848</v>
      </c>
      <c r="G99" s="258">
        <v>16052000000</v>
      </c>
      <c r="H99" s="265">
        <v>0.1</v>
      </c>
      <c r="I99" s="258">
        <v>1605200000</v>
      </c>
      <c r="J99" s="258">
        <v>17657200000</v>
      </c>
      <c r="K99" s="256" t="s">
        <v>1346</v>
      </c>
    </row>
    <row r="100" spans="1:11" x14ac:dyDescent="0.3">
      <c r="A100" s="256">
        <v>39</v>
      </c>
      <c r="B100" s="257" t="s">
        <v>1406</v>
      </c>
      <c r="C100" s="276">
        <v>44561</v>
      </c>
      <c r="D100" s="257" t="s">
        <v>1301</v>
      </c>
      <c r="E100" s="256" t="s">
        <v>1781</v>
      </c>
      <c r="F100" s="256" t="s">
        <v>1762</v>
      </c>
      <c r="G100" s="258">
        <v>15612000000</v>
      </c>
      <c r="H100" s="265">
        <v>0.1</v>
      </c>
      <c r="I100" s="258">
        <v>1561200000</v>
      </c>
      <c r="J100" s="258">
        <v>17173200000</v>
      </c>
      <c r="K100" s="256" t="s">
        <v>1346</v>
      </c>
    </row>
    <row r="101" spans="1:11" x14ac:dyDescent="0.3">
      <c r="A101" s="256">
        <v>40</v>
      </c>
      <c r="B101" s="257" t="s">
        <v>1408</v>
      </c>
      <c r="C101" s="276">
        <v>44561</v>
      </c>
      <c r="D101" s="257" t="s">
        <v>1296</v>
      </c>
      <c r="E101" s="256" t="s">
        <v>1807</v>
      </c>
      <c r="F101" s="256" t="s">
        <v>1762</v>
      </c>
      <c r="G101" s="258">
        <v>24893000000</v>
      </c>
      <c r="H101" s="265">
        <v>0</v>
      </c>
      <c r="I101" s="258">
        <v>0</v>
      </c>
      <c r="J101" s="258">
        <v>24893000000</v>
      </c>
      <c r="K101" s="256" t="s">
        <v>1346</v>
      </c>
    </row>
    <row r="102" spans="1:11" x14ac:dyDescent="0.3">
      <c r="A102" s="256">
        <v>41</v>
      </c>
      <c r="B102" s="257" t="s">
        <v>1409</v>
      </c>
      <c r="C102" s="276">
        <v>44561</v>
      </c>
      <c r="D102" s="257" t="s">
        <v>1278</v>
      </c>
      <c r="E102" s="256" t="s">
        <v>1785</v>
      </c>
      <c r="F102" s="256" t="s">
        <v>1847</v>
      </c>
      <c r="G102" s="258">
        <v>16540000000</v>
      </c>
      <c r="H102" s="265">
        <v>0.1</v>
      </c>
      <c r="I102" s="258">
        <v>1654000000</v>
      </c>
      <c r="J102" s="258">
        <v>18194000000</v>
      </c>
      <c r="K102" s="256" t="s">
        <v>1346</v>
      </c>
    </row>
    <row r="103" spans="1:11" x14ac:dyDescent="0.3">
      <c r="A103" s="256">
        <v>42</v>
      </c>
      <c r="B103" s="257" t="s">
        <v>1411</v>
      </c>
      <c r="C103" s="276">
        <v>44561</v>
      </c>
      <c r="D103" s="257" t="s">
        <v>1304</v>
      </c>
      <c r="E103" s="256" t="s">
        <v>1831</v>
      </c>
      <c r="F103" s="256" t="s">
        <v>1847</v>
      </c>
      <c r="G103" s="258">
        <v>16794000000</v>
      </c>
      <c r="H103" s="265">
        <v>0.1</v>
      </c>
      <c r="I103" s="258">
        <v>1679400000</v>
      </c>
      <c r="J103" s="258">
        <v>18473400000</v>
      </c>
      <c r="K103" s="256" t="s">
        <v>1348</v>
      </c>
    </row>
    <row r="104" spans="1:11" x14ac:dyDescent="0.3">
      <c r="A104" s="256">
        <v>43</v>
      </c>
      <c r="B104" s="257" t="s">
        <v>1414</v>
      </c>
      <c r="C104" s="276">
        <v>44561</v>
      </c>
      <c r="D104" s="257" t="s">
        <v>1302</v>
      </c>
      <c r="E104" s="256" t="s">
        <v>1784</v>
      </c>
      <c r="F104" s="256" t="s">
        <v>1762</v>
      </c>
      <c r="G104" s="258">
        <v>23132000000</v>
      </c>
      <c r="H104" s="265">
        <v>0.1</v>
      </c>
      <c r="I104" s="258">
        <v>2313200000</v>
      </c>
      <c r="J104" s="258">
        <v>25445200000</v>
      </c>
      <c r="K104" s="256" t="s">
        <v>1346</v>
      </c>
    </row>
    <row r="105" spans="1:11" x14ac:dyDescent="0.3">
      <c r="A105" s="256">
        <v>44</v>
      </c>
      <c r="B105" s="257" t="s">
        <v>1415</v>
      </c>
      <c r="C105" s="276">
        <v>44561</v>
      </c>
      <c r="D105" s="257" t="s">
        <v>1284</v>
      </c>
      <c r="E105" s="256" t="s">
        <v>1786</v>
      </c>
      <c r="F105" s="256" t="s">
        <v>1847</v>
      </c>
      <c r="G105" s="258">
        <v>8356000000</v>
      </c>
      <c r="H105" s="265">
        <v>0.1</v>
      </c>
      <c r="I105" s="258">
        <v>835600000</v>
      </c>
      <c r="J105" s="258">
        <v>9191600000</v>
      </c>
      <c r="K105" s="256" t="s">
        <v>1346</v>
      </c>
    </row>
    <row r="106" spans="1:11" x14ac:dyDescent="0.3">
      <c r="A106" s="256">
        <v>45</v>
      </c>
      <c r="B106" s="257" t="s">
        <v>1206</v>
      </c>
      <c r="C106" s="276">
        <v>44561</v>
      </c>
      <c r="D106" s="257" t="s">
        <v>1276</v>
      </c>
      <c r="E106" s="256" t="s">
        <v>1822</v>
      </c>
      <c r="F106" s="256" t="s">
        <v>1762</v>
      </c>
      <c r="G106" s="258">
        <v>20658000000</v>
      </c>
      <c r="H106" s="265">
        <v>0.1</v>
      </c>
      <c r="I106" s="258">
        <v>2065800000</v>
      </c>
      <c r="J106" s="258">
        <v>22723800000</v>
      </c>
      <c r="K106" s="256" t="s">
        <v>1346</v>
      </c>
    </row>
    <row r="107" spans="1:11" x14ac:dyDescent="0.3">
      <c r="A107" s="256">
        <v>46</v>
      </c>
      <c r="B107" s="257" t="s">
        <v>1207</v>
      </c>
      <c r="C107" s="276">
        <v>44561</v>
      </c>
      <c r="D107" s="257" t="s">
        <v>1261</v>
      </c>
      <c r="E107" s="256" t="s">
        <v>1813</v>
      </c>
      <c r="F107" s="256" t="s">
        <v>1849</v>
      </c>
      <c r="G107" s="258">
        <v>26414000000</v>
      </c>
      <c r="H107" s="265">
        <v>0.1</v>
      </c>
      <c r="I107" s="258">
        <v>2641400000</v>
      </c>
      <c r="J107" s="258">
        <v>29055400000</v>
      </c>
      <c r="K107" s="256" t="s">
        <v>1346</v>
      </c>
    </row>
    <row r="108" spans="1:11" x14ac:dyDescent="0.3">
      <c r="A108" s="256">
        <v>47</v>
      </c>
      <c r="B108" s="257" t="s">
        <v>1208</v>
      </c>
      <c r="C108" s="276">
        <v>44561</v>
      </c>
      <c r="D108" s="257" t="s">
        <v>1274</v>
      </c>
      <c r="E108" s="256" t="s">
        <v>1794</v>
      </c>
      <c r="F108" s="256" t="s">
        <v>1849</v>
      </c>
      <c r="G108" s="258">
        <v>21667000000</v>
      </c>
      <c r="H108" s="265">
        <v>0.1</v>
      </c>
      <c r="I108" s="258">
        <v>2166700000</v>
      </c>
      <c r="J108" s="258">
        <v>23833700000</v>
      </c>
      <c r="K108" s="256" t="s">
        <v>1348</v>
      </c>
    </row>
    <row r="109" spans="1:11" x14ac:dyDescent="0.3">
      <c r="A109" s="256">
        <v>48</v>
      </c>
      <c r="B109" s="257" t="s">
        <v>1209</v>
      </c>
      <c r="C109" s="276">
        <v>44561</v>
      </c>
      <c r="D109" s="257" t="s">
        <v>1297</v>
      </c>
      <c r="E109" s="256" t="s">
        <v>1820</v>
      </c>
      <c r="F109" s="256" t="s">
        <v>1847</v>
      </c>
      <c r="G109" s="258">
        <v>17383000000</v>
      </c>
      <c r="H109" s="265">
        <v>0.1</v>
      </c>
      <c r="I109" s="258">
        <v>1738300000</v>
      </c>
      <c r="J109" s="258">
        <v>19121300000</v>
      </c>
      <c r="K109" s="256" t="s">
        <v>1348</v>
      </c>
    </row>
    <row r="110" spans="1:11" x14ac:dyDescent="0.3">
      <c r="A110" s="256">
        <v>49</v>
      </c>
      <c r="B110" s="257" t="s">
        <v>1418</v>
      </c>
      <c r="C110" s="276">
        <v>44561</v>
      </c>
      <c r="D110" s="257" t="s">
        <v>1278</v>
      </c>
      <c r="E110" s="256" t="s">
        <v>1785</v>
      </c>
      <c r="F110" s="256" t="s">
        <v>1847</v>
      </c>
      <c r="G110" s="258">
        <v>16799000000</v>
      </c>
      <c r="H110" s="265">
        <v>0.1</v>
      </c>
      <c r="I110" s="258">
        <v>1679900000</v>
      </c>
      <c r="J110" s="258">
        <v>18478900000</v>
      </c>
      <c r="K110" s="256" t="s">
        <v>1346</v>
      </c>
    </row>
    <row r="111" spans="1:11" x14ac:dyDescent="0.3">
      <c r="A111" s="256">
        <v>50</v>
      </c>
      <c r="B111" s="257" t="s">
        <v>1419</v>
      </c>
      <c r="C111" s="276">
        <v>44561</v>
      </c>
      <c r="D111" s="257" t="s">
        <v>1266</v>
      </c>
      <c r="E111" s="256" t="s">
        <v>1824</v>
      </c>
      <c r="F111" s="256" t="s">
        <v>1848</v>
      </c>
      <c r="G111" s="258">
        <v>12892000000</v>
      </c>
      <c r="H111" s="265">
        <v>0.1</v>
      </c>
      <c r="I111" s="258">
        <v>1289200000</v>
      </c>
      <c r="J111" s="258">
        <v>14181200000</v>
      </c>
      <c r="K111" s="256" t="s">
        <v>1346</v>
      </c>
    </row>
    <row r="112" spans="1:11" x14ac:dyDescent="0.3">
      <c r="A112" s="266" t="s">
        <v>1351</v>
      </c>
      <c r="B112" s="266"/>
      <c r="C112" s="266"/>
      <c r="D112" s="266"/>
      <c r="E112" s="266"/>
      <c r="F112" s="266"/>
      <c r="G112" s="267">
        <f>SUM(G62:G111)</f>
        <v>853862000000</v>
      </c>
      <c r="H112" s="266"/>
      <c r="I112" s="267">
        <f>SUM(I62:I111)</f>
        <v>77169600000</v>
      </c>
      <c r="J112" s="267">
        <f>SUM(J62:J111)</f>
        <v>931031600000</v>
      </c>
      <c r="K112" s="26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1349</v>
      </c>
      <c r="C1" s="256"/>
      <c r="D1" s="256"/>
      <c r="E1" s="256"/>
      <c r="F1" s="256"/>
      <c r="G1" s="256"/>
      <c r="H1" s="256"/>
      <c r="I1" s="256"/>
      <c r="J1" s="256"/>
      <c r="K1" s="256"/>
    </row>
    <row r="2" spans="1:11" x14ac:dyDescent="0.3">
      <c r="A2" s="256" t="s">
        <v>1339</v>
      </c>
      <c r="B2" s="257">
        <v>102311149</v>
      </c>
      <c r="C2" s="256"/>
      <c r="D2" s="256"/>
      <c r="E2" s="256"/>
      <c r="F2" s="256"/>
      <c r="G2" s="256"/>
      <c r="H2" s="256"/>
      <c r="I2" s="256"/>
      <c r="J2" s="256"/>
      <c r="K2" s="256"/>
    </row>
    <row r="3" spans="1:11" x14ac:dyDescent="0.3">
      <c r="A3" s="256" t="s">
        <v>1343</v>
      </c>
      <c r="B3" s="258">
        <v>4079425418438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1394</v>
      </c>
      <c r="C8" s="276">
        <v>44317</v>
      </c>
      <c r="D8" s="257" t="s">
        <v>1256</v>
      </c>
      <c r="E8" s="256" t="s">
        <v>1802</v>
      </c>
      <c r="F8" s="256" t="s">
        <v>1766</v>
      </c>
      <c r="G8" s="258">
        <v>33060000000</v>
      </c>
      <c r="H8" s="265">
        <v>0.1</v>
      </c>
      <c r="I8" s="258">
        <v>3306000000</v>
      </c>
      <c r="J8" s="258">
        <v>36366000000</v>
      </c>
      <c r="K8" s="256" t="s">
        <v>1346</v>
      </c>
    </row>
    <row r="9" spans="1:11" x14ac:dyDescent="0.3">
      <c r="A9" s="256">
        <v>2</v>
      </c>
      <c r="B9" s="257" t="s">
        <v>1371</v>
      </c>
      <c r="C9" s="276">
        <v>44318</v>
      </c>
      <c r="D9" s="257" t="s">
        <v>1287</v>
      </c>
      <c r="E9" s="256" t="s">
        <v>1801</v>
      </c>
      <c r="F9" s="256" t="s">
        <v>1766</v>
      </c>
      <c r="G9" s="258">
        <v>80688000000</v>
      </c>
      <c r="H9" s="265">
        <v>0.1</v>
      </c>
      <c r="I9" s="258">
        <v>8068800000</v>
      </c>
      <c r="J9" s="258">
        <v>88756800000</v>
      </c>
      <c r="K9" s="256" t="s">
        <v>1346</v>
      </c>
    </row>
    <row r="10" spans="1:11" x14ac:dyDescent="0.3">
      <c r="A10" s="256">
        <v>3</v>
      </c>
      <c r="B10" s="257" t="s">
        <v>1398</v>
      </c>
      <c r="C10" s="276">
        <v>44472</v>
      </c>
      <c r="D10" s="257" t="s">
        <v>1272</v>
      </c>
      <c r="E10" s="256" t="s">
        <v>1805</v>
      </c>
      <c r="F10" s="256" t="s">
        <v>1768</v>
      </c>
      <c r="G10" s="258">
        <v>51325000000</v>
      </c>
      <c r="H10" s="265">
        <v>0.1</v>
      </c>
      <c r="I10" s="258">
        <v>5132500000</v>
      </c>
      <c r="J10" s="258">
        <v>56457500000</v>
      </c>
      <c r="K10" s="256" t="s">
        <v>1346</v>
      </c>
    </row>
    <row r="11" spans="1:11" x14ac:dyDescent="0.3">
      <c r="A11" s="256">
        <v>4</v>
      </c>
      <c r="B11" s="257" t="s">
        <v>1387</v>
      </c>
      <c r="C11" s="276">
        <v>44473</v>
      </c>
      <c r="D11" s="257" t="s">
        <v>1255</v>
      </c>
      <c r="E11" s="273">
        <v>46152</v>
      </c>
      <c r="F11" s="256" t="s">
        <v>1850</v>
      </c>
      <c r="G11" s="258">
        <v>65346000000</v>
      </c>
      <c r="H11" s="265">
        <v>0.1</v>
      </c>
      <c r="I11" s="258">
        <v>6534600000</v>
      </c>
      <c r="J11" s="258">
        <v>71880600000</v>
      </c>
      <c r="K11" s="256" t="s">
        <v>1346</v>
      </c>
    </row>
    <row r="12" spans="1:11" x14ac:dyDescent="0.3">
      <c r="A12" s="256">
        <v>5</v>
      </c>
      <c r="B12" s="257" t="s">
        <v>1378</v>
      </c>
      <c r="C12" s="276">
        <v>44474</v>
      </c>
      <c r="D12" s="257" t="s">
        <v>1265</v>
      </c>
      <c r="E12" s="256" t="s">
        <v>1830</v>
      </c>
      <c r="F12" s="256" t="s">
        <v>1730</v>
      </c>
      <c r="G12" s="258">
        <v>64609000000</v>
      </c>
      <c r="H12" s="265">
        <v>0.1</v>
      </c>
      <c r="I12" s="258">
        <v>6460900000</v>
      </c>
      <c r="J12" s="258">
        <v>71069900000</v>
      </c>
      <c r="K12" s="256" t="s">
        <v>1346</v>
      </c>
    </row>
    <row r="13" spans="1:11" x14ac:dyDescent="0.3">
      <c r="A13" s="256">
        <v>6</v>
      </c>
      <c r="B13" s="257" t="s">
        <v>1409</v>
      </c>
      <c r="C13" s="276">
        <v>44475</v>
      </c>
      <c r="D13" s="257" t="s">
        <v>1276</v>
      </c>
      <c r="E13" s="256" t="s">
        <v>1822</v>
      </c>
      <c r="F13" s="256" t="s">
        <v>1769</v>
      </c>
      <c r="G13" s="258">
        <v>51541000000</v>
      </c>
      <c r="H13" s="265">
        <v>0.1</v>
      </c>
      <c r="I13" s="258">
        <v>5154100000</v>
      </c>
      <c r="J13" s="258">
        <v>56695100000</v>
      </c>
      <c r="K13" s="256" t="s">
        <v>1346</v>
      </c>
    </row>
    <row r="14" spans="1:11" x14ac:dyDescent="0.3">
      <c r="A14" s="256">
        <v>7</v>
      </c>
      <c r="B14" s="257" t="s">
        <v>1405</v>
      </c>
      <c r="C14" s="276">
        <v>44476</v>
      </c>
      <c r="D14" s="257" t="s">
        <v>1263</v>
      </c>
      <c r="E14" s="256" t="s">
        <v>1790</v>
      </c>
      <c r="F14" s="256" t="s">
        <v>1850</v>
      </c>
      <c r="G14" s="258">
        <v>49740000000</v>
      </c>
      <c r="H14" s="265">
        <v>0.1</v>
      </c>
      <c r="I14" s="258">
        <v>4974000000</v>
      </c>
      <c r="J14" s="258">
        <v>54714000000</v>
      </c>
      <c r="K14" s="256" t="s">
        <v>1346</v>
      </c>
    </row>
    <row r="15" spans="1:11" x14ac:dyDescent="0.3">
      <c r="A15" s="256">
        <v>8</v>
      </c>
      <c r="B15" s="257" t="s">
        <v>1391</v>
      </c>
      <c r="C15" s="276">
        <v>44477</v>
      </c>
      <c r="D15" s="257" t="s">
        <v>1267</v>
      </c>
      <c r="E15" s="256" t="s">
        <v>1810</v>
      </c>
      <c r="F15" s="256" t="s">
        <v>1770</v>
      </c>
      <c r="G15" s="258">
        <v>33173000000</v>
      </c>
      <c r="H15" s="265">
        <v>0.1</v>
      </c>
      <c r="I15" s="258">
        <v>3317300000</v>
      </c>
      <c r="J15" s="258">
        <v>36490300000</v>
      </c>
      <c r="K15" s="256" t="s">
        <v>1346</v>
      </c>
    </row>
    <row r="16" spans="1:11" x14ac:dyDescent="0.3">
      <c r="A16" s="256">
        <v>9</v>
      </c>
      <c r="B16" s="257" t="s">
        <v>1394</v>
      </c>
      <c r="C16" s="276">
        <v>44478</v>
      </c>
      <c r="D16" s="257" t="s">
        <v>1270</v>
      </c>
      <c r="E16" s="256" t="s">
        <v>1782</v>
      </c>
      <c r="F16" s="256" t="s">
        <v>1769</v>
      </c>
      <c r="G16" s="258">
        <v>37357000000</v>
      </c>
      <c r="H16" s="265">
        <v>0</v>
      </c>
      <c r="I16" s="258">
        <v>0</v>
      </c>
      <c r="J16" s="258">
        <v>37357000000</v>
      </c>
      <c r="K16" s="256" t="s">
        <v>1346</v>
      </c>
    </row>
    <row r="17" spans="1:11" x14ac:dyDescent="0.3">
      <c r="A17" s="256">
        <v>10</v>
      </c>
      <c r="B17" s="257" t="s">
        <v>1371</v>
      </c>
      <c r="C17" s="276">
        <v>44479</v>
      </c>
      <c r="D17" s="257" t="s">
        <v>1292</v>
      </c>
      <c r="E17" s="256" t="s">
        <v>1792</v>
      </c>
      <c r="F17" s="256" t="s">
        <v>1730</v>
      </c>
      <c r="G17" s="258">
        <v>90708000000</v>
      </c>
      <c r="H17" s="265">
        <v>0.1</v>
      </c>
      <c r="I17" s="258">
        <v>9070800000</v>
      </c>
      <c r="J17" s="258">
        <v>99778800000</v>
      </c>
      <c r="K17" s="256" t="s">
        <v>1346</v>
      </c>
    </row>
    <row r="18" spans="1:11" x14ac:dyDescent="0.3">
      <c r="A18" s="256">
        <v>11</v>
      </c>
      <c r="B18" s="257" t="s">
        <v>1364</v>
      </c>
      <c r="C18" s="276">
        <v>44480</v>
      </c>
      <c r="D18" s="257" t="s">
        <v>1297</v>
      </c>
      <c r="E18" s="256" t="s">
        <v>1820</v>
      </c>
      <c r="F18" s="256" t="s">
        <v>1730</v>
      </c>
      <c r="G18" s="258">
        <v>94695000000</v>
      </c>
      <c r="H18" s="265">
        <v>0.1</v>
      </c>
      <c r="I18" s="258">
        <v>9469500000</v>
      </c>
      <c r="J18" s="258">
        <v>104164500000</v>
      </c>
      <c r="K18" s="256" t="s">
        <v>1346</v>
      </c>
    </row>
    <row r="19" spans="1:11" x14ac:dyDescent="0.3">
      <c r="A19" s="256">
        <v>12</v>
      </c>
      <c r="B19" s="257" t="s">
        <v>1406</v>
      </c>
      <c r="C19" s="276">
        <v>44481</v>
      </c>
      <c r="D19" s="257" t="s">
        <v>1263</v>
      </c>
      <c r="E19" s="256" t="s">
        <v>1790</v>
      </c>
      <c r="F19" s="256" t="s">
        <v>1769</v>
      </c>
      <c r="G19" s="258">
        <v>27711000000</v>
      </c>
      <c r="H19" s="265">
        <v>0.1</v>
      </c>
      <c r="I19" s="258">
        <v>2771100000</v>
      </c>
      <c r="J19" s="258">
        <v>30482100000</v>
      </c>
      <c r="K19" s="256" t="s">
        <v>1348</v>
      </c>
    </row>
    <row r="20" spans="1:11" x14ac:dyDescent="0.3">
      <c r="A20" s="256">
        <v>13</v>
      </c>
      <c r="B20" s="257" t="s">
        <v>1405</v>
      </c>
      <c r="C20" s="276">
        <v>44211</v>
      </c>
      <c r="D20" s="257" t="s">
        <v>1278</v>
      </c>
      <c r="E20" s="256" t="s">
        <v>1785</v>
      </c>
      <c r="F20" s="256" t="s">
        <v>1730</v>
      </c>
      <c r="G20" s="258">
        <v>44913000000</v>
      </c>
      <c r="H20" s="265">
        <v>0.1</v>
      </c>
      <c r="I20" s="258">
        <v>4491300000</v>
      </c>
      <c r="J20" s="258">
        <v>49404300000</v>
      </c>
      <c r="K20" s="256" t="s">
        <v>1346</v>
      </c>
    </row>
    <row r="21" spans="1:11" x14ac:dyDescent="0.3">
      <c r="A21" s="256">
        <v>14</v>
      </c>
      <c r="B21" s="257" t="s">
        <v>1356</v>
      </c>
      <c r="C21" s="276">
        <v>44242</v>
      </c>
      <c r="D21" s="257" t="s">
        <v>1294</v>
      </c>
      <c r="E21" s="256" t="s">
        <v>1795</v>
      </c>
      <c r="F21" s="256" t="s">
        <v>1766</v>
      </c>
      <c r="G21" s="258">
        <v>26937000000</v>
      </c>
      <c r="H21" s="265">
        <v>0.1</v>
      </c>
      <c r="I21" s="258">
        <v>2693700000</v>
      </c>
      <c r="J21" s="258">
        <v>29630700000</v>
      </c>
      <c r="K21" s="256" t="s">
        <v>1348</v>
      </c>
    </row>
    <row r="22" spans="1:11" x14ac:dyDescent="0.3">
      <c r="A22" s="256">
        <v>15</v>
      </c>
      <c r="B22" s="257" t="s">
        <v>1376</v>
      </c>
      <c r="C22" s="276">
        <v>44275</v>
      </c>
      <c r="D22" s="257" t="s">
        <v>1293</v>
      </c>
      <c r="E22" s="256" t="s">
        <v>1826</v>
      </c>
      <c r="F22" s="256" t="s">
        <v>1770</v>
      </c>
      <c r="G22" s="258">
        <v>91262000000</v>
      </c>
      <c r="H22" s="265">
        <v>0.1</v>
      </c>
      <c r="I22" s="258">
        <v>9126200000</v>
      </c>
      <c r="J22" s="258">
        <v>100388200000</v>
      </c>
      <c r="K22" s="256" t="s">
        <v>1346</v>
      </c>
    </row>
    <row r="23" spans="1:11" x14ac:dyDescent="0.3">
      <c r="A23" s="256">
        <v>16</v>
      </c>
      <c r="B23" s="257" t="s">
        <v>1399</v>
      </c>
      <c r="C23" s="276">
        <v>44306</v>
      </c>
      <c r="D23" s="257" t="s">
        <v>1280</v>
      </c>
      <c r="E23" s="256" t="s">
        <v>1777</v>
      </c>
      <c r="F23" s="256" t="s">
        <v>1768</v>
      </c>
      <c r="G23" s="258">
        <v>83657000000</v>
      </c>
      <c r="H23" s="265">
        <v>0.1</v>
      </c>
      <c r="I23" s="258">
        <v>8365700000</v>
      </c>
      <c r="J23" s="258">
        <v>92022700000</v>
      </c>
      <c r="K23" s="256" t="s">
        <v>1346</v>
      </c>
    </row>
    <row r="24" spans="1:11" x14ac:dyDescent="0.3">
      <c r="A24" s="256">
        <v>17</v>
      </c>
      <c r="B24" s="257" t="s">
        <v>1408</v>
      </c>
      <c r="C24" s="276">
        <v>44336</v>
      </c>
      <c r="D24" s="257" t="s">
        <v>1281</v>
      </c>
      <c r="E24" s="256" t="s">
        <v>1806</v>
      </c>
      <c r="F24" s="256" t="s">
        <v>1770</v>
      </c>
      <c r="G24" s="258">
        <v>37660000000</v>
      </c>
      <c r="H24" s="265">
        <v>0.1</v>
      </c>
      <c r="I24" s="258">
        <v>3766000000</v>
      </c>
      <c r="J24" s="258">
        <v>41426000000</v>
      </c>
      <c r="K24" s="256" t="s">
        <v>1348</v>
      </c>
    </row>
    <row r="25" spans="1:11" x14ac:dyDescent="0.3">
      <c r="A25" s="256">
        <v>18</v>
      </c>
      <c r="B25" s="257" t="s">
        <v>1373</v>
      </c>
      <c r="C25" s="276">
        <v>44367</v>
      </c>
      <c r="D25" s="257" t="s">
        <v>1295</v>
      </c>
      <c r="E25" s="256" t="s">
        <v>1825</v>
      </c>
      <c r="F25" s="256" t="s">
        <v>1769</v>
      </c>
      <c r="G25" s="258">
        <v>68142000000</v>
      </c>
      <c r="H25" s="265">
        <v>0.1</v>
      </c>
      <c r="I25" s="258">
        <v>6814200000</v>
      </c>
      <c r="J25" s="258">
        <v>74956200000</v>
      </c>
      <c r="K25" s="256" t="s">
        <v>1346</v>
      </c>
    </row>
    <row r="26" spans="1:11" x14ac:dyDescent="0.3">
      <c r="A26" s="256">
        <v>19</v>
      </c>
      <c r="B26" s="257" t="s">
        <v>1404</v>
      </c>
      <c r="C26" s="276">
        <v>44397</v>
      </c>
      <c r="D26" s="257" t="s">
        <v>1259</v>
      </c>
      <c r="E26" s="256" t="s">
        <v>1788</v>
      </c>
      <c r="F26" s="256" t="s">
        <v>1730</v>
      </c>
      <c r="G26" s="258">
        <v>35308000000</v>
      </c>
      <c r="H26" s="265">
        <v>0.1</v>
      </c>
      <c r="I26" s="258">
        <v>3530800000</v>
      </c>
      <c r="J26" s="258">
        <v>38838800000</v>
      </c>
      <c r="K26" s="256" t="s">
        <v>1346</v>
      </c>
    </row>
    <row r="27" spans="1:11" x14ac:dyDescent="0.3">
      <c r="A27" s="256">
        <v>20</v>
      </c>
      <c r="B27" s="257" t="s">
        <v>1398</v>
      </c>
      <c r="C27" s="276">
        <v>44428</v>
      </c>
      <c r="D27" s="257" t="s">
        <v>1283</v>
      </c>
      <c r="E27" s="256" t="s">
        <v>1798</v>
      </c>
      <c r="F27" s="256" t="s">
        <v>1766</v>
      </c>
      <c r="G27" s="258">
        <v>60788000000</v>
      </c>
      <c r="H27" s="265">
        <v>0.1</v>
      </c>
      <c r="I27" s="258">
        <v>6078800000</v>
      </c>
      <c r="J27" s="258">
        <v>66866800000</v>
      </c>
      <c r="K27" s="256" t="s">
        <v>1346</v>
      </c>
    </row>
    <row r="28" spans="1:11" x14ac:dyDescent="0.3">
      <c r="A28" s="256">
        <v>21</v>
      </c>
      <c r="B28" s="257" t="s">
        <v>1408</v>
      </c>
      <c r="C28" s="276">
        <v>44459</v>
      </c>
      <c r="D28" s="257" t="s">
        <v>1263</v>
      </c>
      <c r="E28" s="256" t="s">
        <v>1790</v>
      </c>
      <c r="F28" s="256" t="s">
        <v>1770</v>
      </c>
      <c r="G28" s="258">
        <v>49058000000</v>
      </c>
      <c r="H28" s="265">
        <v>0.1</v>
      </c>
      <c r="I28" s="258">
        <v>4905800000</v>
      </c>
      <c r="J28" s="258">
        <v>53963800000</v>
      </c>
      <c r="K28" s="256" t="s">
        <v>1346</v>
      </c>
    </row>
    <row r="29" spans="1:11" x14ac:dyDescent="0.3">
      <c r="A29" s="256">
        <v>22</v>
      </c>
      <c r="B29" s="257" t="s">
        <v>1392</v>
      </c>
      <c r="C29" s="276">
        <v>44489</v>
      </c>
      <c r="D29" s="257" t="s">
        <v>1267</v>
      </c>
      <c r="E29" s="256" t="s">
        <v>1810</v>
      </c>
      <c r="F29" s="256" t="s">
        <v>1850</v>
      </c>
      <c r="G29" s="258">
        <v>37061000000</v>
      </c>
      <c r="H29" s="265">
        <v>0.1</v>
      </c>
      <c r="I29" s="258">
        <v>3706100000</v>
      </c>
      <c r="J29" s="258">
        <v>40767100000</v>
      </c>
      <c r="K29" s="256" t="s">
        <v>1346</v>
      </c>
    </row>
    <row r="30" spans="1:11" x14ac:dyDescent="0.3">
      <c r="A30" s="256">
        <v>23</v>
      </c>
      <c r="B30" s="257" t="s">
        <v>1373</v>
      </c>
      <c r="C30" s="276">
        <v>44520</v>
      </c>
      <c r="D30" s="257" t="s">
        <v>1287</v>
      </c>
      <c r="E30" s="256" t="s">
        <v>1801</v>
      </c>
      <c r="F30" s="256" t="s">
        <v>1770</v>
      </c>
      <c r="G30" s="258">
        <v>86182000000</v>
      </c>
      <c r="H30" s="265">
        <v>0</v>
      </c>
      <c r="I30" s="258">
        <v>0</v>
      </c>
      <c r="J30" s="258">
        <v>86182000000</v>
      </c>
      <c r="K30" s="256" t="s">
        <v>1346</v>
      </c>
    </row>
    <row r="31" spans="1:11" x14ac:dyDescent="0.3">
      <c r="A31" s="256">
        <v>24</v>
      </c>
      <c r="B31" s="257" t="s">
        <v>1355</v>
      </c>
      <c r="C31" s="276">
        <v>44550</v>
      </c>
      <c r="D31" s="257" t="s">
        <v>1301</v>
      </c>
      <c r="E31" s="256" t="s">
        <v>1781</v>
      </c>
      <c r="F31" s="256" t="s">
        <v>1730</v>
      </c>
      <c r="G31" s="258">
        <v>63773000000</v>
      </c>
      <c r="H31" s="265">
        <v>0.1</v>
      </c>
      <c r="I31" s="258">
        <v>6377300000</v>
      </c>
      <c r="J31" s="258">
        <v>70150300000</v>
      </c>
      <c r="K31" s="256" t="s">
        <v>1346</v>
      </c>
    </row>
    <row r="32" spans="1:11" x14ac:dyDescent="0.3">
      <c r="A32" s="256">
        <v>25</v>
      </c>
      <c r="B32" s="257" t="s">
        <v>1356</v>
      </c>
      <c r="C32" s="276">
        <v>44221</v>
      </c>
      <c r="D32" s="257" t="s">
        <v>1301</v>
      </c>
      <c r="E32" s="256" t="s">
        <v>1781</v>
      </c>
      <c r="F32" s="256" t="s">
        <v>1768</v>
      </c>
      <c r="G32" s="258">
        <v>94793000000</v>
      </c>
      <c r="H32" s="265">
        <v>0.1</v>
      </c>
      <c r="I32" s="258">
        <v>9479300000</v>
      </c>
      <c r="J32" s="258">
        <v>104272300000</v>
      </c>
      <c r="K32" s="256" t="s">
        <v>1346</v>
      </c>
    </row>
    <row r="33" spans="1:11" x14ac:dyDescent="0.3">
      <c r="A33" s="256">
        <v>26</v>
      </c>
      <c r="B33" s="257" t="s">
        <v>1394</v>
      </c>
      <c r="C33" s="276">
        <v>44255</v>
      </c>
      <c r="D33" s="257" t="s">
        <v>1273</v>
      </c>
      <c r="E33" s="256" t="s">
        <v>1829</v>
      </c>
      <c r="F33" s="256" t="s">
        <v>1766</v>
      </c>
      <c r="G33" s="258">
        <v>76629000000</v>
      </c>
      <c r="H33" s="265">
        <v>0.1</v>
      </c>
      <c r="I33" s="258">
        <v>7662900000</v>
      </c>
      <c r="J33" s="258">
        <v>84291900000</v>
      </c>
      <c r="K33" s="256" t="s">
        <v>1346</v>
      </c>
    </row>
    <row r="34" spans="1:11" x14ac:dyDescent="0.3">
      <c r="A34" s="256">
        <v>27</v>
      </c>
      <c r="B34" s="257" t="s">
        <v>1362</v>
      </c>
      <c r="C34" s="276">
        <v>44316</v>
      </c>
      <c r="D34" s="257" t="s">
        <v>1304</v>
      </c>
      <c r="E34" s="256" t="s">
        <v>1831</v>
      </c>
      <c r="F34" s="256" t="s">
        <v>1768</v>
      </c>
      <c r="G34" s="258">
        <v>84286000000</v>
      </c>
      <c r="H34" s="265">
        <v>0.1</v>
      </c>
      <c r="I34" s="258">
        <v>8428600000</v>
      </c>
      <c r="J34" s="258">
        <v>92714600000</v>
      </c>
      <c r="K34" s="256" t="s">
        <v>1346</v>
      </c>
    </row>
    <row r="35" spans="1:11" x14ac:dyDescent="0.3">
      <c r="A35" s="256">
        <v>28</v>
      </c>
      <c r="B35" s="257" t="s">
        <v>1204</v>
      </c>
      <c r="C35" s="276">
        <v>44377</v>
      </c>
      <c r="D35" s="257" t="s">
        <v>1271</v>
      </c>
      <c r="E35" s="256" t="s">
        <v>1799</v>
      </c>
      <c r="F35" s="256" t="s">
        <v>1730</v>
      </c>
      <c r="G35" s="258">
        <v>72261000000</v>
      </c>
      <c r="H35" s="265">
        <v>0.1</v>
      </c>
      <c r="I35" s="258">
        <v>7226100000</v>
      </c>
      <c r="J35" s="258">
        <v>79487100000</v>
      </c>
      <c r="K35" s="256" t="s">
        <v>1346</v>
      </c>
    </row>
    <row r="36" spans="1:11" x14ac:dyDescent="0.3">
      <c r="A36" s="256">
        <v>29</v>
      </c>
      <c r="B36" s="257" t="s">
        <v>1379</v>
      </c>
      <c r="C36" s="276">
        <v>44469</v>
      </c>
      <c r="D36" s="257" t="s">
        <v>1265</v>
      </c>
      <c r="E36" s="256" t="s">
        <v>1830</v>
      </c>
      <c r="F36" s="256" t="s">
        <v>1766</v>
      </c>
      <c r="G36" s="258">
        <v>68560000000</v>
      </c>
      <c r="H36" s="265">
        <v>0.1</v>
      </c>
      <c r="I36" s="258">
        <v>6856000000</v>
      </c>
      <c r="J36" s="258">
        <v>75416000000</v>
      </c>
      <c r="K36" s="256" t="s">
        <v>1348</v>
      </c>
    </row>
    <row r="37" spans="1:11" x14ac:dyDescent="0.3">
      <c r="A37" s="256">
        <v>30</v>
      </c>
      <c r="B37" s="257" t="s">
        <v>1366</v>
      </c>
      <c r="C37" s="276">
        <v>44530</v>
      </c>
      <c r="D37" s="257" t="s">
        <v>1297</v>
      </c>
      <c r="E37" s="256" t="s">
        <v>1820</v>
      </c>
      <c r="F37" s="256" t="s">
        <v>1730</v>
      </c>
      <c r="G37" s="258">
        <v>91982000000</v>
      </c>
      <c r="H37" s="265">
        <v>0.1</v>
      </c>
      <c r="I37" s="258">
        <v>9198200000</v>
      </c>
      <c r="J37" s="258">
        <v>101180200000</v>
      </c>
      <c r="K37" s="256" t="s">
        <v>1346</v>
      </c>
    </row>
    <row r="38" spans="1:11" x14ac:dyDescent="0.3">
      <c r="A38" s="256">
        <v>31</v>
      </c>
      <c r="B38" s="257" t="s">
        <v>1411</v>
      </c>
      <c r="C38" s="276">
        <v>44286</v>
      </c>
      <c r="D38" s="257" t="s">
        <v>1276</v>
      </c>
      <c r="E38" s="256" t="s">
        <v>1822</v>
      </c>
      <c r="F38" s="256" t="s">
        <v>1770</v>
      </c>
      <c r="G38" s="258">
        <v>38998000000</v>
      </c>
      <c r="H38" s="265">
        <v>0.1</v>
      </c>
      <c r="I38" s="258">
        <v>3899800000</v>
      </c>
      <c r="J38" s="258">
        <v>42897800000</v>
      </c>
      <c r="K38" s="256" t="s">
        <v>1346</v>
      </c>
    </row>
    <row r="39" spans="1:11" x14ac:dyDescent="0.3">
      <c r="A39" s="256">
        <v>32</v>
      </c>
      <c r="B39" s="257" t="s">
        <v>1396</v>
      </c>
      <c r="C39" s="276">
        <v>44347</v>
      </c>
      <c r="D39" s="257" t="s">
        <v>1274</v>
      </c>
      <c r="E39" s="256" t="s">
        <v>1794</v>
      </c>
      <c r="F39" s="256" t="s">
        <v>1770</v>
      </c>
      <c r="G39" s="258">
        <v>57593000000</v>
      </c>
      <c r="H39" s="265">
        <v>0.1</v>
      </c>
      <c r="I39" s="258">
        <v>5759300000</v>
      </c>
      <c r="J39" s="258">
        <v>63352300000</v>
      </c>
      <c r="K39" s="256" t="s">
        <v>1346</v>
      </c>
    </row>
    <row r="40" spans="1:11" x14ac:dyDescent="0.3">
      <c r="A40" s="256">
        <v>33</v>
      </c>
      <c r="B40" s="257" t="s">
        <v>1356</v>
      </c>
      <c r="C40" s="276">
        <v>44408</v>
      </c>
      <c r="D40" s="257" t="s">
        <v>1303</v>
      </c>
      <c r="E40" s="256" t="s">
        <v>1817</v>
      </c>
      <c r="F40" s="256" t="s">
        <v>1850</v>
      </c>
      <c r="G40" s="258">
        <v>84199000000</v>
      </c>
      <c r="H40" s="265">
        <v>0.1</v>
      </c>
      <c r="I40" s="258">
        <v>8419900000</v>
      </c>
      <c r="J40" s="258">
        <v>92618900000</v>
      </c>
      <c r="K40" s="256" t="s">
        <v>1346</v>
      </c>
    </row>
    <row r="41" spans="1:11" x14ac:dyDescent="0.3">
      <c r="A41" s="256">
        <v>34</v>
      </c>
      <c r="B41" s="257" t="s">
        <v>1205</v>
      </c>
      <c r="C41" s="276">
        <v>44439</v>
      </c>
      <c r="D41" s="257" t="s">
        <v>1271</v>
      </c>
      <c r="E41" s="256" t="s">
        <v>1799</v>
      </c>
      <c r="F41" s="256" t="s">
        <v>1768</v>
      </c>
      <c r="G41" s="258">
        <v>44854000000</v>
      </c>
      <c r="H41" s="265">
        <v>0.1</v>
      </c>
      <c r="I41" s="258">
        <v>4485400000</v>
      </c>
      <c r="J41" s="258">
        <v>49339400000</v>
      </c>
      <c r="K41" s="256" t="s">
        <v>1346</v>
      </c>
    </row>
    <row r="42" spans="1:11" x14ac:dyDescent="0.3">
      <c r="A42" s="256">
        <v>35</v>
      </c>
      <c r="B42" s="257" t="s">
        <v>1403</v>
      </c>
      <c r="C42" s="276">
        <v>44500</v>
      </c>
      <c r="D42" s="257" t="s">
        <v>1275</v>
      </c>
      <c r="E42" s="256" t="s">
        <v>1808</v>
      </c>
      <c r="F42" s="256" t="s">
        <v>1766</v>
      </c>
      <c r="G42" s="258">
        <v>73434000000</v>
      </c>
      <c r="H42" s="265">
        <v>0.1</v>
      </c>
      <c r="I42" s="258">
        <v>7343400000</v>
      </c>
      <c r="J42" s="258">
        <v>80777400000</v>
      </c>
      <c r="K42" s="256" t="s">
        <v>1346</v>
      </c>
    </row>
    <row r="43" spans="1:11" x14ac:dyDescent="0.3">
      <c r="A43" s="256">
        <v>36</v>
      </c>
      <c r="B43" s="257" t="s">
        <v>1358</v>
      </c>
      <c r="C43" s="276">
        <v>44561</v>
      </c>
      <c r="D43" s="257" t="s">
        <v>1301</v>
      </c>
      <c r="E43" s="256" t="s">
        <v>1781</v>
      </c>
      <c r="F43" s="256" t="s">
        <v>1768</v>
      </c>
      <c r="G43" s="258">
        <v>72023000000</v>
      </c>
      <c r="H43" s="265">
        <v>0</v>
      </c>
      <c r="I43" s="258">
        <v>0</v>
      </c>
      <c r="J43" s="258">
        <v>72023000000</v>
      </c>
      <c r="K43" s="256" t="s">
        <v>1346</v>
      </c>
    </row>
    <row r="44" spans="1:11" x14ac:dyDescent="0.3">
      <c r="A44" s="256">
        <v>37</v>
      </c>
      <c r="B44" s="257" t="s">
        <v>1415</v>
      </c>
      <c r="C44" s="276">
        <v>44561</v>
      </c>
      <c r="D44" s="257" t="s">
        <v>1277</v>
      </c>
      <c r="E44" s="256" t="s">
        <v>1783</v>
      </c>
      <c r="F44" s="256" t="s">
        <v>1770</v>
      </c>
      <c r="G44" s="258">
        <v>37757000000</v>
      </c>
      <c r="H44" s="265">
        <v>0.1</v>
      </c>
      <c r="I44" s="258">
        <v>3775700000</v>
      </c>
      <c r="J44" s="258">
        <v>41532700000</v>
      </c>
      <c r="K44" s="256" t="s">
        <v>1348</v>
      </c>
    </row>
    <row r="45" spans="1:11" x14ac:dyDescent="0.3">
      <c r="A45" s="256">
        <v>38</v>
      </c>
      <c r="B45" s="257" t="s">
        <v>1374</v>
      </c>
      <c r="C45" s="276">
        <v>44561</v>
      </c>
      <c r="D45" s="257" t="s">
        <v>1295</v>
      </c>
      <c r="E45" s="256" t="s">
        <v>1825</v>
      </c>
      <c r="F45" s="256" t="s">
        <v>1770</v>
      </c>
      <c r="G45" s="258">
        <v>32201000000</v>
      </c>
      <c r="H45" s="265">
        <v>0.1</v>
      </c>
      <c r="I45" s="258">
        <v>3220100000</v>
      </c>
      <c r="J45" s="258">
        <v>35421100000</v>
      </c>
      <c r="K45" s="256" t="s">
        <v>1346</v>
      </c>
    </row>
    <row r="46" spans="1:11" x14ac:dyDescent="0.3">
      <c r="A46" s="256">
        <v>39</v>
      </c>
      <c r="B46" s="257" t="s">
        <v>1362</v>
      </c>
      <c r="C46" s="276">
        <v>44561</v>
      </c>
      <c r="D46" s="257" t="s">
        <v>1299</v>
      </c>
      <c r="E46" s="256" t="s">
        <v>1776</v>
      </c>
      <c r="F46" s="256" t="s">
        <v>1769</v>
      </c>
      <c r="G46" s="258">
        <v>80133000000</v>
      </c>
      <c r="H46" s="265">
        <v>0.1</v>
      </c>
      <c r="I46" s="258">
        <v>8013300000</v>
      </c>
      <c r="J46" s="258">
        <v>88146300000</v>
      </c>
      <c r="K46" s="256" t="s">
        <v>1346</v>
      </c>
    </row>
    <row r="47" spans="1:11" x14ac:dyDescent="0.3">
      <c r="A47" s="256">
        <v>40</v>
      </c>
      <c r="B47" s="257" t="s">
        <v>1385</v>
      </c>
      <c r="C47" s="276">
        <v>44561</v>
      </c>
      <c r="D47" s="257" t="s">
        <v>1271</v>
      </c>
      <c r="E47" s="256" t="s">
        <v>1799</v>
      </c>
      <c r="F47" s="256" t="s">
        <v>1770</v>
      </c>
      <c r="G47" s="258">
        <v>47053000000</v>
      </c>
      <c r="H47" s="265">
        <v>0.1</v>
      </c>
      <c r="I47" s="258">
        <v>4705300000</v>
      </c>
      <c r="J47" s="258">
        <v>51758300000</v>
      </c>
      <c r="K47" s="256" t="s">
        <v>1348</v>
      </c>
    </row>
    <row r="48" spans="1:11" x14ac:dyDescent="0.3">
      <c r="A48" s="256">
        <v>41</v>
      </c>
      <c r="B48" s="257" t="s">
        <v>1358</v>
      </c>
      <c r="C48" s="276">
        <v>44561</v>
      </c>
      <c r="D48" s="257" t="s">
        <v>1296</v>
      </c>
      <c r="E48" s="256" t="s">
        <v>1807</v>
      </c>
      <c r="F48" s="256" t="s">
        <v>1766</v>
      </c>
      <c r="G48" s="258">
        <v>73471000000</v>
      </c>
      <c r="H48" s="265">
        <v>0.1</v>
      </c>
      <c r="I48" s="258">
        <v>7347100000</v>
      </c>
      <c r="J48" s="258">
        <v>80818100000</v>
      </c>
      <c r="K48" s="256" t="s">
        <v>1346</v>
      </c>
    </row>
    <row r="49" spans="1:11" x14ac:dyDescent="0.3">
      <c r="A49" s="256">
        <v>42</v>
      </c>
      <c r="B49" s="257" t="s">
        <v>1396</v>
      </c>
      <c r="C49" s="276">
        <v>44561</v>
      </c>
      <c r="D49" s="257" t="s">
        <v>1270</v>
      </c>
      <c r="E49" s="256" t="s">
        <v>1782</v>
      </c>
      <c r="F49" s="256" t="s">
        <v>1770</v>
      </c>
      <c r="G49" s="258">
        <v>81987000000</v>
      </c>
      <c r="H49" s="265">
        <v>0.1</v>
      </c>
      <c r="I49" s="258">
        <v>8198700000</v>
      </c>
      <c r="J49" s="258">
        <v>90185700000</v>
      </c>
      <c r="K49" s="256" t="s">
        <v>1346</v>
      </c>
    </row>
    <row r="50" spans="1:11" x14ac:dyDescent="0.3">
      <c r="A50" s="256">
        <v>43</v>
      </c>
      <c r="B50" s="257" t="s">
        <v>1371</v>
      </c>
      <c r="C50" s="276">
        <v>44561</v>
      </c>
      <c r="D50" s="257" t="s">
        <v>1288</v>
      </c>
      <c r="E50" s="256" t="s">
        <v>1797</v>
      </c>
      <c r="F50" s="256" t="s">
        <v>1769</v>
      </c>
      <c r="G50" s="258">
        <v>92938000000</v>
      </c>
      <c r="H50" s="265">
        <v>0.1</v>
      </c>
      <c r="I50" s="258">
        <v>9293800000</v>
      </c>
      <c r="J50" s="258">
        <v>102231800000</v>
      </c>
      <c r="K50" s="256" t="s">
        <v>1348</v>
      </c>
    </row>
    <row r="51" spans="1:11" x14ac:dyDescent="0.3">
      <c r="A51" s="256">
        <v>44</v>
      </c>
      <c r="B51" s="257" t="s">
        <v>1387</v>
      </c>
      <c r="C51" s="276">
        <v>44561</v>
      </c>
      <c r="D51" s="257" t="s">
        <v>1264</v>
      </c>
      <c r="E51" s="256" t="s">
        <v>1779</v>
      </c>
      <c r="F51" s="256" t="s">
        <v>1766</v>
      </c>
      <c r="G51" s="258">
        <v>92896000000</v>
      </c>
      <c r="H51" s="265">
        <v>0.1</v>
      </c>
      <c r="I51" s="258">
        <v>9289600000</v>
      </c>
      <c r="J51" s="258">
        <v>102185600000</v>
      </c>
      <c r="K51" s="256" t="s">
        <v>1346</v>
      </c>
    </row>
    <row r="52" spans="1:11" x14ac:dyDescent="0.3">
      <c r="A52" s="256">
        <v>45</v>
      </c>
      <c r="B52" s="257" t="s">
        <v>1373</v>
      </c>
      <c r="C52" s="276">
        <v>44561</v>
      </c>
      <c r="D52" s="257" t="s">
        <v>1288</v>
      </c>
      <c r="E52" s="256" t="s">
        <v>1797</v>
      </c>
      <c r="F52" s="256" t="s">
        <v>1770</v>
      </c>
      <c r="G52" s="258">
        <v>67772000000</v>
      </c>
      <c r="H52" s="265">
        <v>0</v>
      </c>
      <c r="I52" s="258">
        <v>0</v>
      </c>
      <c r="J52" s="258">
        <v>67772000000</v>
      </c>
      <c r="K52" s="256" t="s">
        <v>1346</v>
      </c>
    </row>
    <row r="53" spans="1:11" x14ac:dyDescent="0.3">
      <c r="A53" s="256">
        <v>46</v>
      </c>
      <c r="B53" s="257" t="s">
        <v>1381</v>
      </c>
      <c r="C53" s="276">
        <v>44561</v>
      </c>
      <c r="D53" s="257" t="s">
        <v>1265</v>
      </c>
      <c r="E53" s="256" t="s">
        <v>1830</v>
      </c>
      <c r="F53" s="256" t="s">
        <v>1770</v>
      </c>
      <c r="G53" s="258">
        <v>53916000000</v>
      </c>
      <c r="H53" s="265">
        <v>0.1</v>
      </c>
      <c r="I53" s="258">
        <v>5391600000</v>
      </c>
      <c r="J53" s="258">
        <v>59307600000</v>
      </c>
      <c r="K53" s="256" t="s">
        <v>1346</v>
      </c>
    </row>
    <row r="54" spans="1:11" x14ac:dyDescent="0.3">
      <c r="A54" s="256">
        <v>47</v>
      </c>
      <c r="B54" s="257" t="s">
        <v>1374</v>
      </c>
      <c r="C54" s="276">
        <v>44561</v>
      </c>
      <c r="D54" s="257" t="s">
        <v>1287</v>
      </c>
      <c r="E54" s="256" t="s">
        <v>1801</v>
      </c>
      <c r="F54" s="256" t="s">
        <v>1768</v>
      </c>
      <c r="G54" s="258">
        <v>78603000000</v>
      </c>
      <c r="H54" s="265">
        <v>0.1</v>
      </c>
      <c r="I54" s="258">
        <v>7860300000</v>
      </c>
      <c r="J54" s="258">
        <v>86463300000</v>
      </c>
      <c r="K54" s="256" t="s">
        <v>1346</v>
      </c>
    </row>
    <row r="55" spans="1:11" x14ac:dyDescent="0.3">
      <c r="A55" s="256">
        <v>48</v>
      </c>
      <c r="B55" s="257" t="s">
        <v>1376</v>
      </c>
      <c r="C55" s="276">
        <v>44561</v>
      </c>
      <c r="D55" s="257" t="s">
        <v>1287</v>
      </c>
      <c r="E55" s="256" t="s">
        <v>1801</v>
      </c>
      <c r="F55" s="256" t="s">
        <v>1770</v>
      </c>
      <c r="G55" s="258">
        <v>61349000000</v>
      </c>
      <c r="H55" s="265">
        <v>0.1</v>
      </c>
      <c r="I55" s="258">
        <v>6134900000</v>
      </c>
      <c r="J55" s="258">
        <v>67483900000</v>
      </c>
      <c r="K55" s="256" t="s">
        <v>1346</v>
      </c>
    </row>
    <row r="56" spans="1:11" x14ac:dyDescent="0.3">
      <c r="A56" s="256">
        <v>49</v>
      </c>
      <c r="B56" s="257" t="s">
        <v>1358</v>
      </c>
      <c r="C56" s="276">
        <v>44561</v>
      </c>
      <c r="D56" s="257" t="s">
        <v>1298</v>
      </c>
      <c r="E56" s="256" t="s">
        <v>1819</v>
      </c>
      <c r="F56" s="256" t="s">
        <v>1768</v>
      </c>
      <c r="G56" s="258">
        <v>65157000000</v>
      </c>
      <c r="H56" s="265">
        <v>0.1</v>
      </c>
      <c r="I56" s="258">
        <v>6515700000</v>
      </c>
      <c r="J56" s="258">
        <v>71672700000</v>
      </c>
      <c r="K56" s="256" t="s">
        <v>1346</v>
      </c>
    </row>
    <row r="57" spans="1:11" x14ac:dyDescent="0.3">
      <c r="A57" s="256">
        <v>50</v>
      </c>
      <c r="B57" s="257" t="s">
        <v>1368</v>
      </c>
      <c r="C57" s="276">
        <v>44561</v>
      </c>
      <c r="D57" s="257" t="s">
        <v>1291</v>
      </c>
      <c r="E57" s="256" t="s">
        <v>1800</v>
      </c>
      <c r="F57" s="256" t="s">
        <v>1850</v>
      </c>
      <c r="G57" s="258">
        <v>79888000000</v>
      </c>
      <c r="H57" s="265">
        <v>0.1</v>
      </c>
      <c r="I57" s="258">
        <v>7988800000</v>
      </c>
      <c r="J57" s="258">
        <v>87876800000</v>
      </c>
      <c r="K57" s="256" t="s">
        <v>1348</v>
      </c>
    </row>
    <row r="58" spans="1:11" x14ac:dyDescent="0.3">
      <c r="A58" s="266" t="s">
        <v>1351</v>
      </c>
      <c r="B58" s="266"/>
      <c r="C58" s="266"/>
      <c r="D58" s="266"/>
      <c r="E58" s="266"/>
      <c r="F58" s="266"/>
      <c r="G58" s="267">
        <f>SUM(G8:G57)</f>
        <v>3169427000000</v>
      </c>
      <c r="H58" s="266"/>
      <c r="I58" s="267">
        <f>SUM(I8:I57)</f>
        <v>290609300000</v>
      </c>
      <c r="J58" s="267">
        <f>SUM(J8:J57)</f>
        <v>3460036300000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1302</v>
      </c>
      <c r="E62" s="256" t="s">
        <v>1784</v>
      </c>
      <c r="F62" s="256" t="s">
        <v>1774</v>
      </c>
      <c r="G62" s="258">
        <v>42891000000</v>
      </c>
      <c r="H62" s="265">
        <v>0.1</v>
      </c>
      <c r="I62" s="258">
        <v>4289100000</v>
      </c>
      <c r="J62" s="258">
        <v>47180100000</v>
      </c>
      <c r="K62" s="256" t="s">
        <v>1346</v>
      </c>
    </row>
    <row r="63" spans="1:11" x14ac:dyDescent="0.3">
      <c r="A63" s="256">
        <v>2</v>
      </c>
      <c r="B63" s="257" t="s">
        <v>1201</v>
      </c>
      <c r="C63" s="276">
        <v>44318</v>
      </c>
      <c r="D63" s="257" t="s">
        <v>1288</v>
      </c>
      <c r="E63" s="256" t="s">
        <v>1797</v>
      </c>
      <c r="F63" s="256" t="s">
        <v>1772</v>
      </c>
      <c r="G63" s="258">
        <v>57749000000</v>
      </c>
      <c r="H63" s="265">
        <v>0.1</v>
      </c>
      <c r="I63" s="258">
        <v>5774900000</v>
      </c>
      <c r="J63" s="258">
        <v>63523900000</v>
      </c>
      <c r="K63" s="256" t="s">
        <v>1346</v>
      </c>
    </row>
    <row r="64" spans="1:11" x14ac:dyDescent="0.3">
      <c r="A64" s="256">
        <v>3</v>
      </c>
      <c r="B64" s="257" t="s">
        <v>1202</v>
      </c>
      <c r="C64" s="276">
        <v>44472</v>
      </c>
      <c r="D64" s="257" t="s">
        <v>1292</v>
      </c>
      <c r="E64" s="256" t="s">
        <v>1792</v>
      </c>
      <c r="F64" s="256" t="s">
        <v>1771</v>
      </c>
      <c r="G64" s="258">
        <v>85589000000</v>
      </c>
      <c r="H64" s="265">
        <v>0.1</v>
      </c>
      <c r="I64" s="258">
        <v>8558900000</v>
      </c>
      <c r="J64" s="258">
        <v>94147900000</v>
      </c>
      <c r="K64" s="256" t="s">
        <v>1346</v>
      </c>
    </row>
    <row r="65" spans="1:11" x14ac:dyDescent="0.3">
      <c r="A65" s="256">
        <v>4</v>
      </c>
      <c r="B65" s="257" t="s">
        <v>1355</v>
      </c>
      <c r="C65" s="276">
        <v>44473</v>
      </c>
      <c r="D65" s="257" t="s">
        <v>1296</v>
      </c>
      <c r="E65" s="256" t="s">
        <v>1807</v>
      </c>
      <c r="F65" s="256" t="s">
        <v>1772</v>
      </c>
      <c r="G65" s="258">
        <v>102904000000</v>
      </c>
      <c r="H65" s="265">
        <v>0.1</v>
      </c>
      <c r="I65" s="258">
        <v>10290400000</v>
      </c>
      <c r="J65" s="258">
        <v>113194400000</v>
      </c>
      <c r="K65" s="256" t="s">
        <v>1348</v>
      </c>
    </row>
    <row r="66" spans="1:11" x14ac:dyDescent="0.3">
      <c r="A66" s="256">
        <v>5</v>
      </c>
      <c r="B66" s="257" t="s">
        <v>1356</v>
      </c>
      <c r="C66" s="276">
        <v>44474</v>
      </c>
      <c r="D66" s="257" t="s">
        <v>1272</v>
      </c>
      <c r="E66" s="256" t="s">
        <v>1805</v>
      </c>
      <c r="F66" s="256" t="s">
        <v>1773</v>
      </c>
      <c r="G66" s="258">
        <v>117433000000</v>
      </c>
      <c r="H66" s="265">
        <v>0.1</v>
      </c>
      <c r="I66" s="258">
        <v>11743300000</v>
      </c>
      <c r="J66" s="258">
        <v>129176300000</v>
      </c>
      <c r="K66" s="256" t="s">
        <v>1346</v>
      </c>
    </row>
    <row r="67" spans="1:11" x14ac:dyDescent="0.3">
      <c r="A67" s="256">
        <v>6</v>
      </c>
      <c r="B67" s="257" t="s">
        <v>1358</v>
      </c>
      <c r="C67" s="276">
        <v>44475</v>
      </c>
      <c r="D67" s="257" t="s">
        <v>1295</v>
      </c>
      <c r="E67" s="256" t="s">
        <v>1825</v>
      </c>
      <c r="F67" s="256" t="s">
        <v>1771</v>
      </c>
      <c r="G67" s="258">
        <v>47047000000</v>
      </c>
      <c r="H67" s="265">
        <v>0.1</v>
      </c>
      <c r="I67" s="258">
        <v>4704700000</v>
      </c>
      <c r="J67" s="258">
        <v>51751700000</v>
      </c>
      <c r="K67" s="256" t="s">
        <v>1346</v>
      </c>
    </row>
    <row r="68" spans="1:11" x14ac:dyDescent="0.3">
      <c r="A68" s="256">
        <v>7</v>
      </c>
      <c r="B68" s="257" t="s">
        <v>1360</v>
      </c>
      <c r="C68" s="276">
        <v>44476</v>
      </c>
      <c r="D68" s="257" t="s">
        <v>1287</v>
      </c>
      <c r="E68" s="256" t="s">
        <v>1801</v>
      </c>
      <c r="F68" s="256" t="s">
        <v>1772</v>
      </c>
      <c r="G68" s="258">
        <v>90288000000</v>
      </c>
      <c r="H68" s="265">
        <v>0</v>
      </c>
      <c r="I68" s="258">
        <v>0</v>
      </c>
      <c r="J68" s="258">
        <v>90288000000</v>
      </c>
      <c r="K68" s="256" t="s">
        <v>1348</v>
      </c>
    </row>
    <row r="69" spans="1:11" x14ac:dyDescent="0.3">
      <c r="A69" s="256">
        <v>8</v>
      </c>
      <c r="B69" s="257" t="s">
        <v>1362</v>
      </c>
      <c r="C69" s="276">
        <v>44477</v>
      </c>
      <c r="D69" s="257" t="s">
        <v>1261</v>
      </c>
      <c r="E69" s="256" t="s">
        <v>1813</v>
      </c>
      <c r="F69" s="256" t="s">
        <v>1772</v>
      </c>
      <c r="G69" s="258">
        <v>118102000000</v>
      </c>
      <c r="H69" s="265">
        <v>0.1</v>
      </c>
      <c r="I69" s="258">
        <v>11810200000</v>
      </c>
      <c r="J69" s="258">
        <v>129912200000</v>
      </c>
      <c r="K69" s="256" t="s">
        <v>1346</v>
      </c>
    </row>
    <row r="70" spans="1:11" x14ac:dyDescent="0.3">
      <c r="A70" s="256">
        <v>9</v>
      </c>
      <c r="B70" s="257" t="s">
        <v>1364</v>
      </c>
      <c r="C70" s="276">
        <v>44478</v>
      </c>
      <c r="D70" s="257" t="s">
        <v>1281</v>
      </c>
      <c r="E70" s="256" t="s">
        <v>1806</v>
      </c>
      <c r="F70" s="256" t="s">
        <v>1773</v>
      </c>
      <c r="G70" s="258">
        <v>119388000000</v>
      </c>
      <c r="H70" s="265">
        <v>0.1</v>
      </c>
      <c r="I70" s="258">
        <v>11938800000</v>
      </c>
      <c r="J70" s="258">
        <v>131326800000</v>
      </c>
      <c r="K70" s="256" t="s">
        <v>1346</v>
      </c>
    </row>
    <row r="71" spans="1:11" x14ac:dyDescent="0.3">
      <c r="A71" s="256">
        <v>10</v>
      </c>
      <c r="B71" s="257" t="s">
        <v>1366</v>
      </c>
      <c r="C71" s="276">
        <v>44479</v>
      </c>
      <c r="D71" s="257" t="s">
        <v>1291</v>
      </c>
      <c r="E71" s="256" t="s">
        <v>1800</v>
      </c>
      <c r="F71" s="256" t="s">
        <v>1774</v>
      </c>
      <c r="G71" s="258">
        <v>56132000000</v>
      </c>
      <c r="H71" s="265">
        <v>0.1</v>
      </c>
      <c r="I71" s="258">
        <v>5613200000</v>
      </c>
      <c r="J71" s="258">
        <v>61745200000</v>
      </c>
      <c r="K71" s="256" t="s">
        <v>1346</v>
      </c>
    </row>
    <row r="72" spans="1:11" x14ac:dyDescent="0.3">
      <c r="A72" s="256">
        <v>11</v>
      </c>
      <c r="B72" s="257" t="s">
        <v>1368</v>
      </c>
      <c r="C72" s="276">
        <v>44480</v>
      </c>
      <c r="D72" s="257" t="s">
        <v>1257</v>
      </c>
      <c r="E72" s="256" t="s">
        <v>1815</v>
      </c>
      <c r="F72" s="256" t="s">
        <v>1774</v>
      </c>
      <c r="G72" s="258">
        <v>88584000000</v>
      </c>
      <c r="H72" s="265">
        <v>0.1</v>
      </c>
      <c r="I72" s="258">
        <v>8858400000</v>
      </c>
      <c r="J72" s="258">
        <v>97442400000</v>
      </c>
      <c r="K72" s="256" t="s">
        <v>1346</v>
      </c>
    </row>
    <row r="73" spans="1:11" x14ac:dyDescent="0.3">
      <c r="A73" s="256">
        <v>12</v>
      </c>
      <c r="B73" s="257" t="s">
        <v>1371</v>
      </c>
      <c r="C73" s="276">
        <v>44481</v>
      </c>
      <c r="D73" s="257" t="s">
        <v>1284</v>
      </c>
      <c r="E73" s="256" t="s">
        <v>1786</v>
      </c>
      <c r="F73" s="256" t="s">
        <v>1771</v>
      </c>
      <c r="G73" s="258">
        <v>59911000000</v>
      </c>
      <c r="H73" s="265">
        <v>0.1</v>
      </c>
      <c r="I73" s="258">
        <v>5991100000</v>
      </c>
      <c r="J73" s="258">
        <v>65902100000</v>
      </c>
      <c r="K73" s="256" t="s">
        <v>1346</v>
      </c>
    </row>
    <row r="74" spans="1:11" x14ac:dyDescent="0.3">
      <c r="A74" s="256">
        <v>13</v>
      </c>
      <c r="B74" s="257" t="s">
        <v>1373</v>
      </c>
      <c r="C74" s="276">
        <v>44211</v>
      </c>
      <c r="D74" s="257" t="s">
        <v>1276</v>
      </c>
      <c r="E74" s="256" t="s">
        <v>1822</v>
      </c>
      <c r="F74" s="256" t="s">
        <v>1773</v>
      </c>
      <c r="G74" s="258">
        <v>99485000000</v>
      </c>
      <c r="H74" s="265">
        <v>0.1</v>
      </c>
      <c r="I74" s="258">
        <v>9948500000</v>
      </c>
      <c r="J74" s="258">
        <v>109433500000</v>
      </c>
      <c r="K74" s="256" t="s">
        <v>1346</v>
      </c>
    </row>
    <row r="75" spans="1:11" x14ac:dyDescent="0.3">
      <c r="A75" s="256">
        <v>14</v>
      </c>
      <c r="B75" s="257" t="s">
        <v>1374</v>
      </c>
      <c r="C75" s="276">
        <v>44242</v>
      </c>
      <c r="D75" s="257" t="s">
        <v>1278</v>
      </c>
      <c r="E75" s="256" t="s">
        <v>1785</v>
      </c>
      <c r="F75" s="256" t="s">
        <v>1773</v>
      </c>
      <c r="G75" s="258">
        <v>74175000000</v>
      </c>
      <c r="H75" s="265">
        <v>0.1</v>
      </c>
      <c r="I75" s="258">
        <v>7417500000</v>
      </c>
      <c r="J75" s="258">
        <v>81592500000</v>
      </c>
      <c r="K75" s="256" t="s">
        <v>1346</v>
      </c>
    </row>
    <row r="76" spans="1:11" x14ac:dyDescent="0.3">
      <c r="A76" s="256">
        <v>15</v>
      </c>
      <c r="B76" s="257" t="s">
        <v>1376</v>
      </c>
      <c r="C76" s="276">
        <v>44275</v>
      </c>
      <c r="D76" s="257" t="s">
        <v>1298</v>
      </c>
      <c r="E76" s="256" t="s">
        <v>1819</v>
      </c>
      <c r="F76" s="256" t="s">
        <v>1774</v>
      </c>
      <c r="G76" s="258">
        <v>50695000000</v>
      </c>
      <c r="H76" s="265">
        <v>0.1</v>
      </c>
      <c r="I76" s="258">
        <v>5069500000</v>
      </c>
      <c r="J76" s="258">
        <v>55764500000</v>
      </c>
      <c r="K76" s="256" t="s">
        <v>1346</v>
      </c>
    </row>
    <row r="77" spans="1:11" x14ac:dyDescent="0.3">
      <c r="A77" s="256">
        <v>16</v>
      </c>
      <c r="B77" s="257" t="s">
        <v>1378</v>
      </c>
      <c r="C77" s="276">
        <v>44306</v>
      </c>
      <c r="D77" s="257" t="s">
        <v>1298</v>
      </c>
      <c r="E77" s="256" t="s">
        <v>1819</v>
      </c>
      <c r="F77" s="256" t="s">
        <v>1771</v>
      </c>
      <c r="G77" s="258">
        <v>45907000000</v>
      </c>
      <c r="H77" s="265">
        <v>0.1</v>
      </c>
      <c r="I77" s="258">
        <v>4590700000</v>
      </c>
      <c r="J77" s="258">
        <v>50497700000</v>
      </c>
      <c r="K77" s="256" t="s">
        <v>1346</v>
      </c>
    </row>
    <row r="78" spans="1:11" x14ac:dyDescent="0.3">
      <c r="A78" s="256">
        <v>17</v>
      </c>
      <c r="B78" s="257" t="s">
        <v>1379</v>
      </c>
      <c r="C78" s="276">
        <v>44336</v>
      </c>
      <c r="D78" s="257" t="s">
        <v>1268</v>
      </c>
      <c r="E78" s="256" t="s">
        <v>1821</v>
      </c>
      <c r="F78" s="256" t="s">
        <v>1771</v>
      </c>
      <c r="G78" s="258">
        <v>57279000000</v>
      </c>
      <c r="H78" s="265">
        <v>0.1</v>
      </c>
      <c r="I78" s="258">
        <v>5727900000</v>
      </c>
      <c r="J78" s="258">
        <v>63006900000</v>
      </c>
      <c r="K78" s="256" t="s">
        <v>1346</v>
      </c>
    </row>
    <row r="79" spans="1:11" x14ac:dyDescent="0.3">
      <c r="A79" s="256">
        <v>18</v>
      </c>
      <c r="B79" s="257" t="s">
        <v>1381</v>
      </c>
      <c r="C79" s="276">
        <v>44367</v>
      </c>
      <c r="D79" s="257" t="s">
        <v>1258</v>
      </c>
      <c r="E79" s="256" t="s">
        <v>1833</v>
      </c>
      <c r="F79" s="256" t="s">
        <v>1772</v>
      </c>
      <c r="G79" s="258">
        <v>48285000000</v>
      </c>
      <c r="H79" s="265">
        <v>0.1</v>
      </c>
      <c r="I79" s="258">
        <v>4828500000</v>
      </c>
      <c r="J79" s="258">
        <v>53113500000</v>
      </c>
      <c r="K79" s="256" t="s">
        <v>1346</v>
      </c>
    </row>
    <row r="80" spans="1:11" x14ac:dyDescent="0.3">
      <c r="A80" s="256">
        <v>19</v>
      </c>
      <c r="B80" s="257" t="s">
        <v>1382</v>
      </c>
      <c r="C80" s="276">
        <v>44397</v>
      </c>
      <c r="D80" s="257" t="s">
        <v>1257</v>
      </c>
      <c r="E80" s="256" t="s">
        <v>1815</v>
      </c>
      <c r="F80" s="256" t="s">
        <v>1774</v>
      </c>
      <c r="G80" s="258">
        <v>80122000000</v>
      </c>
      <c r="H80" s="265">
        <v>0.1</v>
      </c>
      <c r="I80" s="258">
        <v>8012200000</v>
      </c>
      <c r="J80" s="258">
        <v>88134200000</v>
      </c>
      <c r="K80" s="256" t="s">
        <v>1346</v>
      </c>
    </row>
    <row r="81" spans="1:11" x14ac:dyDescent="0.3">
      <c r="A81" s="256">
        <v>20</v>
      </c>
      <c r="B81" s="257" t="s">
        <v>1383</v>
      </c>
      <c r="C81" s="276">
        <v>44428</v>
      </c>
      <c r="D81" s="257" t="s">
        <v>1266</v>
      </c>
      <c r="E81" s="256" t="s">
        <v>1824</v>
      </c>
      <c r="F81" s="256" t="s">
        <v>1773</v>
      </c>
      <c r="G81" s="258">
        <v>122318000000</v>
      </c>
      <c r="H81" s="265">
        <v>0.1</v>
      </c>
      <c r="I81" s="258">
        <v>12231800000</v>
      </c>
      <c r="J81" s="258">
        <v>134549800000</v>
      </c>
      <c r="K81" s="256" t="s">
        <v>1346</v>
      </c>
    </row>
    <row r="82" spans="1:11" x14ac:dyDescent="0.3">
      <c r="A82" s="256">
        <v>21</v>
      </c>
      <c r="B82" s="257" t="s">
        <v>1203</v>
      </c>
      <c r="C82" s="276">
        <v>44459</v>
      </c>
      <c r="D82" s="257" t="s">
        <v>1304</v>
      </c>
      <c r="E82" s="256" t="s">
        <v>1831</v>
      </c>
      <c r="F82" s="256" t="s">
        <v>1774</v>
      </c>
      <c r="G82" s="258">
        <v>58979000000</v>
      </c>
      <c r="H82" s="265">
        <v>0.1</v>
      </c>
      <c r="I82" s="258">
        <v>5897900000</v>
      </c>
      <c r="J82" s="258">
        <v>64876900000</v>
      </c>
      <c r="K82" s="256" t="s">
        <v>1346</v>
      </c>
    </row>
    <row r="83" spans="1:11" x14ac:dyDescent="0.3">
      <c r="A83" s="256">
        <v>22</v>
      </c>
      <c r="B83" s="257" t="s">
        <v>1204</v>
      </c>
      <c r="C83" s="276">
        <v>44489</v>
      </c>
      <c r="D83" s="257" t="s">
        <v>1257</v>
      </c>
      <c r="E83" s="256" t="s">
        <v>1815</v>
      </c>
      <c r="F83" s="256" t="s">
        <v>1772</v>
      </c>
      <c r="G83" s="258">
        <v>52307000000</v>
      </c>
      <c r="H83" s="265">
        <v>0.1</v>
      </c>
      <c r="I83" s="258">
        <v>5230700000</v>
      </c>
      <c r="J83" s="258">
        <v>57537700000</v>
      </c>
      <c r="K83" s="256" t="s">
        <v>1346</v>
      </c>
    </row>
    <row r="84" spans="1:11" x14ac:dyDescent="0.3">
      <c r="A84" s="256">
        <v>23</v>
      </c>
      <c r="B84" s="257" t="s">
        <v>1205</v>
      </c>
      <c r="C84" s="276">
        <v>44520</v>
      </c>
      <c r="D84" s="257" t="s">
        <v>1297</v>
      </c>
      <c r="E84" s="256" t="s">
        <v>1820</v>
      </c>
      <c r="F84" s="256" t="s">
        <v>1773</v>
      </c>
      <c r="G84" s="258">
        <v>122716000000</v>
      </c>
      <c r="H84" s="265">
        <v>0.1</v>
      </c>
      <c r="I84" s="258">
        <v>12271600000</v>
      </c>
      <c r="J84" s="258">
        <v>134987600000</v>
      </c>
      <c r="K84" s="256" t="s">
        <v>1346</v>
      </c>
    </row>
    <row r="85" spans="1:11" x14ac:dyDescent="0.3">
      <c r="A85" s="256">
        <v>24</v>
      </c>
      <c r="B85" s="257" t="s">
        <v>1385</v>
      </c>
      <c r="C85" s="276">
        <v>44550</v>
      </c>
      <c r="D85" s="257" t="s">
        <v>1262</v>
      </c>
      <c r="E85" s="256" t="s">
        <v>1816</v>
      </c>
      <c r="F85" s="256" t="s">
        <v>1772</v>
      </c>
      <c r="G85" s="258">
        <v>34860000000</v>
      </c>
      <c r="H85" s="265">
        <v>0.1</v>
      </c>
      <c r="I85" s="258">
        <v>3486000000</v>
      </c>
      <c r="J85" s="258">
        <v>38346000000</v>
      </c>
      <c r="K85" s="256" t="s">
        <v>1348</v>
      </c>
    </row>
    <row r="86" spans="1:11" x14ac:dyDescent="0.3">
      <c r="A86" s="256">
        <v>25</v>
      </c>
      <c r="B86" s="257" t="s">
        <v>1387</v>
      </c>
      <c r="C86" s="276">
        <v>44221</v>
      </c>
      <c r="D86" s="257" t="s">
        <v>1287</v>
      </c>
      <c r="E86" s="256" t="s">
        <v>1801</v>
      </c>
      <c r="F86" s="256" t="s">
        <v>1771</v>
      </c>
      <c r="G86" s="258">
        <v>53824000000</v>
      </c>
      <c r="H86" s="265">
        <v>0.1</v>
      </c>
      <c r="I86" s="258">
        <v>5382400000</v>
      </c>
      <c r="J86" s="258">
        <v>59206400000</v>
      </c>
      <c r="K86" s="256" t="s">
        <v>1346</v>
      </c>
    </row>
    <row r="87" spans="1:11" x14ac:dyDescent="0.3">
      <c r="A87" s="256">
        <v>26</v>
      </c>
      <c r="B87" s="257" t="s">
        <v>1388</v>
      </c>
      <c r="C87" s="276">
        <v>44255</v>
      </c>
      <c r="D87" s="257" t="s">
        <v>1258</v>
      </c>
      <c r="E87" s="256" t="s">
        <v>1833</v>
      </c>
      <c r="F87" s="256" t="s">
        <v>1773</v>
      </c>
      <c r="G87" s="258">
        <v>127368000000</v>
      </c>
      <c r="H87" s="265">
        <v>0.1</v>
      </c>
      <c r="I87" s="258">
        <v>12736800000</v>
      </c>
      <c r="J87" s="258">
        <v>140104800000</v>
      </c>
      <c r="K87" s="256" t="s">
        <v>1346</v>
      </c>
    </row>
    <row r="88" spans="1:11" x14ac:dyDescent="0.3">
      <c r="A88" s="256">
        <v>27</v>
      </c>
      <c r="B88" s="257" t="s">
        <v>1391</v>
      </c>
      <c r="C88" s="276">
        <v>44316</v>
      </c>
      <c r="D88" s="257" t="s">
        <v>1266</v>
      </c>
      <c r="E88" s="256" t="s">
        <v>1824</v>
      </c>
      <c r="F88" s="256" t="s">
        <v>1771</v>
      </c>
      <c r="G88" s="258">
        <v>65495000000</v>
      </c>
      <c r="H88" s="265">
        <v>0.1</v>
      </c>
      <c r="I88" s="258">
        <v>6549500000</v>
      </c>
      <c r="J88" s="258">
        <v>72044500000</v>
      </c>
      <c r="K88" s="256" t="s">
        <v>1346</v>
      </c>
    </row>
    <row r="89" spans="1:11" x14ac:dyDescent="0.3">
      <c r="A89" s="256">
        <v>28</v>
      </c>
      <c r="B89" s="257" t="s">
        <v>1392</v>
      </c>
      <c r="C89" s="276">
        <v>44377</v>
      </c>
      <c r="D89" s="257" t="s">
        <v>1258</v>
      </c>
      <c r="E89" s="256" t="s">
        <v>1833</v>
      </c>
      <c r="F89" s="256" t="s">
        <v>1771</v>
      </c>
      <c r="G89" s="258">
        <v>125191000000</v>
      </c>
      <c r="H89" s="265">
        <v>0.1</v>
      </c>
      <c r="I89" s="258">
        <v>12519100000</v>
      </c>
      <c r="J89" s="258">
        <v>137710100000</v>
      </c>
      <c r="K89" s="256" t="s">
        <v>1346</v>
      </c>
    </row>
    <row r="90" spans="1:11" x14ac:dyDescent="0.3">
      <c r="A90" s="256">
        <v>29</v>
      </c>
      <c r="B90" s="257" t="s">
        <v>1394</v>
      </c>
      <c r="C90" s="276">
        <v>44469</v>
      </c>
      <c r="D90" s="257" t="s">
        <v>1296</v>
      </c>
      <c r="E90" s="256" t="s">
        <v>1807</v>
      </c>
      <c r="F90" s="256" t="s">
        <v>1772</v>
      </c>
      <c r="G90" s="258">
        <v>118885000000</v>
      </c>
      <c r="H90" s="265">
        <v>0.1</v>
      </c>
      <c r="I90" s="258">
        <v>11888500000</v>
      </c>
      <c r="J90" s="258">
        <v>130773500000</v>
      </c>
      <c r="K90" s="256" t="s">
        <v>1346</v>
      </c>
    </row>
    <row r="91" spans="1:11" x14ac:dyDescent="0.3">
      <c r="A91" s="256">
        <v>30</v>
      </c>
      <c r="B91" s="257" t="s">
        <v>1396</v>
      </c>
      <c r="C91" s="276">
        <v>44530</v>
      </c>
      <c r="D91" s="257" t="s">
        <v>1301</v>
      </c>
      <c r="E91" s="256" t="s">
        <v>1781</v>
      </c>
      <c r="F91" s="256" t="s">
        <v>1774</v>
      </c>
      <c r="G91" s="258">
        <v>112700000000</v>
      </c>
      <c r="H91" s="265">
        <v>0</v>
      </c>
      <c r="I91" s="258">
        <v>0</v>
      </c>
      <c r="J91" s="258">
        <v>112700000000</v>
      </c>
      <c r="K91" s="256" t="s">
        <v>1346</v>
      </c>
    </row>
    <row r="92" spans="1:11" x14ac:dyDescent="0.3">
      <c r="A92" s="256">
        <v>31</v>
      </c>
      <c r="B92" s="257" t="s">
        <v>1397</v>
      </c>
      <c r="C92" s="276">
        <v>44286</v>
      </c>
      <c r="D92" s="257" t="s">
        <v>1297</v>
      </c>
      <c r="E92" s="256" t="s">
        <v>1820</v>
      </c>
      <c r="F92" s="256" t="s">
        <v>1771</v>
      </c>
      <c r="G92" s="258">
        <v>120283000000</v>
      </c>
      <c r="H92" s="265">
        <v>0.1</v>
      </c>
      <c r="I92" s="258">
        <v>12028300000</v>
      </c>
      <c r="J92" s="258">
        <v>132311300000</v>
      </c>
      <c r="K92" s="256" t="s">
        <v>1346</v>
      </c>
    </row>
    <row r="93" spans="1:11" x14ac:dyDescent="0.3">
      <c r="A93" s="256">
        <v>32</v>
      </c>
      <c r="B93" s="257" t="s">
        <v>1398</v>
      </c>
      <c r="C93" s="276">
        <v>44347</v>
      </c>
      <c r="D93" s="257" t="s">
        <v>1300</v>
      </c>
      <c r="E93" s="256" t="s">
        <v>1818</v>
      </c>
      <c r="F93" s="256" t="s">
        <v>1772</v>
      </c>
      <c r="G93" s="258">
        <v>128927000000</v>
      </c>
      <c r="H93" s="265">
        <v>0.1</v>
      </c>
      <c r="I93" s="258">
        <v>12892700000</v>
      </c>
      <c r="J93" s="258">
        <v>141819700000</v>
      </c>
      <c r="K93" s="256" t="s">
        <v>1346</v>
      </c>
    </row>
    <row r="94" spans="1:11" x14ac:dyDescent="0.3">
      <c r="A94" s="256">
        <v>33</v>
      </c>
      <c r="B94" s="257" t="s">
        <v>1399</v>
      </c>
      <c r="C94" s="276">
        <v>44408</v>
      </c>
      <c r="D94" s="257" t="s">
        <v>1274</v>
      </c>
      <c r="E94" s="256" t="s">
        <v>1794</v>
      </c>
      <c r="F94" s="256" t="s">
        <v>1772</v>
      </c>
      <c r="G94" s="258">
        <v>61434000000</v>
      </c>
      <c r="H94" s="265">
        <v>0.1</v>
      </c>
      <c r="I94" s="258">
        <v>6143400000</v>
      </c>
      <c r="J94" s="258">
        <v>67577400000</v>
      </c>
      <c r="K94" s="256" t="s">
        <v>1346</v>
      </c>
    </row>
    <row r="95" spans="1:11" x14ac:dyDescent="0.3">
      <c r="A95" s="256">
        <v>34</v>
      </c>
      <c r="B95" s="257" t="s">
        <v>1401</v>
      </c>
      <c r="C95" s="276">
        <v>44439</v>
      </c>
      <c r="D95" s="257" t="s">
        <v>1303</v>
      </c>
      <c r="E95" s="256" t="s">
        <v>1817</v>
      </c>
      <c r="F95" s="256" t="s">
        <v>1774</v>
      </c>
      <c r="G95" s="258">
        <v>59270000000</v>
      </c>
      <c r="H95" s="265">
        <v>0.1</v>
      </c>
      <c r="I95" s="258">
        <v>5927000000</v>
      </c>
      <c r="J95" s="258">
        <v>65197000000</v>
      </c>
      <c r="K95" s="256" t="s">
        <v>1346</v>
      </c>
    </row>
    <row r="96" spans="1:11" x14ac:dyDescent="0.3">
      <c r="A96" s="256">
        <v>35</v>
      </c>
      <c r="B96" s="257" t="s">
        <v>1402</v>
      </c>
      <c r="C96" s="276">
        <v>44500</v>
      </c>
      <c r="D96" s="257" t="s">
        <v>1267</v>
      </c>
      <c r="E96" s="256" t="s">
        <v>1810</v>
      </c>
      <c r="F96" s="256" t="s">
        <v>1773</v>
      </c>
      <c r="G96" s="258">
        <v>78882000000</v>
      </c>
      <c r="H96" s="265">
        <v>0.1</v>
      </c>
      <c r="I96" s="258">
        <v>7888200000</v>
      </c>
      <c r="J96" s="258">
        <v>86770200000</v>
      </c>
      <c r="K96" s="256" t="s">
        <v>1346</v>
      </c>
    </row>
    <row r="97" spans="1:11" x14ac:dyDescent="0.3">
      <c r="A97" s="256">
        <v>36</v>
      </c>
      <c r="B97" s="257" t="s">
        <v>1403</v>
      </c>
      <c r="C97" s="276">
        <v>44561</v>
      </c>
      <c r="D97" s="257" t="s">
        <v>1256</v>
      </c>
      <c r="E97" s="256" t="s">
        <v>1802</v>
      </c>
      <c r="F97" s="256" t="s">
        <v>1774</v>
      </c>
      <c r="G97" s="258">
        <v>44005000000</v>
      </c>
      <c r="H97" s="265">
        <v>0.1</v>
      </c>
      <c r="I97" s="258">
        <v>4400500000</v>
      </c>
      <c r="J97" s="258">
        <v>48405500000</v>
      </c>
      <c r="K97" s="256" t="s">
        <v>1346</v>
      </c>
    </row>
    <row r="98" spans="1:11" x14ac:dyDescent="0.3">
      <c r="A98" s="256">
        <v>37</v>
      </c>
      <c r="B98" s="257" t="s">
        <v>1404</v>
      </c>
      <c r="C98" s="276">
        <v>44561</v>
      </c>
      <c r="D98" s="257" t="s">
        <v>1286</v>
      </c>
      <c r="E98" s="256" t="s">
        <v>1828</v>
      </c>
      <c r="F98" s="256" t="s">
        <v>1774</v>
      </c>
      <c r="G98" s="258">
        <v>130369000000</v>
      </c>
      <c r="H98" s="265">
        <v>0.1</v>
      </c>
      <c r="I98" s="258">
        <v>13036900000</v>
      </c>
      <c r="J98" s="258">
        <v>143405900000</v>
      </c>
      <c r="K98" s="256" t="s">
        <v>1346</v>
      </c>
    </row>
    <row r="99" spans="1:11" x14ac:dyDescent="0.3">
      <c r="A99" s="256">
        <v>38</v>
      </c>
      <c r="B99" s="257" t="s">
        <v>1405</v>
      </c>
      <c r="C99" s="276">
        <v>44561</v>
      </c>
      <c r="D99" s="257" t="s">
        <v>1299</v>
      </c>
      <c r="E99" s="256" t="s">
        <v>1776</v>
      </c>
      <c r="F99" s="256" t="s">
        <v>1772</v>
      </c>
      <c r="G99" s="258">
        <v>62305000000</v>
      </c>
      <c r="H99" s="265">
        <v>0.1</v>
      </c>
      <c r="I99" s="258">
        <v>6230500000</v>
      </c>
      <c r="J99" s="258">
        <v>68535500000</v>
      </c>
      <c r="K99" s="256" t="s">
        <v>1348</v>
      </c>
    </row>
    <row r="100" spans="1:11" x14ac:dyDescent="0.3">
      <c r="A100" s="256">
        <v>39</v>
      </c>
      <c r="B100" s="257" t="s">
        <v>1406</v>
      </c>
      <c r="C100" s="276">
        <v>44561</v>
      </c>
      <c r="D100" s="257" t="s">
        <v>1290</v>
      </c>
      <c r="E100" s="256" t="s">
        <v>1796</v>
      </c>
      <c r="F100" s="256" t="s">
        <v>1774</v>
      </c>
      <c r="G100" s="258">
        <v>129966000000</v>
      </c>
      <c r="H100" s="265">
        <v>0</v>
      </c>
      <c r="I100" s="258">
        <v>0</v>
      </c>
      <c r="J100" s="258">
        <v>129966000000</v>
      </c>
      <c r="K100" s="256" t="s">
        <v>1346</v>
      </c>
    </row>
    <row r="101" spans="1:11" x14ac:dyDescent="0.3">
      <c r="A101" s="256">
        <v>40</v>
      </c>
      <c r="B101" s="257" t="s">
        <v>1408</v>
      </c>
      <c r="C101" s="276">
        <v>44561</v>
      </c>
      <c r="D101" s="257" t="s">
        <v>1256</v>
      </c>
      <c r="E101" s="256" t="s">
        <v>1802</v>
      </c>
      <c r="F101" s="256" t="s">
        <v>1771</v>
      </c>
      <c r="G101" s="258">
        <v>78356000000</v>
      </c>
      <c r="H101" s="265">
        <v>0.1</v>
      </c>
      <c r="I101" s="258">
        <v>7835600000</v>
      </c>
      <c r="J101" s="258">
        <v>86191600000</v>
      </c>
      <c r="K101" s="256" t="s">
        <v>1346</v>
      </c>
    </row>
    <row r="102" spans="1:11" x14ac:dyDescent="0.3">
      <c r="A102" s="256">
        <v>41</v>
      </c>
      <c r="B102" s="257" t="s">
        <v>1409</v>
      </c>
      <c r="C102" s="276">
        <v>44561</v>
      </c>
      <c r="D102" s="257" t="s">
        <v>1286</v>
      </c>
      <c r="E102" s="256" t="s">
        <v>1828</v>
      </c>
      <c r="F102" s="256" t="s">
        <v>1772</v>
      </c>
      <c r="G102" s="258">
        <v>43653000000</v>
      </c>
      <c r="H102" s="265">
        <v>0.1</v>
      </c>
      <c r="I102" s="258">
        <v>4365300000</v>
      </c>
      <c r="J102" s="258">
        <v>48018300000</v>
      </c>
      <c r="K102" s="256" t="s">
        <v>1346</v>
      </c>
    </row>
    <row r="103" spans="1:11" x14ac:dyDescent="0.3">
      <c r="A103" s="256">
        <v>42</v>
      </c>
      <c r="B103" s="257" t="s">
        <v>1411</v>
      </c>
      <c r="C103" s="276">
        <v>44561</v>
      </c>
      <c r="D103" s="257" t="s">
        <v>1295</v>
      </c>
      <c r="E103" s="256" t="s">
        <v>1825</v>
      </c>
      <c r="F103" s="256" t="s">
        <v>1772</v>
      </c>
      <c r="G103" s="258">
        <v>106513000000</v>
      </c>
      <c r="H103" s="265">
        <v>0.1</v>
      </c>
      <c r="I103" s="258">
        <v>10651300000</v>
      </c>
      <c r="J103" s="258">
        <v>117164300000</v>
      </c>
      <c r="K103" s="256" t="s">
        <v>1346</v>
      </c>
    </row>
    <row r="104" spans="1:11" x14ac:dyDescent="0.3">
      <c r="A104" s="256">
        <v>43</v>
      </c>
      <c r="B104" s="257" t="s">
        <v>1414</v>
      </c>
      <c r="C104" s="276">
        <v>44561</v>
      </c>
      <c r="D104" s="257" t="s">
        <v>1304</v>
      </c>
      <c r="E104" s="256" t="s">
        <v>1831</v>
      </c>
      <c r="F104" s="256" t="s">
        <v>1774</v>
      </c>
      <c r="G104" s="258">
        <v>72088000000</v>
      </c>
      <c r="H104" s="265">
        <v>0.1</v>
      </c>
      <c r="I104" s="258">
        <v>7208800000</v>
      </c>
      <c r="J104" s="258">
        <v>79296800000</v>
      </c>
      <c r="K104" s="256" t="s">
        <v>1346</v>
      </c>
    </row>
    <row r="105" spans="1:11" x14ac:dyDescent="0.3">
      <c r="A105" s="256">
        <v>44</v>
      </c>
      <c r="B105" s="257" t="s">
        <v>1415</v>
      </c>
      <c r="C105" s="276">
        <v>44561</v>
      </c>
      <c r="D105" s="257" t="s">
        <v>1272</v>
      </c>
      <c r="E105" s="256" t="s">
        <v>1805</v>
      </c>
      <c r="F105" s="256" t="s">
        <v>1772</v>
      </c>
      <c r="G105" s="258">
        <v>97313000000</v>
      </c>
      <c r="H105" s="265">
        <v>0.1</v>
      </c>
      <c r="I105" s="258">
        <v>9731300000</v>
      </c>
      <c r="J105" s="258">
        <v>107044300000</v>
      </c>
      <c r="K105" s="256" t="s">
        <v>1346</v>
      </c>
    </row>
    <row r="106" spans="1:11" x14ac:dyDescent="0.3">
      <c r="A106" s="256">
        <v>45</v>
      </c>
      <c r="B106" s="257" t="s">
        <v>1206</v>
      </c>
      <c r="C106" s="276">
        <v>44561</v>
      </c>
      <c r="D106" s="257" t="s">
        <v>1274</v>
      </c>
      <c r="E106" s="256" t="s">
        <v>1794</v>
      </c>
      <c r="F106" s="256" t="s">
        <v>1773</v>
      </c>
      <c r="G106" s="258">
        <v>115683000000</v>
      </c>
      <c r="H106" s="265">
        <v>0.1</v>
      </c>
      <c r="I106" s="258">
        <v>11568300000</v>
      </c>
      <c r="J106" s="258">
        <v>127251300000</v>
      </c>
      <c r="K106" s="256" t="s">
        <v>1346</v>
      </c>
    </row>
    <row r="107" spans="1:11" x14ac:dyDescent="0.3">
      <c r="A107" s="256">
        <v>46</v>
      </c>
      <c r="B107" s="257" t="s">
        <v>1207</v>
      </c>
      <c r="C107" s="276">
        <v>44561</v>
      </c>
      <c r="D107" s="257" t="s">
        <v>1298</v>
      </c>
      <c r="E107" s="256" t="s">
        <v>1819</v>
      </c>
      <c r="F107" s="256" t="s">
        <v>1774</v>
      </c>
      <c r="G107" s="258">
        <v>72222000000</v>
      </c>
      <c r="H107" s="265">
        <v>0</v>
      </c>
      <c r="I107" s="258">
        <v>0</v>
      </c>
      <c r="J107" s="258">
        <v>72222000000</v>
      </c>
      <c r="K107" s="256" t="s">
        <v>1346</v>
      </c>
    </row>
    <row r="108" spans="1:11" x14ac:dyDescent="0.3">
      <c r="A108" s="256">
        <v>47</v>
      </c>
      <c r="B108" s="257" t="s">
        <v>1208</v>
      </c>
      <c r="C108" s="276">
        <v>44561</v>
      </c>
      <c r="D108" s="257" t="s">
        <v>1269</v>
      </c>
      <c r="E108" s="256" t="s">
        <v>1823</v>
      </c>
      <c r="F108" s="256" t="s">
        <v>1771</v>
      </c>
      <c r="G108" s="258">
        <v>64695000000</v>
      </c>
      <c r="H108" s="265">
        <v>0.1</v>
      </c>
      <c r="I108" s="258">
        <v>6469500000</v>
      </c>
      <c r="J108" s="258">
        <v>71164500000</v>
      </c>
      <c r="K108" s="256" t="s">
        <v>1346</v>
      </c>
    </row>
    <row r="109" spans="1:11" x14ac:dyDescent="0.3">
      <c r="A109" s="256">
        <v>48</v>
      </c>
      <c r="B109" s="257" t="s">
        <v>1209</v>
      </c>
      <c r="C109" s="276">
        <v>44561</v>
      </c>
      <c r="D109" s="257" t="s">
        <v>1304</v>
      </c>
      <c r="E109" s="256" t="s">
        <v>1831</v>
      </c>
      <c r="F109" s="256" t="s">
        <v>1773</v>
      </c>
      <c r="G109" s="258">
        <v>63066000000</v>
      </c>
      <c r="H109" s="265">
        <v>0.1</v>
      </c>
      <c r="I109" s="258">
        <v>6306600000</v>
      </c>
      <c r="J109" s="258">
        <v>69372600000</v>
      </c>
      <c r="K109" s="256" t="s">
        <v>1346</v>
      </c>
    </row>
    <row r="110" spans="1:11" x14ac:dyDescent="0.3">
      <c r="A110" s="256">
        <v>49</v>
      </c>
      <c r="B110" s="257" t="s">
        <v>1418</v>
      </c>
      <c r="C110" s="276">
        <v>44561</v>
      </c>
      <c r="D110" s="257" t="s">
        <v>1259</v>
      </c>
      <c r="E110" s="256" t="s">
        <v>1788</v>
      </c>
      <c r="F110" s="256" t="s">
        <v>1774</v>
      </c>
      <c r="G110" s="258">
        <v>115618000000</v>
      </c>
      <c r="H110" s="265">
        <v>0.1</v>
      </c>
      <c r="I110" s="258">
        <v>11561800000</v>
      </c>
      <c r="J110" s="258">
        <v>127179800000</v>
      </c>
      <c r="K110" s="256" t="s">
        <v>1346</v>
      </c>
    </row>
    <row r="111" spans="1:11" x14ac:dyDescent="0.3">
      <c r="A111" s="256">
        <v>50</v>
      </c>
      <c r="B111" s="257" t="s">
        <v>1419</v>
      </c>
      <c r="C111" s="276">
        <v>44561</v>
      </c>
      <c r="D111" s="257" t="s">
        <v>1259</v>
      </c>
      <c r="E111" s="256" t="s">
        <v>1788</v>
      </c>
      <c r="F111" s="256" t="s">
        <v>1774</v>
      </c>
      <c r="G111" s="258">
        <v>126746000000</v>
      </c>
      <c r="H111" s="265">
        <v>0.1</v>
      </c>
      <c r="I111" s="258">
        <v>12674600000</v>
      </c>
      <c r="J111" s="258">
        <v>139420600000</v>
      </c>
      <c r="K111" s="256" t="s">
        <v>1346</v>
      </c>
    </row>
    <row r="112" spans="1:11" x14ac:dyDescent="0.3">
      <c r="A112" s="266" t="s">
        <v>1351</v>
      </c>
      <c r="B112" s="266"/>
      <c r="C112" s="266"/>
      <c r="D112" s="266"/>
      <c r="E112" s="266"/>
      <c r="F112" s="266"/>
      <c r="G112" s="267">
        <f>SUM(G62:G111)</f>
        <v>4208003000000</v>
      </c>
      <c r="H112" s="266"/>
      <c r="I112" s="267">
        <f>SUM(I62:I111)</f>
        <v>380282700000</v>
      </c>
      <c r="J112" s="267">
        <f>SUM(J62:J111)</f>
        <v>4588285700000</v>
      </c>
      <c r="K112" s="266"/>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611</v>
      </c>
      <c r="C1" s="256"/>
      <c r="D1" s="256"/>
      <c r="E1" s="256"/>
      <c r="F1" s="256"/>
      <c r="G1" s="256"/>
      <c r="H1" s="256"/>
      <c r="I1" s="256"/>
      <c r="J1" s="256"/>
      <c r="K1" s="256"/>
    </row>
    <row r="2" spans="1:11" x14ac:dyDescent="0.3">
      <c r="A2" s="256" t="s">
        <v>1339</v>
      </c>
      <c r="B2" s="257">
        <v>102331787</v>
      </c>
      <c r="C2" s="256"/>
      <c r="D2" s="256"/>
      <c r="E2" s="256"/>
      <c r="F2" s="256"/>
      <c r="G2" s="256"/>
      <c r="H2" s="256"/>
      <c r="I2" s="256"/>
      <c r="J2" s="256"/>
      <c r="K2" s="256"/>
    </row>
    <row r="3" spans="1:11" x14ac:dyDescent="0.3">
      <c r="A3" s="256" t="s">
        <v>1343</v>
      </c>
      <c r="B3" s="258">
        <v>424228472463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1409</v>
      </c>
      <c r="C8" s="276">
        <v>44317</v>
      </c>
      <c r="D8" s="257" t="s">
        <v>1281</v>
      </c>
      <c r="E8" s="256" t="s">
        <v>1806</v>
      </c>
      <c r="F8" s="256" t="s">
        <v>1835</v>
      </c>
      <c r="G8" s="258">
        <v>5576000000</v>
      </c>
      <c r="H8" s="265">
        <v>0.1</v>
      </c>
      <c r="I8" s="258">
        <v>557600000</v>
      </c>
      <c r="J8" s="258">
        <v>6133600000</v>
      </c>
      <c r="K8" s="256" t="s">
        <v>1346</v>
      </c>
    </row>
    <row r="9" spans="1:11" x14ac:dyDescent="0.3">
      <c r="A9" s="256">
        <v>2</v>
      </c>
      <c r="B9" s="257" t="s">
        <v>1399</v>
      </c>
      <c r="C9" s="276">
        <v>44318</v>
      </c>
      <c r="D9" s="257" t="s">
        <v>1283</v>
      </c>
      <c r="E9" s="256" t="s">
        <v>1798</v>
      </c>
      <c r="F9" s="256" t="s">
        <v>1734</v>
      </c>
      <c r="G9" s="258">
        <v>8203000000</v>
      </c>
      <c r="H9" s="265">
        <v>0</v>
      </c>
      <c r="I9" s="258">
        <v>0</v>
      </c>
      <c r="J9" s="258">
        <v>8203000000</v>
      </c>
      <c r="K9" s="256" t="s">
        <v>1346</v>
      </c>
    </row>
    <row r="10" spans="1:11" x14ac:dyDescent="0.3">
      <c r="A10" s="256">
        <v>3</v>
      </c>
      <c r="B10" s="257" t="s">
        <v>1399</v>
      </c>
      <c r="C10" s="276">
        <v>44472</v>
      </c>
      <c r="D10" s="257" t="s">
        <v>1272</v>
      </c>
      <c r="E10" s="256" t="s">
        <v>1805</v>
      </c>
      <c r="F10" s="256" t="s">
        <v>1836</v>
      </c>
      <c r="G10" s="258">
        <v>5359000000</v>
      </c>
      <c r="H10" s="265">
        <v>0.1</v>
      </c>
      <c r="I10" s="258">
        <v>535900000</v>
      </c>
      <c r="J10" s="258">
        <v>5894900000</v>
      </c>
      <c r="K10" s="256" t="s">
        <v>1348</v>
      </c>
    </row>
    <row r="11" spans="1:11" x14ac:dyDescent="0.3">
      <c r="A11" s="256">
        <v>4</v>
      </c>
      <c r="B11" s="257" t="s">
        <v>1387</v>
      </c>
      <c r="C11" s="276">
        <v>44473</v>
      </c>
      <c r="D11" s="257" t="s">
        <v>1271</v>
      </c>
      <c r="E11" s="256" t="s">
        <v>1799</v>
      </c>
      <c r="F11" s="256" t="s">
        <v>1837</v>
      </c>
      <c r="G11" s="258">
        <v>5639000000</v>
      </c>
      <c r="H11" s="265">
        <v>0.1</v>
      </c>
      <c r="I11" s="258">
        <v>563900000</v>
      </c>
      <c r="J11" s="258">
        <v>6202900000</v>
      </c>
      <c r="K11" s="256" t="s">
        <v>1346</v>
      </c>
    </row>
    <row r="12" spans="1:11" x14ac:dyDescent="0.3">
      <c r="A12" s="256">
        <v>5</v>
      </c>
      <c r="B12" s="257" t="s">
        <v>1398</v>
      </c>
      <c r="C12" s="276">
        <v>44474</v>
      </c>
      <c r="D12" s="257" t="s">
        <v>1285</v>
      </c>
      <c r="E12" s="256" t="s">
        <v>1793</v>
      </c>
      <c r="F12" s="256" t="s">
        <v>1834</v>
      </c>
      <c r="G12" s="258">
        <v>8615000000</v>
      </c>
      <c r="H12" s="265">
        <v>0</v>
      </c>
      <c r="I12" s="258">
        <v>0</v>
      </c>
      <c r="J12" s="258">
        <v>8615000000</v>
      </c>
      <c r="K12" s="256" t="s">
        <v>1346</v>
      </c>
    </row>
    <row r="13" spans="1:11" x14ac:dyDescent="0.3">
      <c r="A13" s="256">
        <v>6</v>
      </c>
      <c r="B13" s="257" t="s">
        <v>1358</v>
      </c>
      <c r="C13" s="276">
        <v>44475</v>
      </c>
      <c r="D13" s="257" t="s">
        <v>1294</v>
      </c>
      <c r="E13" s="256" t="s">
        <v>1795</v>
      </c>
      <c r="F13" s="256" t="s">
        <v>1837</v>
      </c>
      <c r="G13" s="258">
        <v>7395000000</v>
      </c>
      <c r="H13" s="265">
        <v>0.1</v>
      </c>
      <c r="I13" s="258">
        <v>739500000</v>
      </c>
      <c r="J13" s="258">
        <v>8134500000</v>
      </c>
      <c r="K13" s="256" t="s">
        <v>1346</v>
      </c>
    </row>
    <row r="14" spans="1:11" x14ac:dyDescent="0.3">
      <c r="A14" s="256">
        <v>7</v>
      </c>
      <c r="B14" s="257" t="s">
        <v>1374</v>
      </c>
      <c r="C14" s="276">
        <v>44476</v>
      </c>
      <c r="D14" s="257" t="s">
        <v>1288</v>
      </c>
      <c r="E14" s="256" t="s">
        <v>1797</v>
      </c>
      <c r="F14" s="256" t="s">
        <v>1834</v>
      </c>
      <c r="G14" s="258">
        <v>4344000000</v>
      </c>
      <c r="H14" s="265">
        <v>0.1</v>
      </c>
      <c r="I14" s="258">
        <v>434400000</v>
      </c>
      <c r="J14" s="258">
        <v>4778400000</v>
      </c>
      <c r="K14" s="256" t="s">
        <v>1346</v>
      </c>
    </row>
    <row r="15" spans="1:11" x14ac:dyDescent="0.3">
      <c r="A15" s="256">
        <v>8</v>
      </c>
      <c r="B15" s="257" t="s">
        <v>1206</v>
      </c>
      <c r="C15" s="276">
        <v>44477</v>
      </c>
      <c r="D15" s="257" t="s">
        <v>1284</v>
      </c>
      <c r="E15" s="256" t="s">
        <v>1786</v>
      </c>
      <c r="F15" s="256" t="s">
        <v>1835</v>
      </c>
      <c r="G15" s="258">
        <v>4029000000</v>
      </c>
      <c r="H15" s="265">
        <v>0.1</v>
      </c>
      <c r="I15" s="258">
        <v>402900000</v>
      </c>
      <c r="J15" s="258">
        <v>4431900000</v>
      </c>
      <c r="K15" s="256" t="s">
        <v>1346</v>
      </c>
    </row>
    <row r="16" spans="1:11" x14ac:dyDescent="0.3">
      <c r="A16" s="256">
        <v>9</v>
      </c>
      <c r="B16" s="257" t="s">
        <v>1388</v>
      </c>
      <c r="C16" s="276">
        <v>44478</v>
      </c>
      <c r="D16" s="257" t="s">
        <v>1271</v>
      </c>
      <c r="E16" s="256" t="s">
        <v>1799</v>
      </c>
      <c r="F16" s="256" t="s">
        <v>1741</v>
      </c>
      <c r="G16" s="258">
        <v>6255000000</v>
      </c>
      <c r="H16" s="265">
        <v>0.1</v>
      </c>
      <c r="I16" s="258">
        <v>625500000</v>
      </c>
      <c r="J16" s="258">
        <v>6880500000</v>
      </c>
      <c r="K16" s="256" t="s">
        <v>1346</v>
      </c>
    </row>
    <row r="17" spans="1:11" x14ac:dyDescent="0.3">
      <c r="A17" s="256">
        <v>10</v>
      </c>
      <c r="B17" s="257" t="s">
        <v>1364</v>
      </c>
      <c r="C17" s="276">
        <v>44479</v>
      </c>
      <c r="D17" s="257" t="s">
        <v>1304</v>
      </c>
      <c r="E17" s="256" t="s">
        <v>1831</v>
      </c>
      <c r="F17" s="256" t="s">
        <v>1837</v>
      </c>
      <c r="G17" s="258">
        <v>4119000000</v>
      </c>
      <c r="H17" s="265">
        <v>0.1</v>
      </c>
      <c r="I17" s="258">
        <v>411900000</v>
      </c>
      <c r="J17" s="258">
        <v>4530900000</v>
      </c>
      <c r="K17" s="256" t="s">
        <v>1348</v>
      </c>
    </row>
    <row r="18" spans="1:11" x14ac:dyDescent="0.3">
      <c r="A18" s="256">
        <v>11</v>
      </c>
      <c r="B18" s="257" t="s">
        <v>1382</v>
      </c>
      <c r="C18" s="276">
        <v>44480</v>
      </c>
      <c r="D18" s="257" t="s">
        <v>1265</v>
      </c>
      <c r="E18" s="256" t="s">
        <v>1830</v>
      </c>
      <c r="F18" s="256" t="s">
        <v>1835</v>
      </c>
      <c r="G18" s="258">
        <v>3814000000</v>
      </c>
      <c r="H18" s="265">
        <v>0.1</v>
      </c>
      <c r="I18" s="258">
        <v>381400000</v>
      </c>
      <c r="J18" s="258">
        <v>4195400000</v>
      </c>
      <c r="K18" s="256" t="s">
        <v>1346</v>
      </c>
    </row>
    <row r="19" spans="1:11" x14ac:dyDescent="0.3">
      <c r="A19" s="256">
        <v>12</v>
      </c>
      <c r="B19" s="257" t="s">
        <v>1364</v>
      </c>
      <c r="C19" s="276">
        <v>44481</v>
      </c>
      <c r="D19" s="257" t="s">
        <v>1299</v>
      </c>
      <c r="E19" s="256" t="s">
        <v>1776</v>
      </c>
      <c r="F19" s="256" t="s">
        <v>1834</v>
      </c>
      <c r="G19" s="258">
        <v>3925000000</v>
      </c>
      <c r="H19" s="265">
        <v>0.1</v>
      </c>
      <c r="I19" s="258">
        <v>392500000</v>
      </c>
      <c r="J19" s="258">
        <v>4317500000</v>
      </c>
      <c r="K19" s="256" t="s">
        <v>1346</v>
      </c>
    </row>
    <row r="20" spans="1:11" x14ac:dyDescent="0.3">
      <c r="A20" s="256">
        <v>13</v>
      </c>
      <c r="B20" s="257" t="s">
        <v>1397</v>
      </c>
      <c r="C20" s="276">
        <v>44211</v>
      </c>
      <c r="D20" s="257" t="s">
        <v>1274</v>
      </c>
      <c r="E20" s="256" t="s">
        <v>1794</v>
      </c>
      <c r="F20" s="256" t="s">
        <v>1837</v>
      </c>
      <c r="G20" s="258">
        <v>6065000000</v>
      </c>
      <c r="H20" s="265">
        <v>0.1</v>
      </c>
      <c r="I20" s="258">
        <v>606500000</v>
      </c>
      <c r="J20" s="258">
        <v>6671500000</v>
      </c>
      <c r="K20" s="256" t="s">
        <v>1348</v>
      </c>
    </row>
    <row r="21" spans="1:11" x14ac:dyDescent="0.3">
      <c r="A21" s="256">
        <v>14</v>
      </c>
      <c r="B21" s="257" t="s">
        <v>1401</v>
      </c>
      <c r="C21" s="276">
        <v>44242</v>
      </c>
      <c r="D21" s="257" t="s">
        <v>1266</v>
      </c>
      <c r="E21" s="256" t="s">
        <v>1824</v>
      </c>
      <c r="F21" s="256" t="s">
        <v>1734</v>
      </c>
      <c r="G21" s="258">
        <v>8222000000</v>
      </c>
      <c r="H21" s="265">
        <v>0.1</v>
      </c>
      <c r="I21" s="258">
        <v>822200000</v>
      </c>
      <c r="J21" s="258">
        <v>9044200000</v>
      </c>
      <c r="K21" s="256" t="s">
        <v>1346</v>
      </c>
    </row>
    <row r="22" spans="1:11" x14ac:dyDescent="0.3">
      <c r="A22" s="256">
        <v>15</v>
      </c>
      <c r="B22" s="257" t="s">
        <v>1366</v>
      </c>
      <c r="C22" s="276">
        <v>44275</v>
      </c>
      <c r="D22" s="257" t="s">
        <v>1304</v>
      </c>
      <c r="E22" s="256" t="s">
        <v>1831</v>
      </c>
      <c r="F22" s="256" t="s">
        <v>1734</v>
      </c>
      <c r="G22" s="258">
        <v>6535000000</v>
      </c>
      <c r="H22" s="265">
        <v>0.1</v>
      </c>
      <c r="I22" s="258">
        <v>653500000</v>
      </c>
      <c r="J22" s="258">
        <v>7188500000</v>
      </c>
      <c r="K22" s="256" t="s">
        <v>1346</v>
      </c>
    </row>
    <row r="23" spans="1:11" x14ac:dyDescent="0.3">
      <c r="A23" s="256">
        <v>16</v>
      </c>
      <c r="B23" s="257" t="s">
        <v>1411</v>
      </c>
      <c r="C23" s="276">
        <v>44306</v>
      </c>
      <c r="D23" s="257" t="s">
        <v>1281</v>
      </c>
      <c r="E23" s="256" t="s">
        <v>1806</v>
      </c>
      <c r="F23" s="256" t="s">
        <v>1734</v>
      </c>
      <c r="G23" s="258">
        <v>8293000000</v>
      </c>
      <c r="H23" s="265">
        <v>0.1</v>
      </c>
      <c r="I23" s="258">
        <v>829300000</v>
      </c>
      <c r="J23" s="258">
        <v>9122300000</v>
      </c>
      <c r="K23" s="256" t="s">
        <v>1346</v>
      </c>
    </row>
    <row r="24" spans="1:11" x14ac:dyDescent="0.3">
      <c r="A24" s="256">
        <v>17</v>
      </c>
      <c r="B24" s="257" t="s">
        <v>1414</v>
      </c>
      <c r="C24" s="276">
        <v>44336</v>
      </c>
      <c r="D24" s="257" t="s">
        <v>1281</v>
      </c>
      <c r="E24" s="256" t="s">
        <v>1806</v>
      </c>
      <c r="F24" s="256" t="s">
        <v>1835</v>
      </c>
      <c r="G24" s="258">
        <v>3751000000</v>
      </c>
      <c r="H24" s="265">
        <v>0.1</v>
      </c>
      <c r="I24" s="258">
        <v>375100000</v>
      </c>
      <c r="J24" s="258">
        <v>4126100000</v>
      </c>
      <c r="K24" s="256" t="s">
        <v>1346</v>
      </c>
    </row>
    <row r="25" spans="1:11" x14ac:dyDescent="0.3">
      <c r="A25" s="256">
        <v>18</v>
      </c>
      <c r="B25" s="257" t="s">
        <v>1396</v>
      </c>
      <c r="C25" s="276">
        <v>44367</v>
      </c>
      <c r="D25" s="257" t="s">
        <v>1273</v>
      </c>
      <c r="E25" s="256" t="s">
        <v>1829</v>
      </c>
      <c r="F25" s="256" t="s">
        <v>1741</v>
      </c>
      <c r="G25" s="258">
        <v>6031000000</v>
      </c>
      <c r="H25" s="265">
        <v>0.1</v>
      </c>
      <c r="I25" s="258">
        <v>603100000</v>
      </c>
      <c r="J25" s="258">
        <v>6634100000</v>
      </c>
      <c r="K25" s="256" t="s">
        <v>1346</v>
      </c>
    </row>
    <row r="26" spans="1:11" x14ac:dyDescent="0.3">
      <c r="A26" s="256">
        <v>19</v>
      </c>
      <c r="B26" s="257" t="s">
        <v>1207</v>
      </c>
      <c r="C26" s="276">
        <v>44397</v>
      </c>
      <c r="D26" s="257" t="s">
        <v>1284</v>
      </c>
      <c r="E26" s="256" t="s">
        <v>1786</v>
      </c>
      <c r="F26" s="256" t="s">
        <v>1837</v>
      </c>
      <c r="G26" s="258">
        <v>3445000000</v>
      </c>
      <c r="H26" s="265">
        <v>0.1</v>
      </c>
      <c r="I26" s="258">
        <v>344500000</v>
      </c>
      <c r="J26" s="258">
        <v>3789500000</v>
      </c>
      <c r="K26" s="256" t="s">
        <v>1346</v>
      </c>
    </row>
    <row r="27" spans="1:11" x14ac:dyDescent="0.3">
      <c r="A27" s="256">
        <v>20</v>
      </c>
      <c r="B27" s="257" t="s">
        <v>1208</v>
      </c>
      <c r="C27" s="276">
        <v>44428</v>
      </c>
      <c r="D27" s="257" t="s">
        <v>1284</v>
      </c>
      <c r="E27" s="256" t="s">
        <v>1786</v>
      </c>
      <c r="F27" s="256" t="s">
        <v>1834</v>
      </c>
      <c r="G27" s="258">
        <v>7834000000</v>
      </c>
      <c r="H27" s="265">
        <v>0.1</v>
      </c>
      <c r="I27" s="258">
        <v>783400000</v>
      </c>
      <c r="J27" s="258">
        <v>8617400000</v>
      </c>
      <c r="K27" s="256" t="s">
        <v>1346</v>
      </c>
    </row>
    <row r="28" spans="1:11" x14ac:dyDescent="0.3">
      <c r="A28" s="256">
        <v>21</v>
      </c>
      <c r="B28" s="257" t="s">
        <v>1376</v>
      </c>
      <c r="C28" s="276">
        <v>44459</v>
      </c>
      <c r="D28" s="257" t="s">
        <v>1290</v>
      </c>
      <c r="E28" s="256" t="s">
        <v>1796</v>
      </c>
      <c r="F28" s="256" t="s">
        <v>1734</v>
      </c>
      <c r="G28" s="258">
        <v>6805000000</v>
      </c>
      <c r="H28" s="265">
        <v>0.1</v>
      </c>
      <c r="I28" s="258">
        <v>680500000</v>
      </c>
      <c r="J28" s="258">
        <v>7485500000</v>
      </c>
      <c r="K28" s="256" t="s">
        <v>1346</v>
      </c>
    </row>
    <row r="29" spans="1:11" x14ac:dyDescent="0.3">
      <c r="A29" s="256">
        <v>22</v>
      </c>
      <c r="B29" s="257" t="s">
        <v>1366</v>
      </c>
      <c r="C29" s="276">
        <v>44489</v>
      </c>
      <c r="D29" s="257" t="s">
        <v>1300</v>
      </c>
      <c r="E29" s="256" t="s">
        <v>1818</v>
      </c>
      <c r="F29" s="256" t="s">
        <v>1836</v>
      </c>
      <c r="G29" s="258">
        <v>8726000000</v>
      </c>
      <c r="H29" s="265">
        <v>0.1</v>
      </c>
      <c r="I29" s="258">
        <v>872600000</v>
      </c>
      <c r="J29" s="258">
        <v>9598600000</v>
      </c>
      <c r="K29" s="256" t="s">
        <v>1348</v>
      </c>
    </row>
    <row r="30" spans="1:11" x14ac:dyDescent="0.3">
      <c r="A30" s="256">
        <v>23</v>
      </c>
      <c r="B30" s="257" t="s">
        <v>1383</v>
      </c>
      <c r="C30" s="276">
        <v>44520</v>
      </c>
      <c r="D30" s="257" t="s">
        <v>1269</v>
      </c>
      <c r="E30" s="256" t="s">
        <v>1823</v>
      </c>
      <c r="F30" s="256" t="s">
        <v>1734</v>
      </c>
      <c r="G30" s="258">
        <v>8516000000</v>
      </c>
      <c r="H30" s="265">
        <v>0.1</v>
      </c>
      <c r="I30" s="258">
        <v>851600000</v>
      </c>
      <c r="J30" s="258">
        <v>9367600000</v>
      </c>
      <c r="K30" s="256" t="s">
        <v>1346</v>
      </c>
    </row>
    <row r="31" spans="1:11" x14ac:dyDescent="0.3">
      <c r="A31" s="256">
        <v>24</v>
      </c>
      <c r="B31" s="257" t="s">
        <v>1383</v>
      </c>
      <c r="C31" s="276">
        <v>44550</v>
      </c>
      <c r="D31" s="257" t="s">
        <v>1265</v>
      </c>
      <c r="E31" s="256" t="s">
        <v>1830</v>
      </c>
      <c r="F31" s="256" t="s">
        <v>1836</v>
      </c>
      <c r="G31" s="258">
        <v>3054000000</v>
      </c>
      <c r="H31" s="265">
        <v>0.1</v>
      </c>
      <c r="I31" s="258">
        <v>305400000</v>
      </c>
      <c r="J31" s="258">
        <v>3359400000</v>
      </c>
      <c r="K31" s="256" t="s">
        <v>1346</v>
      </c>
    </row>
    <row r="32" spans="1:11" x14ac:dyDescent="0.3">
      <c r="A32" s="256">
        <v>25</v>
      </c>
      <c r="B32" s="257" t="s">
        <v>1368</v>
      </c>
      <c r="C32" s="276">
        <v>44221</v>
      </c>
      <c r="D32" s="257" t="s">
        <v>1304</v>
      </c>
      <c r="E32" s="256" t="s">
        <v>1831</v>
      </c>
      <c r="F32" s="256" t="s">
        <v>1834</v>
      </c>
      <c r="G32" s="258">
        <v>8285000000</v>
      </c>
      <c r="H32" s="265">
        <v>0.1</v>
      </c>
      <c r="I32" s="258">
        <v>828500000</v>
      </c>
      <c r="J32" s="258">
        <v>9113500000</v>
      </c>
      <c r="K32" s="256" t="s">
        <v>1346</v>
      </c>
    </row>
    <row r="33" spans="1:11" x14ac:dyDescent="0.3">
      <c r="A33" s="256">
        <v>26</v>
      </c>
      <c r="B33" s="257" t="s">
        <v>1378</v>
      </c>
      <c r="C33" s="276">
        <v>44255</v>
      </c>
      <c r="D33" s="257" t="s">
        <v>1293</v>
      </c>
      <c r="E33" s="256" t="s">
        <v>1826</v>
      </c>
      <c r="F33" s="256" t="s">
        <v>1834</v>
      </c>
      <c r="G33" s="258">
        <v>8247000000</v>
      </c>
      <c r="H33" s="265">
        <v>0.1</v>
      </c>
      <c r="I33" s="258">
        <v>824700000</v>
      </c>
      <c r="J33" s="258">
        <v>9071700000</v>
      </c>
      <c r="K33" s="256" t="s">
        <v>1346</v>
      </c>
    </row>
    <row r="34" spans="1:11" x14ac:dyDescent="0.3">
      <c r="A34" s="256">
        <v>27</v>
      </c>
      <c r="B34" s="257" t="s">
        <v>1398</v>
      </c>
      <c r="C34" s="276">
        <v>44316</v>
      </c>
      <c r="D34" s="257" t="s">
        <v>1262</v>
      </c>
      <c r="E34" s="256" t="s">
        <v>1816</v>
      </c>
      <c r="F34" s="256" t="s">
        <v>1837</v>
      </c>
      <c r="G34" s="258">
        <v>8982000000</v>
      </c>
      <c r="H34" s="265">
        <v>0.1</v>
      </c>
      <c r="I34" s="258">
        <v>898200000</v>
      </c>
      <c r="J34" s="258">
        <v>9880200000</v>
      </c>
      <c r="K34" s="256" t="s">
        <v>1346</v>
      </c>
    </row>
    <row r="35" spans="1:11" x14ac:dyDescent="0.3">
      <c r="A35" s="256">
        <v>28</v>
      </c>
      <c r="B35" s="257" t="s">
        <v>1356</v>
      </c>
      <c r="C35" s="276">
        <v>44377</v>
      </c>
      <c r="D35" s="257" t="s">
        <v>1286</v>
      </c>
      <c r="E35" s="256" t="s">
        <v>1828</v>
      </c>
      <c r="F35" s="256" t="s">
        <v>1734</v>
      </c>
      <c r="G35" s="258">
        <v>2611000000</v>
      </c>
      <c r="H35" s="265">
        <v>0.1</v>
      </c>
      <c r="I35" s="258">
        <v>261100000</v>
      </c>
      <c r="J35" s="258">
        <v>2872100000</v>
      </c>
      <c r="K35" s="256" t="s">
        <v>1348</v>
      </c>
    </row>
    <row r="36" spans="1:11" x14ac:dyDescent="0.3">
      <c r="A36" s="256">
        <v>29</v>
      </c>
      <c r="B36" s="257" t="s">
        <v>1371</v>
      </c>
      <c r="C36" s="276">
        <v>44469</v>
      </c>
      <c r="D36" s="257" t="s">
        <v>1304</v>
      </c>
      <c r="E36" s="256" t="s">
        <v>1831</v>
      </c>
      <c r="F36" s="256" t="s">
        <v>1835</v>
      </c>
      <c r="G36" s="258">
        <v>8241000000</v>
      </c>
      <c r="H36" s="265">
        <v>0.1</v>
      </c>
      <c r="I36" s="258">
        <v>824100000</v>
      </c>
      <c r="J36" s="258">
        <v>9065100000</v>
      </c>
      <c r="K36" s="256" t="s">
        <v>1346</v>
      </c>
    </row>
    <row r="37" spans="1:11" x14ac:dyDescent="0.3">
      <c r="A37" s="256">
        <v>30</v>
      </c>
      <c r="B37" s="257" t="s">
        <v>1391</v>
      </c>
      <c r="C37" s="276">
        <v>44530</v>
      </c>
      <c r="D37" s="257" t="s">
        <v>1289</v>
      </c>
      <c r="E37" s="256" t="s">
        <v>1803</v>
      </c>
      <c r="F37" s="256" t="s">
        <v>1734</v>
      </c>
      <c r="G37" s="258">
        <v>4529000000</v>
      </c>
      <c r="H37" s="265">
        <v>0.1</v>
      </c>
      <c r="I37" s="258">
        <v>452900000</v>
      </c>
      <c r="J37" s="258">
        <v>4981900000</v>
      </c>
      <c r="K37" s="256" t="s">
        <v>1346</v>
      </c>
    </row>
    <row r="38" spans="1:11" x14ac:dyDescent="0.3">
      <c r="A38" s="256">
        <v>31</v>
      </c>
      <c r="B38" s="257" t="s">
        <v>1392</v>
      </c>
      <c r="C38" s="276">
        <v>44286</v>
      </c>
      <c r="D38" s="257" t="s">
        <v>1289</v>
      </c>
      <c r="E38" s="256" t="s">
        <v>1803</v>
      </c>
      <c r="F38" s="256" t="s">
        <v>1836</v>
      </c>
      <c r="G38" s="258">
        <v>9135000000</v>
      </c>
      <c r="H38" s="265">
        <v>0.1</v>
      </c>
      <c r="I38" s="258">
        <v>913500000</v>
      </c>
      <c r="J38" s="258">
        <v>10048500000</v>
      </c>
      <c r="K38" s="256" t="s">
        <v>1346</v>
      </c>
    </row>
    <row r="39" spans="1:11" x14ac:dyDescent="0.3">
      <c r="A39" s="256">
        <v>32</v>
      </c>
      <c r="B39" s="257" t="s">
        <v>1379</v>
      </c>
      <c r="C39" s="276">
        <v>44347</v>
      </c>
      <c r="D39" s="257" t="s">
        <v>1293</v>
      </c>
      <c r="E39" s="256" t="s">
        <v>1826</v>
      </c>
      <c r="F39" s="256" t="s">
        <v>1834</v>
      </c>
      <c r="G39" s="258">
        <v>6292000000</v>
      </c>
      <c r="H39" s="265">
        <v>0</v>
      </c>
      <c r="I39" s="258">
        <v>0</v>
      </c>
      <c r="J39" s="258">
        <v>6292000000</v>
      </c>
      <c r="K39" s="256" t="s">
        <v>1348</v>
      </c>
    </row>
    <row r="40" spans="1:11" x14ac:dyDescent="0.3">
      <c r="A40" s="256">
        <v>33</v>
      </c>
      <c r="B40" s="257" t="s">
        <v>1360</v>
      </c>
      <c r="C40" s="276">
        <v>44408</v>
      </c>
      <c r="D40" s="257" t="s">
        <v>1296</v>
      </c>
      <c r="E40" s="256" t="s">
        <v>1807</v>
      </c>
      <c r="F40" s="256" t="s">
        <v>1741</v>
      </c>
      <c r="G40" s="258">
        <v>4332000000</v>
      </c>
      <c r="H40" s="265">
        <v>0.1</v>
      </c>
      <c r="I40" s="258">
        <v>433200000</v>
      </c>
      <c r="J40" s="258">
        <v>4765200000</v>
      </c>
      <c r="K40" s="256" t="s">
        <v>1346</v>
      </c>
    </row>
    <row r="41" spans="1:11" x14ac:dyDescent="0.3">
      <c r="A41" s="256">
        <v>34</v>
      </c>
      <c r="B41" s="257" t="s">
        <v>1401</v>
      </c>
      <c r="C41" s="276">
        <v>44439</v>
      </c>
      <c r="D41" s="257" t="s">
        <v>1272</v>
      </c>
      <c r="E41" s="256" t="s">
        <v>1805</v>
      </c>
      <c r="F41" s="256" t="s">
        <v>1734</v>
      </c>
      <c r="G41" s="258">
        <v>6391000000</v>
      </c>
      <c r="H41" s="265">
        <v>0.1</v>
      </c>
      <c r="I41" s="258">
        <v>639100000</v>
      </c>
      <c r="J41" s="258">
        <v>7030100000</v>
      </c>
      <c r="K41" s="256" t="s">
        <v>1346</v>
      </c>
    </row>
    <row r="42" spans="1:11" x14ac:dyDescent="0.3">
      <c r="A42" s="256">
        <v>35</v>
      </c>
      <c r="B42" s="257" t="s">
        <v>1368</v>
      </c>
      <c r="C42" s="276">
        <v>44500</v>
      </c>
      <c r="D42" s="257" t="s">
        <v>1300</v>
      </c>
      <c r="E42" s="256" t="s">
        <v>1818</v>
      </c>
      <c r="F42" s="256" t="s">
        <v>1836</v>
      </c>
      <c r="G42" s="258">
        <v>9002000000</v>
      </c>
      <c r="H42" s="265">
        <v>0.1</v>
      </c>
      <c r="I42" s="258">
        <v>900200000</v>
      </c>
      <c r="J42" s="258">
        <v>9902200000</v>
      </c>
      <c r="K42" s="256" t="s">
        <v>1346</v>
      </c>
    </row>
    <row r="43" spans="1:11" x14ac:dyDescent="0.3">
      <c r="A43" s="256">
        <v>36</v>
      </c>
      <c r="B43" s="257" t="s">
        <v>1405</v>
      </c>
      <c r="C43" s="276">
        <v>44561</v>
      </c>
      <c r="D43" s="257" t="s">
        <v>1259</v>
      </c>
      <c r="E43" s="256" t="s">
        <v>1788</v>
      </c>
      <c r="F43" s="256" t="s">
        <v>1834</v>
      </c>
      <c r="G43" s="258">
        <v>8757000000</v>
      </c>
      <c r="H43" s="265">
        <v>0.1</v>
      </c>
      <c r="I43" s="258">
        <v>875700000</v>
      </c>
      <c r="J43" s="258">
        <v>9632700000</v>
      </c>
      <c r="K43" s="256" t="s">
        <v>1346</v>
      </c>
    </row>
    <row r="44" spans="1:11" x14ac:dyDescent="0.3">
      <c r="A44" s="256">
        <v>37</v>
      </c>
      <c r="B44" s="257" t="s">
        <v>1378</v>
      </c>
      <c r="C44" s="276">
        <v>44561</v>
      </c>
      <c r="D44" s="257" t="s">
        <v>1287</v>
      </c>
      <c r="E44" s="256" t="s">
        <v>1801</v>
      </c>
      <c r="F44" s="256" t="s">
        <v>1836</v>
      </c>
      <c r="G44" s="258">
        <v>9899000000</v>
      </c>
      <c r="H44" s="265">
        <v>0.1</v>
      </c>
      <c r="I44" s="258">
        <v>989900000</v>
      </c>
      <c r="J44" s="258">
        <v>10888900000</v>
      </c>
      <c r="K44" s="256" t="s">
        <v>1346</v>
      </c>
    </row>
    <row r="45" spans="1:11" x14ac:dyDescent="0.3">
      <c r="A45" s="256">
        <v>38</v>
      </c>
      <c r="B45" s="257" t="s">
        <v>1401</v>
      </c>
      <c r="C45" s="276">
        <v>44561</v>
      </c>
      <c r="D45" s="257" t="s">
        <v>1268</v>
      </c>
      <c r="E45" s="256" t="s">
        <v>1821</v>
      </c>
      <c r="F45" s="256" t="s">
        <v>1837</v>
      </c>
      <c r="G45" s="258">
        <v>7857000000</v>
      </c>
      <c r="H45" s="265">
        <v>0.1</v>
      </c>
      <c r="I45" s="258">
        <v>785700000</v>
      </c>
      <c r="J45" s="258">
        <v>8642700000</v>
      </c>
      <c r="K45" s="256" t="s">
        <v>1346</v>
      </c>
    </row>
    <row r="46" spans="1:11" x14ac:dyDescent="0.3">
      <c r="A46" s="256">
        <v>39</v>
      </c>
      <c r="B46" s="257" t="s">
        <v>1397</v>
      </c>
      <c r="C46" s="276">
        <v>44561</v>
      </c>
      <c r="D46" s="257" t="s">
        <v>1270</v>
      </c>
      <c r="E46" s="256" t="s">
        <v>1782</v>
      </c>
      <c r="F46" s="256" t="s">
        <v>1741</v>
      </c>
      <c r="G46" s="258">
        <v>6527000000</v>
      </c>
      <c r="H46" s="265">
        <v>0.1</v>
      </c>
      <c r="I46" s="258">
        <v>652700000</v>
      </c>
      <c r="J46" s="258">
        <v>7179700000</v>
      </c>
      <c r="K46" s="256" t="s">
        <v>1346</v>
      </c>
    </row>
    <row r="47" spans="1:11" x14ac:dyDescent="0.3">
      <c r="A47" s="256">
        <v>40</v>
      </c>
      <c r="B47" s="257" t="s">
        <v>1378</v>
      </c>
      <c r="C47" s="276">
        <v>44561</v>
      </c>
      <c r="D47" s="257" t="s">
        <v>1290</v>
      </c>
      <c r="E47" s="256" t="s">
        <v>1796</v>
      </c>
      <c r="F47" s="256" t="s">
        <v>1837</v>
      </c>
      <c r="G47" s="258">
        <v>7350000000</v>
      </c>
      <c r="H47" s="265">
        <v>0.1</v>
      </c>
      <c r="I47" s="258">
        <v>735000000</v>
      </c>
      <c r="J47" s="258">
        <v>8085000000</v>
      </c>
      <c r="K47" s="256" t="s">
        <v>1346</v>
      </c>
    </row>
    <row r="48" spans="1:11" x14ac:dyDescent="0.3">
      <c r="A48" s="256">
        <v>41</v>
      </c>
      <c r="B48" s="257" t="s">
        <v>1376</v>
      </c>
      <c r="C48" s="276">
        <v>44561</v>
      </c>
      <c r="D48" s="257" t="s">
        <v>1288</v>
      </c>
      <c r="E48" s="256" t="s">
        <v>1797</v>
      </c>
      <c r="F48" s="256" t="s">
        <v>1834</v>
      </c>
      <c r="G48" s="258">
        <v>5331000000</v>
      </c>
      <c r="H48" s="265">
        <v>0.1</v>
      </c>
      <c r="I48" s="258">
        <v>533100000</v>
      </c>
      <c r="J48" s="258">
        <v>5864100000</v>
      </c>
      <c r="K48" s="256" t="s">
        <v>1346</v>
      </c>
    </row>
    <row r="49" spans="1:11" x14ac:dyDescent="0.3">
      <c r="A49" s="256">
        <v>42</v>
      </c>
      <c r="B49" s="257" t="s">
        <v>1204</v>
      </c>
      <c r="C49" s="276">
        <v>44561</v>
      </c>
      <c r="D49" s="257" t="s">
        <v>1282</v>
      </c>
      <c r="E49" s="256" t="s">
        <v>1789</v>
      </c>
      <c r="F49" s="256" t="s">
        <v>1834</v>
      </c>
      <c r="G49" s="258">
        <v>9698000000</v>
      </c>
      <c r="H49" s="265">
        <v>0.1</v>
      </c>
      <c r="I49" s="258">
        <v>969800000</v>
      </c>
      <c r="J49" s="258">
        <v>10667800000</v>
      </c>
      <c r="K49" s="256" t="s">
        <v>1346</v>
      </c>
    </row>
    <row r="50" spans="1:11" x14ac:dyDescent="0.3">
      <c r="A50" s="256">
        <v>43</v>
      </c>
      <c r="B50" s="257" t="s">
        <v>1203</v>
      </c>
      <c r="C50" s="276">
        <v>44561</v>
      </c>
      <c r="D50" s="257" t="s">
        <v>1265</v>
      </c>
      <c r="E50" s="256" t="s">
        <v>1830</v>
      </c>
      <c r="F50" s="256" t="s">
        <v>1836</v>
      </c>
      <c r="G50" s="258">
        <v>2512000000</v>
      </c>
      <c r="H50" s="265">
        <v>0.1</v>
      </c>
      <c r="I50" s="258">
        <v>251200000</v>
      </c>
      <c r="J50" s="258">
        <v>2763200000</v>
      </c>
      <c r="K50" s="256" t="s">
        <v>1346</v>
      </c>
    </row>
    <row r="51" spans="1:11" x14ac:dyDescent="0.3">
      <c r="A51" s="256">
        <v>44</v>
      </c>
      <c r="B51" s="257" t="s">
        <v>1406</v>
      </c>
      <c r="C51" s="276">
        <v>44561</v>
      </c>
      <c r="D51" s="257" t="s">
        <v>1259</v>
      </c>
      <c r="E51" s="256" t="s">
        <v>1788</v>
      </c>
      <c r="F51" s="256" t="s">
        <v>1734</v>
      </c>
      <c r="G51" s="258">
        <v>7107000000</v>
      </c>
      <c r="H51" s="265">
        <v>0.1</v>
      </c>
      <c r="I51" s="258">
        <v>710700000</v>
      </c>
      <c r="J51" s="258">
        <v>7817700000</v>
      </c>
      <c r="K51" s="256" t="s">
        <v>1346</v>
      </c>
    </row>
    <row r="52" spans="1:11" x14ac:dyDescent="0.3">
      <c r="A52" s="256">
        <v>45</v>
      </c>
      <c r="B52" s="257" t="s">
        <v>1382</v>
      </c>
      <c r="C52" s="276">
        <v>44561</v>
      </c>
      <c r="D52" s="257" t="s">
        <v>1258</v>
      </c>
      <c r="E52" s="256" t="s">
        <v>1833</v>
      </c>
      <c r="F52" s="256" t="s">
        <v>1834</v>
      </c>
      <c r="G52" s="258">
        <v>8381000000</v>
      </c>
      <c r="H52" s="265">
        <v>0.1</v>
      </c>
      <c r="I52" s="258">
        <v>838100000</v>
      </c>
      <c r="J52" s="258">
        <v>9219100000</v>
      </c>
      <c r="K52" s="256" t="s">
        <v>1346</v>
      </c>
    </row>
    <row r="53" spans="1:11" x14ac:dyDescent="0.3">
      <c r="A53" s="256">
        <v>46</v>
      </c>
      <c r="B53" s="257" t="s">
        <v>1409</v>
      </c>
      <c r="C53" s="276">
        <v>44561</v>
      </c>
      <c r="D53" s="257" t="s">
        <v>1279</v>
      </c>
      <c r="E53" s="256" t="s">
        <v>1827</v>
      </c>
      <c r="F53" s="256" t="s">
        <v>1834</v>
      </c>
      <c r="G53" s="258">
        <v>3783000000</v>
      </c>
      <c r="H53" s="265">
        <v>0</v>
      </c>
      <c r="I53" s="258">
        <v>0</v>
      </c>
      <c r="J53" s="258">
        <v>3783000000</v>
      </c>
      <c r="K53" s="256" t="s">
        <v>1346</v>
      </c>
    </row>
    <row r="54" spans="1:11" x14ac:dyDescent="0.3">
      <c r="A54" s="256">
        <v>47</v>
      </c>
      <c r="B54" s="257" t="s">
        <v>1408</v>
      </c>
      <c r="C54" s="276">
        <v>44561</v>
      </c>
      <c r="D54" s="257" t="s">
        <v>1259</v>
      </c>
      <c r="E54" s="256" t="s">
        <v>1788</v>
      </c>
      <c r="F54" s="256" t="s">
        <v>1834</v>
      </c>
      <c r="G54" s="258">
        <v>6924000000</v>
      </c>
      <c r="H54" s="265">
        <v>0.1</v>
      </c>
      <c r="I54" s="258">
        <v>692400000</v>
      </c>
      <c r="J54" s="258">
        <v>7616400000</v>
      </c>
      <c r="K54" s="256" t="s">
        <v>1346</v>
      </c>
    </row>
    <row r="55" spans="1:11" x14ac:dyDescent="0.3">
      <c r="A55" s="256">
        <v>48</v>
      </c>
      <c r="B55" s="257" t="s">
        <v>1397</v>
      </c>
      <c r="C55" s="276">
        <v>44561</v>
      </c>
      <c r="D55" s="257" t="s">
        <v>1273</v>
      </c>
      <c r="E55" s="256" t="s">
        <v>1829</v>
      </c>
      <c r="F55" s="256" t="s">
        <v>1741</v>
      </c>
      <c r="G55" s="258">
        <v>6327000000</v>
      </c>
      <c r="H55" s="265">
        <v>0.1</v>
      </c>
      <c r="I55" s="258">
        <v>632700000</v>
      </c>
      <c r="J55" s="258">
        <v>6959700000</v>
      </c>
      <c r="K55" s="256" t="s">
        <v>1346</v>
      </c>
    </row>
    <row r="56" spans="1:11" x14ac:dyDescent="0.3">
      <c r="A56" s="256">
        <v>49</v>
      </c>
      <c r="B56" s="257" t="s">
        <v>1360</v>
      </c>
      <c r="C56" s="276">
        <v>44561</v>
      </c>
      <c r="D56" s="257" t="s">
        <v>1301</v>
      </c>
      <c r="E56" s="256" t="s">
        <v>1781</v>
      </c>
      <c r="F56" s="256" t="s">
        <v>1834</v>
      </c>
      <c r="G56" s="258">
        <v>4837000000</v>
      </c>
      <c r="H56" s="265">
        <v>0.1</v>
      </c>
      <c r="I56" s="258">
        <v>483700000</v>
      </c>
      <c r="J56" s="258">
        <v>5320700000</v>
      </c>
      <c r="K56" s="256" t="s">
        <v>1346</v>
      </c>
    </row>
    <row r="57" spans="1:11" x14ac:dyDescent="0.3">
      <c r="A57" s="256">
        <v>50</v>
      </c>
      <c r="B57" s="257" t="s">
        <v>1366</v>
      </c>
      <c r="C57" s="276">
        <v>44561</v>
      </c>
      <c r="D57" s="257" t="s">
        <v>1299</v>
      </c>
      <c r="E57" s="256" t="s">
        <v>1776</v>
      </c>
      <c r="F57" s="256" t="s">
        <v>1836</v>
      </c>
      <c r="G57" s="258">
        <v>4669000000</v>
      </c>
      <c r="H57" s="265">
        <v>0.1</v>
      </c>
      <c r="I57" s="258">
        <v>466900000</v>
      </c>
      <c r="J57" s="258">
        <v>5135900000</v>
      </c>
      <c r="K57" s="256" t="s">
        <v>1346</v>
      </c>
    </row>
    <row r="58" spans="1:11" x14ac:dyDescent="0.3">
      <c r="A58" s="266" t="s">
        <v>1351</v>
      </c>
      <c r="B58" s="266"/>
      <c r="C58" s="266"/>
      <c r="D58" s="266"/>
      <c r="E58" s="266"/>
      <c r="F58" s="266"/>
      <c r="G58" s="267">
        <f>SUM(G8:G57)</f>
        <v>320556000000</v>
      </c>
      <c r="H58" s="266"/>
      <c r="I58" s="267">
        <f>SUM(I8:I57)</f>
        <v>29366300000</v>
      </c>
      <c r="J58" s="267">
        <f>SUM(J8:J57)</f>
        <v>349922300000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1840</v>
      </c>
      <c r="G62" s="258">
        <v>6388000000</v>
      </c>
      <c r="H62" s="265">
        <v>0.1</v>
      </c>
      <c r="I62" s="258">
        <v>638800000</v>
      </c>
      <c r="J62" s="258">
        <v>7026800000</v>
      </c>
      <c r="K62" s="256" t="s">
        <v>1346</v>
      </c>
    </row>
    <row r="63" spans="1:11" x14ac:dyDescent="0.3">
      <c r="A63" s="256">
        <v>2</v>
      </c>
      <c r="B63" s="257" t="s">
        <v>1201</v>
      </c>
      <c r="C63" s="276">
        <v>44318</v>
      </c>
      <c r="D63" s="257" t="s">
        <v>1259</v>
      </c>
      <c r="E63" s="256" t="s">
        <v>1788</v>
      </c>
      <c r="F63" s="256" t="s">
        <v>1839</v>
      </c>
      <c r="G63" s="258">
        <v>11394000000</v>
      </c>
      <c r="H63" s="265">
        <v>0.1</v>
      </c>
      <c r="I63" s="258">
        <v>1139400000</v>
      </c>
      <c r="J63" s="258">
        <v>12533400000</v>
      </c>
      <c r="K63" s="256" t="s">
        <v>1348</v>
      </c>
    </row>
    <row r="64" spans="1:11" x14ac:dyDescent="0.3">
      <c r="A64" s="256">
        <v>3</v>
      </c>
      <c r="B64" s="257" t="s">
        <v>1202</v>
      </c>
      <c r="C64" s="276">
        <v>44472</v>
      </c>
      <c r="D64" s="257" t="s">
        <v>1298</v>
      </c>
      <c r="E64" s="256" t="s">
        <v>1819</v>
      </c>
      <c r="F64" s="256" t="s">
        <v>1838</v>
      </c>
      <c r="G64" s="258">
        <v>6234000000</v>
      </c>
      <c r="H64" s="265">
        <v>0</v>
      </c>
      <c r="I64" s="258">
        <v>0</v>
      </c>
      <c r="J64" s="258">
        <v>6234000000</v>
      </c>
      <c r="K64" s="256" t="s">
        <v>1346</v>
      </c>
    </row>
    <row r="65" spans="1:11" x14ac:dyDescent="0.3">
      <c r="A65" s="256">
        <v>4</v>
      </c>
      <c r="B65" s="257" t="s">
        <v>1355</v>
      </c>
      <c r="C65" s="276">
        <v>44473</v>
      </c>
      <c r="D65" s="257" t="s">
        <v>1288</v>
      </c>
      <c r="E65" s="256" t="s">
        <v>1797</v>
      </c>
      <c r="F65" s="256" t="s">
        <v>1841</v>
      </c>
      <c r="G65" s="258">
        <v>6071000000</v>
      </c>
      <c r="H65" s="265">
        <v>0</v>
      </c>
      <c r="I65" s="258">
        <v>0</v>
      </c>
      <c r="J65" s="258">
        <v>6071000000</v>
      </c>
      <c r="K65" s="256" t="s">
        <v>1348</v>
      </c>
    </row>
    <row r="66" spans="1:11" x14ac:dyDescent="0.3">
      <c r="A66" s="256">
        <v>5</v>
      </c>
      <c r="B66" s="257" t="s">
        <v>1356</v>
      </c>
      <c r="C66" s="276">
        <v>44474</v>
      </c>
      <c r="D66" s="257" t="s">
        <v>1285</v>
      </c>
      <c r="E66" s="256" t="s">
        <v>1793</v>
      </c>
      <c r="F66" s="256" t="s">
        <v>1840</v>
      </c>
      <c r="G66" s="258">
        <v>4154000000</v>
      </c>
      <c r="H66" s="265">
        <v>0.1</v>
      </c>
      <c r="I66" s="258">
        <v>415400000</v>
      </c>
      <c r="J66" s="258">
        <v>4569400000</v>
      </c>
      <c r="K66" s="256" t="s">
        <v>1346</v>
      </c>
    </row>
    <row r="67" spans="1:11" x14ac:dyDescent="0.3">
      <c r="A67" s="256">
        <v>6</v>
      </c>
      <c r="B67" s="257" t="s">
        <v>1358</v>
      </c>
      <c r="C67" s="276">
        <v>44475</v>
      </c>
      <c r="D67" s="257" t="s">
        <v>1286</v>
      </c>
      <c r="E67" s="256" t="s">
        <v>1828</v>
      </c>
      <c r="F67" s="256" t="s">
        <v>1839</v>
      </c>
      <c r="G67" s="258">
        <v>5172000000</v>
      </c>
      <c r="H67" s="265">
        <v>0</v>
      </c>
      <c r="I67" s="258">
        <v>0</v>
      </c>
      <c r="J67" s="258">
        <v>5172000000</v>
      </c>
      <c r="K67" s="256" t="s">
        <v>1346</v>
      </c>
    </row>
    <row r="68" spans="1:11" x14ac:dyDescent="0.3">
      <c r="A68" s="256">
        <v>7</v>
      </c>
      <c r="B68" s="257" t="s">
        <v>1360</v>
      </c>
      <c r="C68" s="276">
        <v>44476</v>
      </c>
      <c r="D68" s="257" t="s">
        <v>1256</v>
      </c>
      <c r="E68" s="256" t="s">
        <v>1802</v>
      </c>
      <c r="F68" s="256" t="s">
        <v>1839</v>
      </c>
      <c r="G68" s="258">
        <v>7857000000</v>
      </c>
      <c r="H68" s="265">
        <v>0.1</v>
      </c>
      <c r="I68" s="258">
        <v>785700000</v>
      </c>
      <c r="J68" s="258">
        <v>8642700000</v>
      </c>
      <c r="K68" s="256" t="s">
        <v>1346</v>
      </c>
    </row>
    <row r="69" spans="1:11" x14ac:dyDescent="0.3">
      <c r="A69" s="256">
        <v>8</v>
      </c>
      <c r="B69" s="257" t="s">
        <v>1362</v>
      </c>
      <c r="C69" s="276">
        <v>44477</v>
      </c>
      <c r="D69" s="257" t="s">
        <v>1289</v>
      </c>
      <c r="E69" s="256" t="s">
        <v>1803</v>
      </c>
      <c r="F69" s="256" t="s">
        <v>1838</v>
      </c>
      <c r="G69" s="258">
        <v>5339000000</v>
      </c>
      <c r="H69" s="265">
        <v>0.1</v>
      </c>
      <c r="I69" s="258">
        <v>533900000</v>
      </c>
      <c r="J69" s="258">
        <v>5872900000</v>
      </c>
      <c r="K69" s="256" t="s">
        <v>1346</v>
      </c>
    </row>
    <row r="70" spans="1:11" x14ac:dyDescent="0.3">
      <c r="A70" s="256">
        <v>9</v>
      </c>
      <c r="B70" s="257" t="s">
        <v>1364</v>
      </c>
      <c r="C70" s="276">
        <v>44478</v>
      </c>
      <c r="D70" s="257" t="s">
        <v>1301</v>
      </c>
      <c r="E70" s="256" t="s">
        <v>1781</v>
      </c>
      <c r="F70" s="256" t="s">
        <v>1841</v>
      </c>
      <c r="G70" s="258">
        <v>9491000000</v>
      </c>
      <c r="H70" s="265">
        <v>0.1</v>
      </c>
      <c r="I70" s="258">
        <v>949100000</v>
      </c>
      <c r="J70" s="258">
        <v>10440100000</v>
      </c>
      <c r="K70" s="256" t="s">
        <v>1346</v>
      </c>
    </row>
    <row r="71" spans="1:11" x14ac:dyDescent="0.3">
      <c r="A71" s="256">
        <v>10</v>
      </c>
      <c r="B71" s="257" t="s">
        <v>1366</v>
      </c>
      <c r="C71" s="276">
        <v>44479</v>
      </c>
      <c r="D71" s="257" t="s">
        <v>1276</v>
      </c>
      <c r="E71" s="256" t="s">
        <v>1822</v>
      </c>
      <c r="F71" s="256" t="s">
        <v>1840</v>
      </c>
      <c r="G71" s="258">
        <v>3992000000</v>
      </c>
      <c r="H71" s="265">
        <v>0.1</v>
      </c>
      <c r="I71" s="258">
        <v>399200000</v>
      </c>
      <c r="J71" s="258">
        <v>4391200000</v>
      </c>
      <c r="K71" s="256" t="s">
        <v>1346</v>
      </c>
    </row>
    <row r="72" spans="1:11" x14ac:dyDescent="0.3">
      <c r="A72" s="256">
        <v>11</v>
      </c>
      <c r="B72" s="257" t="s">
        <v>1368</v>
      </c>
      <c r="C72" s="276">
        <v>44480</v>
      </c>
      <c r="D72" s="257" t="s">
        <v>1263</v>
      </c>
      <c r="E72" s="256" t="s">
        <v>1790</v>
      </c>
      <c r="F72" s="256" t="s">
        <v>1839</v>
      </c>
      <c r="G72" s="258">
        <v>12544000000</v>
      </c>
      <c r="H72" s="265">
        <v>0</v>
      </c>
      <c r="I72" s="258">
        <v>0</v>
      </c>
      <c r="J72" s="258">
        <v>12544000000</v>
      </c>
      <c r="K72" s="256" t="s">
        <v>1346</v>
      </c>
    </row>
    <row r="73" spans="1:11" x14ac:dyDescent="0.3">
      <c r="A73" s="256">
        <v>12</v>
      </c>
      <c r="B73" s="257" t="s">
        <v>1371</v>
      </c>
      <c r="C73" s="276">
        <v>44481</v>
      </c>
      <c r="D73" s="257" t="s">
        <v>1284</v>
      </c>
      <c r="E73" s="256" t="s">
        <v>1786</v>
      </c>
      <c r="F73" s="256" t="s">
        <v>1839</v>
      </c>
      <c r="G73" s="258">
        <v>7414000000</v>
      </c>
      <c r="H73" s="265">
        <v>0.1</v>
      </c>
      <c r="I73" s="258">
        <v>741400000</v>
      </c>
      <c r="J73" s="258">
        <v>8155400000</v>
      </c>
      <c r="K73" s="256" t="s">
        <v>1346</v>
      </c>
    </row>
    <row r="74" spans="1:11" x14ac:dyDescent="0.3">
      <c r="A74" s="256">
        <v>13</v>
      </c>
      <c r="B74" s="257" t="s">
        <v>1373</v>
      </c>
      <c r="C74" s="276">
        <v>44211</v>
      </c>
      <c r="D74" s="257" t="s">
        <v>1291</v>
      </c>
      <c r="E74" s="256" t="s">
        <v>1800</v>
      </c>
      <c r="F74" s="256" t="s">
        <v>1841</v>
      </c>
      <c r="G74" s="258">
        <v>12513000000</v>
      </c>
      <c r="H74" s="265">
        <v>0.1</v>
      </c>
      <c r="I74" s="258">
        <v>1251300000</v>
      </c>
      <c r="J74" s="258">
        <v>13764300000</v>
      </c>
      <c r="K74" s="256" t="s">
        <v>1346</v>
      </c>
    </row>
    <row r="75" spans="1:11" x14ac:dyDescent="0.3">
      <c r="A75" s="256">
        <v>14</v>
      </c>
      <c r="B75" s="257" t="s">
        <v>1374</v>
      </c>
      <c r="C75" s="276">
        <v>44242</v>
      </c>
      <c r="D75" s="257" t="s">
        <v>1255</v>
      </c>
      <c r="E75" s="273">
        <v>46152</v>
      </c>
      <c r="F75" s="256" t="s">
        <v>1841</v>
      </c>
      <c r="G75" s="258">
        <v>10014000000</v>
      </c>
      <c r="H75" s="265">
        <v>0.1</v>
      </c>
      <c r="I75" s="258">
        <v>1001400000</v>
      </c>
      <c r="J75" s="258">
        <v>11015400000</v>
      </c>
      <c r="K75" s="256" t="s">
        <v>1346</v>
      </c>
    </row>
    <row r="76" spans="1:11" x14ac:dyDescent="0.3">
      <c r="A76" s="256">
        <v>15</v>
      </c>
      <c r="B76" s="257" t="s">
        <v>1376</v>
      </c>
      <c r="C76" s="276">
        <v>44275</v>
      </c>
      <c r="D76" s="257" t="s">
        <v>1296</v>
      </c>
      <c r="E76" s="256" t="s">
        <v>1807</v>
      </c>
      <c r="F76" s="256" t="s">
        <v>1839</v>
      </c>
      <c r="G76" s="258">
        <v>9068000000</v>
      </c>
      <c r="H76" s="265">
        <v>0.1</v>
      </c>
      <c r="I76" s="258">
        <v>906800000</v>
      </c>
      <c r="J76" s="258">
        <v>9974800000</v>
      </c>
      <c r="K76" s="256" t="s">
        <v>1346</v>
      </c>
    </row>
    <row r="77" spans="1:11" x14ac:dyDescent="0.3">
      <c r="A77" s="256">
        <v>16</v>
      </c>
      <c r="B77" s="257" t="s">
        <v>1378</v>
      </c>
      <c r="C77" s="276">
        <v>44306</v>
      </c>
      <c r="D77" s="257" t="s">
        <v>1298</v>
      </c>
      <c r="E77" s="256" t="s">
        <v>1819</v>
      </c>
      <c r="F77" s="256" t="s">
        <v>1838</v>
      </c>
      <c r="G77" s="258">
        <v>11980000000</v>
      </c>
      <c r="H77" s="265">
        <v>0.1</v>
      </c>
      <c r="I77" s="258">
        <v>1198000000</v>
      </c>
      <c r="J77" s="258">
        <v>13178000000</v>
      </c>
      <c r="K77" s="256" t="s">
        <v>1348</v>
      </c>
    </row>
    <row r="78" spans="1:11" x14ac:dyDescent="0.3">
      <c r="A78" s="256">
        <v>17</v>
      </c>
      <c r="B78" s="257" t="s">
        <v>1379</v>
      </c>
      <c r="C78" s="276">
        <v>44336</v>
      </c>
      <c r="D78" s="257" t="s">
        <v>1261</v>
      </c>
      <c r="E78" s="256" t="s">
        <v>1813</v>
      </c>
      <c r="F78" s="256" t="s">
        <v>1840</v>
      </c>
      <c r="G78" s="258">
        <v>5410000000</v>
      </c>
      <c r="H78" s="265">
        <v>0.1</v>
      </c>
      <c r="I78" s="258">
        <v>541000000</v>
      </c>
      <c r="J78" s="258">
        <v>5951000000</v>
      </c>
      <c r="K78" s="256" t="s">
        <v>1348</v>
      </c>
    </row>
    <row r="79" spans="1:11" x14ac:dyDescent="0.3">
      <c r="A79" s="256">
        <v>18</v>
      </c>
      <c r="B79" s="257" t="s">
        <v>1381</v>
      </c>
      <c r="C79" s="276">
        <v>44367</v>
      </c>
      <c r="D79" s="257" t="s">
        <v>1299</v>
      </c>
      <c r="E79" s="256" t="s">
        <v>1776</v>
      </c>
      <c r="F79" s="256" t="s">
        <v>1839</v>
      </c>
      <c r="G79" s="258">
        <v>8918000000</v>
      </c>
      <c r="H79" s="265">
        <v>0.1</v>
      </c>
      <c r="I79" s="258">
        <v>891800000</v>
      </c>
      <c r="J79" s="258">
        <v>9809800000</v>
      </c>
      <c r="K79" s="256" t="s">
        <v>1346</v>
      </c>
    </row>
    <row r="80" spans="1:11" x14ac:dyDescent="0.3">
      <c r="A80" s="256">
        <v>19</v>
      </c>
      <c r="B80" s="257" t="s">
        <v>1382</v>
      </c>
      <c r="C80" s="276">
        <v>44397</v>
      </c>
      <c r="D80" s="257" t="s">
        <v>1300</v>
      </c>
      <c r="E80" s="256" t="s">
        <v>1818</v>
      </c>
      <c r="F80" s="256" t="s">
        <v>1838</v>
      </c>
      <c r="G80" s="258">
        <v>5814000000</v>
      </c>
      <c r="H80" s="265">
        <v>0.1</v>
      </c>
      <c r="I80" s="258">
        <v>581400000</v>
      </c>
      <c r="J80" s="258">
        <v>6395400000</v>
      </c>
      <c r="K80" s="256" t="s">
        <v>1346</v>
      </c>
    </row>
    <row r="81" spans="1:11" x14ac:dyDescent="0.3">
      <c r="A81" s="256">
        <v>20</v>
      </c>
      <c r="B81" s="257" t="s">
        <v>1383</v>
      </c>
      <c r="C81" s="276">
        <v>44428</v>
      </c>
      <c r="D81" s="257" t="s">
        <v>1275</v>
      </c>
      <c r="E81" s="256" t="s">
        <v>1808</v>
      </c>
      <c r="F81" s="256" t="s">
        <v>1840</v>
      </c>
      <c r="G81" s="258">
        <v>12521000000</v>
      </c>
      <c r="H81" s="265">
        <v>0.1</v>
      </c>
      <c r="I81" s="258">
        <v>1252100000</v>
      </c>
      <c r="J81" s="258">
        <v>13773100000</v>
      </c>
      <c r="K81" s="256" t="s">
        <v>1346</v>
      </c>
    </row>
    <row r="82" spans="1:11" x14ac:dyDescent="0.3">
      <c r="A82" s="256">
        <v>21</v>
      </c>
      <c r="B82" s="257" t="s">
        <v>1203</v>
      </c>
      <c r="C82" s="276">
        <v>44459</v>
      </c>
      <c r="D82" s="257" t="s">
        <v>1301</v>
      </c>
      <c r="E82" s="256" t="s">
        <v>1781</v>
      </c>
      <c r="F82" s="256" t="s">
        <v>1839</v>
      </c>
      <c r="G82" s="258">
        <v>13359000000</v>
      </c>
      <c r="H82" s="265">
        <v>0.1</v>
      </c>
      <c r="I82" s="258">
        <v>1335900000</v>
      </c>
      <c r="J82" s="258">
        <v>14694900000</v>
      </c>
      <c r="K82" s="256" t="s">
        <v>1346</v>
      </c>
    </row>
    <row r="83" spans="1:11" x14ac:dyDescent="0.3">
      <c r="A83" s="256">
        <v>22</v>
      </c>
      <c r="B83" s="257" t="s">
        <v>1204</v>
      </c>
      <c r="C83" s="276">
        <v>44489</v>
      </c>
      <c r="D83" s="257" t="s">
        <v>1265</v>
      </c>
      <c r="E83" s="256" t="s">
        <v>1830</v>
      </c>
      <c r="F83" s="256" t="s">
        <v>1840</v>
      </c>
      <c r="G83" s="258">
        <v>12029000000</v>
      </c>
      <c r="H83" s="265">
        <v>0.1</v>
      </c>
      <c r="I83" s="258">
        <v>1202900000</v>
      </c>
      <c r="J83" s="258">
        <v>13231900000</v>
      </c>
      <c r="K83" s="256" t="s">
        <v>1346</v>
      </c>
    </row>
    <row r="84" spans="1:11" x14ac:dyDescent="0.3">
      <c r="A84" s="256">
        <v>23</v>
      </c>
      <c r="B84" s="257" t="s">
        <v>1205</v>
      </c>
      <c r="C84" s="276">
        <v>44520</v>
      </c>
      <c r="D84" s="257" t="s">
        <v>1273</v>
      </c>
      <c r="E84" s="256" t="s">
        <v>1829</v>
      </c>
      <c r="F84" s="256" t="s">
        <v>1838</v>
      </c>
      <c r="G84" s="258">
        <v>6067000000</v>
      </c>
      <c r="H84" s="265">
        <v>0.1</v>
      </c>
      <c r="I84" s="258">
        <v>606700000</v>
      </c>
      <c r="J84" s="258">
        <v>6673700000</v>
      </c>
      <c r="K84" s="256" t="s">
        <v>1346</v>
      </c>
    </row>
    <row r="85" spans="1:11" x14ac:dyDescent="0.3">
      <c r="A85" s="256">
        <v>24</v>
      </c>
      <c r="B85" s="257" t="s">
        <v>1385</v>
      </c>
      <c r="C85" s="276">
        <v>44550</v>
      </c>
      <c r="D85" s="257" t="s">
        <v>1279</v>
      </c>
      <c r="E85" s="256" t="s">
        <v>1827</v>
      </c>
      <c r="F85" s="256" t="s">
        <v>1839</v>
      </c>
      <c r="G85" s="258">
        <v>10378000000</v>
      </c>
      <c r="H85" s="265">
        <v>0.1</v>
      </c>
      <c r="I85" s="258">
        <v>1037800000</v>
      </c>
      <c r="J85" s="258">
        <v>11415800000</v>
      </c>
      <c r="K85" s="256" t="s">
        <v>1346</v>
      </c>
    </row>
    <row r="86" spans="1:11" x14ac:dyDescent="0.3">
      <c r="A86" s="256">
        <v>25</v>
      </c>
      <c r="B86" s="257" t="s">
        <v>1387</v>
      </c>
      <c r="C86" s="276">
        <v>44221</v>
      </c>
      <c r="D86" s="257" t="s">
        <v>1263</v>
      </c>
      <c r="E86" s="256" t="s">
        <v>1790</v>
      </c>
      <c r="F86" s="256" t="s">
        <v>1840</v>
      </c>
      <c r="G86" s="258">
        <v>12008000000</v>
      </c>
      <c r="H86" s="265">
        <v>0.1</v>
      </c>
      <c r="I86" s="258">
        <v>1200800000</v>
      </c>
      <c r="J86" s="258">
        <v>13208800000</v>
      </c>
      <c r="K86" s="256" t="s">
        <v>1346</v>
      </c>
    </row>
    <row r="87" spans="1:11" x14ac:dyDescent="0.3">
      <c r="A87" s="256">
        <v>26</v>
      </c>
      <c r="B87" s="257" t="s">
        <v>1388</v>
      </c>
      <c r="C87" s="276">
        <v>44255</v>
      </c>
      <c r="D87" s="257" t="s">
        <v>1288</v>
      </c>
      <c r="E87" s="256" t="s">
        <v>1797</v>
      </c>
      <c r="F87" s="256" t="s">
        <v>1839</v>
      </c>
      <c r="G87" s="258">
        <v>10034000000</v>
      </c>
      <c r="H87" s="265">
        <v>0.1</v>
      </c>
      <c r="I87" s="258">
        <v>1003400000</v>
      </c>
      <c r="J87" s="258">
        <v>11037400000</v>
      </c>
      <c r="K87" s="256" t="s">
        <v>1346</v>
      </c>
    </row>
    <row r="88" spans="1:11" x14ac:dyDescent="0.3">
      <c r="A88" s="256">
        <v>27</v>
      </c>
      <c r="B88" s="257" t="s">
        <v>1391</v>
      </c>
      <c r="C88" s="276">
        <v>44316</v>
      </c>
      <c r="D88" s="257" t="s">
        <v>1298</v>
      </c>
      <c r="E88" s="256" t="s">
        <v>1819</v>
      </c>
      <c r="F88" s="256" t="s">
        <v>1841</v>
      </c>
      <c r="G88" s="258">
        <v>3412000000</v>
      </c>
      <c r="H88" s="265">
        <v>0.1</v>
      </c>
      <c r="I88" s="258">
        <v>341200000</v>
      </c>
      <c r="J88" s="258">
        <v>3753200000</v>
      </c>
      <c r="K88" s="256" t="s">
        <v>1346</v>
      </c>
    </row>
    <row r="89" spans="1:11" x14ac:dyDescent="0.3">
      <c r="A89" s="256">
        <v>28</v>
      </c>
      <c r="B89" s="257" t="s">
        <v>1392</v>
      </c>
      <c r="C89" s="276">
        <v>44377</v>
      </c>
      <c r="D89" s="257" t="s">
        <v>1292</v>
      </c>
      <c r="E89" s="256" t="s">
        <v>1792</v>
      </c>
      <c r="F89" s="256" t="s">
        <v>1838</v>
      </c>
      <c r="G89" s="258">
        <v>11993000000</v>
      </c>
      <c r="H89" s="265">
        <v>0.1</v>
      </c>
      <c r="I89" s="258">
        <v>1199300000</v>
      </c>
      <c r="J89" s="258">
        <v>13192300000</v>
      </c>
      <c r="K89" s="256" t="s">
        <v>1346</v>
      </c>
    </row>
    <row r="90" spans="1:11" x14ac:dyDescent="0.3">
      <c r="A90" s="256">
        <v>29</v>
      </c>
      <c r="B90" s="257" t="s">
        <v>1394</v>
      </c>
      <c r="C90" s="276">
        <v>44469</v>
      </c>
      <c r="D90" s="257" t="s">
        <v>1295</v>
      </c>
      <c r="E90" s="256" t="s">
        <v>1825</v>
      </c>
      <c r="F90" s="256" t="s">
        <v>1841</v>
      </c>
      <c r="G90" s="258">
        <v>7813000000</v>
      </c>
      <c r="H90" s="265">
        <v>0.1</v>
      </c>
      <c r="I90" s="258">
        <v>781300000</v>
      </c>
      <c r="J90" s="258">
        <v>8594300000</v>
      </c>
      <c r="K90" s="256" t="s">
        <v>1346</v>
      </c>
    </row>
    <row r="91" spans="1:11" x14ac:dyDescent="0.3">
      <c r="A91" s="256">
        <v>30</v>
      </c>
      <c r="B91" s="257" t="s">
        <v>1396</v>
      </c>
      <c r="C91" s="276">
        <v>44530</v>
      </c>
      <c r="D91" s="257" t="s">
        <v>1269</v>
      </c>
      <c r="E91" s="256" t="s">
        <v>1823</v>
      </c>
      <c r="F91" s="256" t="s">
        <v>1839</v>
      </c>
      <c r="G91" s="258">
        <v>4351000000</v>
      </c>
      <c r="H91" s="265">
        <v>0.1</v>
      </c>
      <c r="I91" s="258">
        <v>435100000</v>
      </c>
      <c r="J91" s="258">
        <v>4786100000</v>
      </c>
      <c r="K91" s="256" t="s">
        <v>1346</v>
      </c>
    </row>
    <row r="92" spans="1:11" x14ac:dyDescent="0.3">
      <c r="A92" s="256">
        <v>31</v>
      </c>
      <c r="B92" s="257" t="s">
        <v>1397</v>
      </c>
      <c r="C92" s="276">
        <v>44286</v>
      </c>
      <c r="D92" s="257" t="s">
        <v>1256</v>
      </c>
      <c r="E92" s="256" t="s">
        <v>1802</v>
      </c>
      <c r="F92" s="256" t="s">
        <v>1838</v>
      </c>
      <c r="G92" s="258">
        <v>10567000000</v>
      </c>
      <c r="H92" s="265">
        <v>0.1</v>
      </c>
      <c r="I92" s="258">
        <v>1056700000</v>
      </c>
      <c r="J92" s="258">
        <v>11623700000</v>
      </c>
      <c r="K92" s="256" t="s">
        <v>1346</v>
      </c>
    </row>
    <row r="93" spans="1:11" x14ac:dyDescent="0.3">
      <c r="A93" s="256">
        <v>32</v>
      </c>
      <c r="B93" s="257" t="s">
        <v>1398</v>
      </c>
      <c r="C93" s="276">
        <v>44347</v>
      </c>
      <c r="D93" s="257" t="s">
        <v>1259</v>
      </c>
      <c r="E93" s="256" t="s">
        <v>1788</v>
      </c>
      <c r="F93" s="256" t="s">
        <v>1841</v>
      </c>
      <c r="G93" s="258">
        <v>13426000000</v>
      </c>
      <c r="H93" s="265">
        <v>0.1</v>
      </c>
      <c r="I93" s="258">
        <v>1342600000</v>
      </c>
      <c r="J93" s="258">
        <v>14768600000</v>
      </c>
      <c r="K93" s="256" t="s">
        <v>1346</v>
      </c>
    </row>
    <row r="94" spans="1:11" x14ac:dyDescent="0.3">
      <c r="A94" s="256">
        <v>33</v>
      </c>
      <c r="B94" s="257" t="s">
        <v>1399</v>
      </c>
      <c r="C94" s="276">
        <v>44408</v>
      </c>
      <c r="D94" s="257" t="s">
        <v>1284</v>
      </c>
      <c r="E94" s="256" t="s">
        <v>1786</v>
      </c>
      <c r="F94" s="256" t="s">
        <v>1841</v>
      </c>
      <c r="G94" s="258">
        <v>6350000000</v>
      </c>
      <c r="H94" s="265">
        <v>0.1</v>
      </c>
      <c r="I94" s="258">
        <v>635000000</v>
      </c>
      <c r="J94" s="258">
        <v>6985000000</v>
      </c>
      <c r="K94" s="256" t="s">
        <v>1346</v>
      </c>
    </row>
    <row r="95" spans="1:11" x14ac:dyDescent="0.3">
      <c r="A95" s="256">
        <v>34</v>
      </c>
      <c r="B95" s="257" t="s">
        <v>1401</v>
      </c>
      <c r="C95" s="276">
        <v>44439</v>
      </c>
      <c r="D95" s="257" t="s">
        <v>1266</v>
      </c>
      <c r="E95" s="256" t="s">
        <v>1824</v>
      </c>
      <c r="F95" s="256" t="s">
        <v>1839</v>
      </c>
      <c r="G95" s="258">
        <v>10790000000</v>
      </c>
      <c r="H95" s="265">
        <v>0.1</v>
      </c>
      <c r="I95" s="258">
        <v>1079000000</v>
      </c>
      <c r="J95" s="258">
        <v>11869000000</v>
      </c>
      <c r="K95" s="256" t="s">
        <v>1348</v>
      </c>
    </row>
    <row r="96" spans="1:11" x14ac:dyDescent="0.3">
      <c r="A96" s="256">
        <v>35</v>
      </c>
      <c r="B96" s="257" t="s">
        <v>1402</v>
      </c>
      <c r="C96" s="276">
        <v>44500</v>
      </c>
      <c r="D96" s="257" t="s">
        <v>1260</v>
      </c>
      <c r="E96" s="256" t="s">
        <v>1804</v>
      </c>
      <c r="F96" s="256" t="s">
        <v>1840</v>
      </c>
      <c r="G96" s="258">
        <v>3811000000</v>
      </c>
      <c r="H96" s="265">
        <v>0.1</v>
      </c>
      <c r="I96" s="258">
        <v>381100000</v>
      </c>
      <c r="J96" s="258">
        <v>4192100000</v>
      </c>
      <c r="K96" s="256" t="s">
        <v>1346</v>
      </c>
    </row>
    <row r="97" spans="1:11" x14ac:dyDescent="0.3">
      <c r="A97" s="256">
        <v>36</v>
      </c>
      <c r="B97" s="257" t="s">
        <v>1403</v>
      </c>
      <c r="C97" s="276">
        <v>44561</v>
      </c>
      <c r="D97" s="257" t="s">
        <v>1257</v>
      </c>
      <c r="E97" s="256" t="s">
        <v>1815</v>
      </c>
      <c r="F97" s="256" t="s">
        <v>1841</v>
      </c>
      <c r="G97" s="258">
        <v>5579000000</v>
      </c>
      <c r="H97" s="265">
        <v>0</v>
      </c>
      <c r="I97" s="258">
        <v>0</v>
      </c>
      <c r="J97" s="258">
        <v>5579000000</v>
      </c>
      <c r="K97" s="256" t="s">
        <v>1346</v>
      </c>
    </row>
    <row r="98" spans="1:11" x14ac:dyDescent="0.3">
      <c r="A98" s="256">
        <v>37</v>
      </c>
      <c r="B98" s="257" t="s">
        <v>1404</v>
      </c>
      <c r="C98" s="276">
        <v>44561</v>
      </c>
      <c r="D98" s="257" t="s">
        <v>1295</v>
      </c>
      <c r="E98" s="256" t="s">
        <v>1825</v>
      </c>
      <c r="F98" s="256" t="s">
        <v>1839</v>
      </c>
      <c r="G98" s="258">
        <v>6524000000</v>
      </c>
      <c r="H98" s="265">
        <v>0.1</v>
      </c>
      <c r="I98" s="258">
        <v>652400000</v>
      </c>
      <c r="J98" s="258">
        <v>7176400000</v>
      </c>
      <c r="K98" s="256" t="s">
        <v>1346</v>
      </c>
    </row>
    <row r="99" spans="1:11" x14ac:dyDescent="0.3">
      <c r="A99" s="256">
        <v>38</v>
      </c>
      <c r="B99" s="257" t="s">
        <v>1405</v>
      </c>
      <c r="C99" s="276">
        <v>44561</v>
      </c>
      <c r="D99" s="257" t="s">
        <v>1292</v>
      </c>
      <c r="E99" s="256" t="s">
        <v>1792</v>
      </c>
      <c r="F99" s="256" t="s">
        <v>1838</v>
      </c>
      <c r="G99" s="258">
        <v>9833000000</v>
      </c>
      <c r="H99" s="265">
        <v>0.1</v>
      </c>
      <c r="I99" s="258">
        <v>983300000</v>
      </c>
      <c r="J99" s="258">
        <v>10816300000</v>
      </c>
      <c r="K99" s="256" t="s">
        <v>1346</v>
      </c>
    </row>
    <row r="100" spans="1:11" x14ac:dyDescent="0.3">
      <c r="A100" s="256">
        <v>39</v>
      </c>
      <c r="B100" s="257" t="s">
        <v>1406</v>
      </c>
      <c r="C100" s="276">
        <v>44561</v>
      </c>
      <c r="D100" s="257" t="s">
        <v>1263</v>
      </c>
      <c r="E100" s="256" t="s">
        <v>1790</v>
      </c>
      <c r="F100" s="256" t="s">
        <v>1840</v>
      </c>
      <c r="G100" s="258">
        <v>7123000000</v>
      </c>
      <c r="H100" s="265">
        <v>0.1</v>
      </c>
      <c r="I100" s="258">
        <v>712300000</v>
      </c>
      <c r="J100" s="258">
        <v>7835300000</v>
      </c>
      <c r="K100" s="256" t="s">
        <v>1346</v>
      </c>
    </row>
    <row r="101" spans="1:11" x14ac:dyDescent="0.3">
      <c r="A101" s="256">
        <v>40</v>
      </c>
      <c r="B101" s="257" t="s">
        <v>1408</v>
      </c>
      <c r="C101" s="276">
        <v>44561</v>
      </c>
      <c r="D101" s="257" t="s">
        <v>1268</v>
      </c>
      <c r="E101" s="256" t="s">
        <v>1821</v>
      </c>
      <c r="F101" s="256" t="s">
        <v>1838</v>
      </c>
      <c r="G101" s="258">
        <v>9206000000</v>
      </c>
      <c r="H101" s="265">
        <v>0.1</v>
      </c>
      <c r="I101" s="258">
        <v>920600000</v>
      </c>
      <c r="J101" s="258">
        <v>10126600000</v>
      </c>
      <c r="K101" s="256" t="s">
        <v>1346</v>
      </c>
    </row>
    <row r="102" spans="1:11" x14ac:dyDescent="0.3">
      <c r="A102" s="256">
        <v>41</v>
      </c>
      <c r="B102" s="257" t="s">
        <v>1409</v>
      </c>
      <c r="C102" s="276">
        <v>44561</v>
      </c>
      <c r="D102" s="257" t="s">
        <v>1258</v>
      </c>
      <c r="E102" s="256" t="s">
        <v>1833</v>
      </c>
      <c r="F102" s="256" t="s">
        <v>1840</v>
      </c>
      <c r="G102" s="258">
        <v>7970000000</v>
      </c>
      <c r="H102" s="265">
        <v>0.1</v>
      </c>
      <c r="I102" s="258">
        <v>797000000</v>
      </c>
      <c r="J102" s="258">
        <v>8767000000</v>
      </c>
      <c r="K102" s="256" t="s">
        <v>1346</v>
      </c>
    </row>
    <row r="103" spans="1:11" x14ac:dyDescent="0.3">
      <c r="A103" s="256">
        <v>42</v>
      </c>
      <c r="B103" s="257" t="s">
        <v>1411</v>
      </c>
      <c r="C103" s="276">
        <v>44561</v>
      </c>
      <c r="D103" s="257" t="s">
        <v>1257</v>
      </c>
      <c r="E103" s="256" t="s">
        <v>1815</v>
      </c>
      <c r="F103" s="256" t="s">
        <v>1840</v>
      </c>
      <c r="G103" s="258">
        <v>3933000000</v>
      </c>
      <c r="H103" s="265">
        <v>0</v>
      </c>
      <c r="I103" s="258">
        <v>0</v>
      </c>
      <c r="J103" s="258">
        <v>3933000000</v>
      </c>
      <c r="K103" s="256" t="s">
        <v>1346</v>
      </c>
    </row>
    <row r="104" spans="1:11" x14ac:dyDescent="0.3">
      <c r="A104" s="256">
        <v>43</v>
      </c>
      <c r="B104" s="257" t="s">
        <v>1414</v>
      </c>
      <c r="C104" s="276">
        <v>44561</v>
      </c>
      <c r="D104" s="257" t="s">
        <v>1272</v>
      </c>
      <c r="E104" s="256" t="s">
        <v>1805</v>
      </c>
      <c r="F104" s="256" t="s">
        <v>1841</v>
      </c>
      <c r="G104" s="258">
        <v>12283000000</v>
      </c>
      <c r="H104" s="265">
        <v>0.1</v>
      </c>
      <c r="I104" s="258">
        <v>1228300000</v>
      </c>
      <c r="J104" s="258">
        <v>13511300000</v>
      </c>
      <c r="K104" s="256" t="s">
        <v>1346</v>
      </c>
    </row>
    <row r="105" spans="1:11" x14ac:dyDescent="0.3">
      <c r="A105" s="256">
        <v>44</v>
      </c>
      <c r="B105" s="257" t="s">
        <v>1415</v>
      </c>
      <c r="C105" s="276">
        <v>44561</v>
      </c>
      <c r="D105" s="257" t="s">
        <v>1284</v>
      </c>
      <c r="E105" s="256" t="s">
        <v>1786</v>
      </c>
      <c r="F105" s="256" t="s">
        <v>1839</v>
      </c>
      <c r="G105" s="258">
        <v>11989000000</v>
      </c>
      <c r="H105" s="265">
        <v>0.1</v>
      </c>
      <c r="I105" s="258">
        <v>1198900000</v>
      </c>
      <c r="J105" s="258">
        <v>13187900000</v>
      </c>
      <c r="K105" s="256" t="s">
        <v>1346</v>
      </c>
    </row>
    <row r="106" spans="1:11" x14ac:dyDescent="0.3">
      <c r="A106" s="256">
        <v>45</v>
      </c>
      <c r="B106" s="257" t="s">
        <v>1206</v>
      </c>
      <c r="C106" s="276">
        <v>44561</v>
      </c>
      <c r="D106" s="257" t="s">
        <v>1264</v>
      </c>
      <c r="E106" s="256" t="s">
        <v>1779</v>
      </c>
      <c r="F106" s="256" t="s">
        <v>1839</v>
      </c>
      <c r="G106" s="258">
        <v>8146000000</v>
      </c>
      <c r="H106" s="265">
        <v>0</v>
      </c>
      <c r="I106" s="258">
        <v>0</v>
      </c>
      <c r="J106" s="258">
        <v>8146000000</v>
      </c>
      <c r="K106" s="256" t="s">
        <v>1346</v>
      </c>
    </row>
    <row r="107" spans="1:11" x14ac:dyDescent="0.3">
      <c r="A107" s="256">
        <v>46</v>
      </c>
      <c r="B107" s="257" t="s">
        <v>1207</v>
      </c>
      <c r="C107" s="276">
        <v>44561</v>
      </c>
      <c r="D107" s="257" t="s">
        <v>1272</v>
      </c>
      <c r="E107" s="256" t="s">
        <v>1805</v>
      </c>
      <c r="F107" s="256" t="s">
        <v>1841</v>
      </c>
      <c r="G107" s="258">
        <v>8561000000</v>
      </c>
      <c r="H107" s="265">
        <v>0.1</v>
      </c>
      <c r="I107" s="258">
        <v>856100000</v>
      </c>
      <c r="J107" s="258">
        <v>9417100000</v>
      </c>
      <c r="K107" s="256" t="s">
        <v>1346</v>
      </c>
    </row>
    <row r="108" spans="1:11" x14ac:dyDescent="0.3">
      <c r="A108" s="256">
        <v>47</v>
      </c>
      <c r="B108" s="257" t="s">
        <v>1208</v>
      </c>
      <c r="C108" s="276">
        <v>44561</v>
      </c>
      <c r="D108" s="257" t="s">
        <v>1282</v>
      </c>
      <c r="E108" s="256" t="s">
        <v>1789</v>
      </c>
      <c r="F108" s="256" t="s">
        <v>1841</v>
      </c>
      <c r="G108" s="258">
        <v>3763000000</v>
      </c>
      <c r="H108" s="265">
        <v>0.1</v>
      </c>
      <c r="I108" s="258">
        <v>376300000</v>
      </c>
      <c r="J108" s="258">
        <v>4139300000</v>
      </c>
      <c r="K108" s="256" t="s">
        <v>1346</v>
      </c>
    </row>
    <row r="109" spans="1:11" x14ac:dyDescent="0.3">
      <c r="A109" s="256">
        <v>48</v>
      </c>
      <c r="B109" s="257" t="s">
        <v>1209</v>
      </c>
      <c r="C109" s="276">
        <v>44561</v>
      </c>
      <c r="D109" s="257" t="s">
        <v>1292</v>
      </c>
      <c r="E109" s="256" t="s">
        <v>1792</v>
      </c>
      <c r="F109" s="256" t="s">
        <v>1838</v>
      </c>
      <c r="G109" s="258">
        <v>10336000000</v>
      </c>
      <c r="H109" s="265">
        <v>0.1</v>
      </c>
      <c r="I109" s="258">
        <v>1033600000</v>
      </c>
      <c r="J109" s="258">
        <v>11369600000</v>
      </c>
      <c r="K109" s="256" t="s">
        <v>1346</v>
      </c>
    </row>
    <row r="110" spans="1:11" x14ac:dyDescent="0.3">
      <c r="A110" s="256">
        <v>49</v>
      </c>
      <c r="B110" s="257" t="s">
        <v>1418</v>
      </c>
      <c r="C110" s="276">
        <v>44561</v>
      </c>
      <c r="D110" s="257" t="s">
        <v>1274</v>
      </c>
      <c r="E110" s="256" t="s">
        <v>1794</v>
      </c>
      <c r="F110" s="256" t="s">
        <v>1839</v>
      </c>
      <c r="G110" s="258">
        <v>4084000000</v>
      </c>
      <c r="H110" s="265">
        <v>0.1</v>
      </c>
      <c r="I110" s="258">
        <v>408400000</v>
      </c>
      <c r="J110" s="258">
        <v>4492400000</v>
      </c>
      <c r="K110" s="256" t="s">
        <v>1346</v>
      </c>
    </row>
    <row r="111" spans="1:11" x14ac:dyDescent="0.3">
      <c r="A111" s="256">
        <v>50</v>
      </c>
      <c r="B111" s="257" t="s">
        <v>1419</v>
      </c>
      <c r="C111" s="276">
        <v>44561</v>
      </c>
      <c r="D111" s="257" t="s">
        <v>1294</v>
      </c>
      <c r="E111" s="256" t="s">
        <v>1795</v>
      </c>
      <c r="F111" s="256" t="s">
        <v>1841</v>
      </c>
      <c r="G111" s="258">
        <v>7757000000</v>
      </c>
      <c r="H111" s="265">
        <v>0</v>
      </c>
      <c r="I111" s="258">
        <v>0</v>
      </c>
      <c r="J111" s="258">
        <v>7757000000</v>
      </c>
      <c r="K111" s="256" t="s">
        <v>1348</v>
      </c>
    </row>
    <row r="112" spans="1:11" x14ac:dyDescent="0.3">
      <c r="A112" s="266" t="s">
        <v>1351</v>
      </c>
      <c r="B112" s="266"/>
      <c r="C112" s="266"/>
      <c r="D112" s="266"/>
      <c r="E112" s="266"/>
      <c r="F112" s="266"/>
      <c r="G112" s="267">
        <f>SUM(G62:G111)</f>
        <v>415763000000</v>
      </c>
      <c r="H112" s="266"/>
      <c r="I112" s="267">
        <f>SUM(I62:I111)</f>
        <v>36032700000</v>
      </c>
      <c r="J112" s="267">
        <f>SUM(J62:J111)</f>
        <v>451795700000</v>
      </c>
      <c r="K112" s="26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opLeftCell="A7" workbookViewId="0"/>
  </sheetViews>
  <sheetFormatPr defaultRowHeight="14.4" x14ac:dyDescent="0.3"/>
  <cols>
    <col min="5" max="5" width="18.109375" bestFit="1" customWidth="1"/>
    <col min="6" max="6" width="15" bestFit="1" customWidth="1"/>
    <col min="7" max="7" width="14.21875" bestFit="1" customWidth="1"/>
    <col min="9" max="9" width="12.88671875" bestFit="1" customWidth="1"/>
    <col min="10" max="10" width="14.21875" bestFit="1" customWidth="1"/>
  </cols>
  <sheetData>
    <row r="1" spans="1:11" x14ac:dyDescent="0.3">
      <c r="A1" s="256" t="s">
        <v>1340</v>
      </c>
      <c r="B1" s="256" t="s">
        <v>618</v>
      </c>
      <c r="C1" s="256"/>
      <c r="D1" s="256"/>
      <c r="E1" s="256"/>
      <c r="F1" s="256"/>
      <c r="G1" s="256"/>
      <c r="H1" s="256"/>
      <c r="I1" s="256"/>
      <c r="J1" s="256"/>
      <c r="K1" s="256"/>
    </row>
    <row r="2" spans="1:11" x14ac:dyDescent="0.3">
      <c r="A2" s="256" t="s">
        <v>1339</v>
      </c>
      <c r="B2" s="257">
        <v>102625829</v>
      </c>
      <c r="C2" s="256"/>
      <c r="D2" s="256"/>
      <c r="E2" s="256"/>
      <c r="F2" s="256"/>
      <c r="G2" s="256"/>
      <c r="H2" s="256"/>
      <c r="I2" s="256"/>
      <c r="J2" s="256"/>
      <c r="K2" s="256"/>
    </row>
    <row r="3" spans="1:11" x14ac:dyDescent="0.3">
      <c r="A3" s="256" t="s">
        <v>1343</v>
      </c>
      <c r="B3" s="258">
        <v>1366281236829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1203</v>
      </c>
      <c r="C8" s="276">
        <v>44317</v>
      </c>
      <c r="D8" s="257" t="s">
        <v>1269</v>
      </c>
      <c r="E8" s="256" t="s">
        <v>1823</v>
      </c>
      <c r="F8" s="256" t="s">
        <v>1734</v>
      </c>
      <c r="G8" s="258">
        <v>15975000000</v>
      </c>
      <c r="H8" s="265">
        <v>0.1</v>
      </c>
      <c r="I8" s="258">
        <v>1597500000</v>
      </c>
      <c r="J8" s="258">
        <v>17572500000</v>
      </c>
      <c r="K8" s="256" t="s">
        <v>1346</v>
      </c>
    </row>
    <row r="9" spans="1:11" x14ac:dyDescent="0.3">
      <c r="A9" s="256">
        <v>2</v>
      </c>
      <c r="B9" s="257" t="s">
        <v>1399</v>
      </c>
      <c r="C9" s="276">
        <v>44318</v>
      </c>
      <c r="D9" s="257" t="s">
        <v>1262</v>
      </c>
      <c r="E9" s="256" t="s">
        <v>1816</v>
      </c>
      <c r="F9" s="256" t="s">
        <v>1731</v>
      </c>
      <c r="G9" s="258">
        <v>20932000000</v>
      </c>
      <c r="H9" s="265">
        <v>0.1</v>
      </c>
      <c r="I9" s="258">
        <v>2093200000</v>
      </c>
      <c r="J9" s="258">
        <v>23025200000</v>
      </c>
      <c r="K9" s="256" t="s">
        <v>1346</v>
      </c>
    </row>
    <row r="10" spans="1:11" x14ac:dyDescent="0.3">
      <c r="A10" s="256">
        <v>3</v>
      </c>
      <c r="B10" s="257" t="s">
        <v>1396</v>
      </c>
      <c r="C10" s="276">
        <v>44472</v>
      </c>
      <c r="D10" s="257" t="s">
        <v>1256</v>
      </c>
      <c r="E10" s="256" t="s">
        <v>1802</v>
      </c>
      <c r="F10" s="256" t="s">
        <v>1767</v>
      </c>
      <c r="G10" s="258">
        <v>18046000000</v>
      </c>
      <c r="H10" s="265">
        <v>0.1</v>
      </c>
      <c r="I10" s="258">
        <v>1804600000</v>
      </c>
      <c r="J10" s="258">
        <v>19850600000</v>
      </c>
      <c r="K10" s="256" t="s">
        <v>1346</v>
      </c>
    </row>
    <row r="11" spans="1:11" x14ac:dyDescent="0.3">
      <c r="A11" s="256">
        <v>4</v>
      </c>
      <c r="B11" s="257" t="s">
        <v>1378</v>
      </c>
      <c r="C11" s="276">
        <v>44473</v>
      </c>
      <c r="D11" s="257" t="s">
        <v>1288</v>
      </c>
      <c r="E11" s="256" t="s">
        <v>1797</v>
      </c>
      <c r="F11" s="256" t="s">
        <v>1851</v>
      </c>
      <c r="G11" s="258">
        <v>19991000000</v>
      </c>
      <c r="H11" s="265">
        <v>0.1</v>
      </c>
      <c r="I11" s="258">
        <v>1999100000</v>
      </c>
      <c r="J11" s="258">
        <v>21990100000</v>
      </c>
      <c r="K11" s="256" t="s">
        <v>1346</v>
      </c>
    </row>
    <row r="12" spans="1:11" x14ac:dyDescent="0.3">
      <c r="A12" s="256">
        <v>5</v>
      </c>
      <c r="B12" s="257" t="s">
        <v>1209</v>
      </c>
      <c r="C12" s="276">
        <v>44474</v>
      </c>
      <c r="D12" s="257" t="s">
        <v>1284</v>
      </c>
      <c r="E12" s="256" t="s">
        <v>1786</v>
      </c>
      <c r="F12" s="256" t="s">
        <v>1767</v>
      </c>
      <c r="G12" s="258">
        <v>18328000000</v>
      </c>
      <c r="H12" s="265">
        <v>0.1</v>
      </c>
      <c r="I12" s="258">
        <v>1832800000</v>
      </c>
      <c r="J12" s="258">
        <v>20160800000</v>
      </c>
      <c r="K12" s="256" t="s">
        <v>1346</v>
      </c>
    </row>
    <row r="13" spans="1:11" x14ac:dyDescent="0.3">
      <c r="A13" s="256">
        <v>6</v>
      </c>
      <c r="B13" s="257" t="s">
        <v>1360</v>
      </c>
      <c r="C13" s="276">
        <v>44475</v>
      </c>
      <c r="D13" s="257" t="s">
        <v>1298</v>
      </c>
      <c r="E13" s="256" t="s">
        <v>1819</v>
      </c>
      <c r="F13" s="256" t="s">
        <v>1741</v>
      </c>
      <c r="G13" s="258">
        <v>22944000000</v>
      </c>
      <c r="H13" s="265">
        <v>0.1</v>
      </c>
      <c r="I13" s="258">
        <v>2294400000</v>
      </c>
      <c r="J13" s="258">
        <v>25238400000</v>
      </c>
      <c r="K13" s="256" t="s">
        <v>1346</v>
      </c>
    </row>
    <row r="14" spans="1:11" x14ac:dyDescent="0.3">
      <c r="A14" s="256">
        <v>7</v>
      </c>
      <c r="B14" s="257" t="s">
        <v>1206</v>
      </c>
      <c r="C14" s="276">
        <v>44476</v>
      </c>
      <c r="D14" s="257" t="s">
        <v>1277</v>
      </c>
      <c r="E14" s="256" t="s">
        <v>1783</v>
      </c>
      <c r="F14" s="256" t="s">
        <v>1852</v>
      </c>
      <c r="G14" s="258">
        <v>30261000000</v>
      </c>
      <c r="H14" s="265">
        <v>0.1</v>
      </c>
      <c r="I14" s="258">
        <v>3026100000</v>
      </c>
      <c r="J14" s="258">
        <v>33287100000</v>
      </c>
      <c r="K14" s="256" t="s">
        <v>1346</v>
      </c>
    </row>
    <row r="15" spans="1:11" x14ac:dyDescent="0.3">
      <c r="A15" s="256">
        <v>8</v>
      </c>
      <c r="B15" s="257" t="s">
        <v>1418</v>
      </c>
      <c r="C15" s="276">
        <v>44477</v>
      </c>
      <c r="D15" s="257" t="s">
        <v>1284</v>
      </c>
      <c r="E15" s="256" t="s">
        <v>1786</v>
      </c>
      <c r="F15" s="256" t="s">
        <v>1731</v>
      </c>
      <c r="G15" s="258">
        <v>30953000000</v>
      </c>
      <c r="H15" s="265">
        <v>0.1</v>
      </c>
      <c r="I15" s="258">
        <v>3095300000</v>
      </c>
      <c r="J15" s="258">
        <v>34048300000</v>
      </c>
      <c r="K15" s="256" t="s">
        <v>1346</v>
      </c>
    </row>
    <row r="16" spans="1:11" x14ac:dyDescent="0.3">
      <c r="A16" s="256">
        <v>9</v>
      </c>
      <c r="B16" s="257" t="s">
        <v>1402</v>
      </c>
      <c r="C16" s="276">
        <v>44478</v>
      </c>
      <c r="D16" s="257" t="s">
        <v>1272</v>
      </c>
      <c r="E16" s="256" t="s">
        <v>1805</v>
      </c>
      <c r="F16" s="256" t="s">
        <v>1741</v>
      </c>
      <c r="G16" s="258">
        <v>18027000000</v>
      </c>
      <c r="H16" s="265">
        <v>0.1</v>
      </c>
      <c r="I16" s="258">
        <v>1802700000</v>
      </c>
      <c r="J16" s="258">
        <v>19829700000</v>
      </c>
      <c r="K16" s="256" t="s">
        <v>1346</v>
      </c>
    </row>
    <row r="17" spans="1:11" x14ac:dyDescent="0.3">
      <c r="A17" s="256">
        <v>10</v>
      </c>
      <c r="B17" s="257" t="s">
        <v>1401</v>
      </c>
      <c r="C17" s="276">
        <v>44479</v>
      </c>
      <c r="D17" s="257" t="s">
        <v>1283</v>
      </c>
      <c r="E17" s="256" t="s">
        <v>1798</v>
      </c>
      <c r="F17" s="256" t="s">
        <v>1731</v>
      </c>
      <c r="G17" s="258">
        <v>29372000000</v>
      </c>
      <c r="H17" s="265">
        <v>0.1</v>
      </c>
      <c r="I17" s="258">
        <v>2937200000</v>
      </c>
      <c r="J17" s="258">
        <v>32309200000</v>
      </c>
      <c r="K17" s="256" t="s">
        <v>1346</v>
      </c>
    </row>
    <row r="18" spans="1:11" x14ac:dyDescent="0.3">
      <c r="A18" s="256">
        <v>11</v>
      </c>
      <c r="B18" s="257" t="s">
        <v>1391</v>
      </c>
      <c r="C18" s="276">
        <v>44480</v>
      </c>
      <c r="D18" s="257" t="s">
        <v>1271</v>
      </c>
      <c r="E18" s="256" t="s">
        <v>1799</v>
      </c>
      <c r="F18" s="256" t="s">
        <v>1741</v>
      </c>
      <c r="G18" s="258">
        <v>17606000000</v>
      </c>
      <c r="H18" s="265">
        <v>0.1</v>
      </c>
      <c r="I18" s="258">
        <v>1760600000</v>
      </c>
      <c r="J18" s="258">
        <v>19366600000</v>
      </c>
      <c r="K18" s="256" t="s">
        <v>1346</v>
      </c>
    </row>
    <row r="19" spans="1:11" x14ac:dyDescent="0.3">
      <c r="A19" s="256">
        <v>12</v>
      </c>
      <c r="B19" s="257" t="s">
        <v>1204</v>
      </c>
      <c r="C19" s="276">
        <v>44481</v>
      </c>
      <c r="D19" s="257" t="s">
        <v>1257</v>
      </c>
      <c r="E19" s="256" t="s">
        <v>1815</v>
      </c>
      <c r="F19" s="256" t="s">
        <v>1851</v>
      </c>
      <c r="G19" s="258">
        <v>18761000000</v>
      </c>
      <c r="H19" s="265">
        <v>0.1</v>
      </c>
      <c r="I19" s="258">
        <v>1876100000</v>
      </c>
      <c r="J19" s="258">
        <v>20637100000</v>
      </c>
      <c r="K19" s="256" t="s">
        <v>1346</v>
      </c>
    </row>
    <row r="20" spans="1:11" x14ac:dyDescent="0.3">
      <c r="A20" s="256">
        <v>13</v>
      </c>
      <c r="B20" s="257" t="s">
        <v>1392</v>
      </c>
      <c r="C20" s="276">
        <v>44211</v>
      </c>
      <c r="D20" s="257" t="s">
        <v>1271</v>
      </c>
      <c r="E20" s="256" t="s">
        <v>1799</v>
      </c>
      <c r="F20" s="256" t="s">
        <v>1767</v>
      </c>
      <c r="G20" s="258">
        <v>30029000000</v>
      </c>
      <c r="H20" s="265">
        <v>0.1</v>
      </c>
      <c r="I20" s="258">
        <v>3002900000</v>
      </c>
      <c r="J20" s="258">
        <v>33031900000</v>
      </c>
      <c r="K20" s="256" t="s">
        <v>1346</v>
      </c>
    </row>
    <row r="21" spans="1:11" x14ac:dyDescent="0.3">
      <c r="A21" s="256">
        <v>14</v>
      </c>
      <c r="B21" s="257" t="s">
        <v>1371</v>
      </c>
      <c r="C21" s="276">
        <v>44242</v>
      </c>
      <c r="D21" s="257" t="s">
        <v>1291</v>
      </c>
      <c r="E21" s="256" t="s">
        <v>1800</v>
      </c>
      <c r="F21" s="256" t="s">
        <v>1852</v>
      </c>
      <c r="G21" s="258">
        <v>15778000000</v>
      </c>
      <c r="H21" s="265">
        <v>0.1</v>
      </c>
      <c r="I21" s="258">
        <v>1577800000</v>
      </c>
      <c r="J21" s="258">
        <v>17355800000</v>
      </c>
      <c r="K21" s="256" t="s">
        <v>1346</v>
      </c>
    </row>
    <row r="22" spans="1:11" x14ac:dyDescent="0.3">
      <c r="A22" s="256">
        <v>15</v>
      </c>
      <c r="B22" s="257" t="s">
        <v>1398</v>
      </c>
      <c r="C22" s="276">
        <v>44275</v>
      </c>
      <c r="D22" s="257" t="s">
        <v>1270</v>
      </c>
      <c r="E22" s="256" t="s">
        <v>1782</v>
      </c>
      <c r="F22" s="256" t="s">
        <v>1852</v>
      </c>
      <c r="G22" s="258">
        <v>22249000000</v>
      </c>
      <c r="H22" s="265">
        <v>0.1</v>
      </c>
      <c r="I22" s="258">
        <v>2224900000</v>
      </c>
      <c r="J22" s="258">
        <v>24473900000</v>
      </c>
      <c r="K22" s="256" t="s">
        <v>1346</v>
      </c>
    </row>
    <row r="23" spans="1:11" x14ac:dyDescent="0.3">
      <c r="A23" s="256">
        <v>16</v>
      </c>
      <c r="B23" s="257" t="s">
        <v>1414</v>
      </c>
      <c r="C23" s="276">
        <v>44306</v>
      </c>
      <c r="D23" s="257" t="s">
        <v>1276</v>
      </c>
      <c r="E23" s="256" t="s">
        <v>1822</v>
      </c>
      <c r="F23" s="256" t="s">
        <v>1852</v>
      </c>
      <c r="G23" s="258">
        <v>10731000000</v>
      </c>
      <c r="H23" s="265">
        <v>0.1</v>
      </c>
      <c r="I23" s="258">
        <v>1073100000</v>
      </c>
      <c r="J23" s="258">
        <v>11804100000</v>
      </c>
      <c r="K23" s="256" t="s">
        <v>1346</v>
      </c>
    </row>
    <row r="24" spans="1:11" x14ac:dyDescent="0.3">
      <c r="A24" s="256">
        <v>17</v>
      </c>
      <c r="B24" s="257" t="s">
        <v>1411</v>
      </c>
      <c r="C24" s="276">
        <v>44336</v>
      </c>
      <c r="D24" s="257" t="s">
        <v>1279</v>
      </c>
      <c r="E24" s="256" t="s">
        <v>1827</v>
      </c>
      <c r="F24" s="256" t="s">
        <v>1767</v>
      </c>
      <c r="G24" s="258">
        <v>12514000000</v>
      </c>
      <c r="H24" s="265">
        <v>0.1</v>
      </c>
      <c r="I24" s="258">
        <v>1251400000</v>
      </c>
      <c r="J24" s="258">
        <v>13765400000</v>
      </c>
      <c r="K24" s="256" t="s">
        <v>1346</v>
      </c>
    </row>
    <row r="25" spans="1:11" x14ac:dyDescent="0.3">
      <c r="A25" s="256">
        <v>18</v>
      </c>
      <c r="B25" s="257" t="s">
        <v>1358</v>
      </c>
      <c r="C25" s="276">
        <v>44367</v>
      </c>
      <c r="D25" s="257" t="s">
        <v>1303</v>
      </c>
      <c r="E25" s="256" t="s">
        <v>1817</v>
      </c>
      <c r="F25" s="256" t="s">
        <v>1851</v>
      </c>
      <c r="G25" s="258">
        <v>20889000000</v>
      </c>
      <c r="H25" s="265">
        <v>0.1</v>
      </c>
      <c r="I25" s="258">
        <v>2088900000</v>
      </c>
      <c r="J25" s="258">
        <v>22977900000</v>
      </c>
      <c r="K25" s="256" t="s">
        <v>1346</v>
      </c>
    </row>
    <row r="26" spans="1:11" x14ac:dyDescent="0.3">
      <c r="A26" s="256">
        <v>19</v>
      </c>
      <c r="B26" s="257" t="s">
        <v>1360</v>
      </c>
      <c r="C26" s="276">
        <v>44397</v>
      </c>
      <c r="D26" s="257" t="s">
        <v>1303</v>
      </c>
      <c r="E26" s="256" t="s">
        <v>1817</v>
      </c>
      <c r="F26" s="256" t="s">
        <v>1767</v>
      </c>
      <c r="G26" s="258">
        <v>31471000000</v>
      </c>
      <c r="H26" s="265">
        <v>0.1</v>
      </c>
      <c r="I26" s="258">
        <v>3147100000</v>
      </c>
      <c r="J26" s="258">
        <v>34618100000</v>
      </c>
      <c r="K26" s="256" t="s">
        <v>1346</v>
      </c>
    </row>
    <row r="27" spans="1:11" x14ac:dyDescent="0.3">
      <c r="A27" s="256">
        <v>20</v>
      </c>
      <c r="B27" s="257" t="s">
        <v>1388</v>
      </c>
      <c r="C27" s="276">
        <v>44428</v>
      </c>
      <c r="D27" s="257" t="s">
        <v>1255</v>
      </c>
      <c r="E27" s="273">
        <v>46152</v>
      </c>
      <c r="F27" s="256" t="s">
        <v>1852</v>
      </c>
      <c r="G27" s="258">
        <v>17553000000</v>
      </c>
      <c r="H27" s="265">
        <v>0.1</v>
      </c>
      <c r="I27" s="258">
        <v>1755300000</v>
      </c>
      <c r="J27" s="258">
        <v>19308300000</v>
      </c>
      <c r="K27" s="256" t="s">
        <v>1346</v>
      </c>
    </row>
    <row r="28" spans="1:11" x14ac:dyDescent="0.3">
      <c r="A28" s="256">
        <v>21</v>
      </c>
      <c r="B28" s="257" t="s">
        <v>1371</v>
      </c>
      <c r="C28" s="276">
        <v>44459</v>
      </c>
      <c r="D28" s="257" t="s">
        <v>1300</v>
      </c>
      <c r="E28" s="256" t="s">
        <v>1818</v>
      </c>
      <c r="F28" s="256" t="s">
        <v>1741</v>
      </c>
      <c r="G28" s="258">
        <v>18576000000</v>
      </c>
      <c r="H28" s="265">
        <v>0.1</v>
      </c>
      <c r="I28" s="258">
        <v>1857600000</v>
      </c>
      <c r="J28" s="258">
        <v>20433600000</v>
      </c>
      <c r="K28" s="256" t="s">
        <v>1346</v>
      </c>
    </row>
    <row r="29" spans="1:11" x14ac:dyDescent="0.3">
      <c r="A29" s="256">
        <v>22</v>
      </c>
      <c r="B29" s="257" t="s">
        <v>1404</v>
      </c>
      <c r="C29" s="276">
        <v>44489</v>
      </c>
      <c r="D29" s="257" t="s">
        <v>1275</v>
      </c>
      <c r="E29" s="256" t="s">
        <v>1808</v>
      </c>
      <c r="F29" s="256" t="s">
        <v>1741</v>
      </c>
      <c r="G29" s="258">
        <v>13973000000</v>
      </c>
      <c r="H29" s="265">
        <v>0.1</v>
      </c>
      <c r="I29" s="258">
        <v>1397300000</v>
      </c>
      <c r="J29" s="258">
        <v>15370300000</v>
      </c>
      <c r="K29" s="256" t="s">
        <v>1348</v>
      </c>
    </row>
    <row r="30" spans="1:11" x14ac:dyDescent="0.3">
      <c r="A30" s="256">
        <v>23</v>
      </c>
      <c r="B30" s="257" t="s">
        <v>1358</v>
      </c>
      <c r="C30" s="276">
        <v>44520</v>
      </c>
      <c r="D30" s="257" t="s">
        <v>1286</v>
      </c>
      <c r="E30" s="256" t="s">
        <v>1828</v>
      </c>
      <c r="F30" s="256" t="s">
        <v>1851</v>
      </c>
      <c r="G30" s="258">
        <v>31503000000</v>
      </c>
      <c r="H30" s="265">
        <v>0.1</v>
      </c>
      <c r="I30" s="258">
        <v>3150300000</v>
      </c>
      <c r="J30" s="258">
        <v>34653300000</v>
      </c>
      <c r="K30" s="256" t="s">
        <v>1346</v>
      </c>
    </row>
    <row r="31" spans="1:11" x14ac:dyDescent="0.3">
      <c r="A31" s="256">
        <v>24</v>
      </c>
      <c r="B31" s="257" t="s">
        <v>1414</v>
      </c>
      <c r="C31" s="276">
        <v>44550</v>
      </c>
      <c r="D31" s="257" t="s">
        <v>1279</v>
      </c>
      <c r="E31" s="256" t="s">
        <v>1827</v>
      </c>
      <c r="F31" s="256" t="s">
        <v>1767</v>
      </c>
      <c r="G31" s="258">
        <v>15270000000</v>
      </c>
      <c r="H31" s="265">
        <v>0.1</v>
      </c>
      <c r="I31" s="258">
        <v>1527000000</v>
      </c>
      <c r="J31" s="258">
        <v>16797000000</v>
      </c>
      <c r="K31" s="256" t="s">
        <v>1346</v>
      </c>
    </row>
    <row r="32" spans="1:11" x14ac:dyDescent="0.3">
      <c r="A32" s="256">
        <v>25</v>
      </c>
      <c r="B32" s="257" t="s">
        <v>1402</v>
      </c>
      <c r="C32" s="276">
        <v>44221</v>
      </c>
      <c r="D32" s="257" t="s">
        <v>1268</v>
      </c>
      <c r="E32" s="256" t="s">
        <v>1821</v>
      </c>
      <c r="F32" s="256" t="s">
        <v>1741</v>
      </c>
      <c r="G32" s="258">
        <v>30638000000</v>
      </c>
      <c r="H32" s="265">
        <v>0.1</v>
      </c>
      <c r="I32" s="258">
        <v>3063800000</v>
      </c>
      <c r="J32" s="258">
        <v>33701800000</v>
      </c>
      <c r="K32" s="256" t="s">
        <v>1346</v>
      </c>
    </row>
    <row r="33" spans="1:11" x14ac:dyDescent="0.3">
      <c r="A33" s="256">
        <v>26</v>
      </c>
      <c r="B33" s="257" t="s">
        <v>1373</v>
      </c>
      <c r="C33" s="276">
        <v>44255</v>
      </c>
      <c r="D33" s="257" t="s">
        <v>1304</v>
      </c>
      <c r="E33" s="256" t="s">
        <v>1831</v>
      </c>
      <c r="F33" s="256" t="s">
        <v>1741</v>
      </c>
      <c r="G33" s="258">
        <v>29902000000</v>
      </c>
      <c r="H33" s="265">
        <v>0.1</v>
      </c>
      <c r="I33" s="258">
        <v>2990200000</v>
      </c>
      <c r="J33" s="258">
        <v>32892200000</v>
      </c>
      <c r="K33" s="256" t="s">
        <v>1348</v>
      </c>
    </row>
    <row r="34" spans="1:11" x14ac:dyDescent="0.3">
      <c r="A34" s="256">
        <v>27</v>
      </c>
      <c r="B34" s="257" t="s">
        <v>1205</v>
      </c>
      <c r="C34" s="276">
        <v>44316</v>
      </c>
      <c r="D34" s="257" t="s">
        <v>1257</v>
      </c>
      <c r="E34" s="256" t="s">
        <v>1815</v>
      </c>
      <c r="F34" s="256" t="s">
        <v>1731</v>
      </c>
      <c r="G34" s="258">
        <v>13988000000</v>
      </c>
      <c r="H34" s="265">
        <v>0.1</v>
      </c>
      <c r="I34" s="258">
        <v>1398800000</v>
      </c>
      <c r="J34" s="258">
        <v>15386800000</v>
      </c>
      <c r="K34" s="256" t="s">
        <v>1346</v>
      </c>
    </row>
    <row r="35" spans="1:11" x14ac:dyDescent="0.3">
      <c r="A35" s="256">
        <v>28</v>
      </c>
      <c r="B35" s="257" t="s">
        <v>1385</v>
      </c>
      <c r="C35" s="276">
        <v>44377</v>
      </c>
      <c r="D35" s="257" t="s">
        <v>1257</v>
      </c>
      <c r="E35" s="256" t="s">
        <v>1815</v>
      </c>
      <c r="F35" s="256" t="s">
        <v>1852</v>
      </c>
      <c r="G35" s="258">
        <v>18509000000</v>
      </c>
      <c r="H35" s="265">
        <v>0.1</v>
      </c>
      <c r="I35" s="258">
        <v>1850900000</v>
      </c>
      <c r="J35" s="258">
        <v>20359900000</v>
      </c>
      <c r="K35" s="256" t="s">
        <v>1346</v>
      </c>
    </row>
    <row r="36" spans="1:11" x14ac:dyDescent="0.3">
      <c r="A36" s="256">
        <v>29</v>
      </c>
      <c r="B36" s="257" t="s">
        <v>1401</v>
      </c>
      <c r="C36" s="276">
        <v>44469</v>
      </c>
      <c r="D36" s="257" t="s">
        <v>1262</v>
      </c>
      <c r="E36" s="256" t="s">
        <v>1816</v>
      </c>
      <c r="F36" s="256" t="s">
        <v>1851</v>
      </c>
      <c r="G36" s="258">
        <v>22181000000</v>
      </c>
      <c r="H36" s="265">
        <v>0.1</v>
      </c>
      <c r="I36" s="258">
        <v>2218100000</v>
      </c>
      <c r="J36" s="258">
        <v>24399100000</v>
      </c>
      <c r="K36" s="256" t="s">
        <v>1346</v>
      </c>
    </row>
    <row r="37" spans="1:11" x14ac:dyDescent="0.3">
      <c r="A37" s="256">
        <v>30</v>
      </c>
      <c r="B37" s="257" t="s">
        <v>1399</v>
      </c>
      <c r="C37" s="276">
        <v>44530</v>
      </c>
      <c r="D37" s="257" t="s">
        <v>1285</v>
      </c>
      <c r="E37" s="256" t="s">
        <v>1793</v>
      </c>
      <c r="F37" s="256" t="s">
        <v>1734</v>
      </c>
      <c r="G37" s="258">
        <v>16711000000</v>
      </c>
      <c r="H37" s="265">
        <v>0.1</v>
      </c>
      <c r="I37" s="258">
        <v>1671100000</v>
      </c>
      <c r="J37" s="258">
        <v>18382100000</v>
      </c>
      <c r="K37" s="256" t="s">
        <v>1346</v>
      </c>
    </row>
    <row r="38" spans="1:11" x14ac:dyDescent="0.3">
      <c r="A38" s="256">
        <v>31</v>
      </c>
      <c r="B38" s="257" t="s">
        <v>1402</v>
      </c>
      <c r="C38" s="276">
        <v>44286</v>
      </c>
      <c r="D38" s="257" t="s">
        <v>1262</v>
      </c>
      <c r="E38" s="256" t="s">
        <v>1816</v>
      </c>
      <c r="F38" s="256" t="s">
        <v>1852</v>
      </c>
      <c r="G38" s="258">
        <v>18651000000</v>
      </c>
      <c r="H38" s="265">
        <v>0.1</v>
      </c>
      <c r="I38" s="258">
        <v>1865100000</v>
      </c>
      <c r="J38" s="258">
        <v>20516100000</v>
      </c>
      <c r="K38" s="256" t="s">
        <v>1346</v>
      </c>
    </row>
    <row r="39" spans="1:11" x14ac:dyDescent="0.3">
      <c r="A39" s="256">
        <v>32</v>
      </c>
      <c r="B39" s="257" t="s">
        <v>1409</v>
      </c>
      <c r="C39" s="276">
        <v>44347</v>
      </c>
      <c r="D39" s="257" t="s">
        <v>1263</v>
      </c>
      <c r="E39" s="256" t="s">
        <v>1790</v>
      </c>
      <c r="F39" s="256" t="s">
        <v>1731</v>
      </c>
      <c r="G39" s="258">
        <v>9191000000</v>
      </c>
      <c r="H39" s="265">
        <v>0.1</v>
      </c>
      <c r="I39" s="258">
        <v>919100000</v>
      </c>
      <c r="J39" s="258">
        <v>10110100000</v>
      </c>
      <c r="K39" s="256" t="s">
        <v>1346</v>
      </c>
    </row>
    <row r="40" spans="1:11" x14ac:dyDescent="0.3">
      <c r="A40" s="256">
        <v>33</v>
      </c>
      <c r="B40" s="257" t="s">
        <v>1204</v>
      </c>
      <c r="C40" s="276">
        <v>44408</v>
      </c>
      <c r="D40" s="257" t="s">
        <v>1269</v>
      </c>
      <c r="E40" s="256" t="s">
        <v>1823</v>
      </c>
      <c r="F40" s="256" t="s">
        <v>1741</v>
      </c>
      <c r="G40" s="258">
        <v>28341000000</v>
      </c>
      <c r="H40" s="265">
        <v>0.1</v>
      </c>
      <c r="I40" s="258">
        <v>2834100000</v>
      </c>
      <c r="J40" s="258">
        <v>31175100000</v>
      </c>
      <c r="K40" s="256" t="s">
        <v>1346</v>
      </c>
    </row>
    <row r="41" spans="1:11" x14ac:dyDescent="0.3">
      <c r="A41" s="256">
        <v>34</v>
      </c>
      <c r="B41" s="257" t="s">
        <v>1373</v>
      </c>
      <c r="C41" s="276">
        <v>44439</v>
      </c>
      <c r="D41" s="257" t="s">
        <v>1292</v>
      </c>
      <c r="E41" s="256" t="s">
        <v>1792</v>
      </c>
      <c r="F41" s="256" t="s">
        <v>1734</v>
      </c>
      <c r="G41" s="258">
        <v>16221000000</v>
      </c>
      <c r="H41" s="265">
        <v>0.1</v>
      </c>
      <c r="I41" s="258">
        <v>1622100000</v>
      </c>
      <c r="J41" s="258">
        <v>17843100000</v>
      </c>
      <c r="K41" s="256" t="s">
        <v>1346</v>
      </c>
    </row>
    <row r="42" spans="1:11" x14ac:dyDescent="0.3">
      <c r="A42" s="256">
        <v>35</v>
      </c>
      <c r="B42" s="257" t="s">
        <v>1405</v>
      </c>
      <c r="C42" s="276">
        <v>44500</v>
      </c>
      <c r="D42" s="257" t="s">
        <v>1260</v>
      </c>
      <c r="E42" s="256" t="s">
        <v>1804</v>
      </c>
      <c r="F42" s="256" t="s">
        <v>1767</v>
      </c>
      <c r="G42" s="258">
        <v>28541000000</v>
      </c>
      <c r="H42" s="265">
        <v>0.1</v>
      </c>
      <c r="I42" s="258">
        <v>2854100000</v>
      </c>
      <c r="J42" s="258">
        <v>31395100000</v>
      </c>
      <c r="K42" s="256" t="s">
        <v>1346</v>
      </c>
    </row>
    <row r="43" spans="1:11" x14ac:dyDescent="0.3">
      <c r="A43" s="256">
        <v>36</v>
      </c>
      <c r="B43" s="257" t="s">
        <v>1406</v>
      </c>
      <c r="C43" s="276">
        <v>44561</v>
      </c>
      <c r="D43" s="257" t="s">
        <v>1278</v>
      </c>
      <c r="E43" s="256" t="s">
        <v>1785</v>
      </c>
      <c r="F43" s="256" t="s">
        <v>1851</v>
      </c>
      <c r="G43" s="258">
        <v>31315000000</v>
      </c>
      <c r="H43" s="265">
        <v>0.1</v>
      </c>
      <c r="I43" s="258">
        <v>3131500000</v>
      </c>
      <c r="J43" s="258">
        <v>34446500000</v>
      </c>
      <c r="K43" s="256" t="s">
        <v>1346</v>
      </c>
    </row>
    <row r="44" spans="1:11" x14ac:dyDescent="0.3">
      <c r="A44" s="256">
        <v>37</v>
      </c>
      <c r="B44" s="257" t="s">
        <v>1362</v>
      </c>
      <c r="C44" s="276">
        <v>44561</v>
      </c>
      <c r="D44" s="257" t="s">
        <v>1301</v>
      </c>
      <c r="E44" s="256" t="s">
        <v>1781</v>
      </c>
      <c r="F44" s="256" t="s">
        <v>1851</v>
      </c>
      <c r="G44" s="258">
        <v>19076000000</v>
      </c>
      <c r="H44" s="265">
        <v>0.1</v>
      </c>
      <c r="I44" s="258">
        <v>1907600000</v>
      </c>
      <c r="J44" s="258">
        <v>20983600000</v>
      </c>
      <c r="K44" s="256" t="s">
        <v>1346</v>
      </c>
    </row>
    <row r="45" spans="1:11" x14ac:dyDescent="0.3">
      <c r="A45" s="256">
        <v>38</v>
      </c>
      <c r="B45" s="257" t="s">
        <v>1362</v>
      </c>
      <c r="C45" s="276">
        <v>44561</v>
      </c>
      <c r="D45" s="257" t="s">
        <v>1296</v>
      </c>
      <c r="E45" s="256" t="s">
        <v>1807</v>
      </c>
      <c r="F45" s="256" t="s">
        <v>1852</v>
      </c>
      <c r="G45" s="258">
        <v>9278000000</v>
      </c>
      <c r="H45" s="265">
        <v>0.1</v>
      </c>
      <c r="I45" s="258">
        <v>927800000</v>
      </c>
      <c r="J45" s="258">
        <v>10205800000</v>
      </c>
      <c r="K45" s="256" t="s">
        <v>1346</v>
      </c>
    </row>
    <row r="46" spans="1:11" x14ac:dyDescent="0.3">
      <c r="A46" s="256">
        <v>39</v>
      </c>
      <c r="B46" s="257" t="s">
        <v>1394</v>
      </c>
      <c r="C46" s="276">
        <v>44561</v>
      </c>
      <c r="D46" s="257" t="s">
        <v>1271</v>
      </c>
      <c r="E46" s="256" t="s">
        <v>1799</v>
      </c>
      <c r="F46" s="256" t="s">
        <v>1852</v>
      </c>
      <c r="G46" s="258">
        <v>28103000000</v>
      </c>
      <c r="H46" s="265">
        <v>0.1</v>
      </c>
      <c r="I46" s="258">
        <v>2810300000</v>
      </c>
      <c r="J46" s="258">
        <v>30913300000</v>
      </c>
      <c r="K46" s="256" t="s">
        <v>1346</v>
      </c>
    </row>
    <row r="47" spans="1:11" x14ac:dyDescent="0.3">
      <c r="A47" s="256">
        <v>40</v>
      </c>
      <c r="B47" s="257" t="s">
        <v>1374</v>
      </c>
      <c r="C47" s="276">
        <v>44561</v>
      </c>
      <c r="D47" s="257" t="s">
        <v>1304</v>
      </c>
      <c r="E47" s="256" t="s">
        <v>1831</v>
      </c>
      <c r="F47" s="256" t="s">
        <v>1741</v>
      </c>
      <c r="G47" s="258">
        <v>31703000000</v>
      </c>
      <c r="H47" s="265">
        <v>0.1</v>
      </c>
      <c r="I47" s="258">
        <v>3170300000</v>
      </c>
      <c r="J47" s="258">
        <v>34873300000</v>
      </c>
      <c r="K47" s="256" t="s">
        <v>1346</v>
      </c>
    </row>
    <row r="48" spans="1:11" x14ac:dyDescent="0.3">
      <c r="A48" s="256">
        <v>41</v>
      </c>
      <c r="B48" s="257" t="s">
        <v>1405</v>
      </c>
      <c r="C48" s="276">
        <v>44561</v>
      </c>
      <c r="D48" s="257" t="s">
        <v>1275</v>
      </c>
      <c r="E48" s="256" t="s">
        <v>1808</v>
      </c>
      <c r="F48" s="256" t="s">
        <v>1734</v>
      </c>
      <c r="G48" s="258">
        <v>17795000000</v>
      </c>
      <c r="H48" s="265">
        <v>0.1</v>
      </c>
      <c r="I48" s="258">
        <v>1779500000</v>
      </c>
      <c r="J48" s="258">
        <v>19574500000</v>
      </c>
      <c r="K48" s="256" t="s">
        <v>1348</v>
      </c>
    </row>
    <row r="49" spans="1:11" x14ac:dyDescent="0.3">
      <c r="A49" s="256">
        <v>42</v>
      </c>
      <c r="B49" s="257" t="s">
        <v>1379</v>
      </c>
      <c r="C49" s="276">
        <v>44561</v>
      </c>
      <c r="D49" s="257" t="s">
        <v>1288</v>
      </c>
      <c r="E49" s="256" t="s">
        <v>1797</v>
      </c>
      <c r="F49" s="256" t="s">
        <v>1734</v>
      </c>
      <c r="G49" s="258">
        <v>9904000000</v>
      </c>
      <c r="H49" s="265">
        <v>0.1</v>
      </c>
      <c r="I49" s="258">
        <v>990400000</v>
      </c>
      <c r="J49" s="258">
        <v>10894400000</v>
      </c>
      <c r="K49" s="256" t="s">
        <v>1346</v>
      </c>
    </row>
    <row r="50" spans="1:11" x14ac:dyDescent="0.3">
      <c r="A50" s="256">
        <v>43</v>
      </c>
      <c r="B50" s="257" t="s">
        <v>1383</v>
      </c>
      <c r="C50" s="276">
        <v>44561</v>
      </c>
      <c r="D50" s="257" t="s">
        <v>1258</v>
      </c>
      <c r="E50" s="256" t="s">
        <v>1833</v>
      </c>
      <c r="F50" s="256" t="s">
        <v>1741</v>
      </c>
      <c r="G50" s="258">
        <v>13600000000</v>
      </c>
      <c r="H50" s="265">
        <v>0</v>
      </c>
      <c r="I50" s="258">
        <v>0</v>
      </c>
      <c r="J50" s="258">
        <v>13600000000</v>
      </c>
      <c r="K50" s="256" t="s">
        <v>1346</v>
      </c>
    </row>
    <row r="51" spans="1:11" x14ac:dyDescent="0.3">
      <c r="A51" s="256">
        <v>44</v>
      </c>
      <c r="B51" s="257" t="s">
        <v>1403</v>
      </c>
      <c r="C51" s="276">
        <v>44561</v>
      </c>
      <c r="D51" s="257" t="s">
        <v>1262</v>
      </c>
      <c r="E51" s="256" t="s">
        <v>1816</v>
      </c>
      <c r="F51" s="256" t="s">
        <v>1731</v>
      </c>
      <c r="G51" s="258">
        <v>11515000000</v>
      </c>
      <c r="H51" s="265">
        <v>0.1</v>
      </c>
      <c r="I51" s="258">
        <v>1151500000</v>
      </c>
      <c r="J51" s="258">
        <v>12666500000</v>
      </c>
      <c r="K51" s="256" t="s">
        <v>1346</v>
      </c>
    </row>
    <row r="52" spans="1:11" x14ac:dyDescent="0.3">
      <c r="A52" s="256">
        <v>45</v>
      </c>
      <c r="B52" s="257" t="s">
        <v>1419</v>
      </c>
      <c r="C52" s="276">
        <v>44561</v>
      </c>
      <c r="D52" s="257" t="s">
        <v>1284</v>
      </c>
      <c r="E52" s="256" t="s">
        <v>1786</v>
      </c>
      <c r="F52" s="256" t="s">
        <v>1852</v>
      </c>
      <c r="G52" s="258">
        <v>23796000000</v>
      </c>
      <c r="H52" s="265">
        <v>0.1</v>
      </c>
      <c r="I52" s="258">
        <v>2379600000</v>
      </c>
      <c r="J52" s="258">
        <v>26175600000</v>
      </c>
      <c r="K52" s="256" t="s">
        <v>1346</v>
      </c>
    </row>
    <row r="53" spans="1:11" x14ac:dyDescent="0.3">
      <c r="A53" s="256">
        <v>46</v>
      </c>
      <c r="B53" s="257" t="s">
        <v>1373</v>
      </c>
      <c r="C53" s="276">
        <v>44561</v>
      </c>
      <c r="D53" s="257" t="s">
        <v>1291</v>
      </c>
      <c r="E53" s="256" t="s">
        <v>1800</v>
      </c>
      <c r="F53" s="256" t="s">
        <v>1851</v>
      </c>
      <c r="G53" s="258">
        <v>19907000000</v>
      </c>
      <c r="H53" s="265">
        <v>0.1</v>
      </c>
      <c r="I53" s="258">
        <v>1990700000</v>
      </c>
      <c r="J53" s="258">
        <v>21897700000</v>
      </c>
      <c r="K53" s="256" t="s">
        <v>1346</v>
      </c>
    </row>
    <row r="54" spans="1:11" x14ac:dyDescent="0.3">
      <c r="A54" s="256">
        <v>47</v>
      </c>
      <c r="B54" s="257" t="s">
        <v>1368</v>
      </c>
      <c r="C54" s="276">
        <v>44561</v>
      </c>
      <c r="D54" s="257" t="s">
        <v>1299</v>
      </c>
      <c r="E54" s="256" t="s">
        <v>1776</v>
      </c>
      <c r="F54" s="256" t="s">
        <v>1852</v>
      </c>
      <c r="G54" s="258">
        <v>10557000000</v>
      </c>
      <c r="H54" s="265">
        <v>0.1</v>
      </c>
      <c r="I54" s="258">
        <v>1055700000</v>
      </c>
      <c r="J54" s="258">
        <v>11612700000</v>
      </c>
      <c r="K54" s="256" t="s">
        <v>1346</v>
      </c>
    </row>
    <row r="55" spans="1:11" x14ac:dyDescent="0.3">
      <c r="A55" s="256">
        <v>48</v>
      </c>
      <c r="B55" s="257" t="s">
        <v>1381</v>
      </c>
      <c r="C55" s="276">
        <v>44561</v>
      </c>
      <c r="D55" s="257" t="s">
        <v>1293</v>
      </c>
      <c r="E55" s="256" t="s">
        <v>1826</v>
      </c>
      <c r="F55" s="256" t="s">
        <v>1852</v>
      </c>
      <c r="G55" s="258">
        <v>25124000000</v>
      </c>
      <c r="H55" s="265">
        <v>0.1</v>
      </c>
      <c r="I55" s="258">
        <v>2512400000</v>
      </c>
      <c r="J55" s="258">
        <v>27636400000</v>
      </c>
      <c r="K55" s="256" t="s">
        <v>1346</v>
      </c>
    </row>
    <row r="56" spans="1:11" x14ac:dyDescent="0.3">
      <c r="A56" s="256">
        <v>49</v>
      </c>
      <c r="B56" s="257" t="s">
        <v>1403</v>
      </c>
      <c r="C56" s="276">
        <v>44561</v>
      </c>
      <c r="D56" s="257" t="s">
        <v>1268</v>
      </c>
      <c r="E56" s="256" t="s">
        <v>1821</v>
      </c>
      <c r="F56" s="256" t="s">
        <v>1767</v>
      </c>
      <c r="G56" s="258">
        <v>29631000000</v>
      </c>
      <c r="H56" s="265">
        <v>0.1</v>
      </c>
      <c r="I56" s="258">
        <v>2963100000</v>
      </c>
      <c r="J56" s="258">
        <v>32594100000</v>
      </c>
      <c r="K56" s="256" t="s">
        <v>1346</v>
      </c>
    </row>
    <row r="57" spans="1:11" x14ac:dyDescent="0.3">
      <c r="A57" s="256">
        <v>50</v>
      </c>
      <c r="B57" s="257" t="s">
        <v>1415</v>
      </c>
      <c r="C57" s="276">
        <v>44561</v>
      </c>
      <c r="D57" s="257" t="s">
        <v>1276</v>
      </c>
      <c r="E57" s="256" t="s">
        <v>1822</v>
      </c>
      <c r="F57" s="256" t="s">
        <v>1851</v>
      </c>
      <c r="G57" s="258">
        <v>18916000000</v>
      </c>
      <c r="H57" s="265">
        <v>0.1</v>
      </c>
      <c r="I57" s="258">
        <v>1891600000</v>
      </c>
      <c r="J57" s="258">
        <v>20807600000</v>
      </c>
      <c r="K57" s="256" t="s">
        <v>1348</v>
      </c>
    </row>
    <row r="58" spans="1:11" x14ac:dyDescent="0.3">
      <c r="A58" s="266" t="s">
        <v>1351</v>
      </c>
      <c r="B58" s="266"/>
      <c r="C58" s="266"/>
      <c r="D58" s="266"/>
      <c r="E58" s="266"/>
      <c r="F58" s="266"/>
      <c r="G58" s="267">
        <f>SUM(G8:G57)</f>
        <v>1034826000000</v>
      </c>
      <c r="H58" s="266"/>
      <c r="I58" s="267">
        <f>SUM(I8:I57)</f>
        <v>102122600000</v>
      </c>
      <c r="J58" s="267">
        <f>SUM(J8:J57)</f>
        <v>1136948600000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1293</v>
      </c>
      <c r="E62" s="256" t="s">
        <v>1826</v>
      </c>
      <c r="F62" s="256" t="s">
        <v>1853</v>
      </c>
      <c r="G62" s="258">
        <v>31207000000</v>
      </c>
      <c r="H62" s="265">
        <v>0.1</v>
      </c>
      <c r="I62" s="258">
        <v>3120700000</v>
      </c>
      <c r="J62" s="258">
        <v>34327700000</v>
      </c>
      <c r="K62" s="256" t="s">
        <v>1346</v>
      </c>
    </row>
    <row r="63" spans="1:11" x14ac:dyDescent="0.3">
      <c r="A63" s="256">
        <v>2</v>
      </c>
      <c r="B63" s="257" t="s">
        <v>1201</v>
      </c>
      <c r="C63" s="276">
        <v>44318</v>
      </c>
      <c r="D63" s="257" t="s">
        <v>1268</v>
      </c>
      <c r="E63" s="256" t="s">
        <v>1821</v>
      </c>
      <c r="F63" s="256" t="s">
        <v>1854</v>
      </c>
      <c r="G63" s="258">
        <v>19288000000</v>
      </c>
      <c r="H63" s="265">
        <v>0.1</v>
      </c>
      <c r="I63" s="258">
        <v>1928800000</v>
      </c>
      <c r="J63" s="258">
        <v>21216800000</v>
      </c>
      <c r="K63" s="256" t="s">
        <v>1346</v>
      </c>
    </row>
    <row r="64" spans="1:11" x14ac:dyDescent="0.3">
      <c r="A64" s="256">
        <v>3</v>
      </c>
      <c r="B64" s="257" t="s">
        <v>1202</v>
      </c>
      <c r="C64" s="276">
        <v>44472</v>
      </c>
      <c r="D64" s="257" t="s">
        <v>1296</v>
      </c>
      <c r="E64" s="256" t="s">
        <v>1807</v>
      </c>
      <c r="F64" s="256" t="s">
        <v>1854</v>
      </c>
      <c r="G64" s="258">
        <v>42258000000</v>
      </c>
      <c r="H64" s="265">
        <v>0.1</v>
      </c>
      <c r="I64" s="258">
        <v>4225800000</v>
      </c>
      <c r="J64" s="258">
        <v>46483800000</v>
      </c>
      <c r="K64" s="256" t="s">
        <v>1346</v>
      </c>
    </row>
    <row r="65" spans="1:11" x14ac:dyDescent="0.3">
      <c r="A65" s="256">
        <v>4</v>
      </c>
      <c r="B65" s="257" t="s">
        <v>1355</v>
      </c>
      <c r="C65" s="276">
        <v>44473</v>
      </c>
      <c r="D65" s="257" t="s">
        <v>1286</v>
      </c>
      <c r="E65" s="256" t="s">
        <v>1828</v>
      </c>
      <c r="F65" s="256" t="s">
        <v>1853</v>
      </c>
      <c r="G65" s="258">
        <v>34481000000</v>
      </c>
      <c r="H65" s="265">
        <v>0.1</v>
      </c>
      <c r="I65" s="258">
        <v>3448100000</v>
      </c>
      <c r="J65" s="258">
        <v>37929100000</v>
      </c>
      <c r="K65" s="256" t="s">
        <v>1348</v>
      </c>
    </row>
    <row r="66" spans="1:11" x14ac:dyDescent="0.3">
      <c r="A66" s="256">
        <v>5</v>
      </c>
      <c r="B66" s="257" t="s">
        <v>1356</v>
      </c>
      <c r="C66" s="276">
        <v>44474</v>
      </c>
      <c r="D66" s="257" t="s">
        <v>1304</v>
      </c>
      <c r="E66" s="256" t="s">
        <v>1831</v>
      </c>
      <c r="F66" s="256" t="s">
        <v>1855</v>
      </c>
      <c r="G66" s="258">
        <v>15471000000</v>
      </c>
      <c r="H66" s="265">
        <v>0.1</v>
      </c>
      <c r="I66" s="258">
        <v>1547100000</v>
      </c>
      <c r="J66" s="258">
        <v>17018100000</v>
      </c>
      <c r="K66" s="256" t="s">
        <v>1346</v>
      </c>
    </row>
    <row r="67" spans="1:11" x14ac:dyDescent="0.3">
      <c r="A67" s="256">
        <v>6</v>
      </c>
      <c r="B67" s="257" t="s">
        <v>1358</v>
      </c>
      <c r="C67" s="276">
        <v>44475</v>
      </c>
      <c r="D67" s="257" t="s">
        <v>1302</v>
      </c>
      <c r="E67" s="256" t="s">
        <v>1784</v>
      </c>
      <c r="F67" s="256" t="s">
        <v>1854</v>
      </c>
      <c r="G67" s="258">
        <v>12843000000</v>
      </c>
      <c r="H67" s="265">
        <v>0.1</v>
      </c>
      <c r="I67" s="258">
        <v>1284300000</v>
      </c>
      <c r="J67" s="258">
        <v>14127300000</v>
      </c>
      <c r="K67" s="256" t="s">
        <v>1346</v>
      </c>
    </row>
    <row r="68" spans="1:11" x14ac:dyDescent="0.3">
      <c r="A68" s="256">
        <v>7</v>
      </c>
      <c r="B68" s="257" t="s">
        <v>1360</v>
      </c>
      <c r="C68" s="276">
        <v>44476</v>
      </c>
      <c r="D68" s="257" t="s">
        <v>1264</v>
      </c>
      <c r="E68" s="256" t="s">
        <v>1779</v>
      </c>
      <c r="F68" s="256" t="s">
        <v>1855</v>
      </c>
      <c r="G68" s="258">
        <v>15096000000</v>
      </c>
      <c r="H68" s="265">
        <v>0</v>
      </c>
      <c r="I68" s="258">
        <v>0</v>
      </c>
      <c r="J68" s="258">
        <v>15096000000</v>
      </c>
      <c r="K68" s="256" t="s">
        <v>1346</v>
      </c>
    </row>
    <row r="69" spans="1:11" x14ac:dyDescent="0.3">
      <c r="A69" s="256">
        <v>8</v>
      </c>
      <c r="B69" s="257" t="s">
        <v>1362</v>
      </c>
      <c r="C69" s="276">
        <v>44477</v>
      </c>
      <c r="D69" s="257" t="s">
        <v>1293</v>
      </c>
      <c r="E69" s="256" t="s">
        <v>1826</v>
      </c>
      <c r="F69" s="256" t="s">
        <v>1855</v>
      </c>
      <c r="G69" s="258">
        <v>22165000000</v>
      </c>
      <c r="H69" s="265">
        <v>0.1</v>
      </c>
      <c r="I69" s="258">
        <v>2216500000</v>
      </c>
      <c r="J69" s="258">
        <v>24381500000</v>
      </c>
      <c r="K69" s="256" t="s">
        <v>1346</v>
      </c>
    </row>
    <row r="70" spans="1:11" x14ac:dyDescent="0.3">
      <c r="A70" s="256">
        <v>9</v>
      </c>
      <c r="B70" s="257" t="s">
        <v>1364</v>
      </c>
      <c r="C70" s="276">
        <v>44478</v>
      </c>
      <c r="D70" s="257" t="s">
        <v>1296</v>
      </c>
      <c r="E70" s="256" t="s">
        <v>1807</v>
      </c>
      <c r="F70" s="256" t="s">
        <v>1855</v>
      </c>
      <c r="G70" s="258">
        <v>30323000000</v>
      </c>
      <c r="H70" s="265">
        <v>0.1</v>
      </c>
      <c r="I70" s="258">
        <v>3032300000</v>
      </c>
      <c r="J70" s="258">
        <v>33355300000</v>
      </c>
      <c r="K70" s="256" t="s">
        <v>1346</v>
      </c>
    </row>
    <row r="71" spans="1:11" x14ac:dyDescent="0.3">
      <c r="A71" s="256">
        <v>10</v>
      </c>
      <c r="B71" s="257" t="s">
        <v>1366</v>
      </c>
      <c r="C71" s="276">
        <v>44479</v>
      </c>
      <c r="D71" s="257" t="s">
        <v>1262</v>
      </c>
      <c r="E71" s="256" t="s">
        <v>1816</v>
      </c>
      <c r="F71" s="256" t="s">
        <v>1853</v>
      </c>
      <c r="G71" s="258">
        <v>15675000000</v>
      </c>
      <c r="H71" s="265">
        <v>0.1</v>
      </c>
      <c r="I71" s="258">
        <v>1567500000</v>
      </c>
      <c r="J71" s="258">
        <v>17242500000</v>
      </c>
      <c r="K71" s="256" t="s">
        <v>1346</v>
      </c>
    </row>
    <row r="72" spans="1:11" x14ac:dyDescent="0.3">
      <c r="A72" s="256">
        <v>11</v>
      </c>
      <c r="B72" s="257" t="s">
        <v>1368</v>
      </c>
      <c r="C72" s="276">
        <v>44480</v>
      </c>
      <c r="D72" s="257" t="s">
        <v>1299</v>
      </c>
      <c r="E72" s="256" t="s">
        <v>1776</v>
      </c>
      <c r="F72" s="256" t="s">
        <v>1856</v>
      </c>
      <c r="G72" s="258">
        <v>31048000000</v>
      </c>
      <c r="H72" s="265">
        <v>0.1</v>
      </c>
      <c r="I72" s="258">
        <v>3104800000</v>
      </c>
      <c r="J72" s="258">
        <v>34152800000</v>
      </c>
      <c r="K72" s="256" t="s">
        <v>1348</v>
      </c>
    </row>
    <row r="73" spans="1:11" x14ac:dyDescent="0.3">
      <c r="A73" s="256">
        <v>12</v>
      </c>
      <c r="B73" s="257" t="s">
        <v>1371</v>
      </c>
      <c r="C73" s="276">
        <v>44481</v>
      </c>
      <c r="D73" s="257" t="s">
        <v>1284</v>
      </c>
      <c r="E73" s="256" t="s">
        <v>1786</v>
      </c>
      <c r="F73" s="256" t="s">
        <v>1854</v>
      </c>
      <c r="G73" s="258">
        <v>43008000000</v>
      </c>
      <c r="H73" s="265">
        <v>0.1</v>
      </c>
      <c r="I73" s="258">
        <v>4300800000</v>
      </c>
      <c r="J73" s="258">
        <v>47308800000</v>
      </c>
      <c r="K73" s="256" t="s">
        <v>1346</v>
      </c>
    </row>
    <row r="74" spans="1:11" x14ac:dyDescent="0.3">
      <c r="A74" s="256">
        <v>13</v>
      </c>
      <c r="B74" s="257" t="s">
        <v>1373</v>
      </c>
      <c r="C74" s="276">
        <v>44211</v>
      </c>
      <c r="D74" s="257" t="s">
        <v>1292</v>
      </c>
      <c r="E74" s="256" t="s">
        <v>1792</v>
      </c>
      <c r="F74" s="256" t="s">
        <v>1854</v>
      </c>
      <c r="G74" s="258">
        <v>34493000000</v>
      </c>
      <c r="H74" s="265">
        <v>0.1</v>
      </c>
      <c r="I74" s="258">
        <v>3449300000</v>
      </c>
      <c r="J74" s="258">
        <v>37942300000</v>
      </c>
      <c r="K74" s="256" t="s">
        <v>1346</v>
      </c>
    </row>
    <row r="75" spans="1:11" x14ac:dyDescent="0.3">
      <c r="A75" s="256">
        <v>14</v>
      </c>
      <c r="B75" s="257" t="s">
        <v>1374</v>
      </c>
      <c r="C75" s="276">
        <v>44242</v>
      </c>
      <c r="D75" s="257" t="s">
        <v>1269</v>
      </c>
      <c r="E75" s="256" t="s">
        <v>1823</v>
      </c>
      <c r="F75" s="256" t="s">
        <v>1855</v>
      </c>
      <c r="G75" s="258">
        <v>29992000000</v>
      </c>
      <c r="H75" s="265">
        <v>0.1</v>
      </c>
      <c r="I75" s="258">
        <v>2999200000</v>
      </c>
      <c r="J75" s="258">
        <v>32991200000</v>
      </c>
      <c r="K75" s="256" t="s">
        <v>1346</v>
      </c>
    </row>
    <row r="76" spans="1:11" x14ac:dyDescent="0.3">
      <c r="A76" s="256">
        <v>15</v>
      </c>
      <c r="B76" s="257" t="s">
        <v>1376</v>
      </c>
      <c r="C76" s="276">
        <v>44275</v>
      </c>
      <c r="D76" s="257" t="s">
        <v>1259</v>
      </c>
      <c r="E76" s="256" t="s">
        <v>1788</v>
      </c>
      <c r="F76" s="256" t="s">
        <v>1854</v>
      </c>
      <c r="G76" s="258">
        <v>28741000000</v>
      </c>
      <c r="H76" s="265">
        <v>0.1</v>
      </c>
      <c r="I76" s="258">
        <v>2874100000</v>
      </c>
      <c r="J76" s="258">
        <v>31615100000</v>
      </c>
      <c r="K76" s="256" t="s">
        <v>1346</v>
      </c>
    </row>
    <row r="77" spans="1:11" x14ac:dyDescent="0.3">
      <c r="A77" s="256">
        <v>16</v>
      </c>
      <c r="B77" s="257" t="s">
        <v>1378</v>
      </c>
      <c r="C77" s="276">
        <v>44306</v>
      </c>
      <c r="D77" s="257" t="s">
        <v>1279</v>
      </c>
      <c r="E77" s="256" t="s">
        <v>1827</v>
      </c>
      <c r="F77" s="256" t="s">
        <v>1853</v>
      </c>
      <c r="G77" s="258">
        <v>15376000000</v>
      </c>
      <c r="H77" s="265">
        <v>0.1</v>
      </c>
      <c r="I77" s="258">
        <v>1537600000</v>
      </c>
      <c r="J77" s="258">
        <v>16913600000</v>
      </c>
      <c r="K77" s="256" t="s">
        <v>1346</v>
      </c>
    </row>
    <row r="78" spans="1:11" x14ac:dyDescent="0.3">
      <c r="A78" s="256">
        <v>17</v>
      </c>
      <c r="B78" s="257" t="s">
        <v>1379</v>
      </c>
      <c r="C78" s="276">
        <v>44336</v>
      </c>
      <c r="D78" s="257" t="s">
        <v>1273</v>
      </c>
      <c r="E78" s="256" t="s">
        <v>1829</v>
      </c>
      <c r="F78" s="256" t="s">
        <v>1856</v>
      </c>
      <c r="G78" s="258">
        <v>33800000000</v>
      </c>
      <c r="H78" s="265">
        <v>0.1</v>
      </c>
      <c r="I78" s="258">
        <v>3380000000</v>
      </c>
      <c r="J78" s="258">
        <v>37180000000</v>
      </c>
      <c r="K78" s="256" t="s">
        <v>1346</v>
      </c>
    </row>
    <row r="79" spans="1:11" x14ac:dyDescent="0.3">
      <c r="A79" s="256">
        <v>18</v>
      </c>
      <c r="B79" s="257" t="s">
        <v>1381</v>
      </c>
      <c r="C79" s="276">
        <v>44367</v>
      </c>
      <c r="D79" s="257" t="s">
        <v>1268</v>
      </c>
      <c r="E79" s="256" t="s">
        <v>1821</v>
      </c>
      <c r="F79" s="256" t="s">
        <v>1853</v>
      </c>
      <c r="G79" s="258">
        <v>33941000000</v>
      </c>
      <c r="H79" s="265">
        <v>0.1</v>
      </c>
      <c r="I79" s="258">
        <v>3394100000</v>
      </c>
      <c r="J79" s="258">
        <v>37335100000</v>
      </c>
      <c r="K79" s="256" t="s">
        <v>1346</v>
      </c>
    </row>
    <row r="80" spans="1:11" x14ac:dyDescent="0.3">
      <c r="A80" s="256">
        <v>19</v>
      </c>
      <c r="B80" s="257" t="s">
        <v>1382</v>
      </c>
      <c r="C80" s="276">
        <v>44397</v>
      </c>
      <c r="D80" s="257" t="s">
        <v>1282</v>
      </c>
      <c r="E80" s="256" t="s">
        <v>1789</v>
      </c>
      <c r="F80" s="256" t="s">
        <v>1854</v>
      </c>
      <c r="G80" s="258">
        <v>33980000000</v>
      </c>
      <c r="H80" s="265">
        <v>0.1</v>
      </c>
      <c r="I80" s="258">
        <v>3398000000</v>
      </c>
      <c r="J80" s="258">
        <v>37378000000</v>
      </c>
      <c r="K80" s="256" t="s">
        <v>1346</v>
      </c>
    </row>
    <row r="81" spans="1:11" x14ac:dyDescent="0.3">
      <c r="A81" s="256">
        <v>20</v>
      </c>
      <c r="B81" s="257" t="s">
        <v>1383</v>
      </c>
      <c r="C81" s="276">
        <v>44428</v>
      </c>
      <c r="D81" s="257" t="s">
        <v>1263</v>
      </c>
      <c r="E81" s="256" t="s">
        <v>1790</v>
      </c>
      <c r="F81" s="256" t="s">
        <v>1855</v>
      </c>
      <c r="G81" s="258">
        <v>29779000000</v>
      </c>
      <c r="H81" s="265">
        <v>0.1</v>
      </c>
      <c r="I81" s="258">
        <v>2977900000</v>
      </c>
      <c r="J81" s="258">
        <v>32756900000</v>
      </c>
      <c r="K81" s="256" t="s">
        <v>1346</v>
      </c>
    </row>
    <row r="82" spans="1:11" x14ac:dyDescent="0.3">
      <c r="A82" s="256">
        <v>21</v>
      </c>
      <c r="B82" s="257" t="s">
        <v>1203</v>
      </c>
      <c r="C82" s="276">
        <v>44459</v>
      </c>
      <c r="D82" s="257" t="s">
        <v>1262</v>
      </c>
      <c r="E82" s="256" t="s">
        <v>1816</v>
      </c>
      <c r="F82" s="256" t="s">
        <v>1854</v>
      </c>
      <c r="G82" s="258">
        <v>35302000000</v>
      </c>
      <c r="H82" s="265">
        <v>0.1</v>
      </c>
      <c r="I82" s="258">
        <v>3530200000</v>
      </c>
      <c r="J82" s="258">
        <v>38832200000</v>
      </c>
      <c r="K82" s="256" t="s">
        <v>1346</v>
      </c>
    </row>
    <row r="83" spans="1:11" x14ac:dyDescent="0.3">
      <c r="A83" s="256">
        <v>22</v>
      </c>
      <c r="B83" s="257" t="s">
        <v>1204</v>
      </c>
      <c r="C83" s="276">
        <v>44489</v>
      </c>
      <c r="D83" s="257" t="s">
        <v>1266</v>
      </c>
      <c r="E83" s="256" t="s">
        <v>1824</v>
      </c>
      <c r="F83" s="256" t="s">
        <v>1856</v>
      </c>
      <c r="G83" s="258">
        <v>41005000000</v>
      </c>
      <c r="H83" s="265">
        <v>0.1</v>
      </c>
      <c r="I83" s="258">
        <v>4100500000</v>
      </c>
      <c r="J83" s="258">
        <v>45105500000</v>
      </c>
      <c r="K83" s="256" t="s">
        <v>1346</v>
      </c>
    </row>
    <row r="84" spans="1:11" x14ac:dyDescent="0.3">
      <c r="A84" s="256">
        <v>23</v>
      </c>
      <c r="B84" s="257" t="s">
        <v>1205</v>
      </c>
      <c r="C84" s="276">
        <v>44520</v>
      </c>
      <c r="D84" s="257" t="s">
        <v>1290</v>
      </c>
      <c r="E84" s="256" t="s">
        <v>1796</v>
      </c>
      <c r="F84" s="256" t="s">
        <v>1856</v>
      </c>
      <c r="G84" s="258">
        <v>39513000000</v>
      </c>
      <c r="H84" s="265">
        <v>0.1</v>
      </c>
      <c r="I84" s="258">
        <v>3951300000</v>
      </c>
      <c r="J84" s="258">
        <v>43464300000</v>
      </c>
      <c r="K84" s="256" t="s">
        <v>1346</v>
      </c>
    </row>
    <row r="85" spans="1:11" x14ac:dyDescent="0.3">
      <c r="A85" s="256">
        <v>24</v>
      </c>
      <c r="B85" s="257" t="s">
        <v>1385</v>
      </c>
      <c r="C85" s="276">
        <v>44550</v>
      </c>
      <c r="D85" s="257" t="s">
        <v>1297</v>
      </c>
      <c r="E85" s="256" t="s">
        <v>1820</v>
      </c>
      <c r="F85" s="256" t="s">
        <v>1855</v>
      </c>
      <c r="G85" s="258">
        <v>36514000000</v>
      </c>
      <c r="H85" s="265">
        <v>0.1</v>
      </c>
      <c r="I85" s="258">
        <v>3651400000</v>
      </c>
      <c r="J85" s="258">
        <v>40165400000</v>
      </c>
      <c r="K85" s="256" t="s">
        <v>1346</v>
      </c>
    </row>
    <row r="86" spans="1:11" x14ac:dyDescent="0.3">
      <c r="A86" s="256">
        <v>25</v>
      </c>
      <c r="B86" s="257" t="s">
        <v>1387</v>
      </c>
      <c r="C86" s="276">
        <v>44221</v>
      </c>
      <c r="D86" s="257" t="s">
        <v>1269</v>
      </c>
      <c r="E86" s="256" t="s">
        <v>1823</v>
      </c>
      <c r="F86" s="256" t="s">
        <v>1854</v>
      </c>
      <c r="G86" s="258">
        <v>18893000000</v>
      </c>
      <c r="H86" s="265">
        <v>0.1</v>
      </c>
      <c r="I86" s="258">
        <v>1889300000</v>
      </c>
      <c r="J86" s="258">
        <v>20782300000</v>
      </c>
      <c r="K86" s="256" t="s">
        <v>1346</v>
      </c>
    </row>
    <row r="87" spans="1:11" x14ac:dyDescent="0.3">
      <c r="A87" s="256">
        <v>26</v>
      </c>
      <c r="B87" s="257" t="s">
        <v>1388</v>
      </c>
      <c r="C87" s="276">
        <v>44255</v>
      </c>
      <c r="D87" s="257" t="s">
        <v>1263</v>
      </c>
      <c r="E87" s="256" t="s">
        <v>1790</v>
      </c>
      <c r="F87" s="256" t="s">
        <v>1855</v>
      </c>
      <c r="G87" s="258">
        <v>38783000000</v>
      </c>
      <c r="H87" s="265">
        <v>0.1</v>
      </c>
      <c r="I87" s="258">
        <v>3878300000</v>
      </c>
      <c r="J87" s="258">
        <v>42661300000</v>
      </c>
      <c r="K87" s="256" t="s">
        <v>1346</v>
      </c>
    </row>
    <row r="88" spans="1:11" x14ac:dyDescent="0.3">
      <c r="A88" s="256">
        <v>27</v>
      </c>
      <c r="B88" s="257" t="s">
        <v>1391</v>
      </c>
      <c r="C88" s="276">
        <v>44316</v>
      </c>
      <c r="D88" s="257" t="s">
        <v>1294</v>
      </c>
      <c r="E88" s="256" t="s">
        <v>1795</v>
      </c>
      <c r="F88" s="256" t="s">
        <v>1856</v>
      </c>
      <c r="G88" s="258">
        <v>29072000000</v>
      </c>
      <c r="H88" s="265">
        <v>0.1</v>
      </c>
      <c r="I88" s="258">
        <v>2907200000</v>
      </c>
      <c r="J88" s="258">
        <v>31979200000</v>
      </c>
      <c r="K88" s="256" t="s">
        <v>1346</v>
      </c>
    </row>
    <row r="89" spans="1:11" x14ac:dyDescent="0.3">
      <c r="A89" s="256">
        <v>28</v>
      </c>
      <c r="B89" s="257" t="s">
        <v>1392</v>
      </c>
      <c r="C89" s="276">
        <v>44377</v>
      </c>
      <c r="D89" s="257" t="s">
        <v>1287</v>
      </c>
      <c r="E89" s="256" t="s">
        <v>1801</v>
      </c>
      <c r="F89" s="256" t="s">
        <v>1856</v>
      </c>
      <c r="G89" s="258">
        <v>41835000000</v>
      </c>
      <c r="H89" s="265">
        <v>0.1</v>
      </c>
      <c r="I89" s="258">
        <v>4183500000</v>
      </c>
      <c r="J89" s="258">
        <v>46018500000</v>
      </c>
      <c r="K89" s="256" t="s">
        <v>1348</v>
      </c>
    </row>
    <row r="90" spans="1:11" x14ac:dyDescent="0.3">
      <c r="A90" s="256">
        <v>29</v>
      </c>
      <c r="B90" s="257" t="s">
        <v>1394</v>
      </c>
      <c r="C90" s="276">
        <v>44469</v>
      </c>
      <c r="D90" s="257" t="s">
        <v>1298</v>
      </c>
      <c r="E90" s="256" t="s">
        <v>1819</v>
      </c>
      <c r="F90" s="256" t="s">
        <v>1854</v>
      </c>
      <c r="G90" s="258">
        <v>33385000000</v>
      </c>
      <c r="H90" s="265">
        <v>0</v>
      </c>
      <c r="I90" s="258">
        <v>0</v>
      </c>
      <c r="J90" s="258">
        <v>33385000000</v>
      </c>
      <c r="K90" s="256" t="s">
        <v>1348</v>
      </c>
    </row>
    <row r="91" spans="1:11" x14ac:dyDescent="0.3">
      <c r="A91" s="256">
        <v>30</v>
      </c>
      <c r="B91" s="257" t="s">
        <v>1396</v>
      </c>
      <c r="C91" s="276">
        <v>44530</v>
      </c>
      <c r="D91" s="257" t="s">
        <v>1259</v>
      </c>
      <c r="E91" s="256" t="s">
        <v>1788</v>
      </c>
      <c r="F91" s="256" t="s">
        <v>1856</v>
      </c>
      <c r="G91" s="258">
        <v>27504000000</v>
      </c>
      <c r="H91" s="265">
        <v>0.1</v>
      </c>
      <c r="I91" s="258">
        <v>2750400000</v>
      </c>
      <c r="J91" s="258">
        <v>30254400000</v>
      </c>
      <c r="K91" s="256" t="s">
        <v>1346</v>
      </c>
    </row>
    <row r="92" spans="1:11" x14ac:dyDescent="0.3">
      <c r="A92" s="256">
        <v>31</v>
      </c>
      <c r="B92" s="257" t="s">
        <v>1397</v>
      </c>
      <c r="C92" s="276">
        <v>44286</v>
      </c>
      <c r="D92" s="257" t="s">
        <v>1268</v>
      </c>
      <c r="E92" s="256" t="s">
        <v>1821</v>
      </c>
      <c r="F92" s="256" t="s">
        <v>1854</v>
      </c>
      <c r="G92" s="258">
        <v>40134000000</v>
      </c>
      <c r="H92" s="265">
        <v>0</v>
      </c>
      <c r="I92" s="258">
        <v>0</v>
      </c>
      <c r="J92" s="258">
        <v>40134000000</v>
      </c>
      <c r="K92" s="256" t="s">
        <v>1346</v>
      </c>
    </row>
    <row r="93" spans="1:11" x14ac:dyDescent="0.3">
      <c r="A93" s="256">
        <v>32</v>
      </c>
      <c r="B93" s="257" t="s">
        <v>1398</v>
      </c>
      <c r="C93" s="276">
        <v>44347</v>
      </c>
      <c r="D93" s="257" t="s">
        <v>1257</v>
      </c>
      <c r="E93" s="256" t="s">
        <v>1815</v>
      </c>
      <c r="F93" s="256" t="s">
        <v>1853</v>
      </c>
      <c r="G93" s="258">
        <v>19968000000</v>
      </c>
      <c r="H93" s="265">
        <v>0.1</v>
      </c>
      <c r="I93" s="258">
        <v>1996800000</v>
      </c>
      <c r="J93" s="258">
        <v>21964800000</v>
      </c>
      <c r="K93" s="256" t="s">
        <v>1348</v>
      </c>
    </row>
    <row r="94" spans="1:11" x14ac:dyDescent="0.3">
      <c r="A94" s="256">
        <v>33</v>
      </c>
      <c r="B94" s="257" t="s">
        <v>1399</v>
      </c>
      <c r="C94" s="276">
        <v>44408</v>
      </c>
      <c r="D94" s="257" t="s">
        <v>1277</v>
      </c>
      <c r="E94" s="256" t="s">
        <v>1783</v>
      </c>
      <c r="F94" s="256" t="s">
        <v>1855</v>
      </c>
      <c r="G94" s="258">
        <v>25153000000</v>
      </c>
      <c r="H94" s="265">
        <v>0.1</v>
      </c>
      <c r="I94" s="258">
        <v>2515300000</v>
      </c>
      <c r="J94" s="258">
        <v>27668300000</v>
      </c>
      <c r="K94" s="256" t="s">
        <v>1348</v>
      </c>
    </row>
    <row r="95" spans="1:11" x14ac:dyDescent="0.3">
      <c r="A95" s="256">
        <v>34</v>
      </c>
      <c r="B95" s="257" t="s">
        <v>1401</v>
      </c>
      <c r="C95" s="276">
        <v>44439</v>
      </c>
      <c r="D95" s="257" t="s">
        <v>1264</v>
      </c>
      <c r="E95" s="256" t="s">
        <v>1779</v>
      </c>
      <c r="F95" s="256" t="s">
        <v>1855</v>
      </c>
      <c r="G95" s="258">
        <v>16199000000</v>
      </c>
      <c r="H95" s="265">
        <v>0.1</v>
      </c>
      <c r="I95" s="258">
        <v>1619900000</v>
      </c>
      <c r="J95" s="258">
        <v>17818900000</v>
      </c>
      <c r="K95" s="256" t="s">
        <v>1346</v>
      </c>
    </row>
    <row r="96" spans="1:11" x14ac:dyDescent="0.3">
      <c r="A96" s="256">
        <v>35</v>
      </c>
      <c r="B96" s="257" t="s">
        <v>1402</v>
      </c>
      <c r="C96" s="276">
        <v>44500</v>
      </c>
      <c r="D96" s="257" t="s">
        <v>1273</v>
      </c>
      <c r="E96" s="256" t="s">
        <v>1829</v>
      </c>
      <c r="F96" s="256" t="s">
        <v>1853</v>
      </c>
      <c r="G96" s="258">
        <v>33114000000</v>
      </c>
      <c r="H96" s="265">
        <v>0.1</v>
      </c>
      <c r="I96" s="258">
        <v>3311400000</v>
      </c>
      <c r="J96" s="258">
        <v>36425400000</v>
      </c>
      <c r="K96" s="256" t="s">
        <v>1346</v>
      </c>
    </row>
    <row r="97" spans="1:11" x14ac:dyDescent="0.3">
      <c r="A97" s="256">
        <v>36</v>
      </c>
      <c r="B97" s="257" t="s">
        <v>1403</v>
      </c>
      <c r="C97" s="276">
        <v>44561</v>
      </c>
      <c r="D97" s="257" t="s">
        <v>1272</v>
      </c>
      <c r="E97" s="256" t="s">
        <v>1805</v>
      </c>
      <c r="F97" s="256" t="s">
        <v>1854</v>
      </c>
      <c r="G97" s="258">
        <v>19471000000</v>
      </c>
      <c r="H97" s="265">
        <v>0.1</v>
      </c>
      <c r="I97" s="258">
        <v>1947100000</v>
      </c>
      <c r="J97" s="258">
        <v>21418100000</v>
      </c>
      <c r="K97" s="256" t="s">
        <v>1346</v>
      </c>
    </row>
    <row r="98" spans="1:11" x14ac:dyDescent="0.3">
      <c r="A98" s="256">
        <v>37</v>
      </c>
      <c r="B98" s="257" t="s">
        <v>1404</v>
      </c>
      <c r="C98" s="276">
        <v>44561</v>
      </c>
      <c r="D98" s="257" t="s">
        <v>1296</v>
      </c>
      <c r="E98" s="256" t="s">
        <v>1807</v>
      </c>
      <c r="F98" s="256" t="s">
        <v>1855</v>
      </c>
      <c r="G98" s="258">
        <v>19357000000</v>
      </c>
      <c r="H98" s="265">
        <v>0</v>
      </c>
      <c r="I98" s="258">
        <v>0</v>
      </c>
      <c r="J98" s="258">
        <v>19357000000</v>
      </c>
      <c r="K98" s="256" t="s">
        <v>1346</v>
      </c>
    </row>
    <row r="99" spans="1:11" x14ac:dyDescent="0.3">
      <c r="A99" s="256">
        <v>38</v>
      </c>
      <c r="B99" s="257" t="s">
        <v>1405</v>
      </c>
      <c r="C99" s="276">
        <v>44561</v>
      </c>
      <c r="D99" s="257" t="s">
        <v>1300</v>
      </c>
      <c r="E99" s="256" t="s">
        <v>1818</v>
      </c>
      <c r="F99" s="256" t="s">
        <v>1854</v>
      </c>
      <c r="G99" s="258">
        <v>32521000000</v>
      </c>
      <c r="H99" s="265">
        <v>0.1</v>
      </c>
      <c r="I99" s="258">
        <v>3252100000</v>
      </c>
      <c r="J99" s="258">
        <v>35773100000</v>
      </c>
      <c r="K99" s="256" t="s">
        <v>1348</v>
      </c>
    </row>
    <row r="100" spans="1:11" x14ac:dyDescent="0.3">
      <c r="A100" s="256">
        <v>39</v>
      </c>
      <c r="B100" s="257" t="s">
        <v>1406</v>
      </c>
      <c r="C100" s="276">
        <v>44561</v>
      </c>
      <c r="D100" s="257" t="s">
        <v>1258</v>
      </c>
      <c r="E100" s="256" t="s">
        <v>1833</v>
      </c>
      <c r="F100" s="256" t="s">
        <v>1855</v>
      </c>
      <c r="G100" s="258">
        <v>27994000000</v>
      </c>
      <c r="H100" s="265">
        <v>0</v>
      </c>
      <c r="I100" s="258">
        <v>0</v>
      </c>
      <c r="J100" s="258">
        <v>27994000000</v>
      </c>
      <c r="K100" s="256" t="s">
        <v>1348</v>
      </c>
    </row>
    <row r="101" spans="1:11" x14ac:dyDescent="0.3">
      <c r="A101" s="256">
        <v>40</v>
      </c>
      <c r="B101" s="257" t="s">
        <v>1408</v>
      </c>
      <c r="C101" s="276">
        <v>44561</v>
      </c>
      <c r="D101" s="257" t="s">
        <v>1262</v>
      </c>
      <c r="E101" s="256" t="s">
        <v>1816</v>
      </c>
      <c r="F101" s="256" t="s">
        <v>1853</v>
      </c>
      <c r="G101" s="258">
        <v>26583000000</v>
      </c>
      <c r="H101" s="265">
        <v>0.1</v>
      </c>
      <c r="I101" s="258">
        <v>2658300000</v>
      </c>
      <c r="J101" s="258">
        <v>29241300000</v>
      </c>
      <c r="K101" s="256" t="s">
        <v>1346</v>
      </c>
    </row>
    <row r="102" spans="1:11" x14ac:dyDescent="0.3">
      <c r="A102" s="256">
        <v>41</v>
      </c>
      <c r="B102" s="257" t="s">
        <v>1409</v>
      </c>
      <c r="C102" s="276">
        <v>44561</v>
      </c>
      <c r="D102" s="257" t="s">
        <v>1280</v>
      </c>
      <c r="E102" s="256" t="s">
        <v>1777</v>
      </c>
      <c r="F102" s="256" t="s">
        <v>1856</v>
      </c>
      <c r="G102" s="258">
        <v>28383000000</v>
      </c>
      <c r="H102" s="265">
        <v>0.1</v>
      </c>
      <c r="I102" s="258">
        <v>2838300000</v>
      </c>
      <c r="J102" s="258">
        <v>31221300000</v>
      </c>
      <c r="K102" s="256" t="s">
        <v>1346</v>
      </c>
    </row>
    <row r="103" spans="1:11" x14ac:dyDescent="0.3">
      <c r="A103" s="256">
        <v>42</v>
      </c>
      <c r="B103" s="257" t="s">
        <v>1411</v>
      </c>
      <c r="C103" s="276">
        <v>44561</v>
      </c>
      <c r="D103" s="257" t="s">
        <v>1263</v>
      </c>
      <c r="E103" s="256" t="s">
        <v>1790</v>
      </c>
      <c r="F103" s="256" t="s">
        <v>1856</v>
      </c>
      <c r="G103" s="258">
        <v>21696000000</v>
      </c>
      <c r="H103" s="265">
        <v>0.1</v>
      </c>
      <c r="I103" s="258">
        <v>2169600000</v>
      </c>
      <c r="J103" s="258">
        <v>23865600000</v>
      </c>
      <c r="K103" s="256" t="s">
        <v>1346</v>
      </c>
    </row>
    <row r="104" spans="1:11" x14ac:dyDescent="0.3">
      <c r="A104" s="256">
        <v>43</v>
      </c>
      <c r="B104" s="257" t="s">
        <v>1414</v>
      </c>
      <c r="C104" s="276">
        <v>44561</v>
      </c>
      <c r="D104" s="257" t="s">
        <v>1279</v>
      </c>
      <c r="E104" s="256" t="s">
        <v>1827</v>
      </c>
      <c r="F104" s="256" t="s">
        <v>1854</v>
      </c>
      <c r="G104" s="258">
        <v>33238000000</v>
      </c>
      <c r="H104" s="265">
        <v>0.1</v>
      </c>
      <c r="I104" s="258">
        <v>3323800000</v>
      </c>
      <c r="J104" s="258">
        <v>36561800000</v>
      </c>
      <c r="K104" s="256" t="s">
        <v>1346</v>
      </c>
    </row>
    <row r="105" spans="1:11" x14ac:dyDescent="0.3">
      <c r="A105" s="256">
        <v>44</v>
      </c>
      <c r="B105" s="257" t="s">
        <v>1415</v>
      </c>
      <c r="C105" s="276">
        <v>44561</v>
      </c>
      <c r="D105" s="257" t="s">
        <v>1257</v>
      </c>
      <c r="E105" s="256" t="s">
        <v>1815</v>
      </c>
      <c r="F105" s="256" t="s">
        <v>1855</v>
      </c>
      <c r="G105" s="258">
        <v>20372000000</v>
      </c>
      <c r="H105" s="265">
        <v>0.1</v>
      </c>
      <c r="I105" s="258">
        <v>2037200000</v>
      </c>
      <c r="J105" s="258">
        <v>22409200000</v>
      </c>
      <c r="K105" s="256" t="s">
        <v>1346</v>
      </c>
    </row>
    <row r="106" spans="1:11" x14ac:dyDescent="0.3">
      <c r="A106" s="256">
        <v>45</v>
      </c>
      <c r="B106" s="257" t="s">
        <v>1206</v>
      </c>
      <c r="C106" s="276">
        <v>44561</v>
      </c>
      <c r="D106" s="257" t="s">
        <v>1259</v>
      </c>
      <c r="E106" s="256" t="s">
        <v>1788</v>
      </c>
      <c r="F106" s="256" t="s">
        <v>1853</v>
      </c>
      <c r="G106" s="258">
        <v>18932000000</v>
      </c>
      <c r="H106" s="265">
        <v>0</v>
      </c>
      <c r="I106" s="258">
        <v>0</v>
      </c>
      <c r="J106" s="258">
        <v>18932000000</v>
      </c>
      <c r="K106" s="256" t="s">
        <v>1346</v>
      </c>
    </row>
    <row r="107" spans="1:11" x14ac:dyDescent="0.3">
      <c r="A107" s="256">
        <v>46</v>
      </c>
      <c r="B107" s="257" t="s">
        <v>1207</v>
      </c>
      <c r="C107" s="276">
        <v>44561</v>
      </c>
      <c r="D107" s="257" t="s">
        <v>1272</v>
      </c>
      <c r="E107" s="256" t="s">
        <v>1805</v>
      </c>
      <c r="F107" s="256" t="s">
        <v>1855</v>
      </c>
      <c r="G107" s="258">
        <v>35044000000</v>
      </c>
      <c r="H107" s="265">
        <v>0.1</v>
      </c>
      <c r="I107" s="258">
        <v>3504400000</v>
      </c>
      <c r="J107" s="258">
        <v>38548400000</v>
      </c>
      <c r="K107" s="256" t="s">
        <v>1346</v>
      </c>
    </row>
    <row r="108" spans="1:11" x14ac:dyDescent="0.3">
      <c r="A108" s="256">
        <v>47</v>
      </c>
      <c r="B108" s="257" t="s">
        <v>1208</v>
      </c>
      <c r="C108" s="276">
        <v>44561</v>
      </c>
      <c r="D108" s="257" t="s">
        <v>1303</v>
      </c>
      <c r="E108" s="256" t="s">
        <v>1817</v>
      </c>
      <c r="F108" s="256" t="s">
        <v>1854</v>
      </c>
      <c r="G108" s="258">
        <v>16726000000</v>
      </c>
      <c r="H108" s="265">
        <v>0</v>
      </c>
      <c r="I108" s="258">
        <v>0</v>
      </c>
      <c r="J108" s="258">
        <v>16726000000</v>
      </c>
      <c r="K108" s="256" t="s">
        <v>1346</v>
      </c>
    </row>
    <row r="109" spans="1:11" x14ac:dyDescent="0.3">
      <c r="A109" s="256">
        <v>48</v>
      </c>
      <c r="B109" s="257" t="s">
        <v>1209</v>
      </c>
      <c r="C109" s="276">
        <v>44561</v>
      </c>
      <c r="D109" s="257" t="s">
        <v>1302</v>
      </c>
      <c r="E109" s="256" t="s">
        <v>1784</v>
      </c>
      <c r="F109" s="256" t="s">
        <v>1853</v>
      </c>
      <c r="G109" s="258">
        <v>21003000000</v>
      </c>
      <c r="H109" s="265">
        <v>0.1</v>
      </c>
      <c r="I109" s="258">
        <v>2100300000</v>
      </c>
      <c r="J109" s="258">
        <v>23103300000</v>
      </c>
      <c r="K109" s="256" t="s">
        <v>1348</v>
      </c>
    </row>
    <row r="110" spans="1:11" x14ac:dyDescent="0.3">
      <c r="A110" s="256">
        <v>49</v>
      </c>
      <c r="B110" s="257" t="s">
        <v>1418</v>
      </c>
      <c r="C110" s="276">
        <v>44561</v>
      </c>
      <c r="D110" s="257" t="s">
        <v>1266</v>
      </c>
      <c r="E110" s="256" t="s">
        <v>1824</v>
      </c>
      <c r="F110" s="256" t="s">
        <v>1853</v>
      </c>
      <c r="G110" s="258">
        <v>29944000000</v>
      </c>
      <c r="H110" s="265">
        <v>0.1</v>
      </c>
      <c r="I110" s="258">
        <v>2994400000</v>
      </c>
      <c r="J110" s="258">
        <v>32938400000</v>
      </c>
      <c r="K110" s="256" t="s">
        <v>1346</v>
      </c>
    </row>
    <row r="111" spans="1:11" x14ac:dyDescent="0.3">
      <c r="A111" s="256">
        <v>50</v>
      </c>
      <c r="B111" s="257" t="s">
        <v>1419</v>
      </c>
      <c r="C111" s="276">
        <v>44561</v>
      </c>
      <c r="D111" s="257" t="s">
        <v>1272</v>
      </c>
      <c r="E111" s="256" t="s">
        <v>1805</v>
      </c>
      <c r="F111" s="256" t="s">
        <v>1856</v>
      </c>
      <c r="G111" s="258">
        <v>18639000000</v>
      </c>
      <c r="H111" s="265">
        <v>0</v>
      </c>
      <c r="I111" s="258">
        <v>0</v>
      </c>
      <c r="J111" s="258">
        <v>18639000000</v>
      </c>
      <c r="K111" s="256" t="s">
        <v>1346</v>
      </c>
    </row>
    <row r="112" spans="1:11" x14ac:dyDescent="0.3">
      <c r="A112" s="266" t="s">
        <v>1351</v>
      </c>
      <c r="B112" s="266"/>
      <c r="C112" s="266"/>
      <c r="D112" s="266"/>
      <c r="E112" s="266"/>
      <c r="F112" s="266"/>
      <c r="G112" s="267">
        <f>SUM(G62:G111)</f>
        <v>1399242000000</v>
      </c>
      <c r="H112" s="266"/>
      <c r="I112" s="267">
        <f>SUM(I62:I111)</f>
        <v>120897900000</v>
      </c>
      <c r="J112" s="267">
        <f>SUM(J62:J111)</f>
        <v>1520139900000</v>
      </c>
      <c r="K112" s="266"/>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opLeftCell="A6" workbookViewId="0"/>
  </sheetViews>
  <sheetFormatPr defaultRowHeight="14.4" x14ac:dyDescent="0.3"/>
  <cols>
    <col min="5" max="5" width="18.109375" bestFit="1" customWidth="1"/>
    <col min="7" max="7" width="14.21875" bestFit="1" customWidth="1"/>
    <col min="9" max="9" width="11.88671875" bestFit="1" customWidth="1"/>
    <col min="10" max="10" width="14.21875" bestFit="1" customWidth="1"/>
  </cols>
  <sheetData>
    <row r="1" spans="1:11" x14ac:dyDescent="0.3">
      <c r="A1" s="256" t="s">
        <v>1993</v>
      </c>
      <c r="B1" s="256" t="s">
        <v>635</v>
      </c>
      <c r="C1" s="256"/>
      <c r="D1" s="256"/>
      <c r="E1" s="256"/>
      <c r="F1" s="256"/>
      <c r="G1" s="256"/>
      <c r="H1" s="256"/>
      <c r="I1" s="256"/>
      <c r="J1" s="256"/>
      <c r="K1" s="256"/>
    </row>
    <row r="2" spans="1:11" x14ac:dyDescent="0.3">
      <c r="A2" s="256" t="s">
        <v>1339</v>
      </c>
      <c r="B2" s="257">
        <v>102712091</v>
      </c>
      <c r="C2" s="256"/>
      <c r="D2" s="256"/>
      <c r="E2" s="256"/>
      <c r="F2" s="256"/>
      <c r="G2" s="256"/>
      <c r="H2" s="256"/>
      <c r="I2" s="256"/>
      <c r="J2" s="256"/>
      <c r="K2" s="256"/>
    </row>
    <row r="3" spans="1:11" x14ac:dyDescent="0.3">
      <c r="A3" s="256" t="s">
        <v>1343</v>
      </c>
      <c r="B3" s="258">
        <v>1088945440000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1376</v>
      </c>
      <c r="C8" s="276">
        <v>44317</v>
      </c>
      <c r="D8" s="257" t="s">
        <v>1304</v>
      </c>
      <c r="E8" s="256" t="s">
        <v>1831</v>
      </c>
      <c r="F8" s="256" t="s">
        <v>1857</v>
      </c>
      <c r="G8" s="258">
        <v>8048000000</v>
      </c>
      <c r="H8" s="265">
        <v>0.1</v>
      </c>
      <c r="I8" s="258">
        <v>804800000</v>
      </c>
      <c r="J8" s="258">
        <v>8852800000</v>
      </c>
      <c r="K8" s="256" t="s">
        <v>1346</v>
      </c>
    </row>
    <row r="9" spans="1:11" x14ac:dyDescent="0.3">
      <c r="A9" s="256">
        <v>2</v>
      </c>
      <c r="B9" s="257" t="s">
        <v>1399</v>
      </c>
      <c r="C9" s="276">
        <v>44318</v>
      </c>
      <c r="D9" s="257" t="s">
        <v>1270</v>
      </c>
      <c r="E9" s="256" t="s">
        <v>1782</v>
      </c>
      <c r="F9" s="256" t="s">
        <v>1858</v>
      </c>
      <c r="G9" s="258">
        <v>21334000000</v>
      </c>
      <c r="H9" s="265">
        <v>0.1</v>
      </c>
      <c r="I9" s="258">
        <v>2133400000</v>
      </c>
      <c r="J9" s="258">
        <v>23467400000</v>
      </c>
      <c r="K9" s="256" t="s">
        <v>1346</v>
      </c>
    </row>
    <row r="10" spans="1:11" x14ac:dyDescent="0.3">
      <c r="A10" s="256">
        <v>3</v>
      </c>
      <c r="B10" s="257" t="s">
        <v>1404</v>
      </c>
      <c r="C10" s="276">
        <v>44472</v>
      </c>
      <c r="D10" s="257" t="s">
        <v>1268</v>
      </c>
      <c r="E10" s="256" t="s">
        <v>1821</v>
      </c>
      <c r="F10" s="256" t="s">
        <v>1859</v>
      </c>
      <c r="G10" s="258">
        <v>23885000000</v>
      </c>
      <c r="H10" s="265">
        <v>0.1</v>
      </c>
      <c r="I10" s="258">
        <v>2388500000</v>
      </c>
      <c r="J10" s="258">
        <v>26273500000</v>
      </c>
      <c r="K10" s="256" t="s">
        <v>1346</v>
      </c>
    </row>
    <row r="11" spans="1:11" x14ac:dyDescent="0.3">
      <c r="A11" s="256">
        <v>4</v>
      </c>
      <c r="B11" s="257" t="s">
        <v>1415</v>
      </c>
      <c r="C11" s="276">
        <v>44473</v>
      </c>
      <c r="D11" s="257" t="s">
        <v>1279</v>
      </c>
      <c r="E11" s="256" t="s">
        <v>1827</v>
      </c>
      <c r="F11" s="256" t="s">
        <v>1860</v>
      </c>
      <c r="G11" s="258">
        <v>14324000000</v>
      </c>
      <c r="H11" s="265">
        <v>0.1</v>
      </c>
      <c r="I11" s="258">
        <v>1432400000</v>
      </c>
      <c r="J11" s="258">
        <v>15756400000</v>
      </c>
      <c r="K11" s="256" t="s">
        <v>1348</v>
      </c>
    </row>
    <row r="12" spans="1:11" x14ac:dyDescent="0.3">
      <c r="A12" s="256">
        <v>5</v>
      </c>
      <c r="B12" s="257" t="s">
        <v>1406</v>
      </c>
      <c r="C12" s="276">
        <v>44474</v>
      </c>
      <c r="D12" s="257" t="s">
        <v>1275</v>
      </c>
      <c r="E12" s="256" t="s">
        <v>1808</v>
      </c>
      <c r="F12" s="256" t="s">
        <v>1857</v>
      </c>
      <c r="G12" s="258">
        <v>7395000000</v>
      </c>
      <c r="H12" s="265">
        <v>0.1</v>
      </c>
      <c r="I12" s="258">
        <v>739500000</v>
      </c>
      <c r="J12" s="258">
        <v>8134500000</v>
      </c>
      <c r="K12" s="256" t="s">
        <v>1346</v>
      </c>
    </row>
    <row r="13" spans="1:11" x14ac:dyDescent="0.3">
      <c r="A13" s="256">
        <v>6</v>
      </c>
      <c r="B13" s="257" t="s">
        <v>1401</v>
      </c>
      <c r="C13" s="276">
        <v>44475</v>
      </c>
      <c r="D13" s="257" t="s">
        <v>1280</v>
      </c>
      <c r="E13" s="256" t="s">
        <v>1777</v>
      </c>
      <c r="F13" s="256" t="s">
        <v>1861</v>
      </c>
      <c r="G13" s="258">
        <v>24364000000</v>
      </c>
      <c r="H13" s="265">
        <v>0.1</v>
      </c>
      <c r="I13" s="258">
        <v>2436400000</v>
      </c>
      <c r="J13" s="258">
        <v>26800400000</v>
      </c>
      <c r="K13" s="256" t="s">
        <v>1346</v>
      </c>
    </row>
    <row r="14" spans="1:11" x14ac:dyDescent="0.3">
      <c r="A14" s="256">
        <v>7</v>
      </c>
      <c r="B14" s="257" t="s">
        <v>1406</v>
      </c>
      <c r="C14" s="276">
        <v>44476</v>
      </c>
      <c r="D14" s="257" t="s">
        <v>1260</v>
      </c>
      <c r="E14" s="256" t="s">
        <v>1804</v>
      </c>
      <c r="F14" s="256" t="s">
        <v>1860</v>
      </c>
      <c r="G14" s="258">
        <v>9465000000</v>
      </c>
      <c r="H14" s="265">
        <v>0.1</v>
      </c>
      <c r="I14" s="258">
        <v>946500000</v>
      </c>
      <c r="J14" s="258">
        <v>10411500000</v>
      </c>
      <c r="K14" s="256" t="s">
        <v>1346</v>
      </c>
    </row>
    <row r="15" spans="1:11" x14ac:dyDescent="0.3">
      <c r="A15" s="256">
        <v>8</v>
      </c>
      <c r="B15" s="257" t="s">
        <v>1403</v>
      </c>
      <c r="C15" s="276">
        <v>44477</v>
      </c>
      <c r="D15" s="257" t="s">
        <v>1272</v>
      </c>
      <c r="E15" s="256" t="s">
        <v>1805</v>
      </c>
      <c r="F15" s="256" t="s">
        <v>1858</v>
      </c>
      <c r="G15" s="258">
        <v>22807000000</v>
      </c>
      <c r="H15" s="265">
        <v>0.1</v>
      </c>
      <c r="I15" s="258">
        <v>2280700000</v>
      </c>
      <c r="J15" s="258">
        <v>25087700000</v>
      </c>
      <c r="K15" s="256" t="s">
        <v>1346</v>
      </c>
    </row>
    <row r="16" spans="1:11" x14ac:dyDescent="0.3">
      <c r="A16" s="256">
        <v>9</v>
      </c>
      <c r="B16" s="257" t="s">
        <v>1368</v>
      </c>
      <c r="C16" s="276">
        <v>44478</v>
      </c>
      <c r="D16" s="257" t="s">
        <v>1297</v>
      </c>
      <c r="E16" s="256" t="s">
        <v>1820</v>
      </c>
      <c r="F16" s="256" t="s">
        <v>1859</v>
      </c>
      <c r="G16" s="258">
        <v>24045000000</v>
      </c>
      <c r="H16" s="265">
        <v>0.1</v>
      </c>
      <c r="I16" s="258">
        <v>2404500000</v>
      </c>
      <c r="J16" s="258">
        <v>26449500000</v>
      </c>
      <c r="K16" s="256" t="s">
        <v>1348</v>
      </c>
    </row>
    <row r="17" spans="1:11" x14ac:dyDescent="0.3">
      <c r="A17" s="256">
        <v>10</v>
      </c>
      <c r="B17" s="257" t="s">
        <v>1394</v>
      </c>
      <c r="C17" s="276">
        <v>44479</v>
      </c>
      <c r="D17" s="257" t="s">
        <v>1267</v>
      </c>
      <c r="E17" s="256" t="s">
        <v>1810</v>
      </c>
      <c r="F17" s="256" t="s">
        <v>1862</v>
      </c>
      <c r="G17" s="258">
        <v>7370000000</v>
      </c>
      <c r="H17" s="265">
        <v>0.1</v>
      </c>
      <c r="I17" s="258">
        <v>737000000</v>
      </c>
      <c r="J17" s="258">
        <v>8107000000</v>
      </c>
      <c r="K17" s="256" t="s">
        <v>1346</v>
      </c>
    </row>
    <row r="18" spans="1:11" x14ac:dyDescent="0.3">
      <c r="A18" s="256">
        <v>11</v>
      </c>
      <c r="B18" s="257" t="s">
        <v>1397</v>
      </c>
      <c r="C18" s="276">
        <v>44480</v>
      </c>
      <c r="D18" s="257" t="s">
        <v>1256</v>
      </c>
      <c r="E18" s="256" t="s">
        <v>1802</v>
      </c>
      <c r="F18" s="256" t="s">
        <v>1861</v>
      </c>
      <c r="G18" s="258">
        <v>9600000000</v>
      </c>
      <c r="H18" s="265">
        <v>0.1</v>
      </c>
      <c r="I18" s="258">
        <v>960000000</v>
      </c>
      <c r="J18" s="258">
        <v>10560000000</v>
      </c>
      <c r="K18" s="256" t="s">
        <v>1346</v>
      </c>
    </row>
    <row r="19" spans="1:11" x14ac:dyDescent="0.3">
      <c r="A19" s="256">
        <v>12</v>
      </c>
      <c r="B19" s="257" t="s">
        <v>1371</v>
      </c>
      <c r="C19" s="276">
        <v>44481</v>
      </c>
      <c r="D19" s="257" t="s">
        <v>1299</v>
      </c>
      <c r="E19" s="256" t="s">
        <v>1776</v>
      </c>
      <c r="F19" s="256" t="s">
        <v>1863</v>
      </c>
      <c r="G19" s="258">
        <v>7036000000</v>
      </c>
      <c r="H19" s="265">
        <v>0.1</v>
      </c>
      <c r="I19" s="258">
        <v>703600000</v>
      </c>
      <c r="J19" s="258">
        <v>7739600000</v>
      </c>
      <c r="K19" s="256" t="s">
        <v>1346</v>
      </c>
    </row>
    <row r="20" spans="1:11" x14ac:dyDescent="0.3">
      <c r="A20" s="256">
        <v>13</v>
      </c>
      <c r="B20" s="257" t="s">
        <v>1408</v>
      </c>
      <c r="C20" s="276">
        <v>44211</v>
      </c>
      <c r="D20" s="257" t="s">
        <v>1278</v>
      </c>
      <c r="E20" s="256" t="s">
        <v>1785</v>
      </c>
      <c r="F20" s="256" t="s">
        <v>1860</v>
      </c>
      <c r="G20" s="258">
        <v>20960000000</v>
      </c>
      <c r="H20" s="265">
        <v>0.1</v>
      </c>
      <c r="I20" s="258">
        <v>2096000000</v>
      </c>
      <c r="J20" s="258">
        <v>23056000000</v>
      </c>
      <c r="K20" s="256" t="s">
        <v>1346</v>
      </c>
    </row>
    <row r="21" spans="1:11" x14ac:dyDescent="0.3">
      <c r="A21" s="256">
        <v>14</v>
      </c>
      <c r="B21" s="257" t="s">
        <v>1391</v>
      </c>
      <c r="C21" s="276">
        <v>44242</v>
      </c>
      <c r="D21" s="257" t="s">
        <v>1255</v>
      </c>
      <c r="E21" s="273">
        <v>46152</v>
      </c>
      <c r="F21" s="256" t="s">
        <v>1860</v>
      </c>
      <c r="G21" s="258">
        <v>10526000000</v>
      </c>
      <c r="H21" s="265">
        <v>0.1</v>
      </c>
      <c r="I21" s="258">
        <v>1052600000</v>
      </c>
      <c r="J21" s="258">
        <v>11578600000</v>
      </c>
      <c r="K21" s="256" t="s">
        <v>1346</v>
      </c>
    </row>
    <row r="22" spans="1:11" x14ac:dyDescent="0.3">
      <c r="A22" s="256">
        <v>15</v>
      </c>
      <c r="B22" s="257" t="s">
        <v>1398</v>
      </c>
      <c r="C22" s="276">
        <v>44275</v>
      </c>
      <c r="D22" s="257" t="s">
        <v>1274</v>
      </c>
      <c r="E22" s="256" t="s">
        <v>1794</v>
      </c>
      <c r="F22" s="256" t="s">
        <v>1863</v>
      </c>
      <c r="G22" s="258">
        <v>24497000000</v>
      </c>
      <c r="H22" s="265">
        <v>0.1</v>
      </c>
      <c r="I22" s="258">
        <v>2449700000</v>
      </c>
      <c r="J22" s="258">
        <v>26946700000</v>
      </c>
      <c r="K22" s="256" t="s">
        <v>1346</v>
      </c>
    </row>
    <row r="23" spans="1:11" x14ac:dyDescent="0.3">
      <c r="A23" s="256">
        <v>16</v>
      </c>
      <c r="B23" s="257" t="s">
        <v>1404</v>
      </c>
      <c r="C23" s="276">
        <v>44306</v>
      </c>
      <c r="D23" s="257" t="s">
        <v>1262</v>
      </c>
      <c r="E23" s="256" t="s">
        <v>1816</v>
      </c>
      <c r="F23" s="256" t="s">
        <v>1862</v>
      </c>
      <c r="G23" s="258">
        <v>11085000000</v>
      </c>
      <c r="H23" s="265">
        <v>0.1</v>
      </c>
      <c r="I23" s="258">
        <v>1108500000</v>
      </c>
      <c r="J23" s="258">
        <v>12193500000</v>
      </c>
      <c r="K23" s="256" t="s">
        <v>1346</v>
      </c>
    </row>
    <row r="24" spans="1:11" x14ac:dyDescent="0.3">
      <c r="A24" s="256">
        <v>17</v>
      </c>
      <c r="B24" s="257" t="s">
        <v>1374</v>
      </c>
      <c r="C24" s="276">
        <v>44336</v>
      </c>
      <c r="D24" s="257" t="s">
        <v>1292</v>
      </c>
      <c r="E24" s="256" t="s">
        <v>1792</v>
      </c>
      <c r="F24" s="256" t="s">
        <v>1862</v>
      </c>
      <c r="G24" s="258">
        <v>9678000000</v>
      </c>
      <c r="H24" s="265">
        <v>0.1</v>
      </c>
      <c r="I24" s="258">
        <v>967800000</v>
      </c>
      <c r="J24" s="258">
        <v>10645800000</v>
      </c>
      <c r="K24" s="256" t="s">
        <v>1348</v>
      </c>
    </row>
    <row r="25" spans="1:11" x14ac:dyDescent="0.3">
      <c r="A25" s="256">
        <v>18</v>
      </c>
      <c r="B25" s="257" t="s">
        <v>1364</v>
      </c>
      <c r="C25" s="276">
        <v>44367</v>
      </c>
      <c r="D25" s="257" t="s">
        <v>1301</v>
      </c>
      <c r="E25" s="256" t="s">
        <v>1781</v>
      </c>
      <c r="F25" s="256" t="s">
        <v>1857</v>
      </c>
      <c r="G25" s="258">
        <v>9194000000</v>
      </c>
      <c r="H25" s="265">
        <v>0.1</v>
      </c>
      <c r="I25" s="258">
        <v>919400000</v>
      </c>
      <c r="J25" s="258">
        <v>10113400000</v>
      </c>
      <c r="K25" s="256" t="s">
        <v>1346</v>
      </c>
    </row>
    <row r="26" spans="1:11" x14ac:dyDescent="0.3">
      <c r="A26" s="256">
        <v>19</v>
      </c>
      <c r="B26" s="257" t="s">
        <v>1381</v>
      </c>
      <c r="C26" s="276">
        <v>44397</v>
      </c>
      <c r="D26" s="257" t="s">
        <v>1288</v>
      </c>
      <c r="E26" s="256" t="s">
        <v>1797</v>
      </c>
      <c r="F26" s="256" t="s">
        <v>1863</v>
      </c>
      <c r="G26" s="258">
        <v>19298000000</v>
      </c>
      <c r="H26" s="265">
        <v>0.1</v>
      </c>
      <c r="I26" s="258">
        <v>1929800000</v>
      </c>
      <c r="J26" s="258">
        <v>21227800000</v>
      </c>
      <c r="K26" s="256" t="s">
        <v>1346</v>
      </c>
    </row>
    <row r="27" spans="1:11" x14ac:dyDescent="0.3">
      <c r="A27" s="256">
        <v>20</v>
      </c>
      <c r="B27" s="257" t="s">
        <v>1408</v>
      </c>
      <c r="C27" s="276">
        <v>44428</v>
      </c>
      <c r="D27" s="257" t="s">
        <v>1275</v>
      </c>
      <c r="E27" s="256" t="s">
        <v>1808</v>
      </c>
      <c r="F27" s="256" t="s">
        <v>1860</v>
      </c>
      <c r="G27" s="258">
        <v>15626000000</v>
      </c>
      <c r="H27" s="265">
        <v>0.1</v>
      </c>
      <c r="I27" s="258">
        <v>1562600000</v>
      </c>
      <c r="J27" s="258">
        <v>17188600000</v>
      </c>
      <c r="K27" s="256" t="s">
        <v>1346</v>
      </c>
    </row>
    <row r="28" spans="1:11" x14ac:dyDescent="0.3">
      <c r="A28" s="256">
        <v>21</v>
      </c>
      <c r="B28" s="257" t="s">
        <v>1378</v>
      </c>
      <c r="C28" s="276">
        <v>44459</v>
      </c>
      <c r="D28" s="257" t="s">
        <v>1304</v>
      </c>
      <c r="E28" s="256" t="s">
        <v>1831</v>
      </c>
      <c r="F28" s="256" t="s">
        <v>1858</v>
      </c>
      <c r="G28" s="258">
        <v>24831000000</v>
      </c>
      <c r="H28" s="265">
        <v>0.1</v>
      </c>
      <c r="I28" s="258">
        <v>2483100000</v>
      </c>
      <c r="J28" s="258">
        <v>27314100000</v>
      </c>
      <c r="K28" s="256" t="s">
        <v>1346</v>
      </c>
    </row>
    <row r="29" spans="1:11" x14ac:dyDescent="0.3">
      <c r="A29" s="256">
        <v>22</v>
      </c>
      <c r="B29" s="257" t="s">
        <v>1405</v>
      </c>
      <c r="C29" s="276">
        <v>44489</v>
      </c>
      <c r="D29" s="257" t="s">
        <v>1262</v>
      </c>
      <c r="E29" s="256" t="s">
        <v>1816</v>
      </c>
      <c r="F29" s="256" t="s">
        <v>1858</v>
      </c>
      <c r="G29" s="258">
        <v>16580000000</v>
      </c>
      <c r="H29" s="265">
        <v>0.1</v>
      </c>
      <c r="I29" s="258">
        <v>1658000000</v>
      </c>
      <c r="J29" s="258">
        <v>18238000000</v>
      </c>
      <c r="K29" s="256" t="s">
        <v>1346</v>
      </c>
    </row>
    <row r="30" spans="1:11" x14ac:dyDescent="0.3">
      <c r="A30" s="256">
        <v>23</v>
      </c>
      <c r="B30" s="257" t="s">
        <v>1362</v>
      </c>
      <c r="C30" s="276">
        <v>44520</v>
      </c>
      <c r="D30" s="257" t="s">
        <v>1303</v>
      </c>
      <c r="E30" s="256" t="s">
        <v>1817</v>
      </c>
      <c r="F30" s="256" t="s">
        <v>1860</v>
      </c>
      <c r="G30" s="258">
        <v>13812000000</v>
      </c>
      <c r="H30" s="265">
        <v>0.1</v>
      </c>
      <c r="I30" s="258">
        <v>1381200000</v>
      </c>
      <c r="J30" s="258">
        <v>15193200000</v>
      </c>
      <c r="K30" s="256" t="s">
        <v>1346</v>
      </c>
    </row>
    <row r="31" spans="1:11" x14ac:dyDescent="0.3">
      <c r="A31" s="256">
        <v>24</v>
      </c>
      <c r="B31" s="257" t="s">
        <v>1376</v>
      </c>
      <c r="C31" s="276">
        <v>44550</v>
      </c>
      <c r="D31" s="257" t="s">
        <v>1295</v>
      </c>
      <c r="E31" s="256" t="s">
        <v>1825</v>
      </c>
      <c r="F31" s="256" t="s">
        <v>1857</v>
      </c>
      <c r="G31" s="258">
        <v>24453000000</v>
      </c>
      <c r="H31" s="265">
        <v>0.1</v>
      </c>
      <c r="I31" s="258">
        <v>2445300000</v>
      </c>
      <c r="J31" s="258">
        <v>26898300000</v>
      </c>
      <c r="K31" s="256" t="s">
        <v>1346</v>
      </c>
    </row>
    <row r="32" spans="1:11" x14ac:dyDescent="0.3">
      <c r="A32" s="256">
        <v>25</v>
      </c>
      <c r="B32" s="257" t="s">
        <v>1405</v>
      </c>
      <c r="C32" s="276">
        <v>44221</v>
      </c>
      <c r="D32" s="257" t="s">
        <v>1268</v>
      </c>
      <c r="E32" s="256" t="s">
        <v>1821</v>
      </c>
      <c r="F32" s="256" t="s">
        <v>1862</v>
      </c>
      <c r="G32" s="258">
        <v>7915000000</v>
      </c>
      <c r="H32" s="265">
        <v>0.1</v>
      </c>
      <c r="I32" s="258">
        <v>791500000</v>
      </c>
      <c r="J32" s="258">
        <v>8706500000</v>
      </c>
      <c r="K32" s="256" t="s">
        <v>1346</v>
      </c>
    </row>
    <row r="33" spans="1:11" x14ac:dyDescent="0.3">
      <c r="A33" s="256">
        <v>26</v>
      </c>
      <c r="B33" s="257" t="s">
        <v>1402</v>
      </c>
      <c r="C33" s="276">
        <v>44255</v>
      </c>
      <c r="D33" s="257" t="s">
        <v>1280</v>
      </c>
      <c r="E33" s="256" t="s">
        <v>1777</v>
      </c>
      <c r="F33" s="256" t="s">
        <v>1860</v>
      </c>
      <c r="G33" s="258">
        <v>25168000000</v>
      </c>
      <c r="H33" s="265">
        <v>0.1</v>
      </c>
      <c r="I33" s="258">
        <v>2516800000</v>
      </c>
      <c r="J33" s="258">
        <v>27684800000</v>
      </c>
      <c r="K33" s="256" t="s">
        <v>1346</v>
      </c>
    </row>
    <row r="34" spans="1:11" x14ac:dyDescent="0.3">
      <c r="A34" s="256">
        <v>27</v>
      </c>
      <c r="B34" s="257" t="s">
        <v>1409</v>
      </c>
      <c r="C34" s="276">
        <v>44316</v>
      </c>
      <c r="D34" s="257" t="s">
        <v>1259</v>
      </c>
      <c r="E34" s="256" t="s">
        <v>1788</v>
      </c>
      <c r="F34" s="256" t="s">
        <v>1859</v>
      </c>
      <c r="G34" s="258">
        <v>22173000000</v>
      </c>
      <c r="H34" s="265">
        <v>0.1</v>
      </c>
      <c r="I34" s="258">
        <v>2217300000</v>
      </c>
      <c r="J34" s="258">
        <v>24390300000</v>
      </c>
      <c r="K34" s="256" t="s">
        <v>1346</v>
      </c>
    </row>
    <row r="35" spans="1:11" x14ac:dyDescent="0.3">
      <c r="A35" s="256">
        <v>28</v>
      </c>
      <c r="B35" s="257" t="s">
        <v>1398</v>
      </c>
      <c r="C35" s="276">
        <v>44377</v>
      </c>
      <c r="D35" s="257" t="s">
        <v>1273</v>
      </c>
      <c r="E35" s="256" t="s">
        <v>1829</v>
      </c>
      <c r="F35" s="256" t="s">
        <v>1862</v>
      </c>
      <c r="G35" s="258">
        <v>20514000000</v>
      </c>
      <c r="H35" s="265">
        <v>0</v>
      </c>
      <c r="I35" s="258">
        <v>0</v>
      </c>
      <c r="J35" s="258">
        <v>20514000000</v>
      </c>
      <c r="K35" s="256" t="s">
        <v>1348</v>
      </c>
    </row>
    <row r="36" spans="1:11" x14ac:dyDescent="0.3">
      <c r="A36" s="256">
        <v>29</v>
      </c>
      <c r="B36" s="257" t="s">
        <v>1207</v>
      </c>
      <c r="C36" s="276">
        <v>44469</v>
      </c>
      <c r="D36" s="257" t="s">
        <v>1277</v>
      </c>
      <c r="E36" s="256" t="s">
        <v>1783</v>
      </c>
      <c r="F36" s="256" t="s">
        <v>1859</v>
      </c>
      <c r="G36" s="258">
        <v>6379000000</v>
      </c>
      <c r="H36" s="265">
        <v>0.1</v>
      </c>
      <c r="I36" s="258">
        <v>637900000</v>
      </c>
      <c r="J36" s="258">
        <v>7016900000</v>
      </c>
      <c r="K36" s="256" t="s">
        <v>1346</v>
      </c>
    </row>
    <row r="37" spans="1:11" x14ac:dyDescent="0.3">
      <c r="A37" s="256">
        <v>30</v>
      </c>
      <c r="B37" s="257" t="s">
        <v>1392</v>
      </c>
      <c r="C37" s="276">
        <v>44530</v>
      </c>
      <c r="D37" s="257" t="s">
        <v>1255</v>
      </c>
      <c r="E37" s="273">
        <v>46152</v>
      </c>
      <c r="F37" s="256" t="s">
        <v>1860</v>
      </c>
      <c r="G37" s="258">
        <v>6411000000</v>
      </c>
      <c r="H37" s="265">
        <v>0.1</v>
      </c>
      <c r="I37" s="258">
        <v>641100000</v>
      </c>
      <c r="J37" s="258">
        <v>7052100000</v>
      </c>
      <c r="K37" s="256" t="s">
        <v>1346</v>
      </c>
    </row>
    <row r="38" spans="1:11" x14ac:dyDescent="0.3">
      <c r="A38" s="256">
        <v>31</v>
      </c>
      <c r="B38" s="257" t="s">
        <v>1379</v>
      </c>
      <c r="C38" s="276">
        <v>44286</v>
      </c>
      <c r="D38" s="257" t="s">
        <v>1287</v>
      </c>
      <c r="E38" s="256" t="s">
        <v>1801</v>
      </c>
      <c r="F38" s="256" t="s">
        <v>1863</v>
      </c>
      <c r="G38" s="258">
        <v>12076000000</v>
      </c>
      <c r="H38" s="265">
        <v>0.1</v>
      </c>
      <c r="I38" s="258">
        <v>1207600000</v>
      </c>
      <c r="J38" s="258">
        <v>13283600000</v>
      </c>
      <c r="K38" s="256" t="s">
        <v>1346</v>
      </c>
    </row>
    <row r="39" spans="1:11" x14ac:dyDescent="0.3">
      <c r="A39" s="256">
        <v>32</v>
      </c>
      <c r="B39" s="257" t="s">
        <v>1408</v>
      </c>
      <c r="C39" s="276">
        <v>44347</v>
      </c>
      <c r="D39" s="257" t="s">
        <v>1260</v>
      </c>
      <c r="E39" s="256" t="s">
        <v>1804</v>
      </c>
      <c r="F39" s="256" t="s">
        <v>1859</v>
      </c>
      <c r="G39" s="258">
        <v>10369000000</v>
      </c>
      <c r="H39" s="265">
        <v>0</v>
      </c>
      <c r="I39" s="258">
        <v>0</v>
      </c>
      <c r="J39" s="258">
        <v>10369000000</v>
      </c>
      <c r="K39" s="256" t="s">
        <v>1346</v>
      </c>
    </row>
    <row r="40" spans="1:11" x14ac:dyDescent="0.3">
      <c r="A40" s="256">
        <v>33</v>
      </c>
      <c r="B40" s="257" t="s">
        <v>1368</v>
      </c>
      <c r="C40" s="276">
        <v>44408</v>
      </c>
      <c r="D40" s="257" t="s">
        <v>1261</v>
      </c>
      <c r="E40" s="256" t="s">
        <v>1813</v>
      </c>
      <c r="F40" s="256" t="s">
        <v>1859</v>
      </c>
      <c r="G40" s="258">
        <v>9525000000</v>
      </c>
      <c r="H40" s="265">
        <v>0.1</v>
      </c>
      <c r="I40" s="258">
        <v>952500000</v>
      </c>
      <c r="J40" s="258">
        <v>10477500000</v>
      </c>
      <c r="K40" s="256" t="s">
        <v>1346</v>
      </c>
    </row>
    <row r="41" spans="1:11" x14ac:dyDescent="0.3">
      <c r="A41" s="256">
        <v>34</v>
      </c>
      <c r="B41" s="257" t="s">
        <v>1409</v>
      </c>
      <c r="C41" s="276">
        <v>44439</v>
      </c>
      <c r="D41" s="257" t="s">
        <v>1275</v>
      </c>
      <c r="E41" s="256" t="s">
        <v>1808</v>
      </c>
      <c r="F41" s="256" t="s">
        <v>1861</v>
      </c>
      <c r="G41" s="258">
        <v>24473000000</v>
      </c>
      <c r="H41" s="265">
        <v>0.1</v>
      </c>
      <c r="I41" s="258">
        <v>2447300000</v>
      </c>
      <c r="J41" s="258">
        <v>26920300000</v>
      </c>
      <c r="K41" s="256" t="s">
        <v>1348</v>
      </c>
    </row>
    <row r="42" spans="1:11" x14ac:dyDescent="0.3">
      <c r="A42" s="256">
        <v>35</v>
      </c>
      <c r="B42" s="257" t="s">
        <v>1406</v>
      </c>
      <c r="C42" s="276">
        <v>44500</v>
      </c>
      <c r="D42" s="257" t="s">
        <v>1262</v>
      </c>
      <c r="E42" s="256" t="s">
        <v>1816</v>
      </c>
      <c r="F42" s="256" t="s">
        <v>1860</v>
      </c>
      <c r="G42" s="258">
        <v>13961000000</v>
      </c>
      <c r="H42" s="265">
        <v>0.1</v>
      </c>
      <c r="I42" s="258">
        <v>1396100000</v>
      </c>
      <c r="J42" s="258">
        <v>15357100000</v>
      </c>
      <c r="K42" s="256" t="s">
        <v>1346</v>
      </c>
    </row>
    <row r="43" spans="1:11" x14ac:dyDescent="0.3">
      <c r="A43" s="256">
        <v>36</v>
      </c>
      <c r="B43" s="257" t="s">
        <v>1379</v>
      </c>
      <c r="C43" s="276">
        <v>44561</v>
      </c>
      <c r="D43" s="257" t="s">
        <v>1290</v>
      </c>
      <c r="E43" s="256" t="s">
        <v>1796</v>
      </c>
      <c r="F43" s="256" t="s">
        <v>1861</v>
      </c>
      <c r="G43" s="258">
        <v>13738000000</v>
      </c>
      <c r="H43" s="265">
        <v>0.1</v>
      </c>
      <c r="I43" s="258">
        <v>1373800000</v>
      </c>
      <c r="J43" s="258">
        <v>15111800000</v>
      </c>
      <c r="K43" s="256" t="s">
        <v>1346</v>
      </c>
    </row>
    <row r="44" spans="1:11" x14ac:dyDescent="0.3">
      <c r="A44" s="256">
        <v>37</v>
      </c>
      <c r="B44" s="257" t="s">
        <v>1456</v>
      </c>
      <c r="C44" s="276">
        <v>44561</v>
      </c>
      <c r="D44" s="257" t="s">
        <v>1284</v>
      </c>
      <c r="E44" s="256" t="s">
        <v>1786</v>
      </c>
      <c r="F44" s="256" t="s">
        <v>1861</v>
      </c>
      <c r="G44" s="258">
        <v>18118000000</v>
      </c>
      <c r="H44" s="265">
        <v>0.1</v>
      </c>
      <c r="I44" s="258">
        <v>1811800000</v>
      </c>
      <c r="J44" s="258">
        <v>19929800000</v>
      </c>
      <c r="K44" s="256" t="s">
        <v>1346</v>
      </c>
    </row>
    <row r="45" spans="1:11" x14ac:dyDescent="0.3">
      <c r="A45" s="256">
        <v>38</v>
      </c>
      <c r="B45" s="257" t="s">
        <v>1366</v>
      </c>
      <c r="C45" s="276">
        <v>44561</v>
      </c>
      <c r="D45" s="257" t="s">
        <v>1301</v>
      </c>
      <c r="E45" s="256" t="s">
        <v>1781</v>
      </c>
      <c r="F45" s="256" t="s">
        <v>1860</v>
      </c>
      <c r="G45" s="258">
        <v>13307000000</v>
      </c>
      <c r="H45" s="265">
        <v>0.1</v>
      </c>
      <c r="I45" s="258">
        <v>1330700000</v>
      </c>
      <c r="J45" s="258">
        <v>14637700000</v>
      </c>
      <c r="K45" s="256" t="s">
        <v>1346</v>
      </c>
    </row>
    <row r="46" spans="1:11" x14ac:dyDescent="0.3">
      <c r="A46" s="256">
        <v>39</v>
      </c>
      <c r="B46" s="257" t="s">
        <v>1379</v>
      </c>
      <c r="C46" s="276">
        <v>44561</v>
      </c>
      <c r="D46" s="257" t="s">
        <v>1304</v>
      </c>
      <c r="E46" s="256" t="s">
        <v>1831</v>
      </c>
      <c r="F46" s="256" t="s">
        <v>1859</v>
      </c>
      <c r="G46" s="258">
        <v>23825000000</v>
      </c>
      <c r="H46" s="265">
        <v>0.1</v>
      </c>
      <c r="I46" s="258">
        <v>2382500000</v>
      </c>
      <c r="J46" s="258">
        <v>26207500000</v>
      </c>
      <c r="K46" s="256" t="s">
        <v>1346</v>
      </c>
    </row>
    <row r="47" spans="1:11" x14ac:dyDescent="0.3">
      <c r="A47" s="256">
        <v>40</v>
      </c>
      <c r="B47" s="257" t="s">
        <v>1373</v>
      </c>
      <c r="C47" s="276">
        <v>44561</v>
      </c>
      <c r="D47" s="257" t="s">
        <v>1300</v>
      </c>
      <c r="E47" s="256" t="s">
        <v>1818</v>
      </c>
      <c r="F47" s="256" t="s">
        <v>1860</v>
      </c>
      <c r="G47" s="258">
        <v>23751000000</v>
      </c>
      <c r="H47" s="265">
        <v>0.1</v>
      </c>
      <c r="I47" s="258">
        <v>2375100000</v>
      </c>
      <c r="J47" s="258">
        <v>26126100000</v>
      </c>
      <c r="K47" s="256" t="s">
        <v>1346</v>
      </c>
    </row>
    <row r="48" spans="1:11" x14ac:dyDescent="0.3">
      <c r="A48" s="256">
        <v>41</v>
      </c>
      <c r="B48" s="257" t="s">
        <v>1373</v>
      </c>
      <c r="C48" s="276">
        <v>44561</v>
      </c>
      <c r="D48" s="257" t="s">
        <v>1299</v>
      </c>
      <c r="E48" s="256" t="s">
        <v>1776</v>
      </c>
      <c r="F48" s="256" t="s">
        <v>1861</v>
      </c>
      <c r="G48" s="258">
        <v>11657000000</v>
      </c>
      <c r="H48" s="265">
        <v>0.1</v>
      </c>
      <c r="I48" s="258">
        <v>1165700000</v>
      </c>
      <c r="J48" s="258">
        <v>12822700000</v>
      </c>
      <c r="K48" s="256" t="s">
        <v>1346</v>
      </c>
    </row>
    <row r="49" spans="1:11" x14ac:dyDescent="0.3">
      <c r="A49" s="256">
        <v>42</v>
      </c>
      <c r="B49" s="257" t="s">
        <v>1401</v>
      </c>
      <c r="C49" s="276">
        <v>44561</v>
      </c>
      <c r="D49" s="257" t="s">
        <v>1285</v>
      </c>
      <c r="E49" s="256" t="s">
        <v>1793</v>
      </c>
      <c r="F49" s="256" t="s">
        <v>1863</v>
      </c>
      <c r="G49" s="258">
        <v>14969000000</v>
      </c>
      <c r="H49" s="265">
        <v>0.1</v>
      </c>
      <c r="I49" s="258">
        <v>1496900000</v>
      </c>
      <c r="J49" s="258">
        <v>16465900000</v>
      </c>
      <c r="K49" s="256" t="s">
        <v>1348</v>
      </c>
    </row>
    <row r="50" spans="1:11" x14ac:dyDescent="0.3">
      <c r="A50" s="256">
        <v>43</v>
      </c>
      <c r="B50" s="257" t="s">
        <v>1401</v>
      </c>
      <c r="C50" s="276">
        <v>44561</v>
      </c>
      <c r="D50" s="257" t="s">
        <v>1270</v>
      </c>
      <c r="E50" s="256" t="s">
        <v>1782</v>
      </c>
      <c r="F50" s="256" t="s">
        <v>1862</v>
      </c>
      <c r="G50" s="258">
        <v>25271000000</v>
      </c>
      <c r="H50" s="265">
        <v>0.1</v>
      </c>
      <c r="I50" s="258">
        <v>2527100000</v>
      </c>
      <c r="J50" s="258">
        <v>27798100000</v>
      </c>
      <c r="K50" s="256" t="s">
        <v>1346</v>
      </c>
    </row>
    <row r="51" spans="1:11" x14ac:dyDescent="0.3">
      <c r="A51" s="256">
        <v>44</v>
      </c>
      <c r="B51" s="257" t="s">
        <v>1387</v>
      </c>
      <c r="C51" s="276">
        <v>44561</v>
      </c>
      <c r="D51" s="257" t="s">
        <v>1257</v>
      </c>
      <c r="E51" s="256" t="s">
        <v>1815</v>
      </c>
      <c r="F51" s="256" t="s">
        <v>1860</v>
      </c>
      <c r="G51" s="258">
        <v>20271000000</v>
      </c>
      <c r="H51" s="265">
        <v>0.1</v>
      </c>
      <c r="I51" s="258">
        <v>2027100000</v>
      </c>
      <c r="J51" s="258">
        <v>22298100000</v>
      </c>
      <c r="K51" s="256" t="s">
        <v>1346</v>
      </c>
    </row>
    <row r="52" spans="1:11" x14ac:dyDescent="0.3">
      <c r="A52" s="256">
        <v>45</v>
      </c>
      <c r="B52" s="257" t="s">
        <v>1371</v>
      </c>
      <c r="C52" s="276">
        <v>44561</v>
      </c>
      <c r="D52" s="257" t="s">
        <v>1261</v>
      </c>
      <c r="E52" s="256" t="s">
        <v>1813</v>
      </c>
      <c r="F52" s="256" t="s">
        <v>1857</v>
      </c>
      <c r="G52" s="258">
        <v>13941000000</v>
      </c>
      <c r="H52" s="265">
        <v>0.1</v>
      </c>
      <c r="I52" s="258">
        <v>1394100000</v>
      </c>
      <c r="J52" s="258">
        <v>15335100000</v>
      </c>
      <c r="K52" s="256" t="s">
        <v>1346</v>
      </c>
    </row>
    <row r="53" spans="1:11" x14ac:dyDescent="0.3">
      <c r="A53" s="256">
        <v>46</v>
      </c>
      <c r="B53" s="257" t="s">
        <v>1388</v>
      </c>
      <c r="C53" s="276">
        <v>44561</v>
      </c>
      <c r="D53" s="257" t="s">
        <v>1257</v>
      </c>
      <c r="E53" s="256" t="s">
        <v>1815</v>
      </c>
      <c r="F53" s="256" t="s">
        <v>1861</v>
      </c>
      <c r="G53" s="258">
        <v>19936000000</v>
      </c>
      <c r="H53" s="265">
        <v>0.1</v>
      </c>
      <c r="I53" s="258">
        <v>1993600000</v>
      </c>
      <c r="J53" s="258">
        <v>21929600000</v>
      </c>
      <c r="K53" s="256" t="s">
        <v>1346</v>
      </c>
    </row>
    <row r="54" spans="1:11" x14ac:dyDescent="0.3">
      <c r="A54" s="256">
        <v>47</v>
      </c>
      <c r="B54" s="257" t="s">
        <v>1208</v>
      </c>
      <c r="C54" s="276">
        <v>44561</v>
      </c>
      <c r="D54" s="257" t="s">
        <v>1277</v>
      </c>
      <c r="E54" s="256" t="s">
        <v>1783</v>
      </c>
      <c r="F54" s="256" t="s">
        <v>1857</v>
      </c>
      <c r="G54" s="258">
        <v>6921000000</v>
      </c>
      <c r="H54" s="265">
        <v>0.1</v>
      </c>
      <c r="I54" s="258">
        <v>692100000</v>
      </c>
      <c r="J54" s="258">
        <v>7613100000</v>
      </c>
      <c r="K54" s="256" t="s">
        <v>1346</v>
      </c>
    </row>
    <row r="55" spans="1:11" x14ac:dyDescent="0.3">
      <c r="A55" s="256">
        <v>48</v>
      </c>
      <c r="B55" s="257" t="s">
        <v>1402</v>
      </c>
      <c r="C55" s="276">
        <v>44561</v>
      </c>
      <c r="D55" s="257" t="s">
        <v>1266</v>
      </c>
      <c r="E55" s="256" t="s">
        <v>1824</v>
      </c>
      <c r="F55" s="256" t="s">
        <v>1857</v>
      </c>
      <c r="G55" s="258">
        <v>18454000000</v>
      </c>
      <c r="H55" s="265">
        <v>0.1</v>
      </c>
      <c r="I55" s="258">
        <v>1845400000</v>
      </c>
      <c r="J55" s="258">
        <v>20299400000</v>
      </c>
      <c r="K55" s="256" t="s">
        <v>1346</v>
      </c>
    </row>
    <row r="56" spans="1:11" x14ac:dyDescent="0.3">
      <c r="A56" s="256">
        <v>49</v>
      </c>
      <c r="B56" s="257" t="s">
        <v>1360</v>
      </c>
      <c r="C56" s="276">
        <v>44561</v>
      </c>
      <c r="D56" s="257" t="s">
        <v>1286</v>
      </c>
      <c r="E56" s="256" t="s">
        <v>1828</v>
      </c>
      <c r="F56" s="256" t="s">
        <v>1861</v>
      </c>
      <c r="G56" s="258">
        <v>16439000000</v>
      </c>
      <c r="H56" s="265">
        <v>0.1</v>
      </c>
      <c r="I56" s="258">
        <v>1643900000</v>
      </c>
      <c r="J56" s="258">
        <v>18082900000</v>
      </c>
      <c r="K56" s="256" t="s">
        <v>1346</v>
      </c>
    </row>
    <row r="57" spans="1:11" x14ac:dyDescent="0.3">
      <c r="A57" s="256">
        <v>50</v>
      </c>
      <c r="B57" s="257" t="s">
        <v>1205</v>
      </c>
      <c r="C57" s="276">
        <v>44561</v>
      </c>
      <c r="D57" s="257" t="s">
        <v>1269</v>
      </c>
      <c r="E57" s="256" t="s">
        <v>1823</v>
      </c>
      <c r="F57" s="256" t="s">
        <v>1857</v>
      </c>
      <c r="G57" s="258">
        <v>24919000000</v>
      </c>
      <c r="H57" s="265">
        <v>0.1</v>
      </c>
      <c r="I57" s="258">
        <v>2491900000</v>
      </c>
      <c r="J57" s="258">
        <v>27410900000</v>
      </c>
      <c r="K57" s="256" t="s">
        <v>1346</v>
      </c>
    </row>
    <row r="58" spans="1:11" x14ac:dyDescent="0.3">
      <c r="A58" s="266" t="s">
        <v>1351</v>
      </c>
      <c r="B58" s="266"/>
      <c r="C58" s="266"/>
      <c r="D58" s="266"/>
      <c r="E58" s="266"/>
      <c r="F58" s="266"/>
      <c r="G58" s="267">
        <f>SUM(G8:G57)</f>
        <v>804694000000</v>
      </c>
      <c r="H58" s="266"/>
      <c r="I58" s="267">
        <f>SUM(I8:I57)</f>
        <v>77381100000</v>
      </c>
      <c r="J58" s="267">
        <f>SUM(J8:J57)</f>
        <v>882075100000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1256</v>
      </c>
      <c r="E62" s="256" t="s">
        <v>1802</v>
      </c>
      <c r="F62" s="256" t="s">
        <v>1864</v>
      </c>
      <c r="G62" s="258">
        <v>16982000000</v>
      </c>
      <c r="H62" s="265">
        <v>0.1</v>
      </c>
      <c r="I62" s="258">
        <v>1698200000</v>
      </c>
      <c r="J62" s="258">
        <v>18680200000</v>
      </c>
      <c r="K62" s="256" t="s">
        <v>1348</v>
      </c>
    </row>
    <row r="63" spans="1:11" x14ac:dyDescent="0.3">
      <c r="A63" s="256">
        <v>2</v>
      </c>
      <c r="B63" s="257" t="s">
        <v>1201</v>
      </c>
      <c r="C63" s="276">
        <v>44318</v>
      </c>
      <c r="D63" s="257" t="s">
        <v>1255</v>
      </c>
      <c r="E63" s="273">
        <v>46152</v>
      </c>
      <c r="F63" s="256" t="s">
        <v>1865</v>
      </c>
      <c r="G63" s="258">
        <v>21940000000</v>
      </c>
      <c r="H63" s="265">
        <v>0.1</v>
      </c>
      <c r="I63" s="258">
        <v>2194000000</v>
      </c>
      <c r="J63" s="258">
        <v>24134000000</v>
      </c>
      <c r="K63" s="256" t="s">
        <v>1346</v>
      </c>
    </row>
    <row r="64" spans="1:11" x14ac:dyDescent="0.3">
      <c r="A64" s="256">
        <v>3</v>
      </c>
      <c r="B64" s="257" t="s">
        <v>1202</v>
      </c>
      <c r="C64" s="276">
        <v>44472</v>
      </c>
      <c r="D64" s="257" t="s">
        <v>1303</v>
      </c>
      <c r="E64" s="256" t="s">
        <v>1817</v>
      </c>
      <c r="F64" s="256" t="s">
        <v>1866</v>
      </c>
      <c r="G64" s="258">
        <v>20516000000</v>
      </c>
      <c r="H64" s="265">
        <v>0.1</v>
      </c>
      <c r="I64" s="258">
        <v>2051600000</v>
      </c>
      <c r="J64" s="258">
        <v>22567600000</v>
      </c>
      <c r="K64" s="256" t="s">
        <v>1346</v>
      </c>
    </row>
    <row r="65" spans="1:11" x14ac:dyDescent="0.3">
      <c r="A65" s="256">
        <v>4</v>
      </c>
      <c r="B65" s="257" t="s">
        <v>1355</v>
      </c>
      <c r="C65" s="276">
        <v>44473</v>
      </c>
      <c r="D65" s="257" t="s">
        <v>1259</v>
      </c>
      <c r="E65" s="256" t="s">
        <v>1788</v>
      </c>
      <c r="F65" s="256" t="s">
        <v>1864</v>
      </c>
      <c r="G65" s="258">
        <v>20577000000</v>
      </c>
      <c r="H65" s="265">
        <v>0.1</v>
      </c>
      <c r="I65" s="258">
        <v>2057700000</v>
      </c>
      <c r="J65" s="258">
        <v>22634700000</v>
      </c>
      <c r="K65" s="256" t="s">
        <v>1346</v>
      </c>
    </row>
    <row r="66" spans="1:11" x14ac:dyDescent="0.3">
      <c r="A66" s="256">
        <v>5</v>
      </c>
      <c r="B66" s="257" t="s">
        <v>1356</v>
      </c>
      <c r="C66" s="276">
        <v>44474</v>
      </c>
      <c r="D66" s="257" t="s">
        <v>1281</v>
      </c>
      <c r="E66" s="256" t="s">
        <v>1806</v>
      </c>
      <c r="F66" s="256" t="s">
        <v>1866</v>
      </c>
      <c r="G66" s="258">
        <v>33884000000</v>
      </c>
      <c r="H66" s="265">
        <v>0.1</v>
      </c>
      <c r="I66" s="258">
        <v>3388400000</v>
      </c>
      <c r="J66" s="258">
        <v>37272400000</v>
      </c>
      <c r="K66" s="256" t="s">
        <v>1346</v>
      </c>
    </row>
    <row r="67" spans="1:11" x14ac:dyDescent="0.3">
      <c r="A67" s="256">
        <v>6</v>
      </c>
      <c r="B67" s="257" t="s">
        <v>1358</v>
      </c>
      <c r="C67" s="276">
        <v>44475</v>
      </c>
      <c r="D67" s="257" t="s">
        <v>1298</v>
      </c>
      <c r="E67" s="256" t="s">
        <v>1819</v>
      </c>
      <c r="F67" s="256" t="s">
        <v>1864</v>
      </c>
      <c r="G67" s="258">
        <v>24244000000</v>
      </c>
      <c r="H67" s="265">
        <v>0.1</v>
      </c>
      <c r="I67" s="258">
        <v>2424400000</v>
      </c>
      <c r="J67" s="258">
        <v>26668400000</v>
      </c>
      <c r="K67" s="256" t="s">
        <v>1346</v>
      </c>
    </row>
    <row r="68" spans="1:11" x14ac:dyDescent="0.3">
      <c r="A68" s="256">
        <v>7</v>
      </c>
      <c r="B68" s="257" t="s">
        <v>1360</v>
      </c>
      <c r="C68" s="276">
        <v>44476</v>
      </c>
      <c r="D68" s="257" t="s">
        <v>1288</v>
      </c>
      <c r="E68" s="256" t="s">
        <v>1797</v>
      </c>
      <c r="F68" s="256" t="s">
        <v>1866</v>
      </c>
      <c r="G68" s="258">
        <v>13116000000</v>
      </c>
      <c r="H68" s="265">
        <v>0.1</v>
      </c>
      <c r="I68" s="258">
        <v>1311600000</v>
      </c>
      <c r="J68" s="258">
        <v>14427600000</v>
      </c>
      <c r="K68" s="256" t="s">
        <v>1346</v>
      </c>
    </row>
    <row r="69" spans="1:11" x14ac:dyDescent="0.3">
      <c r="A69" s="256">
        <v>8</v>
      </c>
      <c r="B69" s="257" t="s">
        <v>1362</v>
      </c>
      <c r="C69" s="276">
        <v>44477</v>
      </c>
      <c r="D69" s="257" t="s">
        <v>1265</v>
      </c>
      <c r="E69" s="256" t="s">
        <v>1830</v>
      </c>
      <c r="F69" s="256" t="s">
        <v>1864</v>
      </c>
      <c r="G69" s="258">
        <v>10817000000</v>
      </c>
      <c r="H69" s="265">
        <v>0</v>
      </c>
      <c r="I69" s="258">
        <v>0</v>
      </c>
      <c r="J69" s="258">
        <v>10817000000</v>
      </c>
      <c r="K69" s="256" t="s">
        <v>1346</v>
      </c>
    </row>
    <row r="70" spans="1:11" x14ac:dyDescent="0.3">
      <c r="A70" s="256">
        <v>9</v>
      </c>
      <c r="B70" s="257" t="s">
        <v>1364</v>
      </c>
      <c r="C70" s="276">
        <v>44478</v>
      </c>
      <c r="D70" s="257" t="s">
        <v>1279</v>
      </c>
      <c r="E70" s="256" t="s">
        <v>1827</v>
      </c>
      <c r="F70" s="256" t="s">
        <v>1864</v>
      </c>
      <c r="G70" s="258">
        <v>9000000000</v>
      </c>
      <c r="H70" s="265">
        <v>0.1</v>
      </c>
      <c r="I70" s="258">
        <v>900000000</v>
      </c>
      <c r="J70" s="258">
        <v>9900000000</v>
      </c>
      <c r="K70" s="256" t="s">
        <v>1346</v>
      </c>
    </row>
    <row r="71" spans="1:11" x14ac:dyDescent="0.3">
      <c r="A71" s="256">
        <v>10</v>
      </c>
      <c r="B71" s="257" t="s">
        <v>1366</v>
      </c>
      <c r="C71" s="276">
        <v>44479</v>
      </c>
      <c r="D71" s="257" t="s">
        <v>1303</v>
      </c>
      <c r="E71" s="256" t="s">
        <v>1817</v>
      </c>
      <c r="F71" s="256" t="s">
        <v>1867</v>
      </c>
      <c r="G71" s="258">
        <v>11664000000</v>
      </c>
      <c r="H71" s="265">
        <v>0.1</v>
      </c>
      <c r="I71" s="258">
        <v>1166400000</v>
      </c>
      <c r="J71" s="258">
        <v>12830400000</v>
      </c>
      <c r="K71" s="256" t="s">
        <v>1346</v>
      </c>
    </row>
    <row r="72" spans="1:11" x14ac:dyDescent="0.3">
      <c r="A72" s="256">
        <v>11</v>
      </c>
      <c r="B72" s="257" t="s">
        <v>1368</v>
      </c>
      <c r="C72" s="276">
        <v>44480</v>
      </c>
      <c r="D72" s="257" t="s">
        <v>1285</v>
      </c>
      <c r="E72" s="256" t="s">
        <v>1793</v>
      </c>
      <c r="F72" s="256" t="s">
        <v>1867</v>
      </c>
      <c r="G72" s="258">
        <v>28112000000</v>
      </c>
      <c r="H72" s="265">
        <v>0.1</v>
      </c>
      <c r="I72" s="258">
        <v>2811200000</v>
      </c>
      <c r="J72" s="258">
        <v>30923200000</v>
      </c>
      <c r="K72" s="256" t="s">
        <v>1346</v>
      </c>
    </row>
    <row r="73" spans="1:11" x14ac:dyDescent="0.3">
      <c r="A73" s="256">
        <v>12</v>
      </c>
      <c r="B73" s="257" t="s">
        <v>1371</v>
      </c>
      <c r="C73" s="276">
        <v>44481</v>
      </c>
      <c r="D73" s="257" t="s">
        <v>1280</v>
      </c>
      <c r="E73" s="256" t="s">
        <v>1777</v>
      </c>
      <c r="F73" s="256" t="s">
        <v>1864</v>
      </c>
      <c r="G73" s="258">
        <v>20018000000</v>
      </c>
      <c r="H73" s="265">
        <v>0.1</v>
      </c>
      <c r="I73" s="258">
        <v>2001800000</v>
      </c>
      <c r="J73" s="258">
        <v>22019800000</v>
      </c>
      <c r="K73" s="256" t="s">
        <v>1348</v>
      </c>
    </row>
    <row r="74" spans="1:11" x14ac:dyDescent="0.3">
      <c r="A74" s="256">
        <v>13</v>
      </c>
      <c r="B74" s="257" t="s">
        <v>1373</v>
      </c>
      <c r="C74" s="276">
        <v>44211</v>
      </c>
      <c r="D74" s="257" t="s">
        <v>1263</v>
      </c>
      <c r="E74" s="256" t="s">
        <v>1790</v>
      </c>
      <c r="F74" s="256" t="s">
        <v>1867</v>
      </c>
      <c r="G74" s="258">
        <v>33320000000</v>
      </c>
      <c r="H74" s="265">
        <v>0.1</v>
      </c>
      <c r="I74" s="258">
        <v>3332000000</v>
      </c>
      <c r="J74" s="258">
        <v>36652000000</v>
      </c>
      <c r="K74" s="256" t="s">
        <v>1346</v>
      </c>
    </row>
    <row r="75" spans="1:11" x14ac:dyDescent="0.3">
      <c r="A75" s="256">
        <v>14</v>
      </c>
      <c r="B75" s="257" t="s">
        <v>1374</v>
      </c>
      <c r="C75" s="276">
        <v>44242</v>
      </c>
      <c r="D75" s="257" t="s">
        <v>1274</v>
      </c>
      <c r="E75" s="256" t="s">
        <v>1794</v>
      </c>
      <c r="F75" s="256" t="s">
        <v>1865</v>
      </c>
      <c r="G75" s="258">
        <v>8764000000</v>
      </c>
      <c r="H75" s="265">
        <v>0.1</v>
      </c>
      <c r="I75" s="258">
        <v>876400000</v>
      </c>
      <c r="J75" s="258">
        <v>9640400000</v>
      </c>
      <c r="K75" s="256" t="s">
        <v>1346</v>
      </c>
    </row>
    <row r="76" spans="1:11" x14ac:dyDescent="0.3">
      <c r="A76" s="256">
        <v>15</v>
      </c>
      <c r="B76" s="257" t="s">
        <v>1376</v>
      </c>
      <c r="C76" s="276">
        <v>44275</v>
      </c>
      <c r="D76" s="257" t="s">
        <v>1294</v>
      </c>
      <c r="E76" s="256" t="s">
        <v>1795</v>
      </c>
      <c r="F76" s="256" t="s">
        <v>1867</v>
      </c>
      <c r="G76" s="258">
        <v>11006000000</v>
      </c>
      <c r="H76" s="265">
        <v>0.1</v>
      </c>
      <c r="I76" s="258">
        <v>1100600000</v>
      </c>
      <c r="J76" s="258">
        <v>12106600000</v>
      </c>
      <c r="K76" s="256" t="s">
        <v>1346</v>
      </c>
    </row>
    <row r="77" spans="1:11" x14ac:dyDescent="0.3">
      <c r="A77" s="256">
        <v>16</v>
      </c>
      <c r="B77" s="257" t="s">
        <v>1378</v>
      </c>
      <c r="C77" s="276">
        <v>44306</v>
      </c>
      <c r="D77" s="257" t="s">
        <v>1285</v>
      </c>
      <c r="E77" s="256" t="s">
        <v>1793</v>
      </c>
      <c r="F77" s="256" t="s">
        <v>1866</v>
      </c>
      <c r="G77" s="258">
        <v>29821000000</v>
      </c>
      <c r="H77" s="265">
        <v>0.1</v>
      </c>
      <c r="I77" s="258">
        <v>2982100000</v>
      </c>
      <c r="J77" s="258">
        <v>32803100000</v>
      </c>
      <c r="K77" s="256" t="s">
        <v>1346</v>
      </c>
    </row>
    <row r="78" spans="1:11" x14ac:dyDescent="0.3">
      <c r="A78" s="256">
        <v>17</v>
      </c>
      <c r="B78" s="257" t="s">
        <v>1379</v>
      </c>
      <c r="C78" s="276">
        <v>44336</v>
      </c>
      <c r="D78" s="257" t="s">
        <v>1282</v>
      </c>
      <c r="E78" s="256" t="s">
        <v>1789</v>
      </c>
      <c r="F78" s="256" t="s">
        <v>1864</v>
      </c>
      <c r="G78" s="258">
        <v>26169000000</v>
      </c>
      <c r="H78" s="265">
        <v>0.1</v>
      </c>
      <c r="I78" s="258">
        <v>2616900000</v>
      </c>
      <c r="J78" s="258">
        <v>28785900000</v>
      </c>
      <c r="K78" s="256" t="s">
        <v>1346</v>
      </c>
    </row>
    <row r="79" spans="1:11" x14ac:dyDescent="0.3">
      <c r="A79" s="256">
        <v>18</v>
      </c>
      <c r="B79" s="257" t="s">
        <v>1381</v>
      </c>
      <c r="C79" s="276">
        <v>44367</v>
      </c>
      <c r="D79" s="257" t="s">
        <v>1269</v>
      </c>
      <c r="E79" s="256" t="s">
        <v>1823</v>
      </c>
      <c r="F79" s="256" t="s">
        <v>1866</v>
      </c>
      <c r="G79" s="258">
        <v>33718000000</v>
      </c>
      <c r="H79" s="265">
        <v>0.1</v>
      </c>
      <c r="I79" s="258">
        <v>3371800000</v>
      </c>
      <c r="J79" s="258">
        <v>37089800000</v>
      </c>
      <c r="K79" s="256" t="s">
        <v>1348</v>
      </c>
    </row>
    <row r="80" spans="1:11" x14ac:dyDescent="0.3">
      <c r="A80" s="256">
        <v>19</v>
      </c>
      <c r="B80" s="257" t="s">
        <v>1382</v>
      </c>
      <c r="C80" s="276">
        <v>44397</v>
      </c>
      <c r="D80" s="257" t="s">
        <v>1279</v>
      </c>
      <c r="E80" s="256" t="s">
        <v>1827</v>
      </c>
      <c r="F80" s="256" t="s">
        <v>1865</v>
      </c>
      <c r="G80" s="258">
        <v>9368000000</v>
      </c>
      <c r="H80" s="265">
        <v>0.1</v>
      </c>
      <c r="I80" s="258">
        <v>936800000</v>
      </c>
      <c r="J80" s="258">
        <v>10304800000</v>
      </c>
      <c r="K80" s="256" t="s">
        <v>1346</v>
      </c>
    </row>
    <row r="81" spans="1:11" x14ac:dyDescent="0.3">
      <c r="A81" s="256">
        <v>20</v>
      </c>
      <c r="B81" s="257" t="s">
        <v>1383</v>
      </c>
      <c r="C81" s="276">
        <v>44428</v>
      </c>
      <c r="D81" s="257" t="s">
        <v>1280</v>
      </c>
      <c r="E81" s="256" t="s">
        <v>1777</v>
      </c>
      <c r="F81" s="256" t="s">
        <v>1865</v>
      </c>
      <c r="G81" s="258">
        <v>23670000000</v>
      </c>
      <c r="H81" s="265">
        <v>0.1</v>
      </c>
      <c r="I81" s="258">
        <v>2367000000</v>
      </c>
      <c r="J81" s="258">
        <v>26037000000</v>
      </c>
      <c r="K81" s="256" t="s">
        <v>1346</v>
      </c>
    </row>
    <row r="82" spans="1:11" x14ac:dyDescent="0.3">
      <c r="A82" s="256">
        <v>21</v>
      </c>
      <c r="B82" s="257" t="s">
        <v>1203</v>
      </c>
      <c r="C82" s="276">
        <v>44459</v>
      </c>
      <c r="D82" s="257" t="s">
        <v>1263</v>
      </c>
      <c r="E82" s="256" t="s">
        <v>1790</v>
      </c>
      <c r="F82" s="256" t="s">
        <v>1866</v>
      </c>
      <c r="G82" s="258">
        <v>29912000000</v>
      </c>
      <c r="H82" s="265">
        <v>0.1</v>
      </c>
      <c r="I82" s="258">
        <v>2991200000</v>
      </c>
      <c r="J82" s="258">
        <v>32903200000</v>
      </c>
      <c r="K82" s="256" t="s">
        <v>1346</v>
      </c>
    </row>
    <row r="83" spans="1:11" x14ac:dyDescent="0.3">
      <c r="A83" s="256">
        <v>22</v>
      </c>
      <c r="B83" s="257" t="s">
        <v>1204</v>
      </c>
      <c r="C83" s="276">
        <v>44489</v>
      </c>
      <c r="D83" s="257" t="s">
        <v>1304</v>
      </c>
      <c r="E83" s="256" t="s">
        <v>1831</v>
      </c>
      <c r="F83" s="256" t="s">
        <v>1867</v>
      </c>
      <c r="G83" s="258">
        <v>25251000000</v>
      </c>
      <c r="H83" s="265">
        <v>0.1</v>
      </c>
      <c r="I83" s="258">
        <v>2525100000</v>
      </c>
      <c r="J83" s="258">
        <v>27776100000</v>
      </c>
      <c r="K83" s="256" t="s">
        <v>1346</v>
      </c>
    </row>
    <row r="84" spans="1:11" x14ac:dyDescent="0.3">
      <c r="A84" s="256">
        <v>23</v>
      </c>
      <c r="B84" s="257" t="s">
        <v>1205</v>
      </c>
      <c r="C84" s="276">
        <v>44520</v>
      </c>
      <c r="D84" s="257" t="s">
        <v>1290</v>
      </c>
      <c r="E84" s="256" t="s">
        <v>1796</v>
      </c>
      <c r="F84" s="256" t="s">
        <v>1865</v>
      </c>
      <c r="G84" s="258">
        <v>23548000000</v>
      </c>
      <c r="H84" s="265">
        <v>0.1</v>
      </c>
      <c r="I84" s="258">
        <v>2354800000</v>
      </c>
      <c r="J84" s="258">
        <v>25902800000</v>
      </c>
      <c r="K84" s="256" t="s">
        <v>1346</v>
      </c>
    </row>
    <row r="85" spans="1:11" x14ac:dyDescent="0.3">
      <c r="A85" s="256">
        <v>24</v>
      </c>
      <c r="B85" s="257" t="s">
        <v>1385</v>
      </c>
      <c r="C85" s="276">
        <v>44550</v>
      </c>
      <c r="D85" s="257" t="s">
        <v>1258</v>
      </c>
      <c r="E85" s="256" t="s">
        <v>1833</v>
      </c>
      <c r="F85" s="256" t="s">
        <v>1867</v>
      </c>
      <c r="G85" s="258">
        <v>19846000000</v>
      </c>
      <c r="H85" s="265">
        <v>0</v>
      </c>
      <c r="I85" s="258">
        <v>0</v>
      </c>
      <c r="J85" s="258">
        <v>19846000000</v>
      </c>
      <c r="K85" s="256" t="s">
        <v>1346</v>
      </c>
    </row>
    <row r="86" spans="1:11" x14ac:dyDescent="0.3">
      <c r="A86" s="256">
        <v>25</v>
      </c>
      <c r="B86" s="257" t="s">
        <v>1387</v>
      </c>
      <c r="C86" s="276">
        <v>44221</v>
      </c>
      <c r="D86" s="257" t="s">
        <v>1298</v>
      </c>
      <c r="E86" s="256" t="s">
        <v>1819</v>
      </c>
      <c r="F86" s="256" t="s">
        <v>1866</v>
      </c>
      <c r="G86" s="258">
        <v>31352000000</v>
      </c>
      <c r="H86" s="265">
        <v>0.1</v>
      </c>
      <c r="I86" s="258">
        <v>3135200000</v>
      </c>
      <c r="J86" s="258">
        <v>34487200000</v>
      </c>
      <c r="K86" s="256" t="s">
        <v>1346</v>
      </c>
    </row>
    <row r="87" spans="1:11" x14ac:dyDescent="0.3">
      <c r="A87" s="256">
        <v>26</v>
      </c>
      <c r="B87" s="257" t="s">
        <v>1388</v>
      </c>
      <c r="C87" s="276">
        <v>44255</v>
      </c>
      <c r="D87" s="257" t="s">
        <v>1281</v>
      </c>
      <c r="E87" s="256" t="s">
        <v>1806</v>
      </c>
      <c r="F87" s="256" t="s">
        <v>1866</v>
      </c>
      <c r="G87" s="258">
        <v>33606000000</v>
      </c>
      <c r="H87" s="265">
        <v>0.1</v>
      </c>
      <c r="I87" s="258">
        <v>3360600000</v>
      </c>
      <c r="J87" s="258">
        <v>36966600000</v>
      </c>
      <c r="K87" s="256" t="s">
        <v>1346</v>
      </c>
    </row>
    <row r="88" spans="1:11" x14ac:dyDescent="0.3">
      <c r="A88" s="256">
        <v>27</v>
      </c>
      <c r="B88" s="257" t="s">
        <v>1391</v>
      </c>
      <c r="C88" s="276">
        <v>44316</v>
      </c>
      <c r="D88" s="257" t="s">
        <v>1297</v>
      </c>
      <c r="E88" s="256" t="s">
        <v>1820</v>
      </c>
      <c r="F88" s="256" t="s">
        <v>1866</v>
      </c>
      <c r="G88" s="258">
        <v>19824000000</v>
      </c>
      <c r="H88" s="265">
        <v>0</v>
      </c>
      <c r="I88" s="258">
        <v>0</v>
      </c>
      <c r="J88" s="258">
        <v>19824000000</v>
      </c>
      <c r="K88" s="256" t="s">
        <v>1348</v>
      </c>
    </row>
    <row r="89" spans="1:11" x14ac:dyDescent="0.3">
      <c r="A89" s="256">
        <v>28</v>
      </c>
      <c r="B89" s="257" t="s">
        <v>1392</v>
      </c>
      <c r="C89" s="276">
        <v>44377</v>
      </c>
      <c r="D89" s="257" t="s">
        <v>1262</v>
      </c>
      <c r="E89" s="256" t="s">
        <v>1816</v>
      </c>
      <c r="F89" s="256" t="s">
        <v>1864</v>
      </c>
      <c r="G89" s="258">
        <v>23405000000</v>
      </c>
      <c r="H89" s="265">
        <v>0.1</v>
      </c>
      <c r="I89" s="258">
        <v>2340500000</v>
      </c>
      <c r="J89" s="258">
        <v>25745500000</v>
      </c>
      <c r="K89" s="256" t="s">
        <v>1346</v>
      </c>
    </row>
    <row r="90" spans="1:11" x14ac:dyDescent="0.3">
      <c r="A90" s="256">
        <v>29</v>
      </c>
      <c r="B90" s="257" t="s">
        <v>1394</v>
      </c>
      <c r="C90" s="276">
        <v>44469</v>
      </c>
      <c r="D90" s="257" t="s">
        <v>1280</v>
      </c>
      <c r="E90" s="256" t="s">
        <v>1777</v>
      </c>
      <c r="F90" s="256" t="s">
        <v>1865</v>
      </c>
      <c r="G90" s="258">
        <v>34600000000</v>
      </c>
      <c r="H90" s="265">
        <v>0.1</v>
      </c>
      <c r="I90" s="258">
        <v>3460000000</v>
      </c>
      <c r="J90" s="258">
        <v>38060000000</v>
      </c>
      <c r="K90" s="256" t="s">
        <v>1346</v>
      </c>
    </row>
    <row r="91" spans="1:11" x14ac:dyDescent="0.3">
      <c r="A91" s="256">
        <v>30</v>
      </c>
      <c r="B91" s="257" t="s">
        <v>1396</v>
      </c>
      <c r="C91" s="276">
        <v>44530</v>
      </c>
      <c r="D91" s="257" t="s">
        <v>1304</v>
      </c>
      <c r="E91" s="256" t="s">
        <v>1831</v>
      </c>
      <c r="F91" s="256" t="s">
        <v>1866</v>
      </c>
      <c r="G91" s="258">
        <v>18215000000</v>
      </c>
      <c r="H91" s="265">
        <v>0.1</v>
      </c>
      <c r="I91" s="258">
        <v>1821500000</v>
      </c>
      <c r="J91" s="258">
        <v>20036500000</v>
      </c>
      <c r="K91" s="256" t="s">
        <v>1348</v>
      </c>
    </row>
    <row r="92" spans="1:11" x14ac:dyDescent="0.3">
      <c r="A92" s="256">
        <v>31</v>
      </c>
      <c r="B92" s="257" t="s">
        <v>1397</v>
      </c>
      <c r="C92" s="276">
        <v>44286</v>
      </c>
      <c r="D92" s="257" t="s">
        <v>1287</v>
      </c>
      <c r="E92" s="256" t="s">
        <v>1801</v>
      </c>
      <c r="F92" s="256" t="s">
        <v>1865</v>
      </c>
      <c r="G92" s="258">
        <v>33661000000</v>
      </c>
      <c r="H92" s="265">
        <v>0.1</v>
      </c>
      <c r="I92" s="258">
        <v>3366100000</v>
      </c>
      <c r="J92" s="258">
        <v>37027100000</v>
      </c>
      <c r="K92" s="256" t="s">
        <v>1346</v>
      </c>
    </row>
    <row r="93" spans="1:11" x14ac:dyDescent="0.3">
      <c r="A93" s="256">
        <v>32</v>
      </c>
      <c r="B93" s="257" t="s">
        <v>1398</v>
      </c>
      <c r="C93" s="276">
        <v>44347</v>
      </c>
      <c r="D93" s="257" t="s">
        <v>1270</v>
      </c>
      <c r="E93" s="256" t="s">
        <v>1782</v>
      </c>
      <c r="F93" s="256" t="s">
        <v>1867</v>
      </c>
      <c r="G93" s="258">
        <v>23675000000</v>
      </c>
      <c r="H93" s="265">
        <v>0.1</v>
      </c>
      <c r="I93" s="258">
        <v>2367500000</v>
      </c>
      <c r="J93" s="258">
        <v>26042500000</v>
      </c>
      <c r="K93" s="256" t="s">
        <v>1346</v>
      </c>
    </row>
    <row r="94" spans="1:11" x14ac:dyDescent="0.3">
      <c r="A94" s="256">
        <v>33</v>
      </c>
      <c r="B94" s="257" t="s">
        <v>1399</v>
      </c>
      <c r="C94" s="276">
        <v>44408</v>
      </c>
      <c r="D94" s="257" t="s">
        <v>1259</v>
      </c>
      <c r="E94" s="256" t="s">
        <v>1788</v>
      </c>
      <c r="F94" s="256" t="s">
        <v>1866</v>
      </c>
      <c r="G94" s="258">
        <v>32706000000</v>
      </c>
      <c r="H94" s="265">
        <v>0.1</v>
      </c>
      <c r="I94" s="258">
        <v>3270600000</v>
      </c>
      <c r="J94" s="258">
        <v>35976600000</v>
      </c>
      <c r="K94" s="256" t="s">
        <v>1346</v>
      </c>
    </row>
    <row r="95" spans="1:11" x14ac:dyDescent="0.3">
      <c r="A95" s="256">
        <v>34</v>
      </c>
      <c r="B95" s="257" t="s">
        <v>1401</v>
      </c>
      <c r="C95" s="276">
        <v>44439</v>
      </c>
      <c r="D95" s="257" t="s">
        <v>1273</v>
      </c>
      <c r="E95" s="256" t="s">
        <v>1829</v>
      </c>
      <c r="F95" s="256" t="s">
        <v>1864</v>
      </c>
      <c r="G95" s="258">
        <v>25165000000</v>
      </c>
      <c r="H95" s="265">
        <v>0.1</v>
      </c>
      <c r="I95" s="258">
        <v>2516500000</v>
      </c>
      <c r="J95" s="258">
        <v>27681500000</v>
      </c>
      <c r="K95" s="256" t="s">
        <v>1346</v>
      </c>
    </row>
    <row r="96" spans="1:11" x14ac:dyDescent="0.3">
      <c r="A96" s="256">
        <v>35</v>
      </c>
      <c r="B96" s="257" t="s">
        <v>1402</v>
      </c>
      <c r="C96" s="276">
        <v>44500</v>
      </c>
      <c r="D96" s="257" t="s">
        <v>1286</v>
      </c>
      <c r="E96" s="256" t="s">
        <v>1828</v>
      </c>
      <c r="F96" s="256" t="s">
        <v>1867</v>
      </c>
      <c r="G96" s="258">
        <v>19331000000</v>
      </c>
      <c r="H96" s="265">
        <v>0.1</v>
      </c>
      <c r="I96" s="258">
        <v>1933100000</v>
      </c>
      <c r="J96" s="258">
        <v>21264100000</v>
      </c>
      <c r="K96" s="256" t="s">
        <v>1346</v>
      </c>
    </row>
    <row r="97" spans="1:11" x14ac:dyDescent="0.3">
      <c r="A97" s="256">
        <v>36</v>
      </c>
      <c r="B97" s="257" t="s">
        <v>1403</v>
      </c>
      <c r="C97" s="276">
        <v>44561</v>
      </c>
      <c r="D97" s="257" t="s">
        <v>1260</v>
      </c>
      <c r="E97" s="256" t="s">
        <v>1804</v>
      </c>
      <c r="F97" s="256" t="s">
        <v>1865</v>
      </c>
      <c r="G97" s="258">
        <v>24084000000</v>
      </c>
      <c r="H97" s="265">
        <v>0</v>
      </c>
      <c r="I97" s="258">
        <v>0</v>
      </c>
      <c r="J97" s="258">
        <v>24084000000</v>
      </c>
      <c r="K97" s="256" t="s">
        <v>1346</v>
      </c>
    </row>
    <row r="98" spans="1:11" x14ac:dyDescent="0.3">
      <c r="A98" s="256">
        <v>37</v>
      </c>
      <c r="B98" s="257" t="s">
        <v>1404</v>
      </c>
      <c r="C98" s="276">
        <v>44561</v>
      </c>
      <c r="D98" s="257" t="s">
        <v>1279</v>
      </c>
      <c r="E98" s="256" t="s">
        <v>1827</v>
      </c>
      <c r="F98" s="256" t="s">
        <v>1866</v>
      </c>
      <c r="G98" s="258">
        <v>28683000000</v>
      </c>
      <c r="H98" s="265">
        <v>0.1</v>
      </c>
      <c r="I98" s="258">
        <v>2868300000</v>
      </c>
      <c r="J98" s="258">
        <v>31551300000</v>
      </c>
      <c r="K98" s="256" t="s">
        <v>1346</v>
      </c>
    </row>
    <row r="99" spans="1:11" x14ac:dyDescent="0.3">
      <c r="A99" s="256">
        <v>38</v>
      </c>
      <c r="B99" s="257" t="s">
        <v>1405</v>
      </c>
      <c r="C99" s="276">
        <v>44561</v>
      </c>
      <c r="D99" s="257" t="s">
        <v>1279</v>
      </c>
      <c r="E99" s="256" t="s">
        <v>1827</v>
      </c>
      <c r="F99" s="256" t="s">
        <v>1864</v>
      </c>
      <c r="G99" s="258">
        <v>24865000000</v>
      </c>
      <c r="H99" s="265">
        <v>0.1</v>
      </c>
      <c r="I99" s="258">
        <v>2486500000</v>
      </c>
      <c r="J99" s="258">
        <v>27351500000</v>
      </c>
      <c r="K99" s="256" t="s">
        <v>1346</v>
      </c>
    </row>
    <row r="100" spans="1:11" x14ac:dyDescent="0.3">
      <c r="A100" s="256">
        <v>39</v>
      </c>
      <c r="B100" s="257" t="s">
        <v>1406</v>
      </c>
      <c r="C100" s="276">
        <v>44561</v>
      </c>
      <c r="D100" s="257" t="s">
        <v>1290</v>
      </c>
      <c r="E100" s="256" t="s">
        <v>1796</v>
      </c>
      <c r="F100" s="256" t="s">
        <v>1865</v>
      </c>
      <c r="G100" s="258">
        <v>19893000000</v>
      </c>
      <c r="H100" s="265">
        <v>0.1</v>
      </c>
      <c r="I100" s="258">
        <v>1989300000</v>
      </c>
      <c r="J100" s="258">
        <v>21882300000</v>
      </c>
      <c r="K100" s="256" t="s">
        <v>1346</v>
      </c>
    </row>
    <row r="101" spans="1:11" x14ac:dyDescent="0.3">
      <c r="A101" s="256">
        <v>40</v>
      </c>
      <c r="B101" s="257" t="s">
        <v>1408</v>
      </c>
      <c r="C101" s="276">
        <v>44561</v>
      </c>
      <c r="D101" s="257" t="s">
        <v>1297</v>
      </c>
      <c r="E101" s="256" t="s">
        <v>1820</v>
      </c>
      <c r="F101" s="256" t="s">
        <v>1867</v>
      </c>
      <c r="G101" s="258">
        <v>23628000000</v>
      </c>
      <c r="H101" s="265">
        <v>0.1</v>
      </c>
      <c r="I101" s="258">
        <v>2362800000</v>
      </c>
      <c r="J101" s="258">
        <v>25990800000</v>
      </c>
      <c r="K101" s="256" t="s">
        <v>1346</v>
      </c>
    </row>
    <row r="102" spans="1:11" x14ac:dyDescent="0.3">
      <c r="A102" s="256">
        <v>41</v>
      </c>
      <c r="B102" s="257" t="s">
        <v>1409</v>
      </c>
      <c r="C102" s="276">
        <v>44561</v>
      </c>
      <c r="D102" s="257" t="s">
        <v>1270</v>
      </c>
      <c r="E102" s="256" t="s">
        <v>1782</v>
      </c>
      <c r="F102" s="256" t="s">
        <v>1867</v>
      </c>
      <c r="G102" s="258">
        <v>17870000000</v>
      </c>
      <c r="H102" s="265">
        <v>0.1</v>
      </c>
      <c r="I102" s="258">
        <v>1787000000</v>
      </c>
      <c r="J102" s="258">
        <v>19657000000</v>
      </c>
      <c r="K102" s="256" t="s">
        <v>1346</v>
      </c>
    </row>
    <row r="103" spans="1:11" x14ac:dyDescent="0.3">
      <c r="A103" s="256">
        <v>42</v>
      </c>
      <c r="B103" s="257" t="s">
        <v>1411</v>
      </c>
      <c r="C103" s="276">
        <v>44561</v>
      </c>
      <c r="D103" s="257" t="s">
        <v>1281</v>
      </c>
      <c r="E103" s="256" t="s">
        <v>1806</v>
      </c>
      <c r="F103" s="256" t="s">
        <v>1864</v>
      </c>
      <c r="G103" s="258">
        <v>18428000000</v>
      </c>
      <c r="H103" s="265">
        <v>0.1</v>
      </c>
      <c r="I103" s="258">
        <v>1842800000</v>
      </c>
      <c r="J103" s="258">
        <v>20270800000</v>
      </c>
      <c r="K103" s="256" t="s">
        <v>1346</v>
      </c>
    </row>
    <row r="104" spans="1:11" x14ac:dyDescent="0.3">
      <c r="A104" s="256">
        <v>43</v>
      </c>
      <c r="B104" s="257" t="s">
        <v>1414</v>
      </c>
      <c r="C104" s="276">
        <v>44561</v>
      </c>
      <c r="D104" s="257" t="s">
        <v>1259</v>
      </c>
      <c r="E104" s="256" t="s">
        <v>1788</v>
      </c>
      <c r="F104" s="256" t="s">
        <v>1865</v>
      </c>
      <c r="G104" s="258">
        <v>10872000000</v>
      </c>
      <c r="H104" s="265">
        <v>0.1</v>
      </c>
      <c r="I104" s="258">
        <v>1087200000</v>
      </c>
      <c r="J104" s="258">
        <v>11959200000</v>
      </c>
      <c r="K104" s="256" t="s">
        <v>1346</v>
      </c>
    </row>
    <row r="105" spans="1:11" x14ac:dyDescent="0.3">
      <c r="A105" s="256">
        <v>44</v>
      </c>
      <c r="B105" s="257" t="s">
        <v>1415</v>
      </c>
      <c r="C105" s="276">
        <v>44561</v>
      </c>
      <c r="D105" s="257" t="s">
        <v>1296</v>
      </c>
      <c r="E105" s="256" t="s">
        <v>1807</v>
      </c>
      <c r="F105" s="256" t="s">
        <v>1864</v>
      </c>
      <c r="G105" s="258">
        <v>25689000000</v>
      </c>
      <c r="H105" s="265">
        <v>0.1</v>
      </c>
      <c r="I105" s="258">
        <v>2568900000</v>
      </c>
      <c r="J105" s="258">
        <v>28257900000</v>
      </c>
      <c r="K105" s="256" t="s">
        <v>1346</v>
      </c>
    </row>
    <row r="106" spans="1:11" x14ac:dyDescent="0.3">
      <c r="A106" s="256">
        <v>45</v>
      </c>
      <c r="B106" s="257" t="s">
        <v>1206</v>
      </c>
      <c r="C106" s="276">
        <v>44561</v>
      </c>
      <c r="D106" s="257" t="s">
        <v>1262</v>
      </c>
      <c r="E106" s="256" t="s">
        <v>1816</v>
      </c>
      <c r="F106" s="256" t="s">
        <v>1865</v>
      </c>
      <c r="G106" s="258">
        <v>26408000000</v>
      </c>
      <c r="H106" s="265">
        <v>0</v>
      </c>
      <c r="I106" s="258">
        <v>0</v>
      </c>
      <c r="J106" s="258">
        <v>26408000000</v>
      </c>
      <c r="K106" s="256" t="s">
        <v>1346</v>
      </c>
    </row>
    <row r="107" spans="1:11" x14ac:dyDescent="0.3">
      <c r="A107" s="256">
        <v>46</v>
      </c>
      <c r="B107" s="257" t="s">
        <v>1207</v>
      </c>
      <c r="C107" s="276">
        <v>44561</v>
      </c>
      <c r="D107" s="257" t="s">
        <v>1303</v>
      </c>
      <c r="E107" s="256" t="s">
        <v>1817</v>
      </c>
      <c r="F107" s="256" t="s">
        <v>1864</v>
      </c>
      <c r="G107" s="258">
        <v>9060000000</v>
      </c>
      <c r="H107" s="265">
        <v>0.1</v>
      </c>
      <c r="I107" s="258">
        <v>906000000</v>
      </c>
      <c r="J107" s="258">
        <v>9966000000</v>
      </c>
      <c r="K107" s="256" t="s">
        <v>1346</v>
      </c>
    </row>
    <row r="108" spans="1:11" x14ac:dyDescent="0.3">
      <c r="A108" s="256">
        <v>47</v>
      </c>
      <c r="B108" s="257" t="s">
        <v>1208</v>
      </c>
      <c r="C108" s="276">
        <v>44561</v>
      </c>
      <c r="D108" s="257" t="s">
        <v>1297</v>
      </c>
      <c r="E108" s="256" t="s">
        <v>1820</v>
      </c>
      <c r="F108" s="256" t="s">
        <v>1867</v>
      </c>
      <c r="G108" s="258">
        <v>9522000000</v>
      </c>
      <c r="H108" s="265">
        <v>0.1</v>
      </c>
      <c r="I108" s="258">
        <v>952200000</v>
      </c>
      <c r="J108" s="258">
        <v>10474200000</v>
      </c>
      <c r="K108" s="256" t="s">
        <v>1346</v>
      </c>
    </row>
    <row r="109" spans="1:11" x14ac:dyDescent="0.3">
      <c r="A109" s="256">
        <v>48</v>
      </c>
      <c r="B109" s="257" t="s">
        <v>1209</v>
      </c>
      <c r="C109" s="276">
        <v>44561</v>
      </c>
      <c r="D109" s="257" t="s">
        <v>1276</v>
      </c>
      <c r="E109" s="256" t="s">
        <v>1822</v>
      </c>
      <c r="F109" s="256" t="s">
        <v>1866</v>
      </c>
      <c r="G109" s="258">
        <v>10484000000</v>
      </c>
      <c r="H109" s="265">
        <v>0.1</v>
      </c>
      <c r="I109" s="258">
        <v>1048400000</v>
      </c>
      <c r="J109" s="258">
        <v>11532400000</v>
      </c>
      <c r="K109" s="256" t="s">
        <v>1346</v>
      </c>
    </row>
    <row r="110" spans="1:11" x14ac:dyDescent="0.3">
      <c r="A110" s="256">
        <v>49</v>
      </c>
      <c r="B110" s="257" t="s">
        <v>1418</v>
      </c>
      <c r="C110" s="276">
        <v>44561</v>
      </c>
      <c r="D110" s="257" t="s">
        <v>1280</v>
      </c>
      <c r="E110" s="256" t="s">
        <v>1777</v>
      </c>
      <c r="F110" s="256" t="s">
        <v>1866</v>
      </c>
      <c r="G110" s="258">
        <v>25427000000</v>
      </c>
      <c r="H110" s="265">
        <v>0.1</v>
      </c>
      <c r="I110" s="258">
        <v>2542700000</v>
      </c>
      <c r="J110" s="258">
        <v>27969700000</v>
      </c>
      <c r="K110" s="256" t="s">
        <v>1346</v>
      </c>
    </row>
    <row r="111" spans="1:11" x14ac:dyDescent="0.3">
      <c r="A111" s="256">
        <v>50</v>
      </c>
      <c r="B111" s="257" t="s">
        <v>1419</v>
      </c>
      <c r="C111" s="276">
        <v>44561</v>
      </c>
      <c r="D111" s="257" t="s">
        <v>1284</v>
      </c>
      <c r="E111" s="256" t="s">
        <v>1786</v>
      </c>
      <c r="F111" s="256" t="s">
        <v>1864</v>
      </c>
      <c r="G111" s="258">
        <v>9760000000</v>
      </c>
      <c r="H111" s="265">
        <v>0.1</v>
      </c>
      <c r="I111" s="258">
        <v>976000000</v>
      </c>
      <c r="J111" s="258">
        <v>10736000000</v>
      </c>
      <c r="K111" s="256" t="s">
        <v>1346</v>
      </c>
    </row>
    <row r="112" spans="1:11" x14ac:dyDescent="0.3">
      <c r="A112" s="266" t="s">
        <v>1351</v>
      </c>
      <c r="B112" s="266"/>
      <c r="C112" s="266"/>
      <c r="D112" s="266"/>
      <c r="E112" s="266"/>
      <c r="F112" s="266"/>
      <c r="G112" s="267">
        <f>SUM(G62:G111)</f>
        <v>1085476000000</v>
      </c>
      <c r="H112" s="266"/>
      <c r="I112" s="267">
        <f>SUM(I62:I111)</f>
        <v>98449700000</v>
      </c>
      <c r="J112" s="267">
        <f>SUM(J62:J111)</f>
        <v>1183925700000</v>
      </c>
      <c r="K112" s="26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cols>
    <col min="5" max="5" width="18.109375" bestFit="1" customWidth="1"/>
    <col min="7" max="7" width="12.88671875" bestFit="1" customWidth="1"/>
    <col min="9" max="9" width="11.88671875" bestFit="1" customWidth="1"/>
    <col min="10" max="10" width="12.88671875" bestFit="1" customWidth="1"/>
  </cols>
  <sheetData>
    <row r="1" spans="1:11" x14ac:dyDescent="0.3">
      <c r="A1" s="256" t="s">
        <v>1340</v>
      </c>
      <c r="B1" s="256" t="s">
        <v>643</v>
      </c>
      <c r="C1" s="256"/>
      <c r="D1" s="256"/>
      <c r="E1" s="256"/>
      <c r="F1" s="256"/>
      <c r="G1" s="256"/>
      <c r="H1" s="256"/>
      <c r="I1" s="256"/>
      <c r="J1" s="256"/>
      <c r="K1" s="256"/>
    </row>
    <row r="2" spans="1:11" x14ac:dyDescent="0.3">
      <c r="A2" s="256" t="s">
        <v>1339</v>
      </c>
      <c r="B2" s="257">
        <v>103240765</v>
      </c>
      <c r="C2" s="256"/>
      <c r="D2" s="256"/>
      <c r="E2" s="256"/>
      <c r="F2" s="256"/>
      <c r="G2" s="256"/>
      <c r="H2" s="256"/>
      <c r="I2" s="256"/>
      <c r="J2" s="256"/>
      <c r="K2" s="256"/>
    </row>
    <row r="3" spans="1:11" x14ac:dyDescent="0.3">
      <c r="A3" s="256" t="s">
        <v>1343</v>
      </c>
      <c r="B3" s="258">
        <v>696441939806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1362</v>
      </c>
      <c r="C8" s="276">
        <v>44317</v>
      </c>
      <c r="D8" s="257" t="s">
        <v>1286</v>
      </c>
      <c r="E8" s="256" t="s">
        <v>1828</v>
      </c>
      <c r="F8" s="256" t="s">
        <v>1731</v>
      </c>
      <c r="G8" s="258">
        <v>6574000000</v>
      </c>
      <c r="H8" s="265">
        <v>0.1</v>
      </c>
      <c r="I8" s="258">
        <v>657400000</v>
      </c>
      <c r="J8" s="258">
        <v>7231400000</v>
      </c>
      <c r="K8" s="256" t="s">
        <v>1346</v>
      </c>
    </row>
    <row r="9" spans="1:11" x14ac:dyDescent="0.3">
      <c r="A9" s="256">
        <v>2</v>
      </c>
      <c r="B9" s="257" t="s">
        <v>1360</v>
      </c>
      <c r="C9" s="276">
        <v>44318</v>
      </c>
      <c r="D9" s="257" t="s">
        <v>1294</v>
      </c>
      <c r="E9" s="256" t="s">
        <v>1795</v>
      </c>
      <c r="F9" s="256" t="s">
        <v>1868</v>
      </c>
      <c r="G9" s="258">
        <v>9234000000</v>
      </c>
      <c r="H9" s="265">
        <v>0.1</v>
      </c>
      <c r="I9" s="258">
        <v>923400000</v>
      </c>
      <c r="J9" s="258">
        <v>10157400000</v>
      </c>
      <c r="K9" s="256" t="s">
        <v>1346</v>
      </c>
    </row>
    <row r="10" spans="1:11" x14ac:dyDescent="0.3">
      <c r="A10" s="256">
        <v>3</v>
      </c>
      <c r="B10" s="257" t="s">
        <v>1411</v>
      </c>
      <c r="C10" s="276">
        <v>44472</v>
      </c>
      <c r="D10" s="257" t="s">
        <v>1259</v>
      </c>
      <c r="E10" s="256" t="s">
        <v>1788</v>
      </c>
      <c r="F10" s="256" t="s">
        <v>1869</v>
      </c>
      <c r="G10" s="258">
        <v>6175000000</v>
      </c>
      <c r="H10" s="265">
        <v>0.1</v>
      </c>
      <c r="I10" s="258">
        <v>617500000</v>
      </c>
      <c r="J10" s="258">
        <v>6792500000</v>
      </c>
      <c r="K10" s="256" t="s">
        <v>1346</v>
      </c>
    </row>
    <row r="11" spans="1:11" x14ac:dyDescent="0.3">
      <c r="A11" s="256">
        <v>4</v>
      </c>
      <c r="B11" s="257" t="s">
        <v>1385</v>
      </c>
      <c r="C11" s="276">
        <v>44473</v>
      </c>
      <c r="D11" s="257" t="s">
        <v>1269</v>
      </c>
      <c r="E11" s="256" t="s">
        <v>1823</v>
      </c>
      <c r="F11" s="256" t="s">
        <v>1870</v>
      </c>
      <c r="G11" s="258">
        <v>7189000000</v>
      </c>
      <c r="H11" s="265">
        <v>0.1</v>
      </c>
      <c r="I11" s="258">
        <v>718900000</v>
      </c>
      <c r="J11" s="258">
        <v>7907900000</v>
      </c>
      <c r="K11" s="256" t="s">
        <v>1348</v>
      </c>
    </row>
    <row r="12" spans="1:11" x14ac:dyDescent="0.3">
      <c r="A12" s="256">
        <v>5</v>
      </c>
      <c r="B12" s="257" t="s">
        <v>1376</v>
      </c>
      <c r="C12" s="276">
        <v>44474</v>
      </c>
      <c r="D12" s="257" t="s">
        <v>1292</v>
      </c>
      <c r="E12" s="256" t="s">
        <v>1792</v>
      </c>
      <c r="F12" s="256" t="s">
        <v>1731</v>
      </c>
      <c r="G12" s="258">
        <v>7779000000</v>
      </c>
      <c r="H12" s="265">
        <v>0.1</v>
      </c>
      <c r="I12" s="258">
        <v>777900000</v>
      </c>
      <c r="J12" s="258">
        <v>8556900000</v>
      </c>
      <c r="K12" s="256" t="s">
        <v>1348</v>
      </c>
    </row>
    <row r="13" spans="1:11" x14ac:dyDescent="0.3">
      <c r="A13" s="256">
        <v>6</v>
      </c>
      <c r="B13" s="257" t="s">
        <v>1398</v>
      </c>
      <c r="C13" s="276">
        <v>44475</v>
      </c>
      <c r="D13" s="257" t="s">
        <v>1256</v>
      </c>
      <c r="E13" s="256" t="s">
        <v>1802</v>
      </c>
      <c r="F13" s="256" t="s">
        <v>1870</v>
      </c>
      <c r="G13" s="258">
        <v>13224000000</v>
      </c>
      <c r="H13" s="265">
        <v>0.1</v>
      </c>
      <c r="I13" s="258">
        <v>1322400000</v>
      </c>
      <c r="J13" s="258">
        <v>14546400000</v>
      </c>
      <c r="K13" s="256" t="s">
        <v>1346</v>
      </c>
    </row>
    <row r="14" spans="1:11" x14ac:dyDescent="0.3">
      <c r="A14" s="256">
        <v>7</v>
      </c>
      <c r="B14" s="257" t="s">
        <v>1205</v>
      </c>
      <c r="C14" s="276">
        <v>44476</v>
      </c>
      <c r="D14" s="257" t="s">
        <v>1282</v>
      </c>
      <c r="E14" s="256" t="s">
        <v>1789</v>
      </c>
      <c r="F14" s="256" t="s">
        <v>1870</v>
      </c>
      <c r="G14" s="258">
        <v>14465000000</v>
      </c>
      <c r="H14" s="265">
        <v>0.1</v>
      </c>
      <c r="I14" s="258">
        <v>1446500000</v>
      </c>
      <c r="J14" s="258">
        <v>15911500000</v>
      </c>
      <c r="K14" s="256" t="s">
        <v>1346</v>
      </c>
    </row>
    <row r="15" spans="1:11" x14ac:dyDescent="0.3">
      <c r="A15" s="256">
        <v>8</v>
      </c>
      <c r="B15" s="257" t="s">
        <v>1396</v>
      </c>
      <c r="C15" s="276">
        <v>44477</v>
      </c>
      <c r="D15" s="257" t="s">
        <v>1271</v>
      </c>
      <c r="E15" s="256" t="s">
        <v>1799</v>
      </c>
      <c r="F15" s="256" t="s">
        <v>1731</v>
      </c>
      <c r="G15" s="258">
        <v>6158000000</v>
      </c>
      <c r="H15" s="265">
        <v>0</v>
      </c>
      <c r="I15" s="258">
        <v>0</v>
      </c>
      <c r="J15" s="258">
        <v>6158000000</v>
      </c>
      <c r="K15" s="256" t="s">
        <v>1346</v>
      </c>
    </row>
    <row r="16" spans="1:11" x14ac:dyDescent="0.3">
      <c r="A16" s="256">
        <v>9</v>
      </c>
      <c r="B16" s="257" t="s">
        <v>1382</v>
      </c>
      <c r="C16" s="276">
        <v>44478</v>
      </c>
      <c r="D16" s="257" t="s">
        <v>1288</v>
      </c>
      <c r="E16" s="256" t="s">
        <v>1797</v>
      </c>
      <c r="F16" s="256" t="s">
        <v>1741</v>
      </c>
      <c r="G16" s="258">
        <v>9834000000</v>
      </c>
      <c r="H16" s="265">
        <v>0.1</v>
      </c>
      <c r="I16" s="258">
        <v>983400000</v>
      </c>
      <c r="J16" s="258">
        <v>10817400000</v>
      </c>
      <c r="K16" s="256" t="s">
        <v>1346</v>
      </c>
    </row>
    <row r="17" spans="1:11" x14ac:dyDescent="0.3">
      <c r="A17" s="256">
        <v>10</v>
      </c>
      <c r="B17" s="257" t="s">
        <v>1399</v>
      </c>
      <c r="C17" s="276">
        <v>44479</v>
      </c>
      <c r="D17" s="257" t="s">
        <v>1273</v>
      </c>
      <c r="E17" s="256" t="s">
        <v>1829</v>
      </c>
      <c r="F17" s="256" t="s">
        <v>1871</v>
      </c>
      <c r="G17" s="258">
        <v>13748000000</v>
      </c>
      <c r="H17" s="265">
        <v>0</v>
      </c>
      <c r="I17" s="258">
        <v>0</v>
      </c>
      <c r="J17" s="258">
        <v>13748000000</v>
      </c>
      <c r="K17" s="256" t="s">
        <v>1346</v>
      </c>
    </row>
    <row r="18" spans="1:11" x14ac:dyDescent="0.3">
      <c r="A18" s="256">
        <v>11</v>
      </c>
      <c r="B18" s="257" t="s">
        <v>1402</v>
      </c>
      <c r="C18" s="276">
        <v>44480</v>
      </c>
      <c r="D18" s="257" t="s">
        <v>1270</v>
      </c>
      <c r="E18" s="256" t="s">
        <v>1782</v>
      </c>
      <c r="F18" s="256" t="s">
        <v>1868</v>
      </c>
      <c r="G18" s="258">
        <v>13399000000</v>
      </c>
      <c r="H18" s="265">
        <v>0.1</v>
      </c>
      <c r="I18" s="258">
        <v>1339900000</v>
      </c>
      <c r="J18" s="258">
        <v>14738900000</v>
      </c>
      <c r="K18" s="256" t="s">
        <v>1346</v>
      </c>
    </row>
    <row r="19" spans="1:11" x14ac:dyDescent="0.3">
      <c r="A19" s="256">
        <v>12</v>
      </c>
      <c r="B19" s="257" t="s">
        <v>1362</v>
      </c>
      <c r="C19" s="276">
        <v>44481</v>
      </c>
      <c r="D19" s="257" t="s">
        <v>1298</v>
      </c>
      <c r="E19" s="256" t="s">
        <v>1819</v>
      </c>
      <c r="F19" s="256" t="s">
        <v>1734</v>
      </c>
      <c r="G19" s="258">
        <v>10380000000</v>
      </c>
      <c r="H19" s="265">
        <v>0.1</v>
      </c>
      <c r="I19" s="258">
        <v>1038000000</v>
      </c>
      <c r="J19" s="258">
        <v>11418000000</v>
      </c>
      <c r="K19" s="256" t="s">
        <v>1346</v>
      </c>
    </row>
    <row r="20" spans="1:11" x14ac:dyDescent="0.3">
      <c r="A20" s="256">
        <v>13</v>
      </c>
      <c r="B20" s="257" t="s">
        <v>1383</v>
      </c>
      <c r="C20" s="276">
        <v>44211</v>
      </c>
      <c r="D20" s="257" t="s">
        <v>1288</v>
      </c>
      <c r="E20" s="256" t="s">
        <v>1797</v>
      </c>
      <c r="F20" s="256" t="s">
        <v>1868</v>
      </c>
      <c r="G20" s="258">
        <v>10463000000</v>
      </c>
      <c r="H20" s="265">
        <v>0.1</v>
      </c>
      <c r="I20" s="258">
        <v>1046300000</v>
      </c>
      <c r="J20" s="258">
        <v>11509300000</v>
      </c>
      <c r="K20" s="256" t="s">
        <v>1346</v>
      </c>
    </row>
    <row r="21" spans="1:11" x14ac:dyDescent="0.3">
      <c r="A21" s="256">
        <v>14</v>
      </c>
      <c r="B21" s="257" t="s">
        <v>1403</v>
      </c>
      <c r="C21" s="276">
        <v>44242</v>
      </c>
      <c r="D21" s="257" t="s">
        <v>1270</v>
      </c>
      <c r="E21" s="256" t="s">
        <v>1782</v>
      </c>
      <c r="F21" s="256" t="s">
        <v>1868</v>
      </c>
      <c r="G21" s="258">
        <v>13958000000</v>
      </c>
      <c r="H21" s="265">
        <v>0.1</v>
      </c>
      <c r="I21" s="258">
        <v>1395800000</v>
      </c>
      <c r="J21" s="258">
        <v>15353800000</v>
      </c>
      <c r="K21" s="256" t="s">
        <v>1346</v>
      </c>
    </row>
    <row r="22" spans="1:11" x14ac:dyDescent="0.3">
      <c r="A22" s="256">
        <v>15</v>
      </c>
      <c r="B22" s="257" t="s">
        <v>1401</v>
      </c>
      <c r="C22" s="276">
        <v>44275</v>
      </c>
      <c r="D22" s="257" t="s">
        <v>1273</v>
      </c>
      <c r="E22" s="256" t="s">
        <v>1829</v>
      </c>
      <c r="F22" s="256" t="s">
        <v>1868</v>
      </c>
      <c r="G22" s="258">
        <v>5165000000</v>
      </c>
      <c r="H22" s="265">
        <v>0.1</v>
      </c>
      <c r="I22" s="258">
        <v>516500000</v>
      </c>
      <c r="J22" s="258">
        <v>5681500000</v>
      </c>
      <c r="K22" s="256" t="s">
        <v>1348</v>
      </c>
    </row>
    <row r="23" spans="1:11" x14ac:dyDescent="0.3">
      <c r="A23" s="256">
        <v>16</v>
      </c>
      <c r="B23" s="257" t="s">
        <v>1402</v>
      </c>
      <c r="C23" s="276">
        <v>44306</v>
      </c>
      <c r="D23" s="257" t="s">
        <v>1283</v>
      </c>
      <c r="E23" s="256" t="s">
        <v>1798</v>
      </c>
      <c r="F23" s="256" t="s">
        <v>1870</v>
      </c>
      <c r="G23" s="258">
        <v>11071000000</v>
      </c>
      <c r="H23" s="265">
        <v>0.1</v>
      </c>
      <c r="I23" s="258">
        <v>1107100000</v>
      </c>
      <c r="J23" s="258">
        <v>12178100000</v>
      </c>
      <c r="K23" s="256" t="s">
        <v>1346</v>
      </c>
    </row>
    <row r="24" spans="1:11" x14ac:dyDescent="0.3">
      <c r="A24" s="256">
        <v>17</v>
      </c>
      <c r="B24" s="257" t="s">
        <v>1374</v>
      </c>
      <c r="C24" s="276">
        <v>44336</v>
      </c>
      <c r="D24" s="257" t="s">
        <v>1291</v>
      </c>
      <c r="E24" s="256" t="s">
        <v>1800</v>
      </c>
      <c r="F24" s="256" t="s">
        <v>1731</v>
      </c>
      <c r="G24" s="258">
        <v>6213000000</v>
      </c>
      <c r="H24" s="265">
        <v>0.1</v>
      </c>
      <c r="I24" s="258">
        <v>621300000</v>
      </c>
      <c r="J24" s="258">
        <v>6834300000</v>
      </c>
      <c r="K24" s="256" t="s">
        <v>1346</v>
      </c>
    </row>
    <row r="25" spans="1:11" x14ac:dyDescent="0.3">
      <c r="A25" s="256">
        <v>18</v>
      </c>
      <c r="B25" s="257" t="s">
        <v>1381</v>
      </c>
      <c r="C25" s="276">
        <v>44367</v>
      </c>
      <c r="D25" s="257" t="s">
        <v>1290</v>
      </c>
      <c r="E25" s="256" t="s">
        <v>1796</v>
      </c>
      <c r="F25" s="256" t="s">
        <v>1734</v>
      </c>
      <c r="G25" s="258">
        <v>7227000000</v>
      </c>
      <c r="H25" s="265">
        <v>0.1</v>
      </c>
      <c r="I25" s="258">
        <v>722700000</v>
      </c>
      <c r="J25" s="258">
        <v>7949700000</v>
      </c>
      <c r="K25" s="256" t="s">
        <v>1346</v>
      </c>
    </row>
    <row r="26" spans="1:11" x14ac:dyDescent="0.3">
      <c r="A26" s="256">
        <v>19</v>
      </c>
      <c r="B26" s="257" t="s">
        <v>1382</v>
      </c>
      <c r="C26" s="276">
        <v>44397</v>
      </c>
      <c r="D26" s="257" t="s">
        <v>1293</v>
      </c>
      <c r="E26" s="256" t="s">
        <v>1826</v>
      </c>
      <c r="F26" s="256" t="s">
        <v>1731</v>
      </c>
      <c r="G26" s="258">
        <v>12053000000</v>
      </c>
      <c r="H26" s="265">
        <v>0.1</v>
      </c>
      <c r="I26" s="258">
        <v>1205300000</v>
      </c>
      <c r="J26" s="258">
        <v>13258300000</v>
      </c>
      <c r="K26" s="256" t="s">
        <v>1348</v>
      </c>
    </row>
    <row r="27" spans="1:11" x14ac:dyDescent="0.3">
      <c r="A27" s="256">
        <v>20</v>
      </c>
      <c r="B27" s="257" t="s">
        <v>1404</v>
      </c>
      <c r="C27" s="276">
        <v>44428</v>
      </c>
      <c r="D27" s="257" t="s">
        <v>1270</v>
      </c>
      <c r="E27" s="256" t="s">
        <v>1782</v>
      </c>
      <c r="F27" s="256" t="s">
        <v>1868</v>
      </c>
      <c r="G27" s="258">
        <v>15339000000</v>
      </c>
      <c r="H27" s="265">
        <v>0.1</v>
      </c>
      <c r="I27" s="258">
        <v>1533900000</v>
      </c>
      <c r="J27" s="258">
        <v>16872900000</v>
      </c>
      <c r="K27" s="256" t="s">
        <v>1346</v>
      </c>
    </row>
    <row r="28" spans="1:11" x14ac:dyDescent="0.3">
      <c r="A28" s="256">
        <v>21</v>
      </c>
      <c r="B28" s="257" t="s">
        <v>1371</v>
      </c>
      <c r="C28" s="276">
        <v>44459</v>
      </c>
      <c r="D28" s="257" t="s">
        <v>1302</v>
      </c>
      <c r="E28" s="256" t="s">
        <v>1784</v>
      </c>
      <c r="F28" s="256" t="s">
        <v>1870</v>
      </c>
      <c r="G28" s="258">
        <v>15319000000</v>
      </c>
      <c r="H28" s="265">
        <v>0.1</v>
      </c>
      <c r="I28" s="258">
        <v>1531900000</v>
      </c>
      <c r="J28" s="258">
        <v>16850900000</v>
      </c>
      <c r="K28" s="256" t="s">
        <v>1346</v>
      </c>
    </row>
    <row r="29" spans="1:11" x14ac:dyDescent="0.3">
      <c r="A29" s="256">
        <v>22</v>
      </c>
      <c r="B29" s="257" t="s">
        <v>1364</v>
      </c>
      <c r="C29" s="276">
        <v>44489</v>
      </c>
      <c r="D29" s="257" t="s">
        <v>1286</v>
      </c>
      <c r="E29" s="256" t="s">
        <v>1828</v>
      </c>
      <c r="F29" s="256" t="s">
        <v>1868</v>
      </c>
      <c r="G29" s="258">
        <v>8643000000</v>
      </c>
      <c r="H29" s="265">
        <v>0.1</v>
      </c>
      <c r="I29" s="258">
        <v>864300000</v>
      </c>
      <c r="J29" s="258">
        <v>9507300000</v>
      </c>
      <c r="K29" s="256" t="s">
        <v>1346</v>
      </c>
    </row>
    <row r="30" spans="1:11" x14ac:dyDescent="0.3">
      <c r="A30" s="256">
        <v>23</v>
      </c>
      <c r="B30" s="257" t="s">
        <v>1209</v>
      </c>
      <c r="C30" s="276">
        <v>44520</v>
      </c>
      <c r="D30" s="257" t="s">
        <v>1277</v>
      </c>
      <c r="E30" s="256" t="s">
        <v>1783</v>
      </c>
      <c r="F30" s="256" t="s">
        <v>1741</v>
      </c>
      <c r="G30" s="258">
        <v>16237000000</v>
      </c>
      <c r="H30" s="265">
        <v>0.1</v>
      </c>
      <c r="I30" s="258">
        <v>1623700000</v>
      </c>
      <c r="J30" s="258">
        <v>17860700000</v>
      </c>
      <c r="K30" s="256" t="s">
        <v>1346</v>
      </c>
    </row>
    <row r="31" spans="1:11" x14ac:dyDescent="0.3">
      <c r="A31" s="256">
        <v>24</v>
      </c>
      <c r="B31" s="257" t="s">
        <v>1394</v>
      </c>
      <c r="C31" s="276">
        <v>44550</v>
      </c>
      <c r="D31" s="257" t="s">
        <v>1289</v>
      </c>
      <c r="E31" s="256" t="s">
        <v>1803</v>
      </c>
      <c r="F31" s="256" t="s">
        <v>1734</v>
      </c>
      <c r="G31" s="258">
        <v>8143000000</v>
      </c>
      <c r="H31" s="265">
        <v>0.1</v>
      </c>
      <c r="I31" s="258">
        <v>814300000</v>
      </c>
      <c r="J31" s="258">
        <v>8957300000</v>
      </c>
      <c r="K31" s="256" t="s">
        <v>1346</v>
      </c>
    </row>
    <row r="32" spans="1:11" x14ac:dyDescent="0.3">
      <c r="A32" s="256">
        <v>25</v>
      </c>
      <c r="B32" s="257" t="s">
        <v>1409</v>
      </c>
      <c r="C32" s="276">
        <v>44221</v>
      </c>
      <c r="D32" s="257" t="s">
        <v>1260</v>
      </c>
      <c r="E32" s="256" t="s">
        <v>1804</v>
      </c>
      <c r="F32" s="256" t="s">
        <v>1731</v>
      </c>
      <c r="G32" s="258">
        <v>6695000000</v>
      </c>
      <c r="H32" s="265">
        <v>0.1</v>
      </c>
      <c r="I32" s="258">
        <v>669500000</v>
      </c>
      <c r="J32" s="258">
        <v>7364500000</v>
      </c>
      <c r="K32" s="256" t="s">
        <v>1346</v>
      </c>
    </row>
    <row r="33" spans="1:11" x14ac:dyDescent="0.3">
      <c r="A33" s="256">
        <v>26</v>
      </c>
      <c r="B33" s="257" t="s">
        <v>1382</v>
      </c>
      <c r="C33" s="276">
        <v>44255</v>
      </c>
      <c r="D33" s="257" t="s">
        <v>1290</v>
      </c>
      <c r="E33" s="256" t="s">
        <v>1796</v>
      </c>
      <c r="F33" s="256" t="s">
        <v>1731</v>
      </c>
      <c r="G33" s="258">
        <v>14438000000</v>
      </c>
      <c r="H33" s="265">
        <v>0.1</v>
      </c>
      <c r="I33" s="258">
        <v>1443800000</v>
      </c>
      <c r="J33" s="258">
        <v>15881800000</v>
      </c>
      <c r="K33" s="256" t="s">
        <v>1346</v>
      </c>
    </row>
    <row r="34" spans="1:11" x14ac:dyDescent="0.3">
      <c r="A34" s="256">
        <v>27</v>
      </c>
      <c r="B34" s="257" t="s">
        <v>1203</v>
      </c>
      <c r="C34" s="276">
        <v>44316</v>
      </c>
      <c r="D34" s="257" t="s">
        <v>1258</v>
      </c>
      <c r="E34" s="256" t="s">
        <v>1833</v>
      </c>
      <c r="F34" s="256" t="s">
        <v>1869</v>
      </c>
      <c r="G34" s="258">
        <v>9393000000</v>
      </c>
      <c r="H34" s="265">
        <v>0.1</v>
      </c>
      <c r="I34" s="258">
        <v>939300000</v>
      </c>
      <c r="J34" s="258">
        <v>10332300000</v>
      </c>
      <c r="K34" s="256" t="s">
        <v>1346</v>
      </c>
    </row>
    <row r="35" spans="1:11" x14ac:dyDescent="0.3">
      <c r="A35" s="256">
        <v>28</v>
      </c>
      <c r="B35" s="257" t="s">
        <v>1402</v>
      </c>
      <c r="C35" s="276">
        <v>44377</v>
      </c>
      <c r="D35" s="257" t="s">
        <v>1273</v>
      </c>
      <c r="E35" s="256" t="s">
        <v>1829</v>
      </c>
      <c r="F35" s="256" t="s">
        <v>1731</v>
      </c>
      <c r="G35" s="258">
        <v>8855000000</v>
      </c>
      <c r="H35" s="265">
        <v>0.1</v>
      </c>
      <c r="I35" s="258">
        <v>885500000</v>
      </c>
      <c r="J35" s="258">
        <v>9740500000</v>
      </c>
      <c r="K35" s="256" t="s">
        <v>1346</v>
      </c>
    </row>
    <row r="36" spans="1:11" x14ac:dyDescent="0.3">
      <c r="A36" s="256">
        <v>29</v>
      </c>
      <c r="B36" s="257" t="s">
        <v>1411</v>
      </c>
      <c r="C36" s="276">
        <v>44469</v>
      </c>
      <c r="D36" s="257" t="s">
        <v>1275</v>
      </c>
      <c r="E36" s="256" t="s">
        <v>1808</v>
      </c>
      <c r="F36" s="256" t="s">
        <v>1731</v>
      </c>
      <c r="G36" s="258">
        <v>15990000000</v>
      </c>
      <c r="H36" s="265">
        <v>0.1</v>
      </c>
      <c r="I36" s="258">
        <v>1599000000</v>
      </c>
      <c r="J36" s="258">
        <v>17589000000</v>
      </c>
      <c r="K36" s="256" t="s">
        <v>1346</v>
      </c>
    </row>
    <row r="37" spans="1:11" x14ac:dyDescent="0.3">
      <c r="A37" s="256">
        <v>30</v>
      </c>
      <c r="B37" s="257" t="s">
        <v>1203</v>
      </c>
      <c r="C37" s="276">
        <v>44530</v>
      </c>
      <c r="D37" s="257" t="s">
        <v>1288</v>
      </c>
      <c r="E37" s="256" t="s">
        <v>1797</v>
      </c>
      <c r="F37" s="256" t="s">
        <v>1687</v>
      </c>
      <c r="G37" s="258">
        <v>8070000000</v>
      </c>
      <c r="H37" s="265">
        <v>0.1</v>
      </c>
      <c r="I37" s="258">
        <v>807000000</v>
      </c>
      <c r="J37" s="258">
        <v>8877000000</v>
      </c>
      <c r="K37" s="256" t="s">
        <v>1346</v>
      </c>
    </row>
    <row r="38" spans="1:11" x14ac:dyDescent="0.3">
      <c r="A38" s="256">
        <v>31</v>
      </c>
      <c r="B38" s="257" t="s">
        <v>1204</v>
      </c>
      <c r="C38" s="276">
        <v>44286</v>
      </c>
      <c r="D38" s="257" t="s">
        <v>1288</v>
      </c>
      <c r="E38" s="256" t="s">
        <v>1797</v>
      </c>
      <c r="F38" s="256" t="s">
        <v>1869</v>
      </c>
      <c r="G38" s="258">
        <v>9179000000</v>
      </c>
      <c r="H38" s="265">
        <v>0.1</v>
      </c>
      <c r="I38" s="258">
        <v>917900000</v>
      </c>
      <c r="J38" s="258">
        <v>10096900000</v>
      </c>
      <c r="K38" s="256" t="s">
        <v>1346</v>
      </c>
    </row>
    <row r="39" spans="1:11" x14ac:dyDescent="0.3">
      <c r="A39" s="256">
        <v>32</v>
      </c>
      <c r="B39" s="257" t="s">
        <v>1396</v>
      </c>
      <c r="C39" s="276">
        <v>44347</v>
      </c>
      <c r="D39" s="257" t="s">
        <v>1267</v>
      </c>
      <c r="E39" s="256" t="s">
        <v>1810</v>
      </c>
      <c r="F39" s="256" t="s">
        <v>1731</v>
      </c>
      <c r="G39" s="258">
        <v>15343000000</v>
      </c>
      <c r="H39" s="265">
        <v>0.1</v>
      </c>
      <c r="I39" s="258">
        <v>1534300000</v>
      </c>
      <c r="J39" s="258">
        <v>16877300000</v>
      </c>
      <c r="K39" s="256" t="s">
        <v>1348</v>
      </c>
    </row>
    <row r="40" spans="1:11" x14ac:dyDescent="0.3">
      <c r="A40" s="256">
        <v>33</v>
      </c>
      <c r="B40" s="257" t="s">
        <v>1378</v>
      </c>
      <c r="C40" s="276">
        <v>44408</v>
      </c>
      <c r="D40" s="257" t="s">
        <v>1292</v>
      </c>
      <c r="E40" s="256" t="s">
        <v>1792</v>
      </c>
      <c r="F40" s="256" t="s">
        <v>1871</v>
      </c>
      <c r="G40" s="258">
        <v>9473000000</v>
      </c>
      <c r="H40" s="265">
        <v>0.1</v>
      </c>
      <c r="I40" s="258">
        <v>947300000</v>
      </c>
      <c r="J40" s="258">
        <v>10420300000</v>
      </c>
      <c r="K40" s="256" t="s">
        <v>1346</v>
      </c>
    </row>
    <row r="41" spans="1:11" x14ac:dyDescent="0.3">
      <c r="A41" s="256">
        <v>34</v>
      </c>
      <c r="B41" s="257" t="s">
        <v>1373</v>
      </c>
      <c r="C41" s="276">
        <v>44439</v>
      </c>
      <c r="D41" s="257" t="s">
        <v>1261</v>
      </c>
      <c r="E41" s="256" t="s">
        <v>1813</v>
      </c>
      <c r="F41" s="256" t="s">
        <v>1687</v>
      </c>
      <c r="G41" s="258">
        <v>13883000000</v>
      </c>
      <c r="H41" s="265">
        <v>0.1</v>
      </c>
      <c r="I41" s="258">
        <v>1388300000</v>
      </c>
      <c r="J41" s="258">
        <v>15271300000</v>
      </c>
      <c r="K41" s="256" t="s">
        <v>1346</v>
      </c>
    </row>
    <row r="42" spans="1:11" x14ac:dyDescent="0.3">
      <c r="A42" s="256">
        <v>35</v>
      </c>
      <c r="B42" s="257" t="s">
        <v>1414</v>
      </c>
      <c r="C42" s="276">
        <v>44500</v>
      </c>
      <c r="D42" s="257" t="s">
        <v>1275</v>
      </c>
      <c r="E42" s="256" t="s">
        <v>1808</v>
      </c>
      <c r="F42" s="256" t="s">
        <v>1734</v>
      </c>
      <c r="G42" s="258">
        <v>15037000000</v>
      </c>
      <c r="H42" s="265">
        <v>0.1</v>
      </c>
      <c r="I42" s="258">
        <v>1503700000</v>
      </c>
      <c r="J42" s="258">
        <v>16540700000</v>
      </c>
      <c r="K42" s="256" t="s">
        <v>1348</v>
      </c>
    </row>
    <row r="43" spans="1:11" x14ac:dyDescent="0.3">
      <c r="A43" s="256">
        <v>36</v>
      </c>
      <c r="B43" s="257" t="s">
        <v>1364</v>
      </c>
      <c r="C43" s="276">
        <v>44561</v>
      </c>
      <c r="D43" s="257" t="s">
        <v>1298</v>
      </c>
      <c r="E43" s="256" t="s">
        <v>1819</v>
      </c>
      <c r="F43" s="256" t="s">
        <v>1868</v>
      </c>
      <c r="G43" s="258">
        <v>8172000000</v>
      </c>
      <c r="H43" s="265">
        <v>0.1</v>
      </c>
      <c r="I43" s="258">
        <v>817200000</v>
      </c>
      <c r="J43" s="258">
        <v>8989200000</v>
      </c>
      <c r="K43" s="256" t="s">
        <v>1346</v>
      </c>
    </row>
    <row r="44" spans="1:11" x14ac:dyDescent="0.3">
      <c r="A44" s="256">
        <v>37</v>
      </c>
      <c r="B44" s="257" t="s">
        <v>1364</v>
      </c>
      <c r="C44" s="276">
        <v>44561</v>
      </c>
      <c r="D44" s="257" t="s">
        <v>1296</v>
      </c>
      <c r="E44" s="256" t="s">
        <v>1807</v>
      </c>
      <c r="F44" s="256" t="s">
        <v>1734</v>
      </c>
      <c r="G44" s="258">
        <v>14209000000</v>
      </c>
      <c r="H44" s="265">
        <v>0.1</v>
      </c>
      <c r="I44" s="258">
        <v>1420900000</v>
      </c>
      <c r="J44" s="258">
        <v>15629900000</v>
      </c>
      <c r="K44" s="256" t="s">
        <v>1346</v>
      </c>
    </row>
    <row r="45" spans="1:11" x14ac:dyDescent="0.3">
      <c r="A45" s="256">
        <v>38</v>
      </c>
      <c r="B45" s="257" t="s">
        <v>1399</v>
      </c>
      <c r="C45" s="276">
        <v>44561</v>
      </c>
      <c r="D45" s="257" t="s">
        <v>1256</v>
      </c>
      <c r="E45" s="256" t="s">
        <v>1802</v>
      </c>
      <c r="F45" s="256" t="s">
        <v>1687</v>
      </c>
      <c r="G45" s="258">
        <v>7789000000</v>
      </c>
      <c r="H45" s="265">
        <v>0.1</v>
      </c>
      <c r="I45" s="258">
        <v>778900000</v>
      </c>
      <c r="J45" s="258">
        <v>8567900000</v>
      </c>
      <c r="K45" s="256" t="s">
        <v>1346</v>
      </c>
    </row>
    <row r="46" spans="1:11" x14ac:dyDescent="0.3">
      <c r="A46" s="256">
        <v>39</v>
      </c>
      <c r="B46" s="257" t="s">
        <v>1399</v>
      </c>
      <c r="C46" s="276">
        <v>44561</v>
      </c>
      <c r="D46" s="257" t="s">
        <v>1274</v>
      </c>
      <c r="E46" s="256" t="s">
        <v>1794</v>
      </c>
      <c r="F46" s="256" t="s">
        <v>1731</v>
      </c>
      <c r="G46" s="258">
        <v>12200000000</v>
      </c>
      <c r="H46" s="265">
        <v>0.1</v>
      </c>
      <c r="I46" s="258">
        <v>1220000000</v>
      </c>
      <c r="J46" s="258">
        <v>13420000000</v>
      </c>
      <c r="K46" s="256" t="s">
        <v>1346</v>
      </c>
    </row>
    <row r="47" spans="1:11" x14ac:dyDescent="0.3">
      <c r="A47" s="256">
        <v>40</v>
      </c>
      <c r="B47" s="257" t="s">
        <v>1401</v>
      </c>
      <c r="C47" s="276">
        <v>44561</v>
      </c>
      <c r="D47" s="257" t="s">
        <v>1256</v>
      </c>
      <c r="E47" s="256" t="s">
        <v>1802</v>
      </c>
      <c r="F47" s="256" t="s">
        <v>1687</v>
      </c>
      <c r="G47" s="258">
        <v>6507000000</v>
      </c>
      <c r="H47" s="265">
        <v>0.1</v>
      </c>
      <c r="I47" s="258">
        <v>650700000</v>
      </c>
      <c r="J47" s="258">
        <v>7157700000</v>
      </c>
      <c r="K47" s="256" t="s">
        <v>1346</v>
      </c>
    </row>
    <row r="48" spans="1:11" x14ac:dyDescent="0.3">
      <c r="A48" s="256">
        <v>41</v>
      </c>
      <c r="B48" s="257" t="s">
        <v>1457</v>
      </c>
      <c r="C48" s="276">
        <v>44561</v>
      </c>
      <c r="D48" s="257" t="s">
        <v>1284</v>
      </c>
      <c r="E48" s="256" t="s">
        <v>1786</v>
      </c>
      <c r="F48" s="256" t="s">
        <v>1741</v>
      </c>
      <c r="G48" s="258">
        <v>12179000000</v>
      </c>
      <c r="H48" s="265">
        <v>0.1</v>
      </c>
      <c r="I48" s="258">
        <v>1217900000</v>
      </c>
      <c r="J48" s="258">
        <v>13396900000</v>
      </c>
      <c r="K48" s="256" t="s">
        <v>1348</v>
      </c>
    </row>
    <row r="49" spans="1:11" x14ac:dyDescent="0.3">
      <c r="A49" s="256">
        <v>42</v>
      </c>
      <c r="B49" s="257" t="s">
        <v>1371</v>
      </c>
      <c r="C49" s="276">
        <v>44561</v>
      </c>
      <c r="D49" s="257" t="s">
        <v>1297</v>
      </c>
      <c r="E49" s="256" t="s">
        <v>1820</v>
      </c>
      <c r="F49" s="256" t="s">
        <v>1734</v>
      </c>
      <c r="G49" s="258">
        <v>6579000000</v>
      </c>
      <c r="H49" s="265">
        <v>0.1</v>
      </c>
      <c r="I49" s="258">
        <v>657900000</v>
      </c>
      <c r="J49" s="258">
        <v>7236900000</v>
      </c>
      <c r="K49" s="256" t="s">
        <v>1346</v>
      </c>
    </row>
    <row r="50" spans="1:11" x14ac:dyDescent="0.3">
      <c r="A50" s="256">
        <v>43</v>
      </c>
      <c r="B50" s="257" t="s">
        <v>1385</v>
      </c>
      <c r="C50" s="276">
        <v>44561</v>
      </c>
      <c r="D50" s="257" t="s">
        <v>1282</v>
      </c>
      <c r="E50" s="256" t="s">
        <v>1789</v>
      </c>
      <c r="F50" s="256" t="s">
        <v>1741</v>
      </c>
      <c r="G50" s="258">
        <v>11897000000</v>
      </c>
      <c r="H50" s="265">
        <v>0.1</v>
      </c>
      <c r="I50" s="258">
        <v>1189700000</v>
      </c>
      <c r="J50" s="258">
        <v>13086700000</v>
      </c>
      <c r="K50" s="256" t="s">
        <v>1346</v>
      </c>
    </row>
    <row r="51" spans="1:11" x14ac:dyDescent="0.3">
      <c r="A51" s="256">
        <v>44</v>
      </c>
      <c r="B51" s="257" t="s">
        <v>1404</v>
      </c>
      <c r="C51" s="276">
        <v>44561</v>
      </c>
      <c r="D51" s="257" t="s">
        <v>1272</v>
      </c>
      <c r="E51" s="256" t="s">
        <v>1805</v>
      </c>
      <c r="F51" s="256" t="s">
        <v>1870</v>
      </c>
      <c r="G51" s="258">
        <v>12102000000</v>
      </c>
      <c r="H51" s="265">
        <v>0.1</v>
      </c>
      <c r="I51" s="258">
        <v>1210200000</v>
      </c>
      <c r="J51" s="258">
        <v>13312200000</v>
      </c>
      <c r="K51" s="256" t="s">
        <v>1346</v>
      </c>
    </row>
    <row r="52" spans="1:11" x14ac:dyDescent="0.3">
      <c r="A52" s="256">
        <v>45</v>
      </c>
      <c r="B52" s="257" t="s">
        <v>1206</v>
      </c>
      <c r="C52" s="276">
        <v>44561</v>
      </c>
      <c r="D52" s="257" t="s">
        <v>1279</v>
      </c>
      <c r="E52" s="256" t="s">
        <v>1827</v>
      </c>
      <c r="F52" s="256" t="s">
        <v>1687</v>
      </c>
      <c r="G52" s="258">
        <v>14758000000</v>
      </c>
      <c r="H52" s="265">
        <v>0.1</v>
      </c>
      <c r="I52" s="258">
        <v>1475800000</v>
      </c>
      <c r="J52" s="258">
        <v>16233800000</v>
      </c>
      <c r="K52" s="256" t="s">
        <v>1346</v>
      </c>
    </row>
    <row r="53" spans="1:11" x14ac:dyDescent="0.3">
      <c r="A53" s="256">
        <v>46</v>
      </c>
      <c r="B53" s="257" t="s">
        <v>1411</v>
      </c>
      <c r="C53" s="276">
        <v>44561</v>
      </c>
      <c r="D53" s="257" t="s">
        <v>1260</v>
      </c>
      <c r="E53" s="256" t="s">
        <v>1804</v>
      </c>
      <c r="F53" s="256" t="s">
        <v>1869</v>
      </c>
      <c r="G53" s="258">
        <v>12881000000</v>
      </c>
      <c r="H53" s="265">
        <v>0.1</v>
      </c>
      <c r="I53" s="258">
        <v>1288100000</v>
      </c>
      <c r="J53" s="258">
        <v>14169100000</v>
      </c>
      <c r="K53" s="256" t="s">
        <v>1346</v>
      </c>
    </row>
    <row r="54" spans="1:11" x14ac:dyDescent="0.3">
      <c r="A54" s="256">
        <v>47</v>
      </c>
      <c r="B54" s="257" t="s">
        <v>1379</v>
      </c>
      <c r="C54" s="276">
        <v>44561</v>
      </c>
      <c r="D54" s="257" t="s">
        <v>1292</v>
      </c>
      <c r="E54" s="256" t="s">
        <v>1792</v>
      </c>
      <c r="F54" s="256" t="s">
        <v>1734</v>
      </c>
      <c r="G54" s="258">
        <v>14563000000</v>
      </c>
      <c r="H54" s="265">
        <v>0.1</v>
      </c>
      <c r="I54" s="258">
        <v>1456300000</v>
      </c>
      <c r="J54" s="258">
        <v>16019300000</v>
      </c>
      <c r="K54" s="256" t="s">
        <v>1346</v>
      </c>
    </row>
    <row r="55" spans="1:11" x14ac:dyDescent="0.3">
      <c r="A55" s="256">
        <v>48</v>
      </c>
      <c r="B55" s="257" t="s">
        <v>1405</v>
      </c>
      <c r="C55" s="276">
        <v>44561</v>
      </c>
      <c r="D55" s="257" t="s">
        <v>1272</v>
      </c>
      <c r="E55" s="256" t="s">
        <v>1805</v>
      </c>
      <c r="F55" s="256" t="s">
        <v>1731</v>
      </c>
      <c r="G55" s="258">
        <v>11132000000</v>
      </c>
      <c r="H55" s="265">
        <v>0.1</v>
      </c>
      <c r="I55" s="258">
        <v>1113200000</v>
      </c>
      <c r="J55" s="258">
        <v>12245200000</v>
      </c>
      <c r="K55" s="256" t="s">
        <v>1346</v>
      </c>
    </row>
    <row r="56" spans="1:11" x14ac:dyDescent="0.3">
      <c r="A56" s="256">
        <v>49</v>
      </c>
      <c r="B56" s="257" t="s">
        <v>1403</v>
      </c>
      <c r="C56" s="276">
        <v>44561</v>
      </c>
      <c r="D56" s="257" t="s">
        <v>1273</v>
      </c>
      <c r="E56" s="256" t="s">
        <v>1829</v>
      </c>
      <c r="F56" s="256" t="s">
        <v>1868</v>
      </c>
      <c r="G56" s="258">
        <v>11763000000</v>
      </c>
      <c r="H56" s="265">
        <v>0.1</v>
      </c>
      <c r="I56" s="258">
        <v>1176300000</v>
      </c>
      <c r="J56" s="258">
        <v>12939300000</v>
      </c>
      <c r="K56" s="256" t="s">
        <v>1346</v>
      </c>
    </row>
    <row r="57" spans="1:11" x14ac:dyDescent="0.3">
      <c r="A57" s="256">
        <v>50</v>
      </c>
      <c r="B57" s="257" t="s">
        <v>1207</v>
      </c>
      <c r="C57" s="276">
        <v>44561</v>
      </c>
      <c r="D57" s="257" t="s">
        <v>1279</v>
      </c>
      <c r="E57" s="256" t="s">
        <v>1827</v>
      </c>
      <c r="F57" s="256" t="s">
        <v>1734</v>
      </c>
      <c r="G57" s="258">
        <v>11886000000</v>
      </c>
      <c r="H57" s="265">
        <v>0.1</v>
      </c>
      <c r="I57" s="258">
        <v>1188600000</v>
      </c>
      <c r="J57" s="258">
        <v>13074600000</v>
      </c>
      <c r="K57" s="256" t="s">
        <v>1346</v>
      </c>
    </row>
    <row r="58" spans="1:11" x14ac:dyDescent="0.3">
      <c r="A58" s="266" t="s">
        <v>1351</v>
      </c>
      <c r="B58" s="266"/>
      <c r="C58" s="266"/>
      <c r="D58" s="266"/>
      <c r="E58" s="266"/>
      <c r="F58" s="266"/>
      <c r="G58" s="267">
        <f>SUM(G8:G57)</f>
        <v>542963000000</v>
      </c>
      <c r="H58" s="266"/>
      <c r="I58" s="267">
        <f>SUM(I8:I57)</f>
        <v>52305700000</v>
      </c>
      <c r="J58" s="267">
        <f>SUM(J8:J57)</f>
        <v>595268700000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1872</v>
      </c>
      <c r="G62" s="258">
        <v>19371000000</v>
      </c>
      <c r="H62" s="265">
        <v>0</v>
      </c>
      <c r="I62" s="258">
        <v>0</v>
      </c>
      <c r="J62" s="258">
        <v>19371000000</v>
      </c>
      <c r="K62" s="256" t="s">
        <v>1346</v>
      </c>
    </row>
    <row r="63" spans="1:11" x14ac:dyDescent="0.3">
      <c r="A63" s="256">
        <v>2</v>
      </c>
      <c r="B63" s="257" t="s">
        <v>1201</v>
      </c>
      <c r="C63" s="276">
        <v>44318</v>
      </c>
      <c r="D63" s="257" t="s">
        <v>1277</v>
      </c>
      <c r="E63" s="256" t="s">
        <v>1783</v>
      </c>
      <c r="F63" s="256" t="s">
        <v>1872</v>
      </c>
      <c r="G63" s="258">
        <v>19805000000</v>
      </c>
      <c r="H63" s="265">
        <v>0.1</v>
      </c>
      <c r="I63" s="258">
        <v>1980500000</v>
      </c>
      <c r="J63" s="258">
        <v>21785500000</v>
      </c>
      <c r="K63" s="256" t="s">
        <v>1346</v>
      </c>
    </row>
    <row r="64" spans="1:11" x14ac:dyDescent="0.3">
      <c r="A64" s="256">
        <v>3</v>
      </c>
      <c r="B64" s="257" t="s">
        <v>1202</v>
      </c>
      <c r="C64" s="276">
        <v>44472</v>
      </c>
      <c r="D64" s="257" t="s">
        <v>1276</v>
      </c>
      <c r="E64" s="256" t="s">
        <v>1822</v>
      </c>
      <c r="F64" s="256" t="s">
        <v>1873</v>
      </c>
      <c r="G64" s="258">
        <v>16991000000</v>
      </c>
      <c r="H64" s="265">
        <v>0.1</v>
      </c>
      <c r="I64" s="258">
        <v>1699100000</v>
      </c>
      <c r="J64" s="258">
        <v>18690100000</v>
      </c>
      <c r="K64" s="256" t="s">
        <v>1346</v>
      </c>
    </row>
    <row r="65" spans="1:11" x14ac:dyDescent="0.3">
      <c r="A65" s="256">
        <v>4</v>
      </c>
      <c r="B65" s="257" t="s">
        <v>1355</v>
      </c>
      <c r="C65" s="276">
        <v>44473</v>
      </c>
      <c r="D65" s="257" t="s">
        <v>1269</v>
      </c>
      <c r="E65" s="256" t="s">
        <v>1823</v>
      </c>
      <c r="F65" s="256" t="s">
        <v>1873</v>
      </c>
      <c r="G65" s="258">
        <v>18539000000</v>
      </c>
      <c r="H65" s="265">
        <v>0.1</v>
      </c>
      <c r="I65" s="258">
        <v>1853900000</v>
      </c>
      <c r="J65" s="258">
        <v>20392900000</v>
      </c>
      <c r="K65" s="256" t="s">
        <v>1346</v>
      </c>
    </row>
    <row r="66" spans="1:11" x14ac:dyDescent="0.3">
      <c r="A66" s="256">
        <v>5</v>
      </c>
      <c r="B66" s="257" t="s">
        <v>1356</v>
      </c>
      <c r="C66" s="276">
        <v>44474</v>
      </c>
      <c r="D66" s="257" t="s">
        <v>1274</v>
      </c>
      <c r="E66" s="256" t="s">
        <v>1794</v>
      </c>
      <c r="F66" s="256" t="s">
        <v>1874</v>
      </c>
      <c r="G66" s="258">
        <v>9953000000</v>
      </c>
      <c r="H66" s="265">
        <v>0.1</v>
      </c>
      <c r="I66" s="258">
        <v>995300000</v>
      </c>
      <c r="J66" s="258">
        <v>10948300000</v>
      </c>
      <c r="K66" s="256" t="s">
        <v>1346</v>
      </c>
    </row>
    <row r="67" spans="1:11" x14ac:dyDescent="0.3">
      <c r="A67" s="256">
        <v>6</v>
      </c>
      <c r="B67" s="257" t="s">
        <v>1358</v>
      </c>
      <c r="C67" s="276">
        <v>44475</v>
      </c>
      <c r="D67" s="257" t="s">
        <v>1267</v>
      </c>
      <c r="E67" s="256" t="s">
        <v>1810</v>
      </c>
      <c r="F67" s="256" t="s">
        <v>1874</v>
      </c>
      <c r="G67" s="258">
        <v>19495000000</v>
      </c>
      <c r="H67" s="265">
        <v>0.1</v>
      </c>
      <c r="I67" s="258">
        <v>1949500000</v>
      </c>
      <c r="J67" s="258">
        <v>21444500000</v>
      </c>
      <c r="K67" s="256" t="s">
        <v>1346</v>
      </c>
    </row>
    <row r="68" spans="1:11" x14ac:dyDescent="0.3">
      <c r="A68" s="256">
        <v>7</v>
      </c>
      <c r="B68" s="257" t="s">
        <v>1360</v>
      </c>
      <c r="C68" s="276">
        <v>44476</v>
      </c>
      <c r="D68" s="257" t="s">
        <v>1292</v>
      </c>
      <c r="E68" s="256" t="s">
        <v>1792</v>
      </c>
      <c r="F68" s="256" t="s">
        <v>1875</v>
      </c>
      <c r="G68" s="258">
        <v>16228000000</v>
      </c>
      <c r="H68" s="265">
        <v>0.1</v>
      </c>
      <c r="I68" s="258">
        <v>1622800000</v>
      </c>
      <c r="J68" s="258">
        <v>17850800000</v>
      </c>
      <c r="K68" s="256" t="s">
        <v>1346</v>
      </c>
    </row>
    <row r="69" spans="1:11" x14ac:dyDescent="0.3">
      <c r="A69" s="256">
        <v>8</v>
      </c>
      <c r="B69" s="257" t="s">
        <v>1362</v>
      </c>
      <c r="C69" s="276">
        <v>44477</v>
      </c>
      <c r="D69" s="257" t="s">
        <v>1287</v>
      </c>
      <c r="E69" s="256" t="s">
        <v>1801</v>
      </c>
      <c r="F69" s="256" t="s">
        <v>1872</v>
      </c>
      <c r="G69" s="258">
        <v>22066000000</v>
      </c>
      <c r="H69" s="265">
        <v>0.1</v>
      </c>
      <c r="I69" s="258">
        <v>2206600000</v>
      </c>
      <c r="J69" s="258">
        <v>24272600000</v>
      </c>
      <c r="K69" s="256" t="s">
        <v>1346</v>
      </c>
    </row>
    <row r="70" spans="1:11" x14ac:dyDescent="0.3">
      <c r="A70" s="256">
        <v>9</v>
      </c>
      <c r="B70" s="257" t="s">
        <v>1364</v>
      </c>
      <c r="C70" s="276">
        <v>44478</v>
      </c>
      <c r="D70" s="257" t="s">
        <v>1260</v>
      </c>
      <c r="E70" s="256" t="s">
        <v>1804</v>
      </c>
      <c r="F70" s="256" t="s">
        <v>1875</v>
      </c>
      <c r="G70" s="258">
        <v>21499000000</v>
      </c>
      <c r="H70" s="265">
        <v>0</v>
      </c>
      <c r="I70" s="258">
        <v>0</v>
      </c>
      <c r="J70" s="258">
        <v>21499000000</v>
      </c>
      <c r="K70" s="256" t="s">
        <v>1346</v>
      </c>
    </row>
    <row r="71" spans="1:11" x14ac:dyDescent="0.3">
      <c r="A71" s="256">
        <v>10</v>
      </c>
      <c r="B71" s="257" t="s">
        <v>1366</v>
      </c>
      <c r="C71" s="276">
        <v>44479</v>
      </c>
      <c r="D71" s="257" t="s">
        <v>1287</v>
      </c>
      <c r="E71" s="256" t="s">
        <v>1801</v>
      </c>
      <c r="F71" s="256" t="s">
        <v>1874</v>
      </c>
      <c r="G71" s="258">
        <v>8593000000</v>
      </c>
      <c r="H71" s="265">
        <v>0.1</v>
      </c>
      <c r="I71" s="258">
        <v>859300000</v>
      </c>
      <c r="J71" s="258">
        <v>9452300000</v>
      </c>
      <c r="K71" s="256" t="s">
        <v>1348</v>
      </c>
    </row>
    <row r="72" spans="1:11" x14ac:dyDescent="0.3">
      <c r="A72" s="256">
        <v>11</v>
      </c>
      <c r="B72" s="257" t="s">
        <v>1368</v>
      </c>
      <c r="C72" s="276">
        <v>44480</v>
      </c>
      <c r="D72" s="257" t="s">
        <v>1267</v>
      </c>
      <c r="E72" s="256" t="s">
        <v>1810</v>
      </c>
      <c r="F72" s="256" t="s">
        <v>1875</v>
      </c>
      <c r="G72" s="258">
        <v>18281000000</v>
      </c>
      <c r="H72" s="265">
        <v>0.1</v>
      </c>
      <c r="I72" s="258">
        <v>1828100000</v>
      </c>
      <c r="J72" s="258">
        <v>20109100000</v>
      </c>
      <c r="K72" s="256" t="s">
        <v>1346</v>
      </c>
    </row>
    <row r="73" spans="1:11" x14ac:dyDescent="0.3">
      <c r="A73" s="256">
        <v>12</v>
      </c>
      <c r="B73" s="257" t="s">
        <v>1371</v>
      </c>
      <c r="C73" s="276">
        <v>44481</v>
      </c>
      <c r="D73" s="257" t="s">
        <v>1275</v>
      </c>
      <c r="E73" s="256" t="s">
        <v>1808</v>
      </c>
      <c r="F73" s="256" t="s">
        <v>1874</v>
      </c>
      <c r="G73" s="258">
        <v>19318000000</v>
      </c>
      <c r="H73" s="265">
        <v>0.1</v>
      </c>
      <c r="I73" s="258">
        <v>1931800000</v>
      </c>
      <c r="J73" s="258">
        <v>21249800000</v>
      </c>
      <c r="K73" s="256" t="s">
        <v>1346</v>
      </c>
    </row>
    <row r="74" spans="1:11" x14ac:dyDescent="0.3">
      <c r="A74" s="256">
        <v>13</v>
      </c>
      <c r="B74" s="257" t="s">
        <v>1373</v>
      </c>
      <c r="C74" s="276">
        <v>44211</v>
      </c>
      <c r="D74" s="257" t="s">
        <v>1262</v>
      </c>
      <c r="E74" s="256" t="s">
        <v>1816</v>
      </c>
      <c r="F74" s="256" t="s">
        <v>1875</v>
      </c>
      <c r="G74" s="258">
        <v>7920000000</v>
      </c>
      <c r="H74" s="265">
        <v>0.1</v>
      </c>
      <c r="I74" s="258">
        <v>792000000</v>
      </c>
      <c r="J74" s="258">
        <v>8712000000</v>
      </c>
      <c r="K74" s="256" t="s">
        <v>1346</v>
      </c>
    </row>
    <row r="75" spans="1:11" x14ac:dyDescent="0.3">
      <c r="A75" s="256">
        <v>14</v>
      </c>
      <c r="B75" s="257" t="s">
        <v>1374</v>
      </c>
      <c r="C75" s="276">
        <v>44242</v>
      </c>
      <c r="D75" s="257" t="s">
        <v>1274</v>
      </c>
      <c r="E75" s="256" t="s">
        <v>1794</v>
      </c>
      <c r="F75" s="256" t="s">
        <v>1874</v>
      </c>
      <c r="G75" s="258">
        <v>20381000000</v>
      </c>
      <c r="H75" s="265">
        <v>0.1</v>
      </c>
      <c r="I75" s="258">
        <v>2038100000</v>
      </c>
      <c r="J75" s="258">
        <v>22419100000</v>
      </c>
      <c r="K75" s="256" t="s">
        <v>1346</v>
      </c>
    </row>
    <row r="76" spans="1:11" x14ac:dyDescent="0.3">
      <c r="A76" s="256">
        <v>15</v>
      </c>
      <c r="B76" s="257" t="s">
        <v>1376</v>
      </c>
      <c r="C76" s="276">
        <v>44275</v>
      </c>
      <c r="D76" s="257" t="s">
        <v>1274</v>
      </c>
      <c r="E76" s="256" t="s">
        <v>1794</v>
      </c>
      <c r="F76" s="256" t="s">
        <v>1872</v>
      </c>
      <c r="G76" s="258">
        <v>15597000000</v>
      </c>
      <c r="H76" s="265">
        <v>0.1</v>
      </c>
      <c r="I76" s="258">
        <v>1559700000</v>
      </c>
      <c r="J76" s="258">
        <v>17156700000</v>
      </c>
      <c r="K76" s="256" t="s">
        <v>1346</v>
      </c>
    </row>
    <row r="77" spans="1:11" x14ac:dyDescent="0.3">
      <c r="A77" s="256">
        <v>16</v>
      </c>
      <c r="B77" s="257" t="s">
        <v>1378</v>
      </c>
      <c r="C77" s="276">
        <v>44306</v>
      </c>
      <c r="D77" s="257" t="s">
        <v>1286</v>
      </c>
      <c r="E77" s="256" t="s">
        <v>1828</v>
      </c>
      <c r="F77" s="256" t="s">
        <v>1875</v>
      </c>
      <c r="G77" s="258">
        <v>18004000000</v>
      </c>
      <c r="H77" s="265">
        <v>0.1</v>
      </c>
      <c r="I77" s="258">
        <v>1800400000</v>
      </c>
      <c r="J77" s="258">
        <v>19804400000</v>
      </c>
      <c r="K77" s="256" t="s">
        <v>1346</v>
      </c>
    </row>
    <row r="78" spans="1:11" x14ac:dyDescent="0.3">
      <c r="A78" s="256">
        <v>17</v>
      </c>
      <c r="B78" s="257" t="s">
        <v>1379</v>
      </c>
      <c r="C78" s="276">
        <v>44336</v>
      </c>
      <c r="D78" s="257" t="s">
        <v>1264</v>
      </c>
      <c r="E78" s="256" t="s">
        <v>1779</v>
      </c>
      <c r="F78" s="256" t="s">
        <v>1874</v>
      </c>
      <c r="G78" s="258">
        <v>10429000000</v>
      </c>
      <c r="H78" s="265">
        <v>0.1</v>
      </c>
      <c r="I78" s="258">
        <v>1042900000</v>
      </c>
      <c r="J78" s="258">
        <v>11471900000</v>
      </c>
      <c r="K78" s="256" t="s">
        <v>1346</v>
      </c>
    </row>
    <row r="79" spans="1:11" x14ac:dyDescent="0.3">
      <c r="A79" s="256">
        <v>18</v>
      </c>
      <c r="B79" s="257" t="s">
        <v>1381</v>
      </c>
      <c r="C79" s="276">
        <v>44367</v>
      </c>
      <c r="D79" s="257" t="s">
        <v>1271</v>
      </c>
      <c r="E79" s="256" t="s">
        <v>1799</v>
      </c>
      <c r="F79" s="256" t="s">
        <v>1873</v>
      </c>
      <c r="G79" s="258">
        <v>7102000000</v>
      </c>
      <c r="H79" s="265">
        <v>0.1</v>
      </c>
      <c r="I79" s="258">
        <v>710200000</v>
      </c>
      <c r="J79" s="258">
        <v>7812200000</v>
      </c>
      <c r="K79" s="256" t="s">
        <v>1346</v>
      </c>
    </row>
    <row r="80" spans="1:11" x14ac:dyDescent="0.3">
      <c r="A80" s="256">
        <v>19</v>
      </c>
      <c r="B80" s="257" t="s">
        <v>1382</v>
      </c>
      <c r="C80" s="276">
        <v>44397</v>
      </c>
      <c r="D80" s="257" t="s">
        <v>1278</v>
      </c>
      <c r="E80" s="256" t="s">
        <v>1785</v>
      </c>
      <c r="F80" s="256" t="s">
        <v>1874</v>
      </c>
      <c r="G80" s="258">
        <v>13755000000</v>
      </c>
      <c r="H80" s="265">
        <v>0.1</v>
      </c>
      <c r="I80" s="258">
        <v>1375500000</v>
      </c>
      <c r="J80" s="258">
        <v>15130500000</v>
      </c>
      <c r="K80" s="256" t="s">
        <v>1346</v>
      </c>
    </row>
    <row r="81" spans="1:11" x14ac:dyDescent="0.3">
      <c r="A81" s="256">
        <v>20</v>
      </c>
      <c r="B81" s="257" t="s">
        <v>1383</v>
      </c>
      <c r="C81" s="276">
        <v>44428</v>
      </c>
      <c r="D81" s="257" t="s">
        <v>1255</v>
      </c>
      <c r="E81" s="273">
        <v>46152</v>
      </c>
      <c r="F81" s="256" t="s">
        <v>1875</v>
      </c>
      <c r="G81" s="258">
        <v>11655000000</v>
      </c>
      <c r="H81" s="265">
        <v>0.1</v>
      </c>
      <c r="I81" s="258">
        <v>1165500000</v>
      </c>
      <c r="J81" s="258">
        <v>12820500000</v>
      </c>
      <c r="K81" s="256" t="s">
        <v>1346</v>
      </c>
    </row>
    <row r="82" spans="1:11" x14ac:dyDescent="0.3">
      <c r="A82" s="256">
        <v>21</v>
      </c>
      <c r="B82" s="257" t="s">
        <v>1203</v>
      </c>
      <c r="C82" s="276">
        <v>44459</v>
      </c>
      <c r="D82" s="257" t="s">
        <v>1295</v>
      </c>
      <c r="E82" s="256" t="s">
        <v>1825</v>
      </c>
      <c r="F82" s="256" t="s">
        <v>1872</v>
      </c>
      <c r="G82" s="258">
        <v>9965000000</v>
      </c>
      <c r="H82" s="265">
        <v>0.1</v>
      </c>
      <c r="I82" s="258">
        <v>996500000</v>
      </c>
      <c r="J82" s="258">
        <v>10961500000</v>
      </c>
      <c r="K82" s="256" t="s">
        <v>1346</v>
      </c>
    </row>
    <row r="83" spans="1:11" x14ac:dyDescent="0.3">
      <c r="A83" s="256">
        <v>22</v>
      </c>
      <c r="B83" s="257" t="s">
        <v>1204</v>
      </c>
      <c r="C83" s="276">
        <v>44489</v>
      </c>
      <c r="D83" s="257" t="s">
        <v>1283</v>
      </c>
      <c r="E83" s="256" t="s">
        <v>1798</v>
      </c>
      <c r="F83" s="256" t="s">
        <v>1875</v>
      </c>
      <c r="G83" s="258">
        <v>14760000000</v>
      </c>
      <c r="H83" s="265">
        <v>0.1</v>
      </c>
      <c r="I83" s="258">
        <v>1476000000</v>
      </c>
      <c r="J83" s="258">
        <v>16236000000</v>
      </c>
      <c r="K83" s="256" t="s">
        <v>1346</v>
      </c>
    </row>
    <row r="84" spans="1:11" x14ac:dyDescent="0.3">
      <c r="A84" s="256">
        <v>23</v>
      </c>
      <c r="B84" s="257" t="s">
        <v>1205</v>
      </c>
      <c r="C84" s="276">
        <v>44520</v>
      </c>
      <c r="D84" s="257" t="s">
        <v>1265</v>
      </c>
      <c r="E84" s="256" t="s">
        <v>1830</v>
      </c>
      <c r="F84" s="256" t="s">
        <v>1874</v>
      </c>
      <c r="G84" s="258">
        <v>8434000000</v>
      </c>
      <c r="H84" s="265">
        <v>0.1</v>
      </c>
      <c r="I84" s="258">
        <v>843400000</v>
      </c>
      <c r="J84" s="258">
        <v>9277400000</v>
      </c>
      <c r="K84" s="256" t="s">
        <v>1346</v>
      </c>
    </row>
    <row r="85" spans="1:11" x14ac:dyDescent="0.3">
      <c r="A85" s="256">
        <v>24</v>
      </c>
      <c r="B85" s="257" t="s">
        <v>1385</v>
      </c>
      <c r="C85" s="276">
        <v>44550</v>
      </c>
      <c r="D85" s="257" t="s">
        <v>1259</v>
      </c>
      <c r="E85" s="256" t="s">
        <v>1788</v>
      </c>
      <c r="F85" s="256" t="s">
        <v>1873</v>
      </c>
      <c r="G85" s="258">
        <v>7960000000</v>
      </c>
      <c r="H85" s="265">
        <v>0.1</v>
      </c>
      <c r="I85" s="258">
        <v>796000000</v>
      </c>
      <c r="J85" s="258">
        <v>8756000000</v>
      </c>
      <c r="K85" s="256" t="s">
        <v>1346</v>
      </c>
    </row>
    <row r="86" spans="1:11" x14ac:dyDescent="0.3">
      <c r="A86" s="256">
        <v>25</v>
      </c>
      <c r="B86" s="257" t="s">
        <v>1387</v>
      </c>
      <c r="C86" s="276">
        <v>44221</v>
      </c>
      <c r="D86" s="257" t="s">
        <v>1276</v>
      </c>
      <c r="E86" s="256" t="s">
        <v>1822</v>
      </c>
      <c r="F86" s="256" t="s">
        <v>1875</v>
      </c>
      <c r="G86" s="258">
        <v>9571000000</v>
      </c>
      <c r="H86" s="265">
        <v>0.1</v>
      </c>
      <c r="I86" s="258">
        <v>957100000</v>
      </c>
      <c r="J86" s="258">
        <v>10528100000</v>
      </c>
      <c r="K86" s="256" t="s">
        <v>1346</v>
      </c>
    </row>
    <row r="87" spans="1:11" x14ac:dyDescent="0.3">
      <c r="A87" s="256">
        <v>26</v>
      </c>
      <c r="B87" s="257" t="s">
        <v>1388</v>
      </c>
      <c r="C87" s="276">
        <v>44255</v>
      </c>
      <c r="D87" s="257" t="s">
        <v>1293</v>
      </c>
      <c r="E87" s="256" t="s">
        <v>1826</v>
      </c>
      <c r="F87" s="256" t="s">
        <v>1875</v>
      </c>
      <c r="G87" s="258">
        <v>17593000000</v>
      </c>
      <c r="H87" s="265">
        <v>0.1</v>
      </c>
      <c r="I87" s="258">
        <v>1759300000</v>
      </c>
      <c r="J87" s="258">
        <v>19352300000</v>
      </c>
      <c r="K87" s="256" t="s">
        <v>1346</v>
      </c>
    </row>
    <row r="88" spans="1:11" x14ac:dyDescent="0.3">
      <c r="A88" s="256">
        <v>27</v>
      </c>
      <c r="B88" s="257" t="s">
        <v>1391</v>
      </c>
      <c r="C88" s="276">
        <v>44316</v>
      </c>
      <c r="D88" s="257" t="s">
        <v>1286</v>
      </c>
      <c r="E88" s="256" t="s">
        <v>1828</v>
      </c>
      <c r="F88" s="256" t="s">
        <v>1873</v>
      </c>
      <c r="G88" s="258">
        <v>19635000000</v>
      </c>
      <c r="H88" s="265">
        <v>0.1</v>
      </c>
      <c r="I88" s="258">
        <v>1963500000</v>
      </c>
      <c r="J88" s="258">
        <v>21598500000</v>
      </c>
      <c r="K88" s="256" t="s">
        <v>1346</v>
      </c>
    </row>
    <row r="89" spans="1:11" x14ac:dyDescent="0.3">
      <c r="A89" s="256">
        <v>28</v>
      </c>
      <c r="B89" s="257" t="s">
        <v>1392</v>
      </c>
      <c r="C89" s="276">
        <v>44377</v>
      </c>
      <c r="D89" s="257" t="s">
        <v>1261</v>
      </c>
      <c r="E89" s="256" t="s">
        <v>1813</v>
      </c>
      <c r="F89" s="256" t="s">
        <v>1873</v>
      </c>
      <c r="G89" s="258">
        <v>10514000000</v>
      </c>
      <c r="H89" s="265">
        <v>0.1</v>
      </c>
      <c r="I89" s="258">
        <v>1051400000</v>
      </c>
      <c r="J89" s="258">
        <v>11565400000</v>
      </c>
      <c r="K89" s="256" t="s">
        <v>1346</v>
      </c>
    </row>
    <row r="90" spans="1:11" x14ac:dyDescent="0.3">
      <c r="A90" s="256">
        <v>29</v>
      </c>
      <c r="B90" s="257" t="s">
        <v>1394</v>
      </c>
      <c r="C90" s="276">
        <v>44469</v>
      </c>
      <c r="D90" s="257" t="s">
        <v>1274</v>
      </c>
      <c r="E90" s="256" t="s">
        <v>1794</v>
      </c>
      <c r="F90" s="256" t="s">
        <v>1874</v>
      </c>
      <c r="G90" s="258">
        <v>8439000000</v>
      </c>
      <c r="H90" s="265">
        <v>0.1</v>
      </c>
      <c r="I90" s="258">
        <v>843900000</v>
      </c>
      <c r="J90" s="258">
        <v>9282900000</v>
      </c>
      <c r="K90" s="256" t="s">
        <v>1346</v>
      </c>
    </row>
    <row r="91" spans="1:11" x14ac:dyDescent="0.3">
      <c r="A91" s="256">
        <v>30</v>
      </c>
      <c r="B91" s="257" t="s">
        <v>1396</v>
      </c>
      <c r="C91" s="276">
        <v>44530</v>
      </c>
      <c r="D91" s="257" t="s">
        <v>1264</v>
      </c>
      <c r="E91" s="256" t="s">
        <v>1779</v>
      </c>
      <c r="F91" s="256" t="s">
        <v>1872</v>
      </c>
      <c r="G91" s="258">
        <v>18818000000</v>
      </c>
      <c r="H91" s="265">
        <v>0.1</v>
      </c>
      <c r="I91" s="258">
        <v>1881800000</v>
      </c>
      <c r="J91" s="258">
        <v>20699800000</v>
      </c>
      <c r="K91" s="256" t="s">
        <v>1346</v>
      </c>
    </row>
    <row r="92" spans="1:11" x14ac:dyDescent="0.3">
      <c r="A92" s="256">
        <v>31</v>
      </c>
      <c r="B92" s="257" t="s">
        <v>1397</v>
      </c>
      <c r="C92" s="276">
        <v>44286</v>
      </c>
      <c r="D92" s="257" t="s">
        <v>1256</v>
      </c>
      <c r="E92" s="256" t="s">
        <v>1802</v>
      </c>
      <c r="F92" s="256" t="s">
        <v>1872</v>
      </c>
      <c r="G92" s="258">
        <v>16512000000</v>
      </c>
      <c r="H92" s="265">
        <v>0.1</v>
      </c>
      <c r="I92" s="258">
        <v>1651200000</v>
      </c>
      <c r="J92" s="258">
        <v>18163200000</v>
      </c>
      <c r="K92" s="256" t="s">
        <v>1346</v>
      </c>
    </row>
    <row r="93" spans="1:11" x14ac:dyDescent="0.3">
      <c r="A93" s="256">
        <v>32</v>
      </c>
      <c r="B93" s="257" t="s">
        <v>1398</v>
      </c>
      <c r="C93" s="276">
        <v>44347</v>
      </c>
      <c r="D93" s="257" t="s">
        <v>1277</v>
      </c>
      <c r="E93" s="256" t="s">
        <v>1783</v>
      </c>
      <c r="F93" s="256" t="s">
        <v>1875</v>
      </c>
      <c r="G93" s="258">
        <v>20255000000</v>
      </c>
      <c r="H93" s="265">
        <v>0.1</v>
      </c>
      <c r="I93" s="258">
        <v>2025500000</v>
      </c>
      <c r="J93" s="258">
        <v>22280500000</v>
      </c>
      <c r="K93" s="256" t="s">
        <v>1348</v>
      </c>
    </row>
    <row r="94" spans="1:11" x14ac:dyDescent="0.3">
      <c r="A94" s="256">
        <v>33</v>
      </c>
      <c r="B94" s="257" t="s">
        <v>1399</v>
      </c>
      <c r="C94" s="276">
        <v>44408</v>
      </c>
      <c r="D94" s="257" t="s">
        <v>1276</v>
      </c>
      <c r="E94" s="256" t="s">
        <v>1822</v>
      </c>
      <c r="F94" s="256" t="s">
        <v>1872</v>
      </c>
      <c r="G94" s="258">
        <v>7209000000</v>
      </c>
      <c r="H94" s="265">
        <v>0.1</v>
      </c>
      <c r="I94" s="258">
        <v>720900000</v>
      </c>
      <c r="J94" s="258">
        <v>7929900000</v>
      </c>
      <c r="K94" s="256" t="s">
        <v>1346</v>
      </c>
    </row>
    <row r="95" spans="1:11" x14ac:dyDescent="0.3">
      <c r="A95" s="256">
        <v>34</v>
      </c>
      <c r="B95" s="257" t="s">
        <v>1401</v>
      </c>
      <c r="C95" s="276">
        <v>44439</v>
      </c>
      <c r="D95" s="257" t="s">
        <v>1267</v>
      </c>
      <c r="E95" s="256" t="s">
        <v>1810</v>
      </c>
      <c r="F95" s="256" t="s">
        <v>1873</v>
      </c>
      <c r="G95" s="258">
        <v>9999000000</v>
      </c>
      <c r="H95" s="265">
        <v>0.1</v>
      </c>
      <c r="I95" s="258">
        <v>999900000</v>
      </c>
      <c r="J95" s="258">
        <v>10998900000</v>
      </c>
      <c r="K95" s="256" t="s">
        <v>1348</v>
      </c>
    </row>
    <row r="96" spans="1:11" x14ac:dyDescent="0.3">
      <c r="A96" s="256">
        <v>35</v>
      </c>
      <c r="B96" s="257" t="s">
        <v>1402</v>
      </c>
      <c r="C96" s="276">
        <v>44500</v>
      </c>
      <c r="D96" s="257" t="s">
        <v>1257</v>
      </c>
      <c r="E96" s="256" t="s">
        <v>1815</v>
      </c>
      <c r="F96" s="256" t="s">
        <v>1872</v>
      </c>
      <c r="G96" s="258">
        <v>6269000000</v>
      </c>
      <c r="H96" s="265">
        <v>0.1</v>
      </c>
      <c r="I96" s="258">
        <v>626900000</v>
      </c>
      <c r="J96" s="258">
        <v>6895900000</v>
      </c>
      <c r="K96" s="256" t="s">
        <v>1346</v>
      </c>
    </row>
    <row r="97" spans="1:11" x14ac:dyDescent="0.3">
      <c r="A97" s="256">
        <v>36</v>
      </c>
      <c r="B97" s="257" t="s">
        <v>1403</v>
      </c>
      <c r="C97" s="276">
        <v>44561</v>
      </c>
      <c r="D97" s="257" t="s">
        <v>1299</v>
      </c>
      <c r="E97" s="256" t="s">
        <v>1776</v>
      </c>
      <c r="F97" s="256" t="s">
        <v>1873</v>
      </c>
      <c r="G97" s="258">
        <v>13220000000</v>
      </c>
      <c r="H97" s="265">
        <v>0.1</v>
      </c>
      <c r="I97" s="258">
        <v>1322000000</v>
      </c>
      <c r="J97" s="258">
        <v>14542000000</v>
      </c>
      <c r="K97" s="256" t="s">
        <v>1346</v>
      </c>
    </row>
    <row r="98" spans="1:11" x14ac:dyDescent="0.3">
      <c r="A98" s="256">
        <v>37</v>
      </c>
      <c r="B98" s="257" t="s">
        <v>1404</v>
      </c>
      <c r="C98" s="276">
        <v>44561</v>
      </c>
      <c r="D98" s="257" t="s">
        <v>1260</v>
      </c>
      <c r="E98" s="256" t="s">
        <v>1804</v>
      </c>
      <c r="F98" s="256" t="s">
        <v>1874</v>
      </c>
      <c r="G98" s="258">
        <v>8671000000</v>
      </c>
      <c r="H98" s="265">
        <v>0.1</v>
      </c>
      <c r="I98" s="258">
        <v>867100000</v>
      </c>
      <c r="J98" s="258">
        <v>9538100000</v>
      </c>
      <c r="K98" s="256" t="s">
        <v>1346</v>
      </c>
    </row>
    <row r="99" spans="1:11" x14ac:dyDescent="0.3">
      <c r="A99" s="256">
        <v>38</v>
      </c>
      <c r="B99" s="257" t="s">
        <v>1405</v>
      </c>
      <c r="C99" s="276">
        <v>44561</v>
      </c>
      <c r="D99" s="257" t="s">
        <v>1273</v>
      </c>
      <c r="E99" s="256" t="s">
        <v>1829</v>
      </c>
      <c r="F99" s="256" t="s">
        <v>1874</v>
      </c>
      <c r="G99" s="258">
        <v>11662000000</v>
      </c>
      <c r="H99" s="265">
        <v>0.1</v>
      </c>
      <c r="I99" s="258">
        <v>1166200000</v>
      </c>
      <c r="J99" s="258">
        <v>12828200000</v>
      </c>
      <c r="K99" s="256" t="s">
        <v>1346</v>
      </c>
    </row>
    <row r="100" spans="1:11" x14ac:dyDescent="0.3">
      <c r="A100" s="256">
        <v>39</v>
      </c>
      <c r="B100" s="257" t="s">
        <v>1406</v>
      </c>
      <c r="C100" s="276">
        <v>44561</v>
      </c>
      <c r="D100" s="257" t="s">
        <v>1282</v>
      </c>
      <c r="E100" s="256" t="s">
        <v>1789</v>
      </c>
      <c r="F100" s="256" t="s">
        <v>1874</v>
      </c>
      <c r="G100" s="258">
        <v>11493000000</v>
      </c>
      <c r="H100" s="265">
        <v>0.1</v>
      </c>
      <c r="I100" s="258">
        <v>1149300000</v>
      </c>
      <c r="J100" s="258">
        <v>12642300000</v>
      </c>
      <c r="K100" s="256" t="s">
        <v>1346</v>
      </c>
    </row>
    <row r="101" spans="1:11" x14ac:dyDescent="0.3">
      <c r="A101" s="256">
        <v>40</v>
      </c>
      <c r="B101" s="257" t="s">
        <v>1408</v>
      </c>
      <c r="C101" s="276">
        <v>44561</v>
      </c>
      <c r="D101" s="257" t="s">
        <v>1255</v>
      </c>
      <c r="E101" s="273">
        <v>46152</v>
      </c>
      <c r="F101" s="256" t="s">
        <v>1874</v>
      </c>
      <c r="G101" s="258">
        <v>19464000000</v>
      </c>
      <c r="H101" s="265">
        <v>0.1</v>
      </c>
      <c r="I101" s="258">
        <v>1946400000</v>
      </c>
      <c r="J101" s="258">
        <v>21410400000</v>
      </c>
      <c r="K101" s="256" t="s">
        <v>1348</v>
      </c>
    </row>
    <row r="102" spans="1:11" x14ac:dyDescent="0.3">
      <c r="A102" s="256">
        <v>41</v>
      </c>
      <c r="B102" s="257" t="s">
        <v>1409</v>
      </c>
      <c r="C102" s="276">
        <v>44561</v>
      </c>
      <c r="D102" s="257" t="s">
        <v>1290</v>
      </c>
      <c r="E102" s="256" t="s">
        <v>1796</v>
      </c>
      <c r="F102" s="256" t="s">
        <v>1873</v>
      </c>
      <c r="G102" s="258">
        <v>20690000000</v>
      </c>
      <c r="H102" s="265">
        <v>0.1</v>
      </c>
      <c r="I102" s="258">
        <v>2069000000</v>
      </c>
      <c r="J102" s="258">
        <v>22759000000</v>
      </c>
      <c r="K102" s="256" t="s">
        <v>1346</v>
      </c>
    </row>
    <row r="103" spans="1:11" x14ac:dyDescent="0.3">
      <c r="A103" s="256">
        <v>42</v>
      </c>
      <c r="B103" s="257" t="s">
        <v>1411</v>
      </c>
      <c r="C103" s="276">
        <v>44561</v>
      </c>
      <c r="D103" s="257" t="s">
        <v>1292</v>
      </c>
      <c r="E103" s="256" t="s">
        <v>1792</v>
      </c>
      <c r="F103" s="256" t="s">
        <v>1872</v>
      </c>
      <c r="G103" s="258">
        <v>6682000000</v>
      </c>
      <c r="H103" s="265">
        <v>0.1</v>
      </c>
      <c r="I103" s="258">
        <v>668200000</v>
      </c>
      <c r="J103" s="258">
        <v>7350200000</v>
      </c>
      <c r="K103" s="256" t="s">
        <v>1348</v>
      </c>
    </row>
    <row r="104" spans="1:11" x14ac:dyDescent="0.3">
      <c r="A104" s="256">
        <v>43</v>
      </c>
      <c r="B104" s="257" t="s">
        <v>1414</v>
      </c>
      <c r="C104" s="276">
        <v>44561</v>
      </c>
      <c r="D104" s="257" t="s">
        <v>1267</v>
      </c>
      <c r="E104" s="256" t="s">
        <v>1810</v>
      </c>
      <c r="F104" s="256" t="s">
        <v>1873</v>
      </c>
      <c r="G104" s="258">
        <v>8180000000</v>
      </c>
      <c r="H104" s="265">
        <v>0.1</v>
      </c>
      <c r="I104" s="258">
        <v>818000000</v>
      </c>
      <c r="J104" s="258">
        <v>8998000000</v>
      </c>
      <c r="K104" s="256" t="s">
        <v>1346</v>
      </c>
    </row>
    <row r="105" spans="1:11" x14ac:dyDescent="0.3">
      <c r="A105" s="256">
        <v>44</v>
      </c>
      <c r="B105" s="257" t="s">
        <v>1415</v>
      </c>
      <c r="C105" s="276">
        <v>44561</v>
      </c>
      <c r="D105" s="257" t="s">
        <v>1290</v>
      </c>
      <c r="E105" s="256" t="s">
        <v>1796</v>
      </c>
      <c r="F105" s="256" t="s">
        <v>1873</v>
      </c>
      <c r="G105" s="258">
        <v>14231000000</v>
      </c>
      <c r="H105" s="265">
        <v>0.1</v>
      </c>
      <c r="I105" s="258">
        <v>1423100000</v>
      </c>
      <c r="J105" s="258">
        <v>15654100000</v>
      </c>
      <c r="K105" s="256" t="s">
        <v>1346</v>
      </c>
    </row>
    <row r="106" spans="1:11" x14ac:dyDescent="0.3">
      <c r="A106" s="256">
        <v>45</v>
      </c>
      <c r="B106" s="257" t="s">
        <v>1206</v>
      </c>
      <c r="C106" s="276">
        <v>44561</v>
      </c>
      <c r="D106" s="257" t="s">
        <v>1273</v>
      </c>
      <c r="E106" s="256" t="s">
        <v>1829</v>
      </c>
      <c r="F106" s="256" t="s">
        <v>1875</v>
      </c>
      <c r="G106" s="258">
        <v>8440000000</v>
      </c>
      <c r="H106" s="265">
        <v>0.1</v>
      </c>
      <c r="I106" s="258">
        <v>844000000</v>
      </c>
      <c r="J106" s="258">
        <v>9284000000</v>
      </c>
      <c r="K106" s="256" t="s">
        <v>1346</v>
      </c>
    </row>
    <row r="107" spans="1:11" x14ac:dyDescent="0.3">
      <c r="A107" s="256">
        <v>46</v>
      </c>
      <c r="B107" s="257" t="s">
        <v>1207</v>
      </c>
      <c r="C107" s="276">
        <v>44561</v>
      </c>
      <c r="D107" s="257" t="s">
        <v>1298</v>
      </c>
      <c r="E107" s="256" t="s">
        <v>1819</v>
      </c>
      <c r="F107" s="256" t="s">
        <v>1872</v>
      </c>
      <c r="G107" s="258">
        <v>13792000000</v>
      </c>
      <c r="H107" s="265">
        <v>0.1</v>
      </c>
      <c r="I107" s="258">
        <v>1379200000</v>
      </c>
      <c r="J107" s="258">
        <v>15171200000</v>
      </c>
      <c r="K107" s="256" t="s">
        <v>1346</v>
      </c>
    </row>
    <row r="108" spans="1:11" x14ac:dyDescent="0.3">
      <c r="A108" s="256">
        <v>47</v>
      </c>
      <c r="B108" s="257" t="s">
        <v>1208</v>
      </c>
      <c r="C108" s="276">
        <v>44561</v>
      </c>
      <c r="D108" s="257" t="s">
        <v>1294</v>
      </c>
      <c r="E108" s="256" t="s">
        <v>1795</v>
      </c>
      <c r="F108" s="256" t="s">
        <v>1872</v>
      </c>
      <c r="G108" s="258">
        <v>6351000000</v>
      </c>
      <c r="H108" s="265">
        <v>0.1</v>
      </c>
      <c r="I108" s="258">
        <v>635100000</v>
      </c>
      <c r="J108" s="258">
        <v>6986100000</v>
      </c>
      <c r="K108" s="256" t="s">
        <v>1346</v>
      </c>
    </row>
    <row r="109" spans="1:11" x14ac:dyDescent="0.3">
      <c r="A109" s="256">
        <v>48</v>
      </c>
      <c r="B109" s="257" t="s">
        <v>1209</v>
      </c>
      <c r="C109" s="276">
        <v>44561</v>
      </c>
      <c r="D109" s="257" t="s">
        <v>1302</v>
      </c>
      <c r="E109" s="256" t="s">
        <v>1784</v>
      </c>
      <c r="F109" s="256" t="s">
        <v>1875</v>
      </c>
      <c r="G109" s="258">
        <v>7212000000</v>
      </c>
      <c r="H109" s="265">
        <v>0.1</v>
      </c>
      <c r="I109" s="258">
        <v>721200000</v>
      </c>
      <c r="J109" s="258">
        <v>7933200000</v>
      </c>
      <c r="K109" s="256" t="s">
        <v>1348</v>
      </c>
    </row>
    <row r="110" spans="1:11" x14ac:dyDescent="0.3">
      <c r="A110" s="256">
        <v>49</v>
      </c>
      <c r="B110" s="257" t="s">
        <v>1418</v>
      </c>
      <c r="C110" s="276">
        <v>44561</v>
      </c>
      <c r="D110" s="257" t="s">
        <v>1282</v>
      </c>
      <c r="E110" s="256" t="s">
        <v>1789</v>
      </c>
      <c r="F110" s="256" t="s">
        <v>1875</v>
      </c>
      <c r="G110" s="258">
        <v>11339000000</v>
      </c>
      <c r="H110" s="265">
        <v>0.1</v>
      </c>
      <c r="I110" s="258">
        <v>1133900000</v>
      </c>
      <c r="J110" s="258">
        <v>12472900000</v>
      </c>
      <c r="K110" s="256" t="s">
        <v>1346</v>
      </c>
    </row>
    <row r="111" spans="1:11" x14ac:dyDescent="0.3">
      <c r="A111" s="256">
        <v>50</v>
      </c>
      <c r="B111" s="257" t="s">
        <v>1419</v>
      </c>
      <c r="C111" s="276">
        <v>44561</v>
      </c>
      <c r="D111" s="257" t="s">
        <v>1304</v>
      </c>
      <c r="E111" s="256" t="s">
        <v>1831</v>
      </c>
      <c r="F111" s="256" t="s">
        <v>1875</v>
      </c>
      <c r="G111" s="258">
        <v>21909000000</v>
      </c>
      <c r="H111" s="265">
        <v>0.1</v>
      </c>
      <c r="I111" s="258">
        <v>2190900000</v>
      </c>
      <c r="J111" s="258">
        <v>24099900000</v>
      </c>
      <c r="K111" s="256" t="s">
        <v>1348</v>
      </c>
    </row>
    <row r="112" spans="1:11" x14ac:dyDescent="0.3">
      <c r="A112" s="266" t="s">
        <v>1351</v>
      </c>
      <c r="B112" s="266"/>
      <c r="C112" s="266"/>
      <c r="D112" s="266"/>
      <c r="E112" s="266"/>
      <c r="F112" s="266"/>
      <c r="G112" s="267">
        <f>SUM(G62:G111)</f>
        <v>684251000000</v>
      </c>
      <c r="H112" s="266"/>
      <c r="I112" s="267">
        <f>SUM(I62:I111)</f>
        <v>64338100000</v>
      </c>
      <c r="J112" s="267">
        <f>SUM(J62:J111)</f>
        <v>748589100000</v>
      </c>
      <c r="K112" s="266"/>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opLeftCell="A8" workbookViewId="0"/>
  </sheetViews>
  <sheetFormatPr defaultRowHeight="14.4" x14ac:dyDescent="0.3"/>
  <cols>
    <col min="7" max="7" width="14.21875" bestFit="1" customWidth="1"/>
    <col min="9" max="9" width="12.88671875" bestFit="1" customWidth="1"/>
    <col min="10" max="10" width="14.21875" bestFit="1" customWidth="1"/>
  </cols>
  <sheetData>
    <row r="1" spans="1:11" x14ac:dyDescent="0.3">
      <c r="A1" s="256" t="s">
        <v>1340</v>
      </c>
      <c r="B1" s="256" t="s">
        <v>652</v>
      </c>
      <c r="C1" s="256"/>
      <c r="D1" s="256"/>
      <c r="E1" s="256"/>
      <c r="F1" s="256"/>
      <c r="G1" s="256"/>
      <c r="H1" s="256"/>
      <c r="I1" s="256"/>
      <c r="J1" s="256"/>
      <c r="K1" s="256"/>
    </row>
    <row r="2" spans="1:11" x14ac:dyDescent="0.3">
      <c r="A2" s="256" t="s">
        <v>1339</v>
      </c>
      <c r="B2" s="257">
        <v>103711478</v>
      </c>
      <c r="C2" s="256"/>
      <c r="D2" s="256"/>
      <c r="E2" s="256"/>
      <c r="F2" s="256"/>
      <c r="G2" s="256"/>
      <c r="H2" s="256"/>
      <c r="I2" s="256"/>
      <c r="J2" s="256"/>
      <c r="K2" s="256"/>
    </row>
    <row r="3" spans="1:11" x14ac:dyDescent="0.3">
      <c r="A3" s="256" t="s">
        <v>1343</v>
      </c>
      <c r="B3" s="258">
        <v>4416824916083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1415</v>
      </c>
      <c r="C8" s="276">
        <v>44317</v>
      </c>
      <c r="D8" s="257" t="s">
        <v>1281</v>
      </c>
      <c r="E8" s="256" t="s">
        <v>1806</v>
      </c>
      <c r="F8" s="256" t="s">
        <v>1863</v>
      </c>
      <c r="G8" s="258">
        <v>58057000000</v>
      </c>
      <c r="H8" s="265">
        <v>0.1</v>
      </c>
      <c r="I8" s="258">
        <v>5805700000</v>
      </c>
      <c r="J8" s="258">
        <v>63862700000</v>
      </c>
      <c r="K8" s="256" t="s">
        <v>1346</v>
      </c>
    </row>
    <row r="9" spans="1:11" x14ac:dyDescent="0.3">
      <c r="A9" s="256">
        <v>2</v>
      </c>
      <c r="B9" s="257" t="s">
        <v>1403</v>
      </c>
      <c r="C9" s="276">
        <v>44318</v>
      </c>
      <c r="D9" s="257" t="s">
        <v>1283</v>
      </c>
      <c r="E9" s="256" t="s">
        <v>1798</v>
      </c>
      <c r="F9" s="256" t="s">
        <v>1857</v>
      </c>
      <c r="G9" s="258">
        <v>85403000000</v>
      </c>
      <c r="H9" s="265">
        <v>0</v>
      </c>
      <c r="I9" s="258">
        <v>0</v>
      </c>
      <c r="J9" s="258">
        <v>85403000000</v>
      </c>
      <c r="K9" s="256" t="s">
        <v>1346</v>
      </c>
    </row>
    <row r="10" spans="1:11" x14ac:dyDescent="0.3">
      <c r="A10" s="256">
        <v>3</v>
      </c>
      <c r="B10" s="257" t="s">
        <v>1406</v>
      </c>
      <c r="C10" s="276">
        <v>44472</v>
      </c>
      <c r="D10" s="257" t="s">
        <v>1272</v>
      </c>
      <c r="E10" s="256" t="s">
        <v>1805</v>
      </c>
      <c r="F10" s="256" t="s">
        <v>1860</v>
      </c>
      <c r="G10" s="258">
        <v>55797000000</v>
      </c>
      <c r="H10" s="265">
        <v>0.1</v>
      </c>
      <c r="I10" s="258">
        <v>5579700000</v>
      </c>
      <c r="J10" s="258">
        <v>61376700000</v>
      </c>
      <c r="K10" s="256" t="s">
        <v>1348</v>
      </c>
    </row>
    <row r="11" spans="1:11" x14ac:dyDescent="0.3">
      <c r="A11" s="256">
        <v>4</v>
      </c>
      <c r="B11" s="257" t="s">
        <v>1397</v>
      </c>
      <c r="C11" s="276">
        <v>44473</v>
      </c>
      <c r="D11" s="257" t="s">
        <v>1271</v>
      </c>
      <c r="E11" s="256" t="s">
        <v>1799</v>
      </c>
      <c r="F11" s="256" t="s">
        <v>1859</v>
      </c>
      <c r="G11" s="258">
        <v>58705000000</v>
      </c>
      <c r="H11" s="265">
        <v>0.1</v>
      </c>
      <c r="I11" s="258">
        <v>5870500000</v>
      </c>
      <c r="J11" s="258">
        <v>64575500000</v>
      </c>
      <c r="K11" s="256" t="s">
        <v>1346</v>
      </c>
    </row>
    <row r="12" spans="1:11" x14ac:dyDescent="0.3">
      <c r="A12" s="256">
        <v>5</v>
      </c>
      <c r="B12" s="257" t="s">
        <v>1402</v>
      </c>
      <c r="C12" s="276">
        <v>44474</v>
      </c>
      <c r="D12" s="257" t="s">
        <v>1285</v>
      </c>
      <c r="E12" s="256" t="s">
        <v>1793</v>
      </c>
      <c r="F12" s="256" t="s">
        <v>1863</v>
      </c>
      <c r="G12" s="258">
        <v>89694000000</v>
      </c>
      <c r="H12" s="265">
        <v>0</v>
      </c>
      <c r="I12" s="258">
        <v>0</v>
      </c>
      <c r="J12" s="258">
        <v>89694000000</v>
      </c>
      <c r="K12" s="256" t="s">
        <v>1346</v>
      </c>
    </row>
    <row r="13" spans="1:11" x14ac:dyDescent="0.3">
      <c r="A13" s="256">
        <v>6</v>
      </c>
      <c r="B13" s="257" t="s">
        <v>1362</v>
      </c>
      <c r="C13" s="276">
        <v>44475</v>
      </c>
      <c r="D13" s="257" t="s">
        <v>1294</v>
      </c>
      <c r="E13" s="256" t="s">
        <v>1795</v>
      </c>
      <c r="F13" s="256" t="s">
        <v>1858</v>
      </c>
      <c r="G13" s="258">
        <v>76994000000</v>
      </c>
      <c r="H13" s="265">
        <v>0.1</v>
      </c>
      <c r="I13" s="258">
        <v>7699400000</v>
      </c>
      <c r="J13" s="258">
        <v>84693400000</v>
      </c>
      <c r="K13" s="256" t="s">
        <v>1346</v>
      </c>
    </row>
    <row r="14" spans="1:11" x14ac:dyDescent="0.3">
      <c r="A14" s="256">
        <v>7</v>
      </c>
      <c r="B14" s="257" t="s">
        <v>1205</v>
      </c>
      <c r="C14" s="276">
        <v>44476</v>
      </c>
      <c r="D14" s="257" t="s">
        <v>1288</v>
      </c>
      <c r="E14" s="256" t="s">
        <v>1797</v>
      </c>
      <c r="F14" s="256" t="s">
        <v>1863</v>
      </c>
      <c r="G14" s="258">
        <v>45222000000</v>
      </c>
      <c r="H14" s="265">
        <v>0.1</v>
      </c>
      <c r="I14" s="258">
        <v>4522200000</v>
      </c>
      <c r="J14" s="258">
        <v>49744200000</v>
      </c>
      <c r="K14" s="256" t="s">
        <v>1346</v>
      </c>
    </row>
    <row r="15" spans="1:11" x14ac:dyDescent="0.3">
      <c r="A15" s="256">
        <v>8</v>
      </c>
      <c r="B15" s="257" t="s">
        <v>1458</v>
      </c>
      <c r="C15" s="276">
        <v>44477</v>
      </c>
      <c r="D15" s="257" t="s">
        <v>1284</v>
      </c>
      <c r="E15" s="256" t="s">
        <v>1786</v>
      </c>
      <c r="F15" s="256" t="s">
        <v>1863</v>
      </c>
      <c r="G15" s="258">
        <v>41943000000</v>
      </c>
      <c r="H15" s="265">
        <v>0.1</v>
      </c>
      <c r="I15" s="258">
        <v>4194300000</v>
      </c>
      <c r="J15" s="258">
        <v>46137300000</v>
      </c>
      <c r="K15" s="256" t="s">
        <v>1346</v>
      </c>
    </row>
    <row r="16" spans="1:11" x14ac:dyDescent="0.3">
      <c r="A16" s="256">
        <v>9</v>
      </c>
      <c r="B16" s="257" t="s">
        <v>1398</v>
      </c>
      <c r="C16" s="276">
        <v>44478</v>
      </c>
      <c r="D16" s="257" t="s">
        <v>1271</v>
      </c>
      <c r="E16" s="256" t="s">
        <v>1799</v>
      </c>
      <c r="F16" s="256" t="s">
        <v>1861</v>
      </c>
      <c r="G16" s="258">
        <v>65126000000</v>
      </c>
      <c r="H16" s="265">
        <v>0.1</v>
      </c>
      <c r="I16" s="258">
        <v>6512600000</v>
      </c>
      <c r="J16" s="258">
        <v>71638600000</v>
      </c>
      <c r="K16" s="256" t="s">
        <v>1346</v>
      </c>
    </row>
    <row r="17" spans="1:11" x14ac:dyDescent="0.3">
      <c r="A17" s="256">
        <v>10</v>
      </c>
      <c r="B17" s="257" t="s">
        <v>1381</v>
      </c>
      <c r="C17" s="276">
        <v>44479</v>
      </c>
      <c r="D17" s="257" t="s">
        <v>1304</v>
      </c>
      <c r="E17" s="256" t="s">
        <v>1831</v>
      </c>
      <c r="F17" s="256" t="s">
        <v>1858</v>
      </c>
      <c r="G17" s="258">
        <v>42879000000</v>
      </c>
      <c r="H17" s="265">
        <v>0.1</v>
      </c>
      <c r="I17" s="258">
        <v>4287900000</v>
      </c>
      <c r="J17" s="258">
        <v>47166900000</v>
      </c>
      <c r="K17" s="256" t="s">
        <v>1348</v>
      </c>
    </row>
    <row r="18" spans="1:11" x14ac:dyDescent="0.3">
      <c r="A18" s="256">
        <v>11</v>
      </c>
      <c r="B18" s="257" t="s">
        <v>1204</v>
      </c>
      <c r="C18" s="276">
        <v>44480</v>
      </c>
      <c r="D18" s="257" t="s">
        <v>1265</v>
      </c>
      <c r="E18" s="256" t="s">
        <v>1830</v>
      </c>
      <c r="F18" s="256" t="s">
        <v>1863</v>
      </c>
      <c r="G18" s="258">
        <v>39713000000</v>
      </c>
      <c r="H18" s="265">
        <v>0.1</v>
      </c>
      <c r="I18" s="258">
        <v>3971300000</v>
      </c>
      <c r="J18" s="258">
        <v>43684300000</v>
      </c>
      <c r="K18" s="256" t="s">
        <v>1346</v>
      </c>
    </row>
    <row r="19" spans="1:11" x14ac:dyDescent="0.3">
      <c r="A19" s="256">
        <v>12</v>
      </c>
      <c r="B19" s="257" t="s">
        <v>1374</v>
      </c>
      <c r="C19" s="276">
        <v>44481</v>
      </c>
      <c r="D19" s="257" t="s">
        <v>1299</v>
      </c>
      <c r="E19" s="256" t="s">
        <v>1776</v>
      </c>
      <c r="F19" s="256" t="s">
        <v>1863</v>
      </c>
      <c r="G19" s="258">
        <v>40859000000</v>
      </c>
      <c r="H19" s="265">
        <v>0.1</v>
      </c>
      <c r="I19" s="258">
        <v>4085900000</v>
      </c>
      <c r="J19" s="258">
        <v>44944900000</v>
      </c>
      <c r="K19" s="256" t="s">
        <v>1346</v>
      </c>
    </row>
    <row r="20" spans="1:11" x14ac:dyDescent="0.3">
      <c r="A20" s="256">
        <v>13</v>
      </c>
      <c r="B20" s="257" t="s">
        <v>1401</v>
      </c>
      <c r="C20" s="276">
        <v>44211</v>
      </c>
      <c r="D20" s="257" t="s">
        <v>1274</v>
      </c>
      <c r="E20" s="256" t="s">
        <v>1794</v>
      </c>
      <c r="F20" s="256" t="s">
        <v>1858</v>
      </c>
      <c r="G20" s="258">
        <v>63139000000</v>
      </c>
      <c r="H20" s="265">
        <v>0.1</v>
      </c>
      <c r="I20" s="258">
        <v>6313900000</v>
      </c>
      <c r="J20" s="258">
        <v>69452900000</v>
      </c>
      <c r="K20" s="256" t="s">
        <v>1348</v>
      </c>
    </row>
    <row r="21" spans="1:11" x14ac:dyDescent="0.3">
      <c r="A21" s="256">
        <v>14</v>
      </c>
      <c r="B21" s="257" t="s">
        <v>1403</v>
      </c>
      <c r="C21" s="276">
        <v>44242</v>
      </c>
      <c r="D21" s="257" t="s">
        <v>1266</v>
      </c>
      <c r="E21" s="256" t="s">
        <v>1824</v>
      </c>
      <c r="F21" s="256" t="s">
        <v>1857</v>
      </c>
      <c r="G21" s="258">
        <v>85595000000</v>
      </c>
      <c r="H21" s="265">
        <v>0.1</v>
      </c>
      <c r="I21" s="258">
        <v>8559500000</v>
      </c>
      <c r="J21" s="258">
        <v>94154500000</v>
      </c>
      <c r="K21" s="256" t="s">
        <v>1346</v>
      </c>
    </row>
    <row r="22" spans="1:11" x14ac:dyDescent="0.3">
      <c r="A22" s="256">
        <v>15</v>
      </c>
      <c r="B22" s="257" t="s">
        <v>1382</v>
      </c>
      <c r="C22" s="276">
        <v>44275</v>
      </c>
      <c r="D22" s="257" t="s">
        <v>1304</v>
      </c>
      <c r="E22" s="256" t="s">
        <v>1831</v>
      </c>
      <c r="F22" s="256" t="s">
        <v>1858</v>
      </c>
      <c r="G22" s="258">
        <v>68040000000</v>
      </c>
      <c r="H22" s="265">
        <v>0.1</v>
      </c>
      <c r="I22" s="258">
        <v>6804000000</v>
      </c>
      <c r="J22" s="258">
        <v>74844000000</v>
      </c>
      <c r="K22" s="256" t="s">
        <v>1346</v>
      </c>
    </row>
    <row r="23" spans="1:11" x14ac:dyDescent="0.3">
      <c r="A23" s="256">
        <v>16</v>
      </c>
      <c r="B23" s="257" t="s">
        <v>1206</v>
      </c>
      <c r="C23" s="276">
        <v>44306</v>
      </c>
      <c r="D23" s="257" t="s">
        <v>1281</v>
      </c>
      <c r="E23" s="256" t="s">
        <v>1806</v>
      </c>
      <c r="F23" s="256" t="s">
        <v>1857</v>
      </c>
      <c r="G23" s="258">
        <v>86337000000</v>
      </c>
      <c r="H23" s="265">
        <v>0.1</v>
      </c>
      <c r="I23" s="258">
        <v>8633700000</v>
      </c>
      <c r="J23" s="258">
        <v>94970700000</v>
      </c>
      <c r="K23" s="256" t="s">
        <v>1346</v>
      </c>
    </row>
    <row r="24" spans="1:11" x14ac:dyDescent="0.3">
      <c r="A24" s="256">
        <v>17</v>
      </c>
      <c r="B24" s="257" t="s">
        <v>1207</v>
      </c>
      <c r="C24" s="276">
        <v>44336</v>
      </c>
      <c r="D24" s="257" t="s">
        <v>1281</v>
      </c>
      <c r="E24" s="256" t="s">
        <v>1806</v>
      </c>
      <c r="F24" s="256" t="s">
        <v>1863</v>
      </c>
      <c r="G24" s="258">
        <v>39047000000</v>
      </c>
      <c r="H24" s="265">
        <v>0.1</v>
      </c>
      <c r="I24" s="258">
        <v>3904700000</v>
      </c>
      <c r="J24" s="258">
        <v>42951700000</v>
      </c>
      <c r="K24" s="256" t="s">
        <v>1346</v>
      </c>
    </row>
    <row r="25" spans="1:11" x14ac:dyDescent="0.3">
      <c r="A25" s="256">
        <v>18</v>
      </c>
      <c r="B25" s="257" t="s">
        <v>1404</v>
      </c>
      <c r="C25" s="276">
        <v>44367</v>
      </c>
      <c r="D25" s="257" t="s">
        <v>1273</v>
      </c>
      <c r="E25" s="256" t="s">
        <v>1829</v>
      </c>
      <c r="F25" s="256" t="s">
        <v>1861</v>
      </c>
      <c r="G25" s="258">
        <v>62792000000</v>
      </c>
      <c r="H25" s="265">
        <v>0.1</v>
      </c>
      <c r="I25" s="258">
        <v>6279200000</v>
      </c>
      <c r="J25" s="258">
        <v>69071200000</v>
      </c>
      <c r="K25" s="256" t="s">
        <v>1346</v>
      </c>
    </row>
    <row r="26" spans="1:11" x14ac:dyDescent="0.3">
      <c r="A26" s="256">
        <v>19</v>
      </c>
      <c r="B26" s="257" t="s">
        <v>1459</v>
      </c>
      <c r="C26" s="276">
        <v>44397</v>
      </c>
      <c r="D26" s="257" t="s">
        <v>1284</v>
      </c>
      <c r="E26" s="256" t="s">
        <v>1786</v>
      </c>
      <c r="F26" s="256" t="s">
        <v>1858</v>
      </c>
      <c r="G26" s="258">
        <v>35871000000</v>
      </c>
      <c r="H26" s="265">
        <v>0.1</v>
      </c>
      <c r="I26" s="258">
        <v>3587100000</v>
      </c>
      <c r="J26" s="258">
        <v>39458100000</v>
      </c>
      <c r="K26" s="256" t="s">
        <v>1346</v>
      </c>
    </row>
    <row r="27" spans="1:11" x14ac:dyDescent="0.3">
      <c r="A27" s="256">
        <v>20</v>
      </c>
      <c r="B27" s="257" t="s">
        <v>1460</v>
      </c>
      <c r="C27" s="276">
        <v>44428</v>
      </c>
      <c r="D27" s="257" t="s">
        <v>1284</v>
      </c>
      <c r="E27" s="256" t="s">
        <v>1786</v>
      </c>
      <c r="F27" s="256" t="s">
        <v>1859</v>
      </c>
      <c r="G27" s="258">
        <v>81564000000</v>
      </c>
      <c r="H27" s="265">
        <v>0.1</v>
      </c>
      <c r="I27" s="258">
        <v>8156400000</v>
      </c>
      <c r="J27" s="258">
        <v>89720400000</v>
      </c>
      <c r="K27" s="256" t="s">
        <v>1346</v>
      </c>
    </row>
    <row r="28" spans="1:11" x14ac:dyDescent="0.3">
      <c r="A28" s="256">
        <v>21</v>
      </c>
      <c r="B28" s="257" t="s">
        <v>1383</v>
      </c>
      <c r="C28" s="276">
        <v>44459</v>
      </c>
      <c r="D28" s="257" t="s">
        <v>1290</v>
      </c>
      <c r="E28" s="256" t="s">
        <v>1796</v>
      </c>
      <c r="F28" s="256" t="s">
        <v>1858</v>
      </c>
      <c r="G28" s="258">
        <v>70848000000</v>
      </c>
      <c r="H28" s="265">
        <v>0.1</v>
      </c>
      <c r="I28" s="258">
        <v>7084800000</v>
      </c>
      <c r="J28" s="258">
        <v>77932800000</v>
      </c>
      <c r="K28" s="256" t="s">
        <v>1346</v>
      </c>
    </row>
    <row r="29" spans="1:11" x14ac:dyDescent="0.3">
      <c r="A29" s="256">
        <v>22</v>
      </c>
      <c r="B29" s="257" t="s">
        <v>1374</v>
      </c>
      <c r="C29" s="276">
        <v>44489</v>
      </c>
      <c r="D29" s="257" t="s">
        <v>1300</v>
      </c>
      <c r="E29" s="256" t="s">
        <v>1818</v>
      </c>
      <c r="F29" s="256" t="s">
        <v>1860</v>
      </c>
      <c r="G29" s="258">
        <v>90850000000</v>
      </c>
      <c r="H29" s="265">
        <v>0.1</v>
      </c>
      <c r="I29" s="258">
        <v>9085000000</v>
      </c>
      <c r="J29" s="258">
        <v>99935000000</v>
      </c>
      <c r="K29" s="256" t="s">
        <v>1348</v>
      </c>
    </row>
    <row r="30" spans="1:11" x14ac:dyDescent="0.3">
      <c r="A30" s="256">
        <v>23</v>
      </c>
      <c r="B30" s="257" t="s">
        <v>1387</v>
      </c>
      <c r="C30" s="276">
        <v>44520</v>
      </c>
      <c r="D30" s="257" t="s">
        <v>1269</v>
      </c>
      <c r="E30" s="256" t="s">
        <v>1823</v>
      </c>
      <c r="F30" s="256" t="s">
        <v>1858</v>
      </c>
      <c r="G30" s="258">
        <v>88663000000</v>
      </c>
      <c r="H30" s="265">
        <v>0.1</v>
      </c>
      <c r="I30" s="258">
        <v>8866300000</v>
      </c>
      <c r="J30" s="258">
        <v>97529300000</v>
      </c>
      <c r="K30" s="256" t="s">
        <v>1346</v>
      </c>
    </row>
    <row r="31" spans="1:11" x14ac:dyDescent="0.3">
      <c r="A31" s="256">
        <v>24</v>
      </c>
      <c r="B31" s="257" t="s">
        <v>1205</v>
      </c>
      <c r="C31" s="276">
        <v>44550</v>
      </c>
      <c r="D31" s="257" t="s">
        <v>1265</v>
      </c>
      <c r="E31" s="256" t="s">
        <v>1830</v>
      </c>
      <c r="F31" s="256" t="s">
        <v>1860</v>
      </c>
      <c r="G31" s="258">
        <v>31799000000</v>
      </c>
      <c r="H31" s="265">
        <v>0.1</v>
      </c>
      <c r="I31" s="258">
        <v>3179900000</v>
      </c>
      <c r="J31" s="258">
        <v>34978900000</v>
      </c>
      <c r="K31" s="256" t="s">
        <v>1346</v>
      </c>
    </row>
    <row r="32" spans="1:11" x14ac:dyDescent="0.3">
      <c r="A32" s="256">
        <v>25</v>
      </c>
      <c r="B32" s="257" t="s">
        <v>1383</v>
      </c>
      <c r="C32" s="276">
        <v>44221</v>
      </c>
      <c r="D32" s="257" t="s">
        <v>1304</v>
      </c>
      <c r="E32" s="256" t="s">
        <v>1831</v>
      </c>
      <c r="F32" s="256" t="s">
        <v>1863</v>
      </c>
      <c r="G32" s="258">
        <v>86254000000</v>
      </c>
      <c r="H32" s="265">
        <v>0.1</v>
      </c>
      <c r="I32" s="258">
        <v>8625400000</v>
      </c>
      <c r="J32" s="258">
        <v>94879400000</v>
      </c>
      <c r="K32" s="256" t="s">
        <v>1346</v>
      </c>
    </row>
    <row r="33" spans="1:11" x14ac:dyDescent="0.3">
      <c r="A33" s="256">
        <v>26</v>
      </c>
      <c r="B33" s="257" t="s">
        <v>1383</v>
      </c>
      <c r="C33" s="276">
        <v>44255</v>
      </c>
      <c r="D33" s="257" t="s">
        <v>1293</v>
      </c>
      <c r="E33" s="256" t="s">
        <v>1826</v>
      </c>
      <c r="F33" s="256" t="s">
        <v>1863</v>
      </c>
      <c r="G33" s="258">
        <v>85857000000</v>
      </c>
      <c r="H33" s="265">
        <v>0.1</v>
      </c>
      <c r="I33" s="258">
        <v>8585700000</v>
      </c>
      <c r="J33" s="258">
        <v>94442700000</v>
      </c>
      <c r="K33" s="256" t="s">
        <v>1346</v>
      </c>
    </row>
    <row r="34" spans="1:11" x14ac:dyDescent="0.3">
      <c r="A34" s="256">
        <v>27</v>
      </c>
      <c r="B34" s="257" t="s">
        <v>1408</v>
      </c>
      <c r="C34" s="276">
        <v>44316</v>
      </c>
      <c r="D34" s="257" t="s">
        <v>1262</v>
      </c>
      <c r="E34" s="256" t="s">
        <v>1816</v>
      </c>
      <c r="F34" s="256" t="s">
        <v>1858</v>
      </c>
      <c r="G34" s="258">
        <v>93510000000</v>
      </c>
      <c r="H34" s="265">
        <v>0.1</v>
      </c>
      <c r="I34" s="258">
        <v>9351000000</v>
      </c>
      <c r="J34" s="258">
        <v>102861000000</v>
      </c>
      <c r="K34" s="256" t="s">
        <v>1346</v>
      </c>
    </row>
    <row r="35" spans="1:11" x14ac:dyDescent="0.3">
      <c r="A35" s="256">
        <v>28</v>
      </c>
      <c r="B35" s="257" t="s">
        <v>1366</v>
      </c>
      <c r="C35" s="276">
        <v>44377</v>
      </c>
      <c r="D35" s="257" t="s">
        <v>1286</v>
      </c>
      <c r="E35" s="256" t="s">
        <v>1828</v>
      </c>
      <c r="F35" s="256" t="s">
        <v>1858</v>
      </c>
      <c r="G35" s="258">
        <v>27185000000</v>
      </c>
      <c r="H35" s="265">
        <v>0.1</v>
      </c>
      <c r="I35" s="258">
        <v>2718500000</v>
      </c>
      <c r="J35" s="258">
        <v>29903500000</v>
      </c>
      <c r="K35" s="256" t="s">
        <v>1348</v>
      </c>
    </row>
    <row r="36" spans="1:11" x14ac:dyDescent="0.3">
      <c r="A36" s="256">
        <v>29</v>
      </c>
      <c r="B36" s="257" t="s">
        <v>1203</v>
      </c>
      <c r="C36" s="276">
        <v>44469</v>
      </c>
      <c r="D36" s="257" t="s">
        <v>1304</v>
      </c>
      <c r="E36" s="256" t="s">
        <v>1831</v>
      </c>
      <c r="F36" s="256" t="s">
        <v>1862</v>
      </c>
      <c r="G36" s="258">
        <v>85801000000</v>
      </c>
      <c r="H36" s="265">
        <v>0.1</v>
      </c>
      <c r="I36" s="258">
        <v>8580100000</v>
      </c>
      <c r="J36" s="258">
        <v>94381100000</v>
      </c>
      <c r="K36" s="256" t="s">
        <v>1346</v>
      </c>
    </row>
    <row r="37" spans="1:11" x14ac:dyDescent="0.3">
      <c r="A37" s="256">
        <v>30</v>
      </c>
      <c r="B37" s="257" t="s">
        <v>1396</v>
      </c>
      <c r="C37" s="276">
        <v>44530</v>
      </c>
      <c r="D37" s="257" t="s">
        <v>1289</v>
      </c>
      <c r="E37" s="256" t="s">
        <v>1803</v>
      </c>
      <c r="F37" s="256" t="s">
        <v>1857</v>
      </c>
      <c r="G37" s="258">
        <v>47150000000</v>
      </c>
      <c r="H37" s="265">
        <v>0.1</v>
      </c>
      <c r="I37" s="258">
        <v>4715000000</v>
      </c>
      <c r="J37" s="258">
        <v>51865000000</v>
      </c>
      <c r="K37" s="256" t="s">
        <v>1346</v>
      </c>
    </row>
    <row r="38" spans="1:11" x14ac:dyDescent="0.3">
      <c r="A38" s="256">
        <v>31</v>
      </c>
      <c r="B38" s="257" t="s">
        <v>1397</v>
      </c>
      <c r="C38" s="276">
        <v>44286</v>
      </c>
      <c r="D38" s="257" t="s">
        <v>1289</v>
      </c>
      <c r="E38" s="256" t="s">
        <v>1803</v>
      </c>
      <c r="F38" s="256" t="s">
        <v>1860</v>
      </c>
      <c r="G38" s="258">
        <v>95102000000</v>
      </c>
      <c r="H38" s="265">
        <v>0.1</v>
      </c>
      <c r="I38" s="258">
        <v>9510200000</v>
      </c>
      <c r="J38" s="258">
        <v>104612200000</v>
      </c>
      <c r="K38" s="256" t="s">
        <v>1346</v>
      </c>
    </row>
    <row r="39" spans="1:11" x14ac:dyDescent="0.3">
      <c r="A39" s="256">
        <v>32</v>
      </c>
      <c r="B39" s="257" t="s">
        <v>1203</v>
      </c>
      <c r="C39" s="276">
        <v>44347</v>
      </c>
      <c r="D39" s="257" t="s">
        <v>1293</v>
      </c>
      <c r="E39" s="256" t="s">
        <v>1826</v>
      </c>
      <c r="F39" s="256" t="s">
        <v>1863</v>
      </c>
      <c r="G39" s="258">
        <v>65504000000</v>
      </c>
      <c r="H39" s="265">
        <v>0</v>
      </c>
      <c r="I39" s="258">
        <v>0</v>
      </c>
      <c r="J39" s="258">
        <v>65504000000</v>
      </c>
      <c r="K39" s="256" t="s">
        <v>1348</v>
      </c>
    </row>
    <row r="40" spans="1:11" x14ac:dyDescent="0.3">
      <c r="A40" s="256">
        <v>33</v>
      </c>
      <c r="B40" s="257" t="s">
        <v>1366</v>
      </c>
      <c r="C40" s="276">
        <v>44408</v>
      </c>
      <c r="D40" s="257" t="s">
        <v>1296</v>
      </c>
      <c r="E40" s="256" t="s">
        <v>1807</v>
      </c>
      <c r="F40" s="256" t="s">
        <v>1861</v>
      </c>
      <c r="G40" s="258">
        <v>45101000000</v>
      </c>
      <c r="H40" s="265">
        <v>0.1</v>
      </c>
      <c r="I40" s="258">
        <v>4510100000</v>
      </c>
      <c r="J40" s="258">
        <v>49611100000</v>
      </c>
      <c r="K40" s="256" t="s">
        <v>1346</v>
      </c>
    </row>
    <row r="41" spans="1:11" x14ac:dyDescent="0.3">
      <c r="A41" s="256">
        <v>34</v>
      </c>
      <c r="B41" s="257" t="s">
        <v>1408</v>
      </c>
      <c r="C41" s="276">
        <v>44439</v>
      </c>
      <c r="D41" s="257" t="s">
        <v>1272</v>
      </c>
      <c r="E41" s="256" t="s">
        <v>1805</v>
      </c>
      <c r="F41" s="256" t="s">
        <v>1857</v>
      </c>
      <c r="G41" s="258">
        <v>66533000000</v>
      </c>
      <c r="H41" s="265">
        <v>0.1</v>
      </c>
      <c r="I41" s="258">
        <v>6653300000</v>
      </c>
      <c r="J41" s="258">
        <v>73186300000</v>
      </c>
      <c r="K41" s="256" t="s">
        <v>1346</v>
      </c>
    </row>
    <row r="42" spans="1:11" x14ac:dyDescent="0.3">
      <c r="A42" s="256">
        <v>35</v>
      </c>
      <c r="B42" s="257" t="s">
        <v>1376</v>
      </c>
      <c r="C42" s="276">
        <v>44500</v>
      </c>
      <c r="D42" s="257" t="s">
        <v>1300</v>
      </c>
      <c r="E42" s="256" t="s">
        <v>1818</v>
      </c>
      <c r="F42" s="256" t="s">
        <v>1860</v>
      </c>
      <c r="G42" s="258">
        <v>93724000000</v>
      </c>
      <c r="H42" s="265">
        <v>0.1</v>
      </c>
      <c r="I42" s="258">
        <v>9372400000</v>
      </c>
      <c r="J42" s="258">
        <v>103096400000</v>
      </c>
      <c r="K42" s="256" t="s">
        <v>1346</v>
      </c>
    </row>
    <row r="43" spans="1:11" x14ac:dyDescent="0.3">
      <c r="A43" s="256">
        <v>36</v>
      </c>
      <c r="B43" s="257" t="s">
        <v>1414</v>
      </c>
      <c r="C43" s="276">
        <v>44561</v>
      </c>
      <c r="D43" s="257" t="s">
        <v>1259</v>
      </c>
      <c r="E43" s="256" t="s">
        <v>1788</v>
      </c>
      <c r="F43" s="256" t="s">
        <v>1863</v>
      </c>
      <c r="G43" s="258">
        <v>91167000000</v>
      </c>
      <c r="H43" s="265">
        <v>0.1</v>
      </c>
      <c r="I43" s="258">
        <v>9116700000</v>
      </c>
      <c r="J43" s="258">
        <v>100283700000</v>
      </c>
      <c r="K43" s="256" t="s">
        <v>1346</v>
      </c>
    </row>
    <row r="44" spans="1:11" x14ac:dyDescent="0.3">
      <c r="A44" s="256">
        <v>37</v>
      </c>
      <c r="B44" s="257" t="s">
        <v>1381</v>
      </c>
      <c r="C44" s="276">
        <v>44561</v>
      </c>
      <c r="D44" s="257" t="s">
        <v>1287</v>
      </c>
      <c r="E44" s="256" t="s">
        <v>1801</v>
      </c>
      <c r="F44" s="256" t="s">
        <v>1860</v>
      </c>
      <c r="G44" s="258">
        <v>103057000000</v>
      </c>
      <c r="H44" s="265">
        <v>0.1</v>
      </c>
      <c r="I44" s="258">
        <v>10305700000</v>
      </c>
      <c r="J44" s="258">
        <v>113362700000</v>
      </c>
      <c r="K44" s="256" t="s">
        <v>1346</v>
      </c>
    </row>
    <row r="45" spans="1:11" x14ac:dyDescent="0.3">
      <c r="A45" s="256">
        <v>38</v>
      </c>
      <c r="B45" s="257" t="s">
        <v>1406</v>
      </c>
      <c r="C45" s="276">
        <v>44561</v>
      </c>
      <c r="D45" s="257" t="s">
        <v>1268</v>
      </c>
      <c r="E45" s="256" t="s">
        <v>1821</v>
      </c>
      <c r="F45" s="256" t="s">
        <v>1858</v>
      </c>
      <c r="G45" s="258">
        <v>81795000000</v>
      </c>
      <c r="H45" s="265">
        <v>0.1</v>
      </c>
      <c r="I45" s="258">
        <v>8179500000</v>
      </c>
      <c r="J45" s="258">
        <v>89974500000</v>
      </c>
      <c r="K45" s="256" t="s">
        <v>1346</v>
      </c>
    </row>
    <row r="46" spans="1:11" x14ac:dyDescent="0.3">
      <c r="A46" s="256">
        <v>39</v>
      </c>
      <c r="B46" s="257" t="s">
        <v>1405</v>
      </c>
      <c r="C46" s="276">
        <v>44561</v>
      </c>
      <c r="D46" s="257" t="s">
        <v>1270</v>
      </c>
      <c r="E46" s="256" t="s">
        <v>1782</v>
      </c>
      <c r="F46" s="256" t="s">
        <v>1857</v>
      </c>
      <c r="G46" s="258">
        <v>67957000000</v>
      </c>
      <c r="H46" s="265">
        <v>0.1</v>
      </c>
      <c r="I46" s="258">
        <v>6795700000</v>
      </c>
      <c r="J46" s="258">
        <v>74752700000</v>
      </c>
      <c r="K46" s="256" t="s">
        <v>1346</v>
      </c>
    </row>
    <row r="47" spans="1:11" x14ac:dyDescent="0.3">
      <c r="A47" s="256">
        <v>40</v>
      </c>
      <c r="B47" s="257" t="s">
        <v>1203</v>
      </c>
      <c r="C47" s="276">
        <v>44561</v>
      </c>
      <c r="D47" s="257" t="s">
        <v>1290</v>
      </c>
      <c r="E47" s="256" t="s">
        <v>1796</v>
      </c>
      <c r="F47" s="256" t="s">
        <v>1859</v>
      </c>
      <c r="G47" s="258">
        <v>76517000000</v>
      </c>
      <c r="H47" s="265">
        <v>0.1</v>
      </c>
      <c r="I47" s="258">
        <v>7651700000</v>
      </c>
      <c r="J47" s="258">
        <v>84168700000</v>
      </c>
      <c r="K47" s="256" t="s">
        <v>1346</v>
      </c>
    </row>
    <row r="48" spans="1:11" x14ac:dyDescent="0.3">
      <c r="A48" s="256">
        <v>41</v>
      </c>
      <c r="B48" s="257" t="s">
        <v>1385</v>
      </c>
      <c r="C48" s="276">
        <v>44561</v>
      </c>
      <c r="D48" s="257" t="s">
        <v>1288</v>
      </c>
      <c r="E48" s="256" t="s">
        <v>1797</v>
      </c>
      <c r="F48" s="256" t="s">
        <v>1863</v>
      </c>
      <c r="G48" s="258">
        <v>55502000000</v>
      </c>
      <c r="H48" s="265">
        <v>0.1</v>
      </c>
      <c r="I48" s="258">
        <v>5550200000</v>
      </c>
      <c r="J48" s="258">
        <v>61052200000</v>
      </c>
      <c r="K48" s="256" t="s">
        <v>1346</v>
      </c>
    </row>
    <row r="49" spans="1:11" x14ac:dyDescent="0.3">
      <c r="A49" s="256">
        <v>42</v>
      </c>
      <c r="B49" s="257" t="s">
        <v>1387</v>
      </c>
      <c r="C49" s="276">
        <v>44561</v>
      </c>
      <c r="D49" s="257" t="s">
        <v>1282</v>
      </c>
      <c r="E49" s="256" t="s">
        <v>1789</v>
      </c>
      <c r="F49" s="256" t="s">
        <v>1859</v>
      </c>
      <c r="G49" s="258">
        <v>100963000000</v>
      </c>
      <c r="H49" s="265">
        <v>0.1</v>
      </c>
      <c r="I49" s="258">
        <v>10096300000</v>
      </c>
      <c r="J49" s="258">
        <v>111059300000</v>
      </c>
      <c r="K49" s="256" t="s">
        <v>1346</v>
      </c>
    </row>
    <row r="50" spans="1:11" x14ac:dyDescent="0.3">
      <c r="A50" s="256">
        <v>43</v>
      </c>
      <c r="B50" s="257" t="s">
        <v>1385</v>
      </c>
      <c r="C50" s="276">
        <v>44561</v>
      </c>
      <c r="D50" s="257" t="s">
        <v>1265</v>
      </c>
      <c r="E50" s="256" t="s">
        <v>1830</v>
      </c>
      <c r="F50" s="256" t="s">
        <v>1860</v>
      </c>
      <c r="G50" s="258">
        <v>26153000000</v>
      </c>
      <c r="H50" s="265">
        <v>0.1</v>
      </c>
      <c r="I50" s="258">
        <v>2615300000</v>
      </c>
      <c r="J50" s="258">
        <v>28768300000</v>
      </c>
      <c r="K50" s="256" t="s">
        <v>1346</v>
      </c>
    </row>
    <row r="51" spans="1:11" x14ac:dyDescent="0.3">
      <c r="A51" s="256">
        <v>44</v>
      </c>
      <c r="B51" s="257" t="s">
        <v>1415</v>
      </c>
      <c r="C51" s="276">
        <v>44561</v>
      </c>
      <c r="D51" s="257" t="s">
        <v>1259</v>
      </c>
      <c r="E51" s="256" t="s">
        <v>1788</v>
      </c>
      <c r="F51" s="256" t="s">
        <v>1857</v>
      </c>
      <c r="G51" s="258">
        <v>73994000000</v>
      </c>
      <c r="H51" s="265">
        <v>0.1</v>
      </c>
      <c r="I51" s="258">
        <v>7399400000</v>
      </c>
      <c r="J51" s="258">
        <v>81393400000</v>
      </c>
      <c r="K51" s="256" t="s">
        <v>1346</v>
      </c>
    </row>
    <row r="52" spans="1:11" x14ac:dyDescent="0.3">
      <c r="A52" s="256">
        <v>45</v>
      </c>
      <c r="B52" s="257" t="s">
        <v>1204</v>
      </c>
      <c r="C52" s="276">
        <v>44561</v>
      </c>
      <c r="D52" s="257" t="s">
        <v>1258</v>
      </c>
      <c r="E52" s="256" t="s">
        <v>1833</v>
      </c>
      <c r="F52" s="256" t="s">
        <v>1863</v>
      </c>
      <c r="G52" s="258">
        <v>87260000000</v>
      </c>
      <c r="H52" s="265">
        <v>0.1</v>
      </c>
      <c r="I52" s="258">
        <v>8726000000</v>
      </c>
      <c r="J52" s="258">
        <v>95986000000</v>
      </c>
      <c r="K52" s="256" t="s">
        <v>1346</v>
      </c>
    </row>
    <row r="53" spans="1:11" x14ac:dyDescent="0.3">
      <c r="A53" s="256">
        <v>46</v>
      </c>
      <c r="B53" s="257" t="s">
        <v>1208</v>
      </c>
      <c r="C53" s="276">
        <v>44561</v>
      </c>
      <c r="D53" s="257" t="s">
        <v>1279</v>
      </c>
      <c r="E53" s="256" t="s">
        <v>1827</v>
      </c>
      <c r="F53" s="256" t="s">
        <v>1863</v>
      </c>
      <c r="G53" s="258">
        <v>39386000000</v>
      </c>
      <c r="H53" s="265">
        <v>0</v>
      </c>
      <c r="I53" s="258">
        <v>0</v>
      </c>
      <c r="J53" s="258">
        <v>39386000000</v>
      </c>
      <c r="K53" s="256" t="s">
        <v>1346</v>
      </c>
    </row>
    <row r="54" spans="1:11" x14ac:dyDescent="0.3">
      <c r="A54" s="256">
        <v>47</v>
      </c>
      <c r="B54" s="257" t="s">
        <v>1206</v>
      </c>
      <c r="C54" s="276">
        <v>44561</v>
      </c>
      <c r="D54" s="257" t="s">
        <v>1259</v>
      </c>
      <c r="E54" s="256" t="s">
        <v>1788</v>
      </c>
      <c r="F54" s="256" t="s">
        <v>1859</v>
      </c>
      <c r="G54" s="258">
        <v>72091000000</v>
      </c>
      <c r="H54" s="265">
        <v>0.1</v>
      </c>
      <c r="I54" s="258">
        <v>7209100000</v>
      </c>
      <c r="J54" s="258">
        <v>79300100000</v>
      </c>
      <c r="K54" s="256" t="s">
        <v>1346</v>
      </c>
    </row>
    <row r="55" spans="1:11" x14ac:dyDescent="0.3">
      <c r="A55" s="256">
        <v>48</v>
      </c>
      <c r="B55" s="257" t="s">
        <v>1405</v>
      </c>
      <c r="C55" s="276">
        <v>44561</v>
      </c>
      <c r="D55" s="257" t="s">
        <v>1273</v>
      </c>
      <c r="E55" s="256" t="s">
        <v>1829</v>
      </c>
      <c r="F55" s="256" t="s">
        <v>1857</v>
      </c>
      <c r="G55" s="258">
        <v>65866000000</v>
      </c>
      <c r="H55" s="265">
        <v>0.1</v>
      </c>
      <c r="I55" s="258">
        <v>6586600000</v>
      </c>
      <c r="J55" s="258">
        <v>72452600000</v>
      </c>
      <c r="K55" s="256" t="s">
        <v>1346</v>
      </c>
    </row>
    <row r="56" spans="1:11" x14ac:dyDescent="0.3">
      <c r="A56" s="256">
        <v>49</v>
      </c>
      <c r="B56" s="257" t="s">
        <v>1368</v>
      </c>
      <c r="C56" s="276">
        <v>44561</v>
      </c>
      <c r="D56" s="257" t="s">
        <v>1301</v>
      </c>
      <c r="E56" s="256" t="s">
        <v>1781</v>
      </c>
      <c r="F56" s="256" t="s">
        <v>1863</v>
      </c>
      <c r="G56" s="258">
        <v>50361000000</v>
      </c>
      <c r="H56" s="265">
        <v>0.1</v>
      </c>
      <c r="I56" s="258">
        <v>5036100000</v>
      </c>
      <c r="J56" s="258">
        <v>55397100000</v>
      </c>
      <c r="K56" s="256" t="s">
        <v>1346</v>
      </c>
    </row>
    <row r="57" spans="1:11" x14ac:dyDescent="0.3">
      <c r="A57" s="256">
        <v>50</v>
      </c>
      <c r="B57" s="257" t="s">
        <v>1376</v>
      </c>
      <c r="C57" s="276">
        <v>44561</v>
      </c>
      <c r="D57" s="257" t="s">
        <v>1299</v>
      </c>
      <c r="E57" s="256" t="s">
        <v>1776</v>
      </c>
      <c r="F57" s="256" t="s">
        <v>1860</v>
      </c>
      <c r="G57" s="258">
        <v>48611000000</v>
      </c>
      <c r="H57" s="265">
        <v>0.1</v>
      </c>
      <c r="I57" s="258">
        <v>4861100000</v>
      </c>
      <c r="J57" s="258">
        <v>53472100000</v>
      </c>
      <c r="K57" s="256" t="s">
        <v>1346</v>
      </c>
    </row>
    <row r="58" spans="1:11" x14ac:dyDescent="0.3">
      <c r="A58" s="266" t="s">
        <v>1351</v>
      </c>
      <c r="B58" s="266"/>
      <c r="C58" s="266"/>
      <c r="D58" s="266"/>
      <c r="E58" s="266"/>
      <c r="F58" s="266"/>
      <c r="G58" s="267">
        <f>SUM(G8:G57)</f>
        <v>3337338000000</v>
      </c>
      <c r="H58" s="266"/>
      <c r="I58" s="267">
        <f>SUM(I8:I57)</f>
        <v>305735100000</v>
      </c>
      <c r="J58" s="267">
        <f>SUM(J8:J57)</f>
        <v>3643073100000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1866</v>
      </c>
      <c r="G62" s="258">
        <v>66508000000</v>
      </c>
      <c r="H62" s="265">
        <v>0.1</v>
      </c>
      <c r="I62" s="258">
        <v>6650800000</v>
      </c>
      <c r="J62" s="258">
        <v>73158800000</v>
      </c>
      <c r="K62" s="256" t="s">
        <v>1346</v>
      </c>
    </row>
    <row r="63" spans="1:11" x14ac:dyDescent="0.3">
      <c r="A63" s="256">
        <v>2</v>
      </c>
      <c r="B63" s="257" t="s">
        <v>1201</v>
      </c>
      <c r="C63" s="276">
        <v>44318</v>
      </c>
      <c r="D63" s="257" t="s">
        <v>1259</v>
      </c>
      <c r="E63" s="256" t="s">
        <v>1788</v>
      </c>
      <c r="F63" s="256" t="s">
        <v>1865</v>
      </c>
      <c r="G63" s="258">
        <v>118620000000</v>
      </c>
      <c r="H63" s="265">
        <v>0.1</v>
      </c>
      <c r="I63" s="258">
        <v>11862000000</v>
      </c>
      <c r="J63" s="258">
        <v>130482000000</v>
      </c>
      <c r="K63" s="256" t="s">
        <v>1348</v>
      </c>
    </row>
    <row r="64" spans="1:11" x14ac:dyDescent="0.3">
      <c r="A64" s="256">
        <v>3</v>
      </c>
      <c r="B64" s="257" t="s">
        <v>1202</v>
      </c>
      <c r="C64" s="276">
        <v>44472</v>
      </c>
      <c r="D64" s="257" t="s">
        <v>1298</v>
      </c>
      <c r="E64" s="256" t="s">
        <v>1819</v>
      </c>
      <c r="F64" s="256" t="s">
        <v>1867</v>
      </c>
      <c r="G64" s="258">
        <v>64901000000</v>
      </c>
      <c r="H64" s="265">
        <v>0</v>
      </c>
      <c r="I64" s="258">
        <v>0</v>
      </c>
      <c r="J64" s="258">
        <v>64901000000</v>
      </c>
      <c r="K64" s="256" t="s">
        <v>1346</v>
      </c>
    </row>
    <row r="65" spans="1:11" x14ac:dyDescent="0.3">
      <c r="A65" s="256">
        <v>4</v>
      </c>
      <c r="B65" s="257" t="s">
        <v>1355</v>
      </c>
      <c r="C65" s="276">
        <v>44473</v>
      </c>
      <c r="D65" s="257" t="s">
        <v>1288</v>
      </c>
      <c r="E65" s="256" t="s">
        <v>1797</v>
      </c>
      <c r="F65" s="256" t="s">
        <v>1864</v>
      </c>
      <c r="G65" s="258">
        <v>63206000000</v>
      </c>
      <c r="H65" s="265">
        <v>0</v>
      </c>
      <c r="I65" s="258">
        <v>0</v>
      </c>
      <c r="J65" s="258">
        <v>63206000000</v>
      </c>
      <c r="K65" s="256" t="s">
        <v>1348</v>
      </c>
    </row>
    <row r="66" spans="1:11" x14ac:dyDescent="0.3">
      <c r="A66" s="256">
        <v>5</v>
      </c>
      <c r="B66" s="257" t="s">
        <v>1356</v>
      </c>
      <c r="C66" s="276">
        <v>44474</v>
      </c>
      <c r="D66" s="257" t="s">
        <v>1285</v>
      </c>
      <c r="E66" s="256" t="s">
        <v>1793</v>
      </c>
      <c r="F66" s="256" t="s">
        <v>1866</v>
      </c>
      <c r="G66" s="258">
        <v>43243000000</v>
      </c>
      <c r="H66" s="265">
        <v>0.1</v>
      </c>
      <c r="I66" s="258">
        <v>4324300000</v>
      </c>
      <c r="J66" s="258">
        <v>47567300000</v>
      </c>
      <c r="K66" s="256" t="s">
        <v>1346</v>
      </c>
    </row>
    <row r="67" spans="1:11" x14ac:dyDescent="0.3">
      <c r="A67" s="256">
        <v>6</v>
      </c>
      <c r="B67" s="257" t="s">
        <v>1358</v>
      </c>
      <c r="C67" s="276">
        <v>44475</v>
      </c>
      <c r="D67" s="257" t="s">
        <v>1286</v>
      </c>
      <c r="E67" s="256" t="s">
        <v>1828</v>
      </c>
      <c r="F67" s="256" t="s">
        <v>1865</v>
      </c>
      <c r="G67" s="258">
        <v>53841000000</v>
      </c>
      <c r="H67" s="265">
        <v>0</v>
      </c>
      <c r="I67" s="258">
        <v>0</v>
      </c>
      <c r="J67" s="258">
        <v>53841000000</v>
      </c>
      <c r="K67" s="256" t="s">
        <v>1346</v>
      </c>
    </row>
    <row r="68" spans="1:11" x14ac:dyDescent="0.3">
      <c r="A68" s="256">
        <v>7</v>
      </c>
      <c r="B68" s="257" t="s">
        <v>1360</v>
      </c>
      <c r="C68" s="276">
        <v>44476</v>
      </c>
      <c r="D68" s="257" t="s">
        <v>1256</v>
      </c>
      <c r="E68" s="256" t="s">
        <v>1802</v>
      </c>
      <c r="F68" s="256" t="s">
        <v>1865</v>
      </c>
      <c r="G68" s="258">
        <v>81800000000</v>
      </c>
      <c r="H68" s="265">
        <v>0.1</v>
      </c>
      <c r="I68" s="258">
        <v>8180000000</v>
      </c>
      <c r="J68" s="258">
        <v>89980000000</v>
      </c>
      <c r="K68" s="256" t="s">
        <v>1346</v>
      </c>
    </row>
    <row r="69" spans="1:11" x14ac:dyDescent="0.3">
      <c r="A69" s="256">
        <v>8</v>
      </c>
      <c r="B69" s="257" t="s">
        <v>1362</v>
      </c>
      <c r="C69" s="276">
        <v>44477</v>
      </c>
      <c r="D69" s="257" t="s">
        <v>1289</v>
      </c>
      <c r="E69" s="256" t="s">
        <v>1803</v>
      </c>
      <c r="F69" s="256" t="s">
        <v>1867</v>
      </c>
      <c r="G69" s="258">
        <v>55583000000</v>
      </c>
      <c r="H69" s="265">
        <v>0.1</v>
      </c>
      <c r="I69" s="258">
        <v>5558300000</v>
      </c>
      <c r="J69" s="258">
        <v>61141300000</v>
      </c>
      <c r="K69" s="256" t="s">
        <v>1346</v>
      </c>
    </row>
    <row r="70" spans="1:11" x14ac:dyDescent="0.3">
      <c r="A70" s="256">
        <v>9</v>
      </c>
      <c r="B70" s="257" t="s">
        <v>1364</v>
      </c>
      <c r="C70" s="276">
        <v>44478</v>
      </c>
      <c r="D70" s="257" t="s">
        <v>1301</v>
      </c>
      <c r="E70" s="256" t="s">
        <v>1781</v>
      </c>
      <c r="F70" s="256" t="s">
        <v>1864</v>
      </c>
      <c r="G70" s="258">
        <v>98814000000</v>
      </c>
      <c r="H70" s="265">
        <v>0.1</v>
      </c>
      <c r="I70" s="258">
        <v>9881400000</v>
      </c>
      <c r="J70" s="258">
        <v>108695400000</v>
      </c>
      <c r="K70" s="256" t="s">
        <v>1346</v>
      </c>
    </row>
    <row r="71" spans="1:11" x14ac:dyDescent="0.3">
      <c r="A71" s="256">
        <v>10</v>
      </c>
      <c r="B71" s="257" t="s">
        <v>1366</v>
      </c>
      <c r="C71" s="276">
        <v>44479</v>
      </c>
      <c r="D71" s="257" t="s">
        <v>1276</v>
      </c>
      <c r="E71" s="256" t="s">
        <v>1822</v>
      </c>
      <c r="F71" s="256" t="s">
        <v>1866</v>
      </c>
      <c r="G71" s="258">
        <v>41559000000</v>
      </c>
      <c r="H71" s="265">
        <v>0.1</v>
      </c>
      <c r="I71" s="258">
        <v>4155900000</v>
      </c>
      <c r="J71" s="258">
        <v>45714900000</v>
      </c>
      <c r="K71" s="256" t="s">
        <v>1346</v>
      </c>
    </row>
    <row r="72" spans="1:11" x14ac:dyDescent="0.3">
      <c r="A72" s="256">
        <v>11</v>
      </c>
      <c r="B72" s="257" t="s">
        <v>1368</v>
      </c>
      <c r="C72" s="276">
        <v>44480</v>
      </c>
      <c r="D72" s="257" t="s">
        <v>1263</v>
      </c>
      <c r="E72" s="256" t="s">
        <v>1790</v>
      </c>
      <c r="F72" s="256" t="s">
        <v>1865</v>
      </c>
      <c r="G72" s="258">
        <v>130598000000</v>
      </c>
      <c r="H72" s="265">
        <v>0</v>
      </c>
      <c r="I72" s="258">
        <v>0</v>
      </c>
      <c r="J72" s="258">
        <v>130598000000</v>
      </c>
      <c r="K72" s="256" t="s">
        <v>1346</v>
      </c>
    </row>
    <row r="73" spans="1:11" x14ac:dyDescent="0.3">
      <c r="A73" s="256">
        <v>12</v>
      </c>
      <c r="B73" s="257" t="s">
        <v>1371</v>
      </c>
      <c r="C73" s="276">
        <v>44481</v>
      </c>
      <c r="D73" s="257" t="s">
        <v>1284</v>
      </c>
      <c r="E73" s="256" t="s">
        <v>1786</v>
      </c>
      <c r="F73" s="256" t="s">
        <v>1865</v>
      </c>
      <c r="G73" s="258">
        <v>77184000000</v>
      </c>
      <c r="H73" s="265">
        <v>0.1</v>
      </c>
      <c r="I73" s="258">
        <v>7718400000</v>
      </c>
      <c r="J73" s="258">
        <v>84902400000</v>
      </c>
      <c r="K73" s="256" t="s">
        <v>1346</v>
      </c>
    </row>
    <row r="74" spans="1:11" x14ac:dyDescent="0.3">
      <c r="A74" s="256">
        <v>13</v>
      </c>
      <c r="B74" s="257" t="s">
        <v>1373</v>
      </c>
      <c r="C74" s="276">
        <v>44211</v>
      </c>
      <c r="D74" s="257" t="s">
        <v>1291</v>
      </c>
      <c r="E74" s="256" t="s">
        <v>1800</v>
      </c>
      <c r="F74" s="256" t="s">
        <v>1864</v>
      </c>
      <c r="G74" s="258">
        <v>130271000000</v>
      </c>
      <c r="H74" s="265">
        <v>0.1</v>
      </c>
      <c r="I74" s="258">
        <v>13027100000</v>
      </c>
      <c r="J74" s="258">
        <v>143298100000</v>
      </c>
      <c r="K74" s="256" t="s">
        <v>1346</v>
      </c>
    </row>
    <row r="75" spans="1:11" x14ac:dyDescent="0.3">
      <c r="A75" s="256">
        <v>14</v>
      </c>
      <c r="B75" s="257" t="s">
        <v>1374</v>
      </c>
      <c r="C75" s="276">
        <v>44242</v>
      </c>
      <c r="D75" s="257" t="s">
        <v>1255</v>
      </c>
      <c r="E75" s="273">
        <v>46152</v>
      </c>
      <c r="F75" s="256" t="s">
        <v>1864</v>
      </c>
      <c r="G75" s="258">
        <v>104258000000</v>
      </c>
      <c r="H75" s="265">
        <v>0.1</v>
      </c>
      <c r="I75" s="258">
        <v>10425800000</v>
      </c>
      <c r="J75" s="258">
        <v>114683800000</v>
      </c>
      <c r="K75" s="256" t="s">
        <v>1346</v>
      </c>
    </row>
    <row r="76" spans="1:11" x14ac:dyDescent="0.3">
      <c r="A76" s="256">
        <v>15</v>
      </c>
      <c r="B76" s="257" t="s">
        <v>1376</v>
      </c>
      <c r="C76" s="276">
        <v>44275</v>
      </c>
      <c r="D76" s="257" t="s">
        <v>1296</v>
      </c>
      <c r="E76" s="256" t="s">
        <v>1807</v>
      </c>
      <c r="F76" s="256" t="s">
        <v>1865</v>
      </c>
      <c r="G76" s="258">
        <v>94401000000</v>
      </c>
      <c r="H76" s="265">
        <v>0.1</v>
      </c>
      <c r="I76" s="258">
        <v>9440100000</v>
      </c>
      <c r="J76" s="258">
        <v>103841100000</v>
      </c>
      <c r="K76" s="256" t="s">
        <v>1346</v>
      </c>
    </row>
    <row r="77" spans="1:11" x14ac:dyDescent="0.3">
      <c r="A77" s="256">
        <v>16</v>
      </c>
      <c r="B77" s="257" t="s">
        <v>1378</v>
      </c>
      <c r="C77" s="276">
        <v>44306</v>
      </c>
      <c r="D77" s="257" t="s">
        <v>1298</v>
      </c>
      <c r="E77" s="256" t="s">
        <v>1819</v>
      </c>
      <c r="F77" s="256" t="s">
        <v>1867</v>
      </c>
      <c r="G77" s="258">
        <v>124724000000</v>
      </c>
      <c r="H77" s="265">
        <v>0.1</v>
      </c>
      <c r="I77" s="258">
        <v>12472400000</v>
      </c>
      <c r="J77" s="258">
        <v>137196400000</v>
      </c>
      <c r="K77" s="256" t="s">
        <v>1348</v>
      </c>
    </row>
    <row r="78" spans="1:11" x14ac:dyDescent="0.3">
      <c r="A78" s="256">
        <v>17</v>
      </c>
      <c r="B78" s="257" t="s">
        <v>1379</v>
      </c>
      <c r="C78" s="276">
        <v>44336</v>
      </c>
      <c r="D78" s="257" t="s">
        <v>1261</v>
      </c>
      <c r="E78" s="256" t="s">
        <v>1813</v>
      </c>
      <c r="F78" s="256" t="s">
        <v>1866</v>
      </c>
      <c r="G78" s="258">
        <v>56321000000</v>
      </c>
      <c r="H78" s="265">
        <v>0.1</v>
      </c>
      <c r="I78" s="258">
        <v>5632100000</v>
      </c>
      <c r="J78" s="258">
        <v>61953100000</v>
      </c>
      <c r="K78" s="256" t="s">
        <v>1348</v>
      </c>
    </row>
    <row r="79" spans="1:11" x14ac:dyDescent="0.3">
      <c r="A79" s="256">
        <v>18</v>
      </c>
      <c r="B79" s="257" t="s">
        <v>1381</v>
      </c>
      <c r="C79" s="276">
        <v>44367</v>
      </c>
      <c r="D79" s="257" t="s">
        <v>1299</v>
      </c>
      <c r="E79" s="256" t="s">
        <v>1776</v>
      </c>
      <c r="F79" s="256" t="s">
        <v>1865</v>
      </c>
      <c r="G79" s="258">
        <v>92843000000</v>
      </c>
      <c r="H79" s="265">
        <v>0.1</v>
      </c>
      <c r="I79" s="258">
        <v>9284300000</v>
      </c>
      <c r="J79" s="258">
        <v>102127300000</v>
      </c>
      <c r="K79" s="256" t="s">
        <v>1346</v>
      </c>
    </row>
    <row r="80" spans="1:11" x14ac:dyDescent="0.3">
      <c r="A80" s="256">
        <v>19</v>
      </c>
      <c r="B80" s="257" t="s">
        <v>1382</v>
      </c>
      <c r="C80" s="276">
        <v>44397</v>
      </c>
      <c r="D80" s="257" t="s">
        <v>1300</v>
      </c>
      <c r="E80" s="256" t="s">
        <v>1818</v>
      </c>
      <c r="F80" s="256" t="s">
        <v>1867</v>
      </c>
      <c r="G80" s="258">
        <v>60531000000</v>
      </c>
      <c r="H80" s="265">
        <v>0.1</v>
      </c>
      <c r="I80" s="258">
        <v>6053100000</v>
      </c>
      <c r="J80" s="258">
        <v>66584100000</v>
      </c>
      <c r="K80" s="256" t="s">
        <v>1346</v>
      </c>
    </row>
    <row r="81" spans="1:11" x14ac:dyDescent="0.3">
      <c r="A81" s="256">
        <v>20</v>
      </c>
      <c r="B81" s="257" t="s">
        <v>1383</v>
      </c>
      <c r="C81" s="276">
        <v>44428</v>
      </c>
      <c r="D81" s="257" t="s">
        <v>1275</v>
      </c>
      <c r="E81" s="256" t="s">
        <v>1808</v>
      </c>
      <c r="F81" s="256" t="s">
        <v>1866</v>
      </c>
      <c r="G81" s="258">
        <v>130351000000</v>
      </c>
      <c r="H81" s="265">
        <v>0.1</v>
      </c>
      <c r="I81" s="258">
        <v>13035100000</v>
      </c>
      <c r="J81" s="258">
        <v>143386100000</v>
      </c>
      <c r="K81" s="256" t="s">
        <v>1346</v>
      </c>
    </row>
    <row r="82" spans="1:11" x14ac:dyDescent="0.3">
      <c r="A82" s="256">
        <v>21</v>
      </c>
      <c r="B82" s="257" t="s">
        <v>1203</v>
      </c>
      <c r="C82" s="276">
        <v>44459</v>
      </c>
      <c r="D82" s="257" t="s">
        <v>1301</v>
      </c>
      <c r="E82" s="256" t="s">
        <v>1781</v>
      </c>
      <c r="F82" s="256" t="s">
        <v>1865</v>
      </c>
      <c r="G82" s="258">
        <v>139080000000</v>
      </c>
      <c r="H82" s="265">
        <v>0.1</v>
      </c>
      <c r="I82" s="258">
        <v>13908000000</v>
      </c>
      <c r="J82" s="258">
        <v>152988000000</v>
      </c>
      <c r="K82" s="256" t="s">
        <v>1346</v>
      </c>
    </row>
    <row r="83" spans="1:11" x14ac:dyDescent="0.3">
      <c r="A83" s="256">
        <v>22</v>
      </c>
      <c r="B83" s="257" t="s">
        <v>1204</v>
      </c>
      <c r="C83" s="276">
        <v>44489</v>
      </c>
      <c r="D83" s="257" t="s">
        <v>1265</v>
      </c>
      <c r="E83" s="256" t="s">
        <v>1830</v>
      </c>
      <c r="F83" s="256" t="s">
        <v>1866</v>
      </c>
      <c r="G83" s="258">
        <v>125235000000</v>
      </c>
      <c r="H83" s="265">
        <v>0.1</v>
      </c>
      <c r="I83" s="258">
        <v>12523500000</v>
      </c>
      <c r="J83" s="258">
        <v>137758500000</v>
      </c>
      <c r="K83" s="256" t="s">
        <v>1346</v>
      </c>
    </row>
    <row r="84" spans="1:11" x14ac:dyDescent="0.3">
      <c r="A84" s="256">
        <v>23</v>
      </c>
      <c r="B84" s="257" t="s">
        <v>1205</v>
      </c>
      <c r="C84" s="276">
        <v>44520</v>
      </c>
      <c r="D84" s="257" t="s">
        <v>1273</v>
      </c>
      <c r="E84" s="256" t="s">
        <v>1829</v>
      </c>
      <c r="F84" s="256" t="s">
        <v>1867</v>
      </c>
      <c r="G84" s="258">
        <v>63164000000</v>
      </c>
      <c r="H84" s="265">
        <v>0.1</v>
      </c>
      <c r="I84" s="258">
        <v>6316400000</v>
      </c>
      <c r="J84" s="258">
        <v>69480400000</v>
      </c>
      <c r="K84" s="256" t="s">
        <v>1346</v>
      </c>
    </row>
    <row r="85" spans="1:11" x14ac:dyDescent="0.3">
      <c r="A85" s="256">
        <v>24</v>
      </c>
      <c r="B85" s="257" t="s">
        <v>1385</v>
      </c>
      <c r="C85" s="276">
        <v>44550</v>
      </c>
      <c r="D85" s="257" t="s">
        <v>1279</v>
      </c>
      <c r="E85" s="256" t="s">
        <v>1827</v>
      </c>
      <c r="F85" s="256" t="s">
        <v>1865</v>
      </c>
      <c r="G85" s="258">
        <v>108043000000</v>
      </c>
      <c r="H85" s="265">
        <v>0.1</v>
      </c>
      <c r="I85" s="258">
        <v>10804300000</v>
      </c>
      <c r="J85" s="258">
        <v>118847300000</v>
      </c>
      <c r="K85" s="256" t="s">
        <v>1346</v>
      </c>
    </row>
    <row r="86" spans="1:11" x14ac:dyDescent="0.3">
      <c r="A86" s="256">
        <v>25</v>
      </c>
      <c r="B86" s="257" t="s">
        <v>1387</v>
      </c>
      <c r="C86" s="276">
        <v>44221</v>
      </c>
      <c r="D86" s="257" t="s">
        <v>1263</v>
      </c>
      <c r="E86" s="256" t="s">
        <v>1790</v>
      </c>
      <c r="F86" s="256" t="s">
        <v>1866</v>
      </c>
      <c r="G86" s="258">
        <v>125010000000</v>
      </c>
      <c r="H86" s="265">
        <v>0.1</v>
      </c>
      <c r="I86" s="258">
        <v>12501000000</v>
      </c>
      <c r="J86" s="258">
        <v>137511000000</v>
      </c>
      <c r="K86" s="256" t="s">
        <v>1346</v>
      </c>
    </row>
    <row r="87" spans="1:11" x14ac:dyDescent="0.3">
      <c r="A87" s="256">
        <v>26</v>
      </c>
      <c r="B87" s="257" t="s">
        <v>1388</v>
      </c>
      <c r="C87" s="276">
        <v>44255</v>
      </c>
      <c r="D87" s="257" t="s">
        <v>1288</v>
      </c>
      <c r="E87" s="256" t="s">
        <v>1797</v>
      </c>
      <c r="F87" s="256" t="s">
        <v>1865</v>
      </c>
      <c r="G87" s="258">
        <v>104465000000</v>
      </c>
      <c r="H87" s="265">
        <v>0.1</v>
      </c>
      <c r="I87" s="258">
        <v>10446500000</v>
      </c>
      <c r="J87" s="258">
        <v>114911500000</v>
      </c>
      <c r="K87" s="256" t="s">
        <v>1346</v>
      </c>
    </row>
    <row r="88" spans="1:11" x14ac:dyDescent="0.3">
      <c r="A88" s="256">
        <v>27</v>
      </c>
      <c r="B88" s="257" t="s">
        <v>1391</v>
      </c>
      <c r="C88" s="276">
        <v>44316</v>
      </c>
      <c r="D88" s="257" t="s">
        <v>1298</v>
      </c>
      <c r="E88" s="256" t="s">
        <v>1819</v>
      </c>
      <c r="F88" s="256" t="s">
        <v>1864</v>
      </c>
      <c r="G88" s="258">
        <v>35524000000</v>
      </c>
      <c r="H88" s="265">
        <v>0.1</v>
      </c>
      <c r="I88" s="258">
        <v>3552400000</v>
      </c>
      <c r="J88" s="258">
        <v>39076400000</v>
      </c>
      <c r="K88" s="256" t="s">
        <v>1346</v>
      </c>
    </row>
    <row r="89" spans="1:11" x14ac:dyDescent="0.3">
      <c r="A89" s="256">
        <v>28</v>
      </c>
      <c r="B89" s="257" t="s">
        <v>1392</v>
      </c>
      <c r="C89" s="276">
        <v>44377</v>
      </c>
      <c r="D89" s="257" t="s">
        <v>1292</v>
      </c>
      <c r="E89" s="256" t="s">
        <v>1792</v>
      </c>
      <c r="F89" s="256" t="s">
        <v>1867</v>
      </c>
      <c r="G89" s="258">
        <v>124860000000</v>
      </c>
      <c r="H89" s="265">
        <v>0.1</v>
      </c>
      <c r="I89" s="258">
        <v>12486000000</v>
      </c>
      <c r="J89" s="258">
        <v>137346000000</v>
      </c>
      <c r="K89" s="256" t="s">
        <v>1346</v>
      </c>
    </row>
    <row r="90" spans="1:11" x14ac:dyDescent="0.3">
      <c r="A90" s="256">
        <v>29</v>
      </c>
      <c r="B90" s="257" t="s">
        <v>1394</v>
      </c>
      <c r="C90" s="276">
        <v>44469</v>
      </c>
      <c r="D90" s="257" t="s">
        <v>1295</v>
      </c>
      <c r="E90" s="256" t="s">
        <v>1825</v>
      </c>
      <c r="F90" s="256" t="s">
        <v>1864</v>
      </c>
      <c r="G90" s="258">
        <v>81337000000</v>
      </c>
      <c r="H90" s="265">
        <v>0.1</v>
      </c>
      <c r="I90" s="258">
        <v>8133700000</v>
      </c>
      <c r="J90" s="258">
        <v>89470700000</v>
      </c>
      <c r="K90" s="256" t="s">
        <v>1346</v>
      </c>
    </row>
    <row r="91" spans="1:11" x14ac:dyDescent="0.3">
      <c r="A91" s="256">
        <v>30</v>
      </c>
      <c r="B91" s="257" t="s">
        <v>1396</v>
      </c>
      <c r="C91" s="276">
        <v>44530</v>
      </c>
      <c r="D91" s="257" t="s">
        <v>1269</v>
      </c>
      <c r="E91" s="256" t="s">
        <v>1823</v>
      </c>
      <c r="F91" s="256" t="s">
        <v>1865</v>
      </c>
      <c r="G91" s="258">
        <v>45293000000</v>
      </c>
      <c r="H91" s="265">
        <v>0.1</v>
      </c>
      <c r="I91" s="258">
        <v>4529300000</v>
      </c>
      <c r="J91" s="258">
        <v>49822300000</v>
      </c>
      <c r="K91" s="256" t="s">
        <v>1346</v>
      </c>
    </row>
    <row r="92" spans="1:11" x14ac:dyDescent="0.3">
      <c r="A92" s="256">
        <v>31</v>
      </c>
      <c r="B92" s="257" t="s">
        <v>1397</v>
      </c>
      <c r="C92" s="276">
        <v>44286</v>
      </c>
      <c r="D92" s="257" t="s">
        <v>1256</v>
      </c>
      <c r="E92" s="256" t="s">
        <v>1802</v>
      </c>
      <c r="F92" s="256" t="s">
        <v>1867</v>
      </c>
      <c r="G92" s="258">
        <v>110015000000</v>
      </c>
      <c r="H92" s="265">
        <v>0.1</v>
      </c>
      <c r="I92" s="258">
        <v>11001500000</v>
      </c>
      <c r="J92" s="258">
        <v>121016500000</v>
      </c>
      <c r="K92" s="256" t="s">
        <v>1346</v>
      </c>
    </row>
    <row r="93" spans="1:11" x14ac:dyDescent="0.3">
      <c r="A93" s="256">
        <v>32</v>
      </c>
      <c r="B93" s="257" t="s">
        <v>1398</v>
      </c>
      <c r="C93" s="276">
        <v>44347</v>
      </c>
      <c r="D93" s="257" t="s">
        <v>1259</v>
      </c>
      <c r="E93" s="256" t="s">
        <v>1788</v>
      </c>
      <c r="F93" s="256" t="s">
        <v>1864</v>
      </c>
      <c r="G93" s="258">
        <v>139776000000</v>
      </c>
      <c r="H93" s="265">
        <v>0.1</v>
      </c>
      <c r="I93" s="258">
        <v>13977600000</v>
      </c>
      <c r="J93" s="258">
        <v>153753600000</v>
      </c>
      <c r="K93" s="256" t="s">
        <v>1346</v>
      </c>
    </row>
    <row r="94" spans="1:11" x14ac:dyDescent="0.3">
      <c r="A94" s="256">
        <v>33</v>
      </c>
      <c r="B94" s="257" t="s">
        <v>1399</v>
      </c>
      <c r="C94" s="276">
        <v>44408</v>
      </c>
      <c r="D94" s="257" t="s">
        <v>1284</v>
      </c>
      <c r="E94" s="256" t="s">
        <v>1786</v>
      </c>
      <c r="F94" s="256" t="s">
        <v>1864</v>
      </c>
      <c r="G94" s="258">
        <v>66114000000</v>
      </c>
      <c r="H94" s="265">
        <v>0.1</v>
      </c>
      <c r="I94" s="258">
        <v>6611400000</v>
      </c>
      <c r="J94" s="258">
        <v>72725400000</v>
      </c>
      <c r="K94" s="256" t="s">
        <v>1346</v>
      </c>
    </row>
    <row r="95" spans="1:11" x14ac:dyDescent="0.3">
      <c r="A95" s="256">
        <v>34</v>
      </c>
      <c r="B95" s="257" t="s">
        <v>1401</v>
      </c>
      <c r="C95" s="276">
        <v>44439</v>
      </c>
      <c r="D95" s="257" t="s">
        <v>1266</v>
      </c>
      <c r="E95" s="256" t="s">
        <v>1824</v>
      </c>
      <c r="F95" s="256" t="s">
        <v>1865</v>
      </c>
      <c r="G95" s="258">
        <v>112335000000</v>
      </c>
      <c r="H95" s="265">
        <v>0.1</v>
      </c>
      <c r="I95" s="258">
        <v>11233500000</v>
      </c>
      <c r="J95" s="258">
        <v>123568500000</v>
      </c>
      <c r="K95" s="256" t="s">
        <v>1348</v>
      </c>
    </row>
    <row r="96" spans="1:11" x14ac:dyDescent="0.3">
      <c r="A96" s="256">
        <v>35</v>
      </c>
      <c r="B96" s="257" t="s">
        <v>1402</v>
      </c>
      <c r="C96" s="276">
        <v>44500</v>
      </c>
      <c r="D96" s="257" t="s">
        <v>1260</v>
      </c>
      <c r="E96" s="256" t="s">
        <v>1804</v>
      </c>
      <c r="F96" s="256" t="s">
        <v>1866</v>
      </c>
      <c r="G96" s="258">
        <v>39671000000</v>
      </c>
      <c r="H96" s="265">
        <v>0.1</v>
      </c>
      <c r="I96" s="258">
        <v>3967100000</v>
      </c>
      <c r="J96" s="258">
        <v>43638100000</v>
      </c>
      <c r="K96" s="256" t="s">
        <v>1346</v>
      </c>
    </row>
    <row r="97" spans="1:11" x14ac:dyDescent="0.3">
      <c r="A97" s="256">
        <v>36</v>
      </c>
      <c r="B97" s="257" t="s">
        <v>1403</v>
      </c>
      <c r="C97" s="276">
        <v>44561</v>
      </c>
      <c r="D97" s="257" t="s">
        <v>1257</v>
      </c>
      <c r="E97" s="256" t="s">
        <v>1815</v>
      </c>
      <c r="F97" s="256" t="s">
        <v>1864</v>
      </c>
      <c r="G97" s="258">
        <v>58087000000</v>
      </c>
      <c r="H97" s="265">
        <v>0</v>
      </c>
      <c r="I97" s="258">
        <v>0</v>
      </c>
      <c r="J97" s="258">
        <v>58087000000</v>
      </c>
      <c r="K97" s="256" t="s">
        <v>1346</v>
      </c>
    </row>
    <row r="98" spans="1:11" x14ac:dyDescent="0.3">
      <c r="A98" s="256">
        <v>37</v>
      </c>
      <c r="B98" s="257" t="s">
        <v>1404</v>
      </c>
      <c r="C98" s="276">
        <v>44561</v>
      </c>
      <c r="D98" s="257" t="s">
        <v>1295</v>
      </c>
      <c r="E98" s="256" t="s">
        <v>1825</v>
      </c>
      <c r="F98" s="256" t="s">
        <v>1865</v>
      </c>
      <c r="G98" s="258">
        <v>67917000000</v>
      </c>
      <c r="H98" s="265">
        <v>0.1</v>
      </c>
      <c r="I98" s="258">
        <v>6791700000</v>
      </c>
      <c r="J98" s="258">
        <v>74708700000</v>
      </c>
      <c r="K98" s="256" t="s">
        <v>1346</v>
      </c>
    </row>
    <row r="99" spans="1:11" x14ac:dyDescent="0.3">
      <c r="A99" s="256">
        <v>38</v>
      </c>
      <c r="B99" s="257" t="s">
        <v>1405</v>
      </c>
      <c r="C99" s="276">
        <v>44561</v>
      </c>
      <c r="D99" s="257" t="s">
        <v>1292</v>
      </c>
      <c r="E99" s="256" t="s">
        <v>1792</v>
      </c>
      <c r="F99" s="256" t="s">
        <v>1867</v>
      </c>
      <c r="G99" s="258">
        <v>102366000000</v>
      </c>
      <c r="H99" s="265">
        <v>0.1</v>
      </c>
      <c r="I99" s="258">
        <v>10236600000</v>
      </c>
      <c r="J99" s="258">
        <v>112602600000</v>
      </c>
      <c r="K99" s="256" t="s">
        <v>1346</v>
      </c>
    </row>
    <row r="100" spans="1:11" x14ac:dyDescent="0.3">
      <c r="A100" s="256">
        <v>39</v>
      </c>
      <c r="B100" s="257" t="s">
        <v>1406</v>
      </c>
      <c r="C100" s="276">
        <v>44561</v>
      </c>
      <c r="D100" s="257" t="s">
        <v>1263</v>
      </c>
      <c r="E100" s="256" t="s">
        <v>1790</v>
      </c>
      <c r="F100" s="256" t="s">
        <v>1866</v>
      </c>
      <c r="G100" s="258">
        <v>74161000000</v>
      </c>
      <c r="H100" s="265">
        <v>0.1</v>
      </c>
      <c r="I100" s="258">
        <v>7416100000</v>
      </c>
      <c r="J100" s="258">
        <v>81577100000</v>
      </c>
      <c r="K100" s="256" t="s">
        <v>1346</v>
      </c>
    </row>
    <row r="101" spans="1:11" x14ac:dyDescent="0.3">
      <c r="A101" s="256">
        <v>40</v>
      </c>
      <c r="B101" s="257" t="s">
        <v>1408</v>
      </c>
      <c r="C101" s="276">
        <v>44561</v>
      </c>
      <c r="D101" s="257" t="s">
        <v>1268</v>
      </c>
      <c r="E101" s="256" t="s">
        <v>1821</v>
      </c>
      <c r="F101" s="256" t="s">
        <v>1867</v>
      </c>
      <c r="G101" s="258">
        <v>95838000000</v>
      </c>
      <c r="H101" s="265">
        <v>0.1</v>
      </c>
      <c r="I101" s="258">
        <v>9583800000</v>
      </c>
      <c r="J101" s="258">
        <v>105421800000</v>
      </c>
      <c r="K101" s="256" t="s">
        <v>1346</v>
      </c>
    </row>
    <row r="102" spans="1:11" x14ac:dyDescent="0.3">
      <c r="A102" s="256">
        <v>41</v>
      </c>
      <c r="B102" s="257" t="s">
        <v>1409</v>
      </c>
      <c r="C102" s="276">
        <v>44561</v>
      </c>
      <c r="D102" s="257" t="s">
        <v>1258</v>
      </c>
      <c r="E102" s="256" t="s">
        <v>1833</v>
      </c>
      <c r="F102" s="256" t="s">
        <v>1866</v>
      </c>
      <c r="G102" s="258">
        <v>82979000000</v>
      </c>
      <c r="H102" s="265">
        <v>0.1</v>
      </c>
      <c r="I102" s="258">
        <v>8297900000</v>
      </c>
      <c r="J102" s="258">
        <v>91276900000</v>
      </c>
      <c r="K102" s="256" t="s">
        <v>1346</v>
      </c>
    </row>
    <row r="103" spans="1:11" x14ac:dyDescent="0.3">
      <c r="A103" s="256">
        <v>42</v>
      </c>
      <c r="B103" s="257" t="s">
        <v>1411</v>
      </c>
      <c r="C103" s="276">
        <v>44561</v>
      </c>
      <c r="D103" s="257" t="s">
        <v>1257</v>
      </c>
      <c r="E103" s="256" t="s">
        <v>1815</v>
      </c>
      <c r="F103" s="256" t="s">
        <v>1866</v>
      </c>
      <c r="G103" s="258">
        <v>40947000000</v>
      </c>
      <c r="H103" s="265">
        <v>0</v>
      </c>
      <c r="I103" s="258">
        <v>0</v>
      </c>
      <c r="J103" s="258">
        <v>40947000000</v>
      </c>
      <c r="K103" s="256" t="s">
        <v>1346</v>
      </c>
    </row>
    <row r="104" spans="1:11" x14ac:dyDescent="0.3">
      <c r="A104" s="256">
        <v>43</v>
      </c>
      <c r="B104" s="257" t="s">
        <v>1414</v>
      </c>
      <c r="C104" s="276">
        <v>44561</v>
      </c>
      <c r="D104" s="257" t="s">
        <v>1272</v>
      </c>
      <c r="E104" s="256" t="s">
        <v>1805</v>
      </c>
      <c r="F104" s="256" t="s">
        <v>1864</v>
      </c>
      <c r="G104" s="258">
        <v>127881000000</v>
      </c>
      <c r="H104" s="265">
        <v>0.1</v>
      </c>
      <c r="I104" s="258">
        <v>12788100000</v>
      </c>
      <c r="J104" s="258">
        <v>140669100000</v>
      </c>
      <c r="K104" s="256" t="s">
        <v>1346</v>
      </c>
    </row>
    <row r="105" spans="1:11" x14ac:dyDescent="0.3">
      <c r="A105" s="256">
        <v>44</v>
      </c>
      <c r="B105" s="257" t="s">
        <v>1415</v>
      </c>
      <c r="C105" s="276">
        <v>44561</v>
      </c>
      <c r="D105" s="257" t="s">
        <v>1284</v>
      </c>
      <c r="E105" s="256" t="s">
        <v>1786</v>
      </c>
      <c r="F105" s="256" t="s">
        <v>1865</v>
      </c>
      <c r="G105" s="258">
        <v>124818000000</v>
      </c>
      <c r="H105" s="265">
        <v>0.1</v>
      </c>
      <c r="I105" s="258">
        <v>12481800000</v>
      </c>
      <c r="J105" s="258">
        <v>137299800000</v>
      </c>
      <c r="K105" s="256" t="s">
        <v>1346</v>
      </c>
    </row>
    <row r="106" spans="1:11" x14ac:dyDescent="0.3">
      <c r="A106" s="256">
        <v>45</v>
      </c>
      <c r="B106" s="257" t="s">
        <v>1206</v>
      </c>
      <c r="C106" s="276">
        <v>44561</v>
      </c>
      <c r="D106" s="257" t="s">
        <v>1264</v>
      </c>
      <c r="E106" s="256" t="s">
        <v>1779</v>
      </c>
      <c r="F106" s="256" t="s">
        <v>1865</v>
      </c>
      <c r="G106" s="258">
        <v>84805000000</v>
      </c>
      <c r="H106" s="265">
        <v>0</v>
      </c>
      <c r="I106" s="258">
        <v>0</v>
      </c>
      <c r="J106" s="258">
        <v>84805000000</v>
      </c>
      <c r="K106" s="256" t="s">
        <v>1346</v>
      </c>
    </row>
    <row r="107" spans="1:11" x14ac:dyDescent="0.3">
      <c r="A107" s="256">
        <v>46</v>
      </c>
      <c r="B107" s="257" t="s">
        <v>1207</v>
      </c>
      <c r="C107" s="276">
        <v>44561</v>
      </c>
      <c r="D107" s="257" t="s">
        <v>1272</v>
      </c>
      <c r="E107" s="256" t="s">
        <v>1805</v>
      </c>
      <c r="F107" s="256" t="s">
        <v>1864</v>
      </c>
      <c r="G107" s="258">
        <v>89128000000</v>
      </c>
      <c r="H107" s="265">
        <v>0.1</v>
      </c>
      <c r="I107" s="258">
        <v>8912800000</v>
      </c>
      <c r="J107" s="258">
        <v>98040800000</v>
      </c>
      <c r="K107" s="256" t="s">
        <v>1346</v>
      </c>
    </row>
    <row r="108" spans="1:11" x14ac:dyDescent="0.3">
      <c r="A108" s="256">
        <v>47</v>
      </c>
      <c r="B108" s="257" t="s">
        <v>1208</v>
      </c>
      <c r="C108" s="276">
        <v>44561</v>
      </c>
      <c r="D108" s="257" t="s">
        <v>1282</v>
      </c>
      <c r="E108" s="256" t="s">
        <v>1789</v>
      </c>
      <c r="F108" s="256" t="s">
        <v>1864</v>
      </c>
      <c r="G108" s="258">
        <v>39175000000</v>
      </c>
      <c r="H108" s="265">
        <v>0.1</v>
      </c>
      <c r="I108" s="258">
        <v>3917500000</v>
      </c>
      <c r="J108" s="258">
        <v>43092500000</v>
      </c>
      <c r="K108" s="256" t="s">
        <v>1346</v>
      </c>
    </row>
    <row r="109" spans="1:11" x14ac:dyDescent="0.3">
      <c r="A109" s="256">
        <v>48</v>
      </c>
      <c r="B109" s="257" t="s">
        <v>1209</v>
      </c>
      <c r="C109" s="276">
        <v>44561</v>
      </c>
      <c r="D109" s="257" t="s">
        <v>1292</v>
      </c>
      <c r="E109" s="256" t="s">
        <v>1792</v>
      </c>
      <c r="F109" s="256" t="s">
        <v>1867</v>
      </c>
      <c r="G109" s="258">
        <v>107606000000</v>
      </c>
      <c r="H109" s="265">
        <v>0.1</v>
      </c>
      <c r="I109" s="258">
        <v>10760600000</v>
      </c>
      <c r="J109" s="258">
        <v>118366600000</v>
      </c>
      <c r="K109" s="256" t="s">
        <v>1346</v>
      </c>
    </row>
    <row r="110" spans="1:11" x14ac:dyDescent="0.3">
      <c r="A110" s="256">
        <v>49</v>
      </c>
      <c r="B110" s="257" t="s">
        <v>1418</v>
      </c>
      <c r="C110" s="276">
        <v>44561</v>
      </c>
      <c r="D110" s="257" t="s">
        <v>1274</v>
      </c>
      <c r="E110" s="256" t="s">
        <v>1794</v>
      </c>
      <c r="F110" s="256" t="s">
        <v>1865</v>
      </c>
      <c r="G110" s="258">
        <v>42513000000</v>
      </c>
      <c r="H110" s="265">
        <v>0.1</v>
      </c>
      <c r="I110" s="258">
        <v>4251300000</v>
      </c>
      <c r="J110" s="258">
        <v>46764300000</v>
      </c>
      <c r="K110" s="256" t="s">
        <v>1346</v>
      </c>
    </row>
    <row r="111" spans="1:11" x14ac:dyDescent="0.3">
      <c r="A111" s="256">
        <v>50</v>
      </c>
      <c r="B111" s="257" t="s">
        <v>1419</v>
      </c>
      <c r="C111" s="276">
        <v>44561</v>
      </c>
      <c r="D111" s="257" t="s">
        <v>1294</v>
      </c>
      <c r="E111" s="256" t="s">
        <v>1795</v>
      </c>
      <c r="F111" s="256" t="s">
        <v>1864</v>
      </c>
      <c r="G111" s="258">
        <v>80759000000</v>
      </c>
      <c r="H111" s="265">
        <v>0</v>
      </c>
      <c r="I111" s="258">
        <v>0</v>
      </c>
      <c r="J111" s="258">
        <v>80759000000</v>
      </c>
      <c r="K111" s="256" t="s">
        <v>1348</v>
      </c>
    </row>
    <row r="112" spans="1:11" x14ac:dyDescent="0.3">
      <c r="A112" s="266" t="s">
        <v>1351</v>
      </c>
      <c r="B112" s="266"/>
      <c r="C112" s="266"/>
      <c r="D112" s="266"/>
      <c r="E112" s="266"/>
      <c r="F112" s="266"/>
      <c r="G112" s="267">
        <f>SUM(G62:G111)</f>
        <v>4328459000000</v>
      </c>
      <c r="H112" s="266"/>
      <c r="I112" s="267">
        <f>SUM(I62:I111)</f>
        <v>375131500000</v>
      </c>
      <c r="J112" s="267">
        <f>SUM(J62:J111)</f>
        <v>4703590500000</v>
      </c>
      <c r="K112" s="266"/>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abSelected="1" zoomScale="115" zoomScaleNormal="115" workbookViewId="0">
      <selection activeCell="N41" sqref="N41"/>
    </sheetView>
  </sheetViews>
  <sheetFormatPr defaultRowHeight="14.4" x14ac:dyDescent="0.3"/>
  <cols>
    <col min="1" max="1" width="12.21875" bestFit="1" customWidth="1"/>
    <col min="2" max="2" width="30.44140625" bestFit="1" customWidth="1"/>
    <col min="3" max="3" width="19.21875" customWidth="1"/>
    <col min="4" max="4" width="23.88671875" customWidth="1"/>
    <col min="5" max="5" width="18.109375" bestFit="1" customWidth="1"/>
    <col min="6" max="6" width="12.88671875" bestFit="1" customWidth="1"/>
    <col min="7" max="7" width="20.21875" customWidth="1"/>
    <col min="8" max="8" width="9" customWidth="1"/>
    <col min="9" max="9" width="11.88671875" bestFit="1" customWidth="1"/>
    <col min="10" max="10" width="12.88671875" bestFit="1" customWidth="1"/>
    <col min="11" max="11" width="3.21875" bestFit="1" customWidth="1"/>
  </cols>
  <sheetData>
    <row r="1" spans="1:11" x14ac:dyDescent="0.3">
      <c r="A1" s="256" t="s">
        <v>1340</v>
      </c>
      <c r="B1" s="256" t="s">
        <v>661</v>
      </c>
      <c r="C1" s="256"/>
      <c r="D1" s="256"/>
      <c r="E1" s="256"/>
      <c r="F1" s="256"/>
      <c r="G1" s="256"/>
      <c r="H1" s="256"/>
      <c r="I1" s="256"/>
      <c r="J1" s="256"/>
      <c r="K1" s="256"/>
    </row>
    <row r="2" spans="1:11" x14ac:dyDescent="0.3">
      <c r="A2" s="256" t="s">
        <v>1339</v>
      </c>
      <c r="B2" s="257">
        <v>103769372</v>
      </c>
      <c r="C2" s="256"/>
      <c r="D2" s="256"/>
      <c r="E2" s="256"/>
      <c r="F2" s="256"/>
      <c r="G2" s="256"/>
      <c r="H2" s="256"/>
      <c r="I2" s="256"/>
      <c r="J2" s="256"/>
      <c r="K2" s="256"/>
    </row>
    <row r="3" spans="1:11" x14ac:dyDescent="0.3">
      <c r="A3" s="256" t="s">
        <v>1343</v>
      </c>
      <c r="B3" s="258">
        <v>551349097561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1371</v>
      </c>
      <c r="C8" s="276">
        <v>44317</v>
      </c>
      <c r="D8" s="257" t="s">
        <v>1301</v>
      </c>
      <c r="E8" s="256" t="s">
        <v>1781</v>
      </c>
      <c r="F8" s="256" t="s">
        <v>1876</v>
      </c>
      <c r="G8" s="258">
        <v>6618000000</v>
      </c>
      <c r="H8" s="265">
        <v>0</v>
      </c>
      <c r="I8" s="258">
        <v>0</v>
      </c>
      <c r="J8" s="258">
        <v>6618000000</v>
      </c>
      <c r="K8" s="256" t="s">
        <v>1346</v>
      </c>
    </row>
    <row r="9" spans="1:11" x14ac:dyDescent="0.3">
      <c r="A9" s="256">
        <v>2</v>
      </c>
      <c r="B9" s="257" t="s">
        <v>1391</v>
      </c>
      <c r="C9" s="276">
        <v>44318</v>
      </c>
      <c r="D9" s="257" t="s">
        <v>1257</v>
      </c>
      <c r="E9" s="256" t="s">
        <v>1815</v>
      </c>
      <c r="F9" s="256" t="s">
        <v>1877</v>
      </c>
      <c r="G9" s="258">
        <v>8823000000</v>
      </c>
      <c r="H9" s="265">
        <v>0.1</v>
      </c>
      <c r="I9" s="258">
        <v>882300000</v>
      </c>
      <c r="J9" s="258">
        <v>9705300000</v>
      </c>
      <c r="K9" s="256" t="s">
        <v>1348</v>
      </c>
    </row>
    <row r="10" spans="1:11" x14ac:dyDescent="0.3">
      <c r="A10" s="256">
        <v>3</v>
      </c>
      <c r="B10" s="257" t="s">
        <v>1411</v>
      </c>
      <c r="C10" s="276">
        <v>44472</v>
      </c>
      <c r="D10" s="257" t="s">
        <v>1263</v>
      </c>
      <c r="E10" s="256" t="s">
        <v>1790</v>
      </c>
      <c r="F10" s="256" t="s">
        <v>1878</v>
      </c>
      <c r="G10" s="258">
        <v>8933000000</v>
      </c>
      <c r="H10" s="265">
        <v>0.1</v>
      </c>
      <c r="I10" s="258">
        <v>893300000</v>
      </c>
      <c r="J10" s="258">
        <v>9826300000</v>
      </c>
      <c r="K10" s="256" t="s">
        <v>1346</v>
      </c>
    </row>
    <row r="11" spans="1:11" x14ac:dyDescent="0.3">
      <c r="A11" s="256">
        <v>4</v>
      </c>
      <c r="B11" s="257" t="s">
        <v>1402</v>
      </c>
      <c r="C11" s="276">
        <v>44473</v>
      </c>
      <c r="D11" s="257" t="s">
        <v>1256</v>
      </c>
      <c r="E11" s="256" t="s">
        <v>1802</v>
      </c>
      <c r="F11" s="256" t="s">
        <v>1609</v>
      </c>
      <c r="G11" s="258">
        <v>9108000000</v>
      </c>
      <c r="H11" s="265">
        <v>0.1</v>
      </c>
      <c r="I11" s="258">
        <v>910800000</v>
      </c>
      <c r="J11" s="258">
        <v>10018800000</v>
      </c>
      <c r="K11" s="256" t="s">
        <v>1348</v>
      </c>
    </row>
    <row r="12" spans="1:11" x14ac:dyDescent="0.3">
      <c r="A12" s="256">
        <v>5</v>
      </c>
      <c r="B12" s="257" t="s">
        <v>1204</v>
      </c>
      <c r="C12" s="276">
        <v>44474</v>
      </c>
      <c r="D12" s="257" t="s">
        <v>1293</v>
      </c>
      <c r="E12" s="256" t="s">
        <v>1826</v>
      </c>
      <c r="F12" s="256" t="s">
        <v>1876</v>
      </c>
      <c r="G12" s="258">
        <v>10063000000</v>
      </c>
      <c r="H12" s="265">
        <v>0.1</v>
      </c>
      <c r="I12" s="258">
        <v>1006300000</v>
      </c>
      <c r="J12" s="258">
        <v>11069300000</v>
      </c>
      <c r="K12" s="256" t="s">
        <v>1346</v>
      </c>
    </row>
    <row r="13" spans="1:11" x14ac:dyDescent="0.3">
      <c r="A13" s="256">
        <v>6</v>
      </c>
      <c r="B13" s="257" t="s">
        <v>1387</v>
      </c>
      <c r="C13" s="276">
        <v>44475</v>
      </c>
      <c r="D13" s="257" t="s">
        <v>1265</v>
      </c>
      <c r="E13" s="256" t="s">
        <v>1830</v>
      </c>
      <c r="F13" s="256" t="s">
        <v>1877</v>
      </c>
      <c r="G13" s="258">
        <v>4149000000</v>
      </c>
      <c r="H13" s="265">
        <v>0.1</v>
      </c>
      <c r="I13" s="258">
        <v>414900000</v>
      </c>
      <c r="J13" s="258">
        <v>4563900000</v>
      </c>
      <c r="K13" s="256" t="s">
        <v>1346</v>
      </c>
    </row>
    <row r="14" spans="1:11" x14ac:dyDescent="0.3">
      <c r="A14" s="256">
        <v>7</v>
      </c>
      <c r="B14" s="257" t="s">
        <v>1373</v>
      </c>
      <c r="C14" s="276">
        <v>44476</v>
      </c>
      <c r="D14" s="257" t="s">
        <v>1302</v>
      </c>
      <c r="E14" s="256" t="s">
        <v>1784</v>
      </c>
      <c r="F14" s="256" t="s">
        <v>1879</v>
      </c>
      <c r="G14" s="258">
        <v>4387000000</v>
      </c>
      <c r="H14" s="265">
        <v>0.1</v>
      </c>
      <c r="I14" s="258">
        <v>438700000</v>
      </c>
      <c r="J14" s="258">
        <v>4825700000</v>
      </c>
      <c r="K14" s="256" t="s">
        <v>1346</v>
      </c>
    </row>
    <row r="15" spans="1:11" x14ac:dyDescent="0.3">
      <c r="A15" s="256">
        <v>8</v>
      </c>
      <c r="B15" s="257" t="s">
        <v>1397</v>
      </c>
      <c r="C15" s="276">
        <v>44477</v>
      </c>
      <c r="D15" s="257" t="s">
        <v>1267</v>
      </c>
      <c r="E15" s="256" t="s">
        <v>1810</v>
      </c>
      <c r="F15" s="256" t="s">
        <v>1878</v>
      </c>
      <c r="G15" s="258">
        <v>7305000000</v>
      </c>
      <c r="H15" s="265">
        <v>0.1</v>
      </c>
      <c r="I15" s="258">
        <v>730500000</v>
      </c>
      <c r="J15" s="258">
        <v>8035500000</v>
      </c>
      <c r="K15" s="256" t="s">
        <v>1348</v>
      </c>
    </row>
    <row r="16" spans="1:11" x14ac:dyDescent="0.3">
      <c r="A16" s="256">
        <v>9</v>
      </c>
      <c r="B16" s="257" t="s">
        <v>1414</v>
      </c>
      <c r="C16" s="276">
        <v>44478</v>
      </c>
      <c r="D16" s="257" t="s">
        <v>1263</v>
      </c>
      <c r="E16" s="256" t="s">
        <v>1790</v>
      </c>
      <c r="F16" s="256" t="s">
        <v>1609</v>
      </c>
      <c r="G16" s="258">
        <v>7468000000</v>
      </c>
      <c r="H16" s="265">
        <v>0.1</v>
      </c>
      <c r="I16" s="258">
        <v>746800000</v>
      </c>
      <c r="J16" s="258">
        <v>8214800000</v>
      </c>
      <c r="K16" s="256" t="s">
        <v>1346</v>
      </c>
    </row>
    <row r="17" spans="1:11" x14ac:dyDescent="0.3">
      <c r="A17" s="256">
        <v>10</v>
      </c>
      <c r="B17" s="257" t="s">
        <v>1409</v>
      </c>
      <c r="C17" s="276">
        <v>44479</v>
      </c>
      <c r="D17" s="257" t="s">
        <v>1262</v>
      </c>
      <c r="E17" s="256" t="s">
        <v>1816</v>
      </c>
      <c r="F17" s="256" t="s">
        <v>1879</v>
      </c>
      <c r="G17" s="258">
        <v>8012000000</v>
      </c>
      <c r="H17" s="265">
        <v>0.1</v>
      </c>
      <c r="I17" s="258">
        <v>801200000</v>
      </c>
      <c r="J17" s="258">
        <v>8813200000</v>
      </c>
      <c r="K17" s="256" t="s">
        <v>1346</v>
      </c>
    </row>
    <row r="18" spans="1:11" x14ac:dyDescent="0.3">
      <c r="A18" s="256">
        <v>11</v>
      </c>
      <c r="B18" s="257" t="s">
        <v>1387</v>
      </c>
      <c r="C18" s="276">
        <v>44480</v>
      </c>
      <c r="D18" s="257" t="s">
        <v>1288</v>
      </c>
      <c r="E18" s="256" t="s">
        <v>1797</v>
      </c>
      <c r="F18" s="256" t="s">
        <v>1609</v>
      </c>
      <c r="G18" s="258">
        <v>6625000000</v>
      </c>
      <c r="H18" s="265">
        <v>0.1</v>
      </c>
      <c r="I18" s="258">
        <v>662500000</v>
      </c>
      <c r="J18" s="258">
        <v>7287500000</v>
      </c>
      <c r="K18" s="256" t="s">
        <v>1346</v>
      </c>
    </row>
    <row r="19" spans="1:11" x14ac:dyDescent="0.3">
      <c r="A19" s="256">
        <v>12</v>
      </c>
      <c r="B19" s="257" t="s">
        <v>1209</v>
      </c>
      <c r="C19" s="276">
        <v>44481</v>
      </c>
      <c r="D19" s="257" t="s">
        <v>1279</v>
      </c>
      <c r="E19" s="256" t="s">
        <v>1827</v>
      </c>
      <c r="F19" s="256" t="s">
        <v>1877</v>
      </c>
      <c r="G19" s="258">
        <v>11727000000</v>
      </c>
      <c r="H19" s="265">
        <v>0.1</v>
      </c>
      <c r="I19" s="258">
        <v>1172700000</v>
      </c>
      <c r="J19" s="258">
        <v>12899700000</v>
      </c>
      <c r="K19" s="256" t="s">
        <v>1348</v>
      </c>
    </row>
    <row r="20" spans="1:11" x14ac:dyDescent="0.3">
      <c r="A20" s="256">
        <v>13</v>
      </c>
      <c r="B20" s="257" t="s">
        <v>1364</v>
      </c>
      <c r="C20" s="276">
        <v>44211</v>
      </c>
      <c r="D20" s="257" t="s">
        <v>1303</v>
      </c>
      <c r="E20" s="256" t="s">
        <v>1817</v>
      </c>
      <c r="F20" s="256" t="s">
        <v>1877</v>
      </c>
      <c r="G20" s="258">
        <v>12068000000</v>
      </c>
      <c r="H20" s="265">
        <v>0.1</v>
      </c>
      <c r="I20" s="258">
        <v>1206800000</v>
      </c>
      <c r="J20" s="258">
        <v>13274800000</v>
      </c>
      <c r="K20" s="256" t="s">
        <v>1346</v>
      </c>
    </row>
    <row r="21" spans="1:11" x14ac:dyDescent="0.3">
      <c r="A21" s="256">
        <v>14</v>
      </c>
      <c r="B21" s="257" t="s">
        <v>1208</v>
      </c>
      <c r="C21" s="276">
        <v>44242</v>
      </c>
      <c r="D21" s="257" t="s">
        <v>1281</v>
      </c>
      <c r="E21" s="256" t="s">
        <v>1806</v>
      </c>
      <c r="F21" s="256" t="s">
        <v>1609</v>
      </c>
      <c r="G21" s="258">
        <v>12473000000</v>
      </c>
      <c r="H21" s="265">
        <v>0.1</v>
      </c>
      <c r="I21" s="258">
        <v>1247300000</v>
      </c>
      <c r="J21" s="258">
        <v>13720300000</v>
      </c>
      <c r="K21" s="256" t="s">
        <v>1346</v>
      </c>
    </row>
    <row r="22" spans="1:11" x14ac:dyDescent="0.3">
      <c r="A22" s="256">
        <v>15</v>
      </c>
      <c r="B22" s="257" t="s">
        <v>1402</v>
      </c>
      <c r="C22" s="276">
        <v>44275</v>
      </c>
      <c r="D22" s="257" t="s">
        <v>1274</v>
      </c>
      <c r="E22" s="256" t="s">
        <v>1794</v>
      </c>
      <c r="F22" s="256" t="s">
        <v>1876</v>
      </c>
      <c r="G22" s="258">
        <v>11839000000</v>
      </c>
      <c r="H22" s="265">
        <v>0.1</v>
      </c>
      <c r="I22" s="258">
        <v>1183900000</v>
      </c>
      <c r="J22" s="258">
        <v>13022900000</v>
      </c>
      <c r="K22" s="256" t="s">
        <v>1346</v>
      </c>
    </row>
    <row r="23" spans="1:11" x14ac:dyDescent="0.3">
      <c r="A23" s="256">
        <v>16</v>
      </c>
      <c r="B23" s="257" t="s">
        <v>1374</v>
      </c>
      <c r="C23" s="276">
        <v>44306</v>
      </c>
      <c r="D23" s="257" t="s">
        <v>1302</v>
      </c>
      <c r="E23" s="256" t="s">
        <v>1784</v>
      </c>
      <c r="F23" s="256" t="s">
        <v>1876</v>
      </c>
      <c r="G23" s="258">
        <v>10922000000</v>
      </c>
      <c r="H23" s="265">
        <v>0.1</v>
      </c>
      <c r="I23" s="258">
        <v>1092200000</v>
      </c>
      <c r="J23" s="258">
        <v>12014200000</v>
      </c>
      <c r="K23" s="256" t="s">
        <v>1346</v>
      </c>
    </row>
    <row r="24" spans="1:11" x14ac:dyDescent="0.3">
      <c r="A24" s="256">
        <v>17</v>
      </c>
      <c r="B24" s="257" t="s">
        <v>1207</v>
      </c>
      <c r="C24" s="276">
        <v>44336</v>
      </c>
      <c r="D24" s="257" t="s">
        <v>1259</v>
      </c>
      <c r="E24" s="256" t="s">
        <v>1788</v>
      </c>
      <c r="F24" s="256" t="s">
        <v>1609</v>
      </c>
      <c r="G24" s="258">
        <v>6190000000</v>
      </c>
      <c r="H24" s="265">
        <v>0.1</v>
      </c>
      <c r="I24" s="258">
        <v>619000000</v>
      </c>
      <c r="J24" s="258">
        <v>6809000000</v>
      </c>
      <c r="K24" s="256" t="s">
        <v>1346</v>
      </c>
    </row>
    <row r="25" spans="1:11" x14ac:dyDescent="0.3">
      <c r="A25" s="256">
        <v>18</v>
      </c>
      <c r="B25" s="257" t="s">
        <v>1204</v>
      </c>
      <c r="C25" s="276">
        <v>44367</v>
      </c>
      <c r="D25" s="257" t="s">
        <v>1304</v>
      </c>
      <c r="E25" s="256" t="s">
        <v>1831</v>
      </c>
      <c r="F25" s="256" t="s">
        <v>1609</v>
      </c>
      <c r="G25" s="258">
        <v>11054000000</v>
      </c>
      <c r="H25" s="265">
        <v>0.1</v>
      </c>
      <c r="I25" s="258">
        <v>1105400000</v>
      </c>
      <c r="J25" s="258">
        <v>12159400000</v>
      </c>
      <c r="K25" s="256" t="s">
        <v>1346</v>
      </c>
    </row>
    <row r="26" spans="1:11" x14ac:dyDescent="0.3">
      <c r="A26" s="256">
        <v>19</v>
      </c>
      <c r="B26" s="257" t="s">
        <v>1368</v>
      </c>
      <c r="C26" s="276">
        <v>44397</v>
      </c>
      <c r="D26" s="257" t="s">
        <v>1296</v>
      </c>
      <c r="E26" s="256" t="s">
        <v>1807</v>
      </c>
      <c r="F26" s="256" t="s">
        <v>1879</v>
      </c>
      <c r="G26" s="258">
        <v>8641000000</v>
      </c>
      <c r="H26" s="265">
        <v>0.1</v>
      </c>
      <c r="I26" s="258">
        <v>864100000</v>
      </c>
      <c r="J26" s="258">
        <v>9505100000</v>
      </c>
      <c r="K26" s="256" t="s">
        <v>1346</v>
      </c>
    </row>
    <row r="27" spans="1:11" x14ac:dyDescent="0.3">
      <c r="A27" s="256">
        <v>20</v>
      </c>
      <c r="B27" s="257" t="s">
        <v>1381</v>
      </c>
      <c r="C27" s="276">
        <v>44428</v>
      </c>
      <c r="D27" s="257" t="s">
        <v>1292</v>
      </c>
      <c r="E27" s="256" t="s">
        <v>1792</v>
      </c>
      <c r="F27" s="256" t="s">
        <v>1876</v>
      </c>
      <c r="G27" s="258">
        <v>3636000000</v>
      </c>
      <c r="H27" s="265">
        <v>0</v>
      </c>
      <c r="I27" s="258">
        <v>0</v>
      </c>
      <c r="J27" s="258">
        <v>3636000000</v>
      </c>
      <c r="K27" s="256" t="s">
        <v>1346</v>
      </c>
    </row>
    <row r="28" spans="1:11" x14ac:dyDescent="0.3">
      <c r="A28" s="256">
        <v>21</v>
      </c>
      <c r="B28" s="257" t="s">
        <v>1394</v>
      </c>
      <c r="C28" s="276">
        <v>44459</v>
      </c>
      <c r="D28" s="257" t="s">
        <v>1255</v>
      </c>
      <c r="E28" s="273">
        <v>46152</v>
      </c>
      <c r="F28" s="256" t="s">
        <v>1880</v>
      </c>
      <c r="G28" s="258">
        <v>4196000000</v>
      </c>
      <c r="H28" s="265">
        <v>0.1</v>
      </c>
      <c r="I28" s="258">
        <v>419600000</v>
      </c>
      <c r="J28" s="258">
        <v>4615600000</v>
      </c>
      <c r="K28" s="256" t="s">
        <v>1346</v>
      </c>
    </row>
    <row r="29" spans="1:11" x14ac:dyDescent="0.3">
      <c r="A29" s="256">
        <v>22</v>
      </c>
      <c r="B29" s="257" t="s">
        <v>1396</v>
      </c>
      <c r="C29" s="276">
        <v>44489</v>
      </c>
      <c r="D29" s="257" t="s">
        <v>1255</v>
      </c>
      <c r="E29" s="273">
        <v>46152</v>
      </c>
      <c r="F29" s="256" t="s">
        <v>1609</v>
      </c>
      <c r="G29" s="258">
        <v>12774000000</v>
      </c>
      <c r="H29" s="265">
        <v>0.1</v>
      </c>
      <c r="I29" s="258">
        <v>1277400000</v>
      </c>
      <c r="J29" s="258">
        <v>14051400000</v>
      </c>
      <c r="K29" s="256" t="s">
        <v>1346</v>
      </c>
    </row>
    <row r="30" spans="1:11" x14ac:dyDescent="0.3">
      <c r="A30" s="256">
        <v>23</v>
      </c>
      <c r="B30" s="257" t="s">
        <v>1388</v>
      </c>
      <c r="C30" s="276">
        <v>44520</v>
      </c>
      <c r="D30" s="257" t="s">
        <v>1269</v>
      </c>
      <c r="E30" s="256" t="s">
        <v>1823</v>
      </c>
      <c r="F30" s="256" t="s">
        <v>1877</v>
      </c>
      <c r="G30" s="258">
        <v>4351000000</v>
      </c>
      <c r="H30" s="265">
        <v>0.1</v>
      </c>
      <c r="I30" s="258">
        <v>435100000</v>
      </c>
      <c r="J30" s="258">
        <v>4786100000</v>
      </c>
      <c r="K30" s="256" t="s">
        <v>1346</v>
      </c>
    </row>
    <row r="31" spans="1:11" x14ac:dyDescent="0.3">
      <c r="A31" s="256">
        <v>24</v>
      </c>
      <c r="B31" s="257" t="s">
        <v>1388</v>
      </c>
      <c r="C31" s="276">
        <v>44550</v>
      </c>
      <c r="D31" s="257" t="s">
        <v>1265</v>
      </c>
      <c r="E31" s="256" t="s">
        <v>1830</v>
      </c>
      <c r="F31" s="256" t="s">
        <v>1876</v>
      </c>
      <c r="G31" s="258">
        <v>3645000000</v>
      </c>
      <c r="H31" s="265">
        <v>0.1</v>
      </c>
      <c r="I31" s="258">
        <v>364500000</v>
      </c>
      <c r="J31" s="258">
        <v>4009500000</v>
      </c>
      <c r="K31" s="256" t="s">
        <v>1346</v>
      </c>
    </row>
    <row r="32" spans="1:11" x14ac:dyDescent="0.3">
      <c r="A32" s="256">
        <v>25</v>
      </c>
      <c r="B32" s="257" t="s">
        <v>1415</v>
      </c>
      <c r="C32" s="276">
        <v>44221</v>
      </c>
      <c r="D32" s="257" t="s">
        <v>1263</v>
      </c>
      <c r="E32" s="256" t="s">
        <v>1790</v>
      </c>
      <c r="F32" s="256" t="s">
        <v>1879</v>
      </c>
      <c r="G32" s="258">
        <v>9733000000</v>
      </c>
      <c r="H32" s="265">
        <v>0.1</v>
      </c>
      <c r="I32" s="258">
        <v>973300000</v>
      </c>
      <c r="J32" s="258">
        <v>10706300000</v>
      </c>
      <c r="K32" s="256" t="s">
        <v>1346</v>
      </c>
    </row>
    <row r="33" spans="1:11" x14ac:dyDescent="0.3">
      <c r="A33" s="256">
        <v>26</v>
      </c>
      <c r="B33" s="257" t="s">
        <v>1376</v>
      </c>
      <c r="C33" s="276">
        <v>44255</v>
      </c>
      <c r="D33" s="257" t="s">
        <v>1302</v>
      </c>
      <c r="E33" s="256" t="s">
        <v>1784</v>
      </c>
      <c r="F33" s="256" t="s">
        <v>1877</v>
      </c>
      <c r="G33" s="258">
        <v>5770000000</v>
      </c>
      <c r="H33" s="265">
        <v>0.1</v>
      </c>
      <c r="I33" s="258">
        <v>577000000</v>
      </c>
      <c r="J33" s="258">
        <v>6347000000</v>
      </c>
      <c r="K33" s="256" t="s">
        <v>1348</v>
      </c>
    </row>
    <row r="34" spans="1:11" x14ac:dyDescent="0.3">
      <c r="A34" s="256">
        <v>27</v>
      </c>
      <c r="B34" s="257" t="s">
        <v>1403</v>
      </c>
      <c r="C34" s="276">
        <v>44316</v>
      </c>
      <c r="D34" s="257" t="s">
        <v>1274</v>
      </c>
      <c r="E34" s="256" t="s">
        <v>1794</v>
      </c>
      <c r="F34" s="256" t="s">
        <v>1877</v>
      </c>
      <c r="G34" s="258">
        <v>10476000000</v>
      </c>
      <c r="H34" s="265">
        <v>0.1</v>
      </c>
      <c r="I34" s="258">
        <v>1047600000</v>
      </c>
      <c r="J34" s="258">
        <v>11523600000</v>
      </c>
      <c r="K34" s="256" t="s">
        <v>1346</v>
      </c>
    </row>
    <row r="35" spans="1:11" x14ac:dyDescent="0.3">
      <c r="A35" s="256">
        <v>28</v>
      </c>
      <c r="B35" s="257" t="s">
        <v>1404</v>
      </c>
      <c r="C35" s="276">
        <v>44377</v>
      </c>
      <c r="D35" s="257" t="s">
        <v>1274</v>
      </c>
      <c r="E35" s="256" t="s">
        <v>1794</v>
      </c>
      <c r="F35" s="256" t="s">
        <v>1609</v>
      </c>
      <c r="G35" s="258">
        <v>8003000000</v>
      </c>
      <c r="H35" s="265">
        <v>0.1</v>
      </c>
      <c r="I35" s="258">
        <v>800300000</v>
      </c>
      <c r="J35" s="258">
        <v>8803300000</v>
      </c>
      <c r="K35" s="256" t="s">
        <v>1346</v>
      </c>
    </row>
    <row r="36" spans="1:11" x14ac:dyDescent="0.3">
      <c r="A36" s="256">
        <v>29</v>
      </c>
      <c r="B36" s="257" t="s">
        <v>1403</v>
      </c>
      <c r="C36" s="276">
        <v>44469</v>
      </c>
      <c r="D36" s="257" t="s">
        <v>1285</v>
      </c>
      <c r="E36" s="256" t="s">
        <v>1793</v>
      </c>
      <c r="F36" s="256" t="s">
        <v>1609</v>
      </c>
      <c r="G36" s="258">
        <v>12732000000</v>
      </c>
      <c r="H36" s="265">
        <v>0.1</v>
      </c>
      <c r="I36" s="258">
        <v>1273200000</v>
      </c>
      <c r="J36" s="258">
        <v>14005200000</v>
      </c>
      <c r="K36" s="256" t="s">
        <v>1346</v>
      </c>
    </row>
    <row r="37" spans="1:11" x14ac:dyDescent="0.3">
      <c r="A37" s="256">
        <v>30</v>
      </c>
      <c r="B37" s="257" t="s">
        <v>1406</v>
      </c>
      <c r="C37" s="276">
        <v>44530</v>
      </c>
      <c r="D37" s="257" t="s">
        <v>1273</v>
      </c>
      <c r="E37" s="256" t="s">
        <v>1829</v>
      </c>
      <c r="F37" s="256" t="s">
        <v>1879</v>
      </c>
      <c r="G37" s="258">
        <v>11922000000</v>
      </c>
      <c r="H37" s="265">
        <v>0.1</v>
      </c>
      <c r="I37" s="258">
        <v>1192200000</v>
      </c>
      <c r="J37" s="258">
        <v>13114200000</v>
      </c>
      <c r="K37" s="256" t="s">
        <v>1346</v>
      </c>
    </row>
    <row r="38" spans="1:11" x14ac:dyDescent="0.3">
      <c r="A38" s="256">
        <v>31</v>
      </c>
      <c r="B38" s="257" t="s">
        <v>1378</v>
      </c>
      <c r="C38" s="276">
        <v>44286</v>
      </c>
      <c r="D38" s="257" t="s">
        <v>1300</v>
      </c>
      <c r="E38" s="256" t="s">
        <v>1818</v>
      </c>
      <c r="F38" s="256" t="s">
        <v>1878</v>
      </c>
      <c r="G38" s="258">
        <v>10509000000</v>
      </c>
      <c r="H38" s="265">
        <v>0.1</v>
      </c>
      <c r="I38" s="258">
        <v>1050900000</v>
      </c>
      <c r="J38" s="258">
        <v>11559900000</v>
      </c>
      <c r="K38" s="256" t="s">
        <v>1346</v>
      </c>
    </row>
    <row r="39" spans="1:11" x14ac:dyDescent="0.3">
      <c r="A39" s="256">
        <v>32</v>
      </c>
      <c r="B39" s="257" t="s">
        <v>1379</v>
      </c>
      <c r="C39" s="276">
        <v>44347</v>
      </c>
      <c r="D39" s="257" t="s">
        <v>1300</v>
      </c>
      <c r="E39" s="256" t="s">
        <v>1818</v>
      </c>
      <c r="F39" s="256" t="s">
        <v>1609</v>
      </c>
      <c r="G39" s="258">
        <v>12844000000</v>
      </c>
      <c r="H39" s="265">
        <v>0.1</v>
      </c>
      <c r="I39" s="258">
        <v>1284400000</v>
      </c>
      <c r="J39" s="258">
        <v>14128400000</v>
      </c>
      <c r="K39" s="256" t="s">
        <v>1346</v>
      </c>
    </row>
    <row r="40" spans="1:11" x14ac:dyDescent="0.3">
      <c r="A40" s="256">
        <v>33</v>
      </c>
      <c r="B40" s="257" t="s">
        <v>1408</v>
      </c>
      <c r="C40" s="276">
        <v>44408</v>
      </c>
      <c r="D40" s="257" t="s">
        <v>1268</v>
      </c>
      <c r="E40" s="256" t="s">
        <v>1821</v>
      </c>
      <c r="F40" s="256" t="s">
        <v>1879</v>
      </c>
      <c r="G40" s="258">
        <v>4855000000</v>
      </c>
      <c r="H40" s="265">
        <v>0.1</v>
      </c>
      <c r="I40" s="258">
        <v>485500000</v>
      </c>
      <c r="J40" s="258">
        <v>5340500000</v>
      </c>
      <c r="K40" s="256" t="s">
        <v>1346</v>
      </c>
    </row>
    <row r="41" spans="1:11" x14ac:dyDescent="0.3">
      <c r="A41" s="256">
        <v>34</v>
      </c>
      <c r="B41" s="257" t="s">
        <v>1418</v>
      </c>
      <c r="C41" s="276">
        <v>44439</v>
      </c>
      <c r="D41" s="257" t="s">
        <v>1277</v>
      </c>
      <c r="E41" s="256" t="s">
        <v>1783</v>
      </c>
      <c r="F41" s="256" t="s">
        <v>1879</v>
      </c>
      <c r="G41" s="258">
        <v>9031000000</v>
      </c>
      <c r="H41" s="265">
        <v>0</v>
      </c>
      <c r="I41" s="258">
        <v>0</v>
      </c>
      <c r="J41" s="258">
        <v>9031000000</v>
      </c>
      <c r="K41" s="256" t="s">
        <v>1346</v>
      </c>
    </row>
    <row r="42" spans="1:11" x14ac:dyDescent="0.3">
      <c r="A42" s="256">
        <v>35</v>
      </c>
      <c r="B42" s="257" t="s">
        <v>1205</v>
      </c>
      <c r="C42" s="276">
        <v>44500</v>
      </c>
      <c r="D42" s="257" t="s">
        <v>1304</v>
      </c>
      <c r="E42" s="256" t="s">
        <v>1831</v>
      </c>
      <c r="F42" s="256" t="s">
        <v>1609</v>
      </c>
      <c r="G42" s="258">
        <v>8664000000</v>
      </c>
      <c r="H42" s="265">
        <v>0.1</v>
      </c>
      <c r="I42" s="258">
        <v>866400000</v>
      </c>
      <c r="J42" s="258">
        <v>9530400000</v>
      </c>
      <c r="K42" s="256" t="s">
        <v>1346</v>
      </c>
    </row>
    <row r="43" spans="1:11" x14ac:dyDescent="0.3">
      <c r="A43" s="256">
        <v>36</v>
      </c>
      <c r="B43" s="257" t="s">
        <v>1376</v>
      </c>
      <c r="C43" s="276">
        <v>44561</v>
      </c>
      <c r="D43" s="257" t="s">
        <v>1291</v>
      </c>
      <c r="E43" s="256" t="s">
        <v>1800</v>
      </c>
      <c r="F43" s="256" t="s">
        <v>1877</v>
      </c>
      <c r="G43" s="258">
        <v>6149000000</v>
      </c>
      <c r="H43" s="265">
        <v>0.1</v>
      </c>
      <c r="I43" s="258">
        <v>614900000</v>
      </c>
      <c r="J43" s="258">
        <v>6763900000</v>
      </c>
      <c r="K43" s="256" t="s">
        <v>1346</v>
      </c>
    </row>
    <row r="44" spans="1:11" x14ac:dyDescent="0.3">
      <c r="A44" s="256">
        <v>37</v>
      </c>
      <c r="B44" s="257" t="s">
        <v>1405</v>
      </c>
      <c r="C44" s="276">
        <v>44561</v>
      </c>
      <c r="D44" s="257" t="s">
        <v>1274</v>
      </c>
      <c r="E44" s="256" t="s">
        <v>1794</v>
      </c>
      <c r="F44" s="256" t="s">
        <v>1609</v>
      </c>
      <c r="G44" s="258">
        <v>12481000000</v>
      </c>
      <c r="H44" s="265">
        <v>0.1</v>
      </c>
      <c r="I44" s="258">
        <v>1248100000</v>
      </c>
      <c r="J44" s="258">
        <v>13729100000</v>
      </c>
      <c r="K44" s="256" t="s">
        <v>1346</v>
      </c>
    </row>
    <row r="45" spans="1:11" x14ac:dyDescent="0.3">
      <c r="A45" s="256">
        <v>38</v>
      </c>
      <c r="B45" s="257" t="s">
        <v>1204</v>
      </c>
      <c r="C45" s="276">
        <v>44561</v>
      </c>
      <c r="D45" s="257" t="s">
        <v>1290</v>
      </c>
      <c r="E45" s="256" t="s">
        <v>1796</v>
      </c>
      <c r="F45" s="256" t="s">
        <v>1877</v>
      </c>
      <c r="G45" s="258">
        <v>4675000000</v>
      </c>
      <c r="H45" s="265">
        <v>0.1</v>
      </c>
      <c r="I45" s="258">
        <v>467500000</v>
      </c>
      <c r="J45" s="258">
        <v>5142500000</v>
      </c>
      <c r="K45" s="256" t="s">
        <v>1346</v>
      </c>
    </row>
    <row r="46" spans="1:11" x14ac:dyDescent="0.3">
      <c r="A46" s="256">
        <v>39</v>
      </c>
      <c r="B46" s="257" t="s">
        <v>1403</v>
      </c>
      <c r="C46" s="276">
        <v>44561</v>
      </c>
      <c r="D46" s="257" t="s">
        <v>1256</v>
      </c>
      <c r="E46" s="256" t="s">
        <v>1802</v>
      </c>
      <c r="F46" s="256" t="s">
        <v>1878</v>
      </c>
      <c r="G46" s="258">
        <v>4414000000</v>
      </c>
      <c r="H46" s="265">
        <v>0.1</v>
      </c>
      <c r="I46" s="258">
        <v>441400000</v>
      </c>
      <c r="J46" s="258">
        <v>4855400000</v>
      </c>
      <c r="K46" s="256" t="s">
        <v>1346</v>
      </c>
    </row>
    <row r="47" spans="1:11" x14ac:dyDescent="0.3">
      <c r="A47" s="256">
        <v>40</v>
      </c>
      <c r="B47" s="257" t="s">
        <v>1368</v>
      </c>
      <c r="C47" s="276">
        <v>44561</v>
      </c>
      <c r="D47" s="257" t="s">
        <v>1286</v>
      </c>
      <c r="E47" s="256" t="s">
        <v>1828</v>
      </c>
      <c r="F47" s="256" t="s">
        <v>1876</v>
      </c>
      <c r="G47" s="258">
        <v>4348000000</v>
      </c>
      <c r="H47" s="265">
        <v>0.1</v>
      </c>
      <c r="I47" s="258">
        <v>434800000</v>
      </c>
      <c r="J47" s="258">
        <v>4782800000</v>
      </c>
      <c r="K47" s="256" t="s">
        <v>1346</v>
      </c>
    </row>
    <row r="48" spans="1:11" x14ac:dyDescent="0.3">
      <c r="A48" s="256">
        <v>41</v>
      </c>
      <c r="B48" s="257" t="s">
        <v>1209</v>
      </c>
      <c r="C48" s="276">
        <v>44561</v>
      </c>
      <c r="D48" s="257" t="s">
        <v>1281</v>
      </c>
      <c r="E48" s="256" t="s">
        <v>1806</v>
      </c>
      <c r="F48" s="256" t="s">
        <v>1877</v>
      </c>
      <c r="G48" s="258">
        <v>12371000000</v>
      </c>
      <c r="H48" s="265">
        <v>0.1</v>
      </c>
      <c r="I48" s="258">
        <v>1237100000</v>
      </c>
      <c r="J48" s="258">
        <v>13608100000</v>
      </c>
      <c r="K48" s="256" t="s">
        <v>1346</v>
      </c>
    </row>
    <row r="49" spans="1:11" x14ac:dyDescent="0.3">
      <c r="A49" s="256">
        <v>42</v>
      </c>
      <c r="B49" s="257" t="s">
        <v>1366</v>
      </c>
      <c r="C49" s="276">
        <v>44561</v>
      </c>
      <c r="D49" s="257" t="s">
        <v>1303</v>
      </c>
      <c r="E49" s="256" t="s">
        <v>1817</v>
      </c>
      <c r="F49" s="256" t="s">
        <v>1878</v>
      </c>
      <c r="G49" s="258">
        <v>10159000000</v>
      </c>
      <c r="H49" s="265">
        <v>0.1</v>
      </c>
      <c r="I49" s="258">
        <v>1015900000</v>
      </c>
      <c r="J49" s="258">
        <v>11174900000</v>
      </c>
      <c r="K49" s="256" t="s">
        <v>1346</v>
      </c>
    </row>
    <row r="50" spans="1:11" x14ac:dyDescent="0.3">
      <c r="A50" s="256">
        <v>43</v>
      </c>
      <c r="B50" s="257" t="s">
        <v>1206</v>
      </c>
      <c r="C50" s="276">
        <v>44561</v>
      </c>
      <c r="D50" s="257" t="s">
        <v>1276</v>
      </c>
      <c r="E50" s="256" t="s">
        <v>1822</v>
      </c>
      <c r="F50" s="256" t="s">
        <v>1877</v>
      </c>
      <c r="G50" s="258">
        <v>4195000000</v>
      </c>
      <c r="H50" s="265">
        <v>0.1</v>
      </c>
      <c r="I50" s="258">
        <v>419500000</v>
      </c>
      <c r="J50" s="258">
        <v>4614500000</v>
      </c>
      <c r="K50" s="256" t="s">
        <v>1348</v>
      </c>
    </row>
    <row r="51" spans="1:11" x14ac:dyDescent="0.3">
      <c r="A51" s="256">
        <v>44</v>
      </c>
      <c r="B51" s="257" t="s">
        <v>1205</v>
      </c>
      <c r="C51" s="276">
        <v>44561</v>
      </c>
      <c r="D51" s="257" t="s">
        <v>1258</v>
      </c>
      <c r="E51" s="256" t="s">
        <v>1833</v>
      </c>
      <c r="F51" s="256" t="s">
        <v>1877</v>
      </c>
      <c r="G51" s="258">
        <v>8708000000</v>
      </c>
      <c r="H51" s="265">
        <v>0.1</v>
      </c>
      <c r="I51" s="258">
        <v>870800000</v>
      </c>
      <c r="J51" s="258">
        <v>9578800000</v>
      </c>
      <c r="K51" s="256" t="s">
        <v>1346</v>
      </c>
    </row>
    <row r="52" spans="1:11" x14ac:dyDescent="0.3">
      <c r="A52" s="256">
        <v>45</v>
      </c>
      <c r="B52" s="257" t="s">
        <v>1378</v>
      </c>
      <c r="C52" s="276">
        <v>44561</v>
      </c>
      <c r="D52" s="257" t="s">
        <v>1291</v>
      </c>
      <c r="E52" s="256" t="s">
        <v>1800</v>
      </c>
      <c r="F52" s="256" t="s">
        <v>1877</v>
      </c>
      <c r="G52" s="258">
        <v>8765000000</v>
      </c>
      <c r="H52" s="265">
        <v>0.1</v>
      </c>
      <c r="I52" s="258">
        <v>876500000</v>
      </c>
      <c r="J52" s="258">
        <v>9641500000</v>
      </c>
      <c r="K52" s="256" t="s">
        <v>1346</v>
      </c>
    </row>
    <row r="53" spans="1:11" x14ac:dyDescent="0.3">
      <c r="A53" s="256">
        <v>46</v>
      </c>
      <c r="B53" s="257" t="s">
        <v>1406</v>
      </c>
      <c r="C53" s="276">
        <v>44561</v>
      </c>
      <c r="D53" s="257" t="s">
        <v>1274</v>
      </c>
      <c r="E53" s="256" t="s">
        <v>1794</v>
      </c>
      <c r="F53" s="256" t="s">
        <v>1609</v>
      </c>
      <c r="G53" s="258">
        <v>6074000000</v>
      </c>
      <c r="H53" s="265">
        <v>0.1</v>
      </c>
      <c r="I53" s="258">
        <v>607400000</v>
      </c>
      <c r="J53" s="258">
        <v>6681400000</v>
      </c>
      <c r="K53" s="256" t="s">
        <v>1346</v>
      </c>
    </row>
    <row r="54" spans="1:11" x14ac:dyDescent="0.3">
      <c r="A54" s="256">
        <v>47</v>
      </c>
      <c r="B54" s="257" t="s">
        <v>1378</v>
      </c>
      <c r="C54" s="276">
        <v>44561</v>
      </c>
      <c r="D54" s="257" t="s">
        <v>1299</v>
      </c>
      <c r="E54" s="256" t="s">
        <v>1776</v>
      </c>
      <c r="F54" s="256" t="s">
        <v>1876</v>
      </c>
      <c r="G54" s="258">
        <v>11706000000</v>
      </c>
      <c r="H54" s="265">
        <v>0.1</v>
      </c>
      <c r="I54" s="258">
        <v>1170600000</v>
      </c>
      <c r="J54" s="258">
        <v>12876600000</v>
      </c>
      <c r="K54" s="256" t="s">
        <v>1346</v>
      </c>
    </row>
    <row r="55" spans="1:11" x14ac:dyDescent="0.3">
      <c r="A55" s="256">
        <v>48</v>
      </c>
      <c r="B55" s="257" t="s">
        <v>1404</v>
      </c>
      <c r="C55" s="276">
        <v>44561</v>
      </c>
      <c r="D55" s="257" t="s">
        <v>1283</v>
      </c>
      <c r="E55" s="256" t="s">
        <v>1798</v>
      </c>
      <c r="F55" s="256" t="s">
        <v>1876</v>
      </c>
      <c r="G55" s="258">
        <v>11200000000</v>
      </c>
      <c r="H55" s="265">
        <v>0.1</v>
      </c>
      <c r="I55" s="258">
        <v>1120000000</v>
      </c>
      <c r="J55" s="258">
        <v>12320000000</v>
      </c>
      <c r="K55" s="256" t="s">
        <v>1346</v>
      </c>
    </row>
    <row r="56" spans="1:11" x14ac:dyDescent="0.3">
      <c r="A56" s="256">
        <v>49</v>
      </c>
      <c r="B56" s="257" t="s">
        <v>1371</v>
      </c>
      <c r="C56" s="276">
        <v>44561</v>
      </c>
      <c r="D56" s="257" t="s">
        <v>1296</v>
      </c>
      <c r="E56" s="256" t="s">
        <v>1807</v>
      </c>
      <c r="F56" s="256" t="s">
        <v>1609</v>
      </c>
      <c r="G56" s="258">
        <v>4159000000</v>
      </c>
      <c r="H56" s="265">
        <v>0.1</v>
      </c>
      <c r="I56" s="258">
        <v>415900000</v>
      </c>
      <c r="J56" s="258">
        <v>4574900000</v>
      </c>
      <c r="K56" s="256" t="s">
        <v>1348</v>
      </c>
    </row>
    <row r="57" spans="1:11" x14ac:dyDescent="0.3">
      <c r="A57" s="256">
        <v>50</v>
      </c>
      <c r="B57" s="257" t="s">
        <v>1392</v>
      </c>
      <c r="C57" s="276">
        <v>44561</v>
      </c>
      <c r="D57" s="257" t="s">
        <v>1257</v>
      </c>
      <c r="E57" s="256" t="s">
        <v>1815</v>
      </c>
      <c r="F57" s="256" t="s">
        <v>1609</v>
      </c>
      <c r="G57" s="258">
        <v>12155000000</v>
      </c>
      <c r="H57" s="265">
        <v>0.1</v>
      </c>
      <c r="I57" s="258">
        <v>1215500000</v>
      </c>
      <c r="J57" s="258">
        <v>13370500000</v>
      </c>
      <c r="K57" s="256" t="s">
        <v>1346</v>
      </c>
    </row>
    <row r="58" spans="1:11" x14ac:dyDescent="0.3">
      <c r="A58" s="266" t="s">
        <v>1351</v>
      </c>
      <c r="B58" s="266"/>
      <c r="C58" s="266"/>
      <c r="D58" s="266"/>
      <c r="E58" s="266"/>
      <c r="F58" s="266"/>
      <c r="G58" s="267">
        <f>SUM(G8:G57)</f>
        <v>421105000000</v>
      </c>
      <c r="H58" s="266"/>
      <c r="I58" s="267">
        <f>SUM(I8:I57)</f>
        <v>40182000000</v>
      </c>
      <c r="J58" s="267">
        <f>SUM(J8:J57)</f>
        <v>461287000000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1881</v>
      </c>
      <c r="G62" s="258">
        <v>12536000000</v>
      </c>
      <c r="H62" s="265">
        <v>0</v>
      </c>
      <c r="I62" s="258">
        <v>0</v>
      </c>
      <c r="J62" s="258">
        <v>12536000000</v>
      </c>
      <c r="K62" s="256" t="s">
        <v>1346</v>
      </c>
    </row>
    <row r="63" spans="1:11" x14ac:dyDescent="0.3">
      <c r="A63" s="256">
        <v>2</v>
      </c>
      <c r="B63" s="257" t="s">
        <v>1201</v>
      </c>
      <c r="C63" s="276">
        <v>44318</v>
      </c>
      <c r="D63" s="257" t="s">
        <v>1275</v>
      </c>
      <c r="E63" s="256" t="s">
        <v>1808</v>
      </c>
      <c r="F63" s="256" t="s">
        <v>1882</v>
      </c>
      <c r="G63" s="258">
        <v>12790000000</v>
      </c>
      <c r="H63" s="265">
        <v>0.1</v>
      </c>
      <c r="I63" s="258">
        <v>1279000000</v>
      </c>
      <c r="J63" s="258">
        <v>14069000000</v>
      </c>
      <c r="K63" s="256" t="s">
        <v>1348</v>
      </c>
    </row>
    <row r="64" spans="1:11" x14ac:dyDescent="0.3">
      <c r="A64" s="256">
        <v>3</v>
      </c>
      <c r="B64" s="257" t="s">
        <v>1202</v>
      </c>
      <c r="C64" s="276">
        <v>44472</v>
      </c>
      <c r="D64" s="257" t="s">
        <v>1262</v>
      </c>
      <c r="E64" s="256" t="s">
        <v>1816</v>
      </c>
      <c r="F64" s="256" t="s">
        <v>1882</v>
      </c>
      <c r="G64" s="258">
        <v>4693000000</v>
      </c>
      <c r="H64" s="265">
        <v>0.1</v>
      </c>
      <c r="I64" s="258">
        <v>469300000</v>
      </c>
      <c r="J64" s="258">
        <v>5162300000</v>
      </c>
      <c r="K64" s="256" t="s">
        <v>1346</v>
      </c>
    </row>
    <row r="65" spans="1:11" x14ac:dyDescent="0.3">
      <c r="A65" s="256">
        <v>4</v>
      </c>
      <c r="B65" s="257" t="s">
        <v>1355</v>
      </c>
      <c r="C65" s="276">
        <v>44473</v>
      </c>
      <c r="D65" s="257" t="s">
        <v>1274</v>
      </c>
      <c r="E65" s="256" t="s">
        <v>1794</v>
      </c>
      <c r="F65" s="256" t="s">
        <v>1881</v>
      </c>
      <c r="G65" s="258">
        <v>13495000000</v>
      </c>
      <c r="H65" s="265">
        <v>0.1</v>
      </c>
      <c r="I65" s="258">
        <v>1349500000</v>
      </c>
      <c r="J65" s="258">
        <v>14844500000</v>
      </c>
      <c r="K65" s="256" t="s">
        <v>1346</v>
      </c>
    </row>
    <row r="66" spans="1:11" x14ac:dyDescent="0.3">
      <c r="A66" s="256">
        <v>5</v>
      </c>
      <c r="B66" s="257" t="s">
        <v>1356</v>
      </c>
      <c r="C66" s="276">
        <v>44474</v>
      </c>
      <c r="D66" s="257" t="s">
        <v>1276</v>
      </c>
      <c r="E66" s="256" t="s">
        <v>1822</v>
      </c>
      <c r="F66" s="256" t="s">
        <v>1882</v>
      </c>
      <c r="G66" s="258">
        <v>16808000000</v>
      </c>
      <c r="H66" s="265">
        <v>0.1</v>
      </c>
      <c r="I66" s="258">
        <v>1680800000</v>
      </c>
      <c r="J66" s="258">
        <v>18488800000</v>
      </c>
      <c r="K66" s="256" t="s">
        <v>1346</v>
      </c>
    </row>
    <row r="67" spans="1:11" x14ac:dyDescent="0.3">
      <c r="A67" s="256">
        <v>6</v>
      </c>
      <c r="B67" s="257" t="s">
        <v>1358</v>
      </c>
      <c r="C67" s="276">
        <v>44475</v>
      </c>
      <c r="D67" s="257" t="s">
        <v>1255</v>
      </c>
      <c r="E67" s="273">
        <v>46152</v>
      </c>
      <c r="F67" s="256" t="s">
        <v>1883</v>
      </c>
      <c r="G67" s="258">
        <v>10152000000</v>
      </c>
      <c r="H67" s="265">
        <v>0</v>
      </c>
      <c r="I67" s="258">
        <v>0</v>
      </c>
      <c r="J67" s="258">
        <v>10152000000</v>
      </c>
      <c r="K67" s="256" t="s">
        <v>1346</v>
      </c>
    </row>
    <row r="68" spans="1:11" x14ac:dyDescent="0.3">
      <c r="A68" s="256">
        <v>7</v>
      </c>
      <c r="B68" s="257" t="s">
        <v>1360</v>
      </c>
      <c r="C68" s="276">
        <v>44476</v>
      </c>
      <c r="D68" s="257" t="s">
        <v>1272</v>
      </c>
      <c r="E68" s="256" t="s">
        <v>1805</v>
      </c>
      <c r="F68" s="256" t="s">
        <v>1882</v>
      </c>
      <c r="G68" s="258">
        <v>6747000000</v>
      </c>
      <c r="H68" s="265">
        <v>0.1</v>
      </c>
      <c r="I68" s="258">
        <v>674700000</v>
      </c>
      <c r="J68" s="258">
        <v>7421700000</v>
      </c>
      <c r="K68" s="256" t="s">
        <v>1348</v>
      </c>
    </row>
    <row r="69" spans="1:11" x14ac:dyDescent="0.3">
      <c r="A69" s="256">
        <v>8</v>
      </c>
      <c r="B69" s="257" t="s">
        <v>1362</v>
      </c>
      <c r="C69" s="276">
        <v>44477</v>
      </c>
      <c r="D69" s="257" t="s">
        <v>1284</v>
      </c>
      <c r="E69" s="256" t="s">
        <v>1786</v>
      </c>
      <c r="F69" s="256" t="s">
        <v>1882</v>
      </c>
      <c r="G69" s="258">
        <v>12158000000</v>
      </c>
      <c r="H69" s="265">
        <v>0.1</v>
      </c>
      <c r="I69" s="258">
        <v>1215800000</v>
      </c>
      <c r="J69" s="258">
        <v>13373800000</v>
      </c>
      <c r="K69" s="256" t="s">
        <v>1346</v>
      </c>
    </row>
    <row r="70" spans="1:11" x14ac:dyDescent="0.3">
      <c r="A70" s="256">
        <v>9</v>
      </c>
      <c r="B70" s="257" t="s">
        <v>1364</v>
      </c>
      <c r="C70" s="276">
        <v>44478</v>
      </c>
      <c r="D70" s="257" t="s">
        <v>1284</v>
      </c>
      <c r="E70" s="256" t="s">
        <v>1786</v>
      </c>
      <c r="F70" s="256" t="s">
        <v>1881</v>
      </c>
      <c r="G70" s="258">
        <v>14052000000</v>
      </c>
      <c r="H70" s="265">
        <v>0.1</v>
      </c>
      <c r="I70" s="258">
        <v>1405200000</v>
      </c>
      <c r="J70" s="258">
        <v>15457200000</v>
      </c>
      <c r="K70" s="256" t="s">
        <v>1346</v>
      </c>
    </row>
    <row r="71" spans="1:11" x14ac:dyDescent="0.3">
      <c r="A71" s="256">
        <v>10</v>
      </c>
      <c r="B71" s="257" t="s">
        <v>1366</v>
      </c>
      <c r="C71" s="276">
        <v>44479</v>
      </c>
      <c r="D71" s="257" t="s">
        <v>1298</v>
      </c>
      <c r="E71" s="256" t="s">
        <v>1819</v>
      </c>
      <c r="F71" s="256" t="s">
        <v>1881</v>
      </c>
      <c r="G71" s="258">
        <v>4625000000</v>
      </c>
      <c r="H71" s="265">
        <v>0.1</v>
      </c>
      <c r="I71" s="258">
        <v>462500000</v>
      </c>
      <c r="J71" s="258">
        <v>5087500000</v>
      </c>
      <c r="K71" s="256" t="s">
        <v>1346</v>
      </c>
    </row>
    <row r="72" spans="1:11" x14ac:dyDescent="0.3">
      <c r="A72" s="256">
        <v>11</v>
      </c>
      <c r="B72" s="257" t="s">
        <v>1368</v>
      </c>
      <c r="C72" s="276">
        <v>44480</v>
      </c>
      <c r="D72" s="257" t="s">
        <v>1303</v>
      </c>
      <c r="E72" s="256" t="s">
        <v>1817</v>
      </c>
      <c r="F72" s="256" t="s">
        <v>1884</v>
      </c>
      <c r="G72" s="258">
        <v>15362000000</v>
      </c>
      <c r="H72" s="265">
        <v>0.1</v>
      </c>
      <c r="I72" s="258">
        <v>1536200000</v>
      </c>
      <c r="J72" s="258">
        <v>16898200000</v>
      </c>
      <c r="K72" s="256" t="s">
        <v>1346</v>
      </c>
    </row>
    <row r="73" spans="1:11" x14ac:dyDescent="0.3">
      <c r="A73" s="256">
        <v>12</v>
      </c>
      <c r="B73" s="257" t="s">
        <v>1371</v>
      </c>
      <c r="C73" s="276">
        <v>44481</v>
      </c>
      <c r="D73" s="257" t="s">
        <v>1299</v>
      </c>
      <c r="E73" s="256" t="s">
        <v>1776</v>
      </c>
      <c r="F73" s="256" t="s">
        <v>1883</v>
      </c>
      <c r="G73" s="258">
        <v>16035000000</v>
      </c>
      <c r="H73" s="265">
        <v>0.1</v>
      </c>
      <c r="I73" s="258">
        <v>1603500000</v>
      </c>
      <c r="J73" s="258">
        <v>17638500000</v>
      </c>
      <c r="K73" s="256" t="s">
        <v>1346</v>
      </c>
    </row>
    <row r="74" spans="1:11" x14ac:dyDescent="0.3">
      <c r="A74" s="256">
        <v>13</v>
      </c>
      <c r="B74" s="257" t="s">
        <v>1373</v>
      </c>
      <c r="C74" s="276">
        <v>44211</v>
      </c>
      <c r="D74" s="257" t="s">
        <v>1271</v>
      </c>
      <c r="E74" s="256" t="s">
        <v>1799</v>
      </c>
      <c r="F74" s="256" t="s">
        <v>1883</v>
      </c>
      <c r="G74" s="258">
        <v>6046000000</v>
      </c>
      <c r="H74" s="265">
        <v>0.1</v>
      </c>
      <c r="I74" s="258">
        <v>604600000</v>
      </c>
      <c r="J74" s="258">
        <v>6650600000</v>
      </c>
      <c r="K74" s="256" t="s">
        <v>1346</v>
      </c>
    </row>
    <row r="75" spans="1:11" x14ac:dyDescent="0.3">
      <c r="A75" s="256">
        <v>14</v>
      </c>
      <c r="B75" s="257" t="s">
        <v>1374</v>
      </c>
      <c r="C75" s="276">
        <v>44242</v>
      </c>
      <c r="D75" s="257" t="s">
        <v>1268</v>
      </c>
      <c r="E75" s="256" t="s">
        <v>1821</v>
      </c>
      <c r="F75" s="256" t="s">
        <v>1881</v>
      </c>
      <c r="G75" s="258">
        <v>16058000000</v>
      </c>
      <c r="H75" s="265">
        <v>0.1</v>
      </c>
      <c r="I75" s="258">
        <v>1605800000</v>
      </c>
      <c r="J75" s="258">
        <v>17663800000</v>
      </c>
      <c r="K75" s="256" t="s">
        <v>1346</v>
      </c>
    </row>
    <row r="76" spans="1:11" x14ac:dyDescent="0.3">
      <c r="A76" s="256">
        <v>15</v>
      </c>
      <c r="B76" s="257" t="s">
        <v>1376</v>
      </c>
      <c r="C76" s="276">
        <v>44275</v>
      </c>
      <c r="D76" s="257" t="s">
        <v>1289</v>
      </c>
      <c r="E76" s="256" t="s">
        <v>1803</v>
      </c>
      <c r="F76" s="256" t="s">
        <v>1884</v>
      </c>
      <c r="G76" s="258">
        <v>16378000000</v>
      </c>
      <c r="H76" s="265">
        <v>0.1</v>
      </c>
      <c r="I76" s="258">
        <v>1637800000</v>
      </c>
      <c r="J76" s="258">
        <v>18015800000</v>
      </c>
      <c r="K76" s="256" t="s">
        <v>1346</v>
      </c>
    </row>
    <row r="77" spans="1:11" x14ac:dyDescent="0.3">
      <c r="A77" s="256">
        <v>16</v>
      </c>
      <c r="B77" s="257" t="s">
        <v>1378</v>
      </c>
      <c r="C77" s="276">
        <v>44306</v>
      </c>
      <c r="D77" s="257" t="s">
        <v>1264</v>
      </c>
      <c r="E77" s="256" t="s">
        <v>1779</v>
      </c>
      <c r="F77" s="256" t="s">
        <v>1881</v>
      </c>
      <c r="G77" s="258">
        <v>9713000000</v>
      </c>
      <c r="H77" s="265">
        <v>0.1</v>
      </c>
      <c r="I77" s="258">
        <v>971300000</v>
      </c>
      <c r="J77" s="258">
        <v>10684300000</v>
      </c>
      <c r="K77" s="256" t="s">
        <v>1346</v>
      </c>
    </row>
    <row r="78" spans="1:11" x14ac:dyDescent="0.3">
      <c r="A78" s="256">
        <v>17</v>
      </c>
      <c r="B78" s="257" t="s">
        <v>1379</v>
      </c>
      <c r="C78" s="276">
        <v>44336</v>
      </c>
      <c r="D78" s="257" t="s">
        <v>1297</v>
      </c>
      <c r="E78" s="256" t="s">
        <v>1820</v>
      </c>
      <c r="F78" s="256" t="s">
        <v>1882</v>
      </c>
      <c r="G78" s="258">
        <v>16787000000</v>
      </c>
      <c r="H78" s="265">
        <v>0.1</v>
      </c>
      <c r="I78" s="258">
        <v>1678700000</v>
      </c>
      <c r="J78" s="258">
        <v>18465700000</v>
      </c>
      <c r="K78" s="256" t="s">
        <v>1346</v>
      </c>
    </row>
    <row r="79" spans="1:11" x14ac:dyDescent="0.3">
      <c r="A79" s="256">
        <v>18</v>
      </c>
      <c r="B79" s="257" t="s">
        <v>1381</v>
      </c>
      <c r="C79" s="276">
        <v>44367</v>
      </c>
      <c r="D79" s="257" t="s">
        <v>1297</v>
      </c>
      <c r="E79" s="256" t="s">
        <v>1820</v>
      </c>
      <c r="F79" s="256" t="s">
        <v>1882</v>
      </c>
      <c r="G79" s="258">
        <v>7277000000</v>
      </c>
      <c r="H79" s="265">
        <v>0.1</v>
      </c>
      <c r="I79" s="258">
        <v>727700000</v>
      </c>
      <c r="J79" s="258">
        <v>8004700000</v>
      </c>
      <c r="K79" s="256" t="s">
        <v>1346</v>
      </c>
    </row>
    <row r="80" spans="1:11" x14ac:dyDescent="0.3">
      <c r="A80" s="256">
        <v>19</v>
      </c>
      <c r="B80" s="257" t="s">
        <v>1382</v>
      </c>
      <c r="C80" s="276">
        <v>44397</v>
      </c>
      <c r="D80" s="257" t="s">
        <v>1270</v>
      </c>
      <c r="E80" s="256" t="s">
        <v>1782</v>
      </c>
      <c r="F80" s="256" t="s">
        <v>1882</v>
      </c>
      <c r="G80" s="258">
        <v>9190000000</v>
      </c>
      <c r="H80" s="265">
        <v>0.1</v>
      </c>
      <c r="I80" s="258">
        <v>919000000</v>
      </c>
      <c r="J80" s="258">
        <v>10109000000</v>
      </c>
      <c r="K80" s="256" t="s">
        <v>1346</v>
      </c>
    </row>
    <row r="81" spans="1:11" x14ac:dyDescent="0.3">
      <c r="A81" s="256">
        <v>20</v>
      </c>
      <c r="B81" s="257" t="s">
        <v>1383</v>
      </c>
      <c r="C81" s="276">
        <v>44428</v>
      </c>
      <c r="D81" s="257" t="s">
        <v>1267</v>
      </c>
      <c r="E81" s="256" t="s">
        <v>1810</v>
      </c>
      <c r="F81" s="256" t="s">
        <v>1883</v>
      </c>
      <c r="G81" s="258">
        <v>10811000000</v>
      </c>
      <c r="H81" s="265">
        <v>0.1</v>
      </c>
      <c r="I81" s="258">
        <v>1081100000</v>
      </c>
      <c r="J81" s="258">
        <v>11892100000</v>
      </c>
      <c r="K81" s="256" t="s">
        <v>1346</v>
      </c>
    </row>
    <row r="82" spans="1:11" x14ac:dyDescent="0.3">
      <c r="A82" s="256">
        <v>21</v>
      </c>
      <c r="B82" s="257" t="s">
        <v>1203</v>
      </c>
      <c r="C82" s="276">
        <v>44459</v>
      </c>
      <c r="D82" s="257" t="s">
        <v>1267</v>
      </c>
      <c r="E82" s="256" t="s">
        <v>1810</v>
      </c>
      <c r="F82" s="256" t="s">
        <v>1882</v>
      </c>
      <c r="G82" s="258">
        <v>6613000000</v>
      </c>
      <c r="H82" s="265">
        <v>0.1</v>
      </c>
      <c r="I82" s="258">
        <v>661300000</v>
      </c>
      <c r="J82" s="258">
        <v>7274300000</v>
      </c>
      <c r="K82" s="256" t="s">
        <v>1346</v>
      </c>
    </row>
    <row r="83" spans="1:11" x14ac:dyDescent="0.3">
      <c r="A83" s="256">
        <v>22</v>
      </c>
      <c r="B83" s="257" t="s">
        <v>1204</v>
      </c>
      <c r="C83" s="276">
        <v>44489</v>
      </c>
      <c r="D83" s="257" t="s">
        <v>1297</v>
      </c>
      <c r="E83" s="256" t="s">
        <v>1820</v>
      </c>
      <c r="F83" s="256" t="s">
        <v>1882</v>
      </c>
      <c r="G83" s="258">
        <v>13393000000</v>
      </c>
      <c r="H83" s="265">
        <v>0.1</v>
      </c>
      <c r="I83" s="258">
        <v>1339300000</v>
      </c>
      <c r="J83" s="258">
        <v>14732300000</v>
      </c>
      <c r="K83" s="256" t="s">
        <v>1346</v>
      </c>
    </row>
    <row r="84" spans="1:11" x14ac:dyDescent="0.3">
      <c r="A84" s="256">
        <v>23</v>
      </c>
      <c r="B84" s="257" t="s">
        <v>1205</v>
      </c>
      <c r="C84" s="276">
        <v>44520</v>
      </c>
      <c r="D84" s="257" t="s">
        <v>1275</v>
      </c>
      <c r="E84" s="256" t="s">
        <v>1808</v>
      </c>
      <c r="F84" s="256" t="s">
        <v>1881</v>
      </c>
      <c r="G84" s="258">
        <v>15859000000</v>
      </c>
      <c r="H84" s="265">
        <v>0</v>
      </c>
      <c r="I84" s="258">
        <v>0</v>
      </c>
      <c r="J84" s="258">
        <v>15859000000</v>
      </c>
      <c r="K84" s="256" t="s">
        <v>1346</v>
      </c>
    </row>
    <row r="85" spans="1:11" x14ac:dyDescent="0.3">
      <c r="A85" s="256">
        <v>24</v>
      </c>
      <c r="B85" s="257" t="s">
        <v>1385</v>
      </c>
      <c r="C85" s="276">
        <v>44550</v>
      </c>
      <c r="D85" s="257" t="s">
        <v>1293</v>
      </c>
      <c r="E85" s="256" t="s">
        <v>1826</v>
      </c>
      <c r="F85" s="256" t="s">
        <v>1884</v>
      </c>
      <c r="G85" s="258">
        <v>14320000000</v>
      </c>
      <c r="H85" s="265">
        <v>0.1</v>
      </c>
      <c r="I85" s="258">
        <v>1432000000</v>
      </c>
      <c r="J85" s="258">
        <v>15752000000</v>
      </c>
      <c r="K85" s="256" t="s">
        <v>1346</v>
      </c>
    </row>
    <row r="86" spans="1:11" x14ac:dyDescent="0.3">
      <c r="A86" s="256">
        <v>25</v>
      </c>
      <c r="B86" s="257" t="s">
        <v>1387</v>
      </c>
      <c r="C86" s="276">
        <v>44221</v>
      </c>
      <c r="D86" s="257" t="s">
        <v>1265</v>
      </c>
      <c r="E86" s="256" t="s">
        <v>1830</v>
      </c>
      <c r="F86" s="256" t="s">
        <v>1882</v>
      </c>
      <c r="G86" s="258">
        <v>15164000000</v>
      </c>
      <c r="H86" s="265">
        <v>0.1</v>
      </c>
      <c r="I86" s="258">
        <v>1516400000</v>
      </c>
      <c r="J86" s="258">
        <v>16680400000</v>
      </c>
      <c r="K86" s="256" t="s">
        <v>1346</v>
      </c>
    </row>
    <row r="87" spans="1:11" x14ac:dyDescent="0.3">
      <c r="A87" s="256">
        <v>26</v>
      </c>
      <c r="B87" s="257" t="s">
        <v>1388</v>
      </c>
      <c r="C87" s="276">
        <v>44255</v>
      </c>
      <c r="D87" s="257" t="s">
        <v>1297</v>
      </c>
      <c r="E87" s="256" t="s">
        <v>1820</v>
      </c>
      <c r="F87" s="256" t="s">
        <v>1883</v>
      </c>
      <c r="G87" s="258">
        <v>8253000000</v>
      </c>
      <c r="H87" s="265">
        <v>0.1</v>
      </c>
      <c r="I87" s="258">
        <v>825300000</v>
      </c>
      <c r="J87" s="258">
        <v>9078300000</v>
      </c>
      <c r="K87" s="256" t="s">
        <v>1346</v>
      </c>
    </row>
    <row r="88" spans="1:11" x14ac:dyDescent="0.3">
      <c r="A88" s="256">
        <v>27</v>
      </c>
      <c r="B88" s="257" t="s">
        <v>1391</v>
      </c>
      <c r="C88" s="276">
        <v>44316</v>
      </c>
      <c r="D88" s="257" t="s">
        <v>1274</v>
      </c>
      <c r="E88" s="256" t="s">
        <v>1794</v>
      </c>
      <c r="F88" s="256" t="s">
        <v>1882</v>
      </c>
      <c r="G88" s="258">
        <v>4855000000</v>
      </c>
      <c r="H88" s="265">
        <v>0.1</v>
      </c>
      <c r="I88" s="258">
        <v>485500000</v>
      </c>
      <c r="J88" s="258">
        <v>5340500000</v>
      </c>
      <c r="K88" s="256" t="s">
        <v>1348</v>
      </c>
    </row>
    <row r="89" spans="1:11" x14ac:dyDescent="0.3">
      <c r="A89" s="256">
        <v>28</v>
      </c>
      <c r="B89" s="257" t="s">
        <v>1392</v>
      </c>
      <c r="C89" s="276">
        <v>44377</v>
      </c>
      <c r="D89" s="257" t="s">
        <v>1257</v>
      </c>
      <c r="E89" s="256" t="s">
        <v>1815</v>
      </c>
      <c r="F89" s="256" t="s">
        <v>1882</v>
      </c>
      <c r="G89" s="258">
        <v>5512000000</v>
      </c>
      <c r="H89" s="265">
        <v>0.1</v>
      </c>
      <c r="I89" s="258">
        <v>551200000</v>
      </c>
      <c r="J89" s="258">
        <v>6063200000</v>
      </c>
      <c r="K89" s="256" t="s">
        <v>1346</v>
      </c>
    </row>
    <row r="90" spans="1:11" x14ac:dyDescent="0.3">
      <c r="A90" s="256">
        <v>29</v>
      </c>
      <c r="B90" s="257" t="s">
        <v>1394</v>
      </c>
      <c r="C90" s="276">
        <v>44469</v>
      </c>
      <c r="D90" s="257" t="s">
        <v>1296</v>
      </c>
      <c r="E90" s="256" t="s">
        <v>1807</v>
      </c>
      <c r="F90" s="256" t="s">
        <v>1883</v>
      </c>
      <c r="G90" s="258">
        <v>12174000000</v>
      </c>
      <c r="H90" s="265">
        <v>0.1</v>
      </c>
      <c r="I90" s="258">
        <v>1217400000</v>
      </c>
      <c r="J90" s="258">
        <v>13391400000</v>
      </c>
      <c r="K90" s="256" t="s">
        <v>1346</v>
      </c>
    </row>
    <row r="91" spans="1:11" x14ac:dyDescent="0.3">
      <c r="A91" s="256">
        <v>30</v>
      </c>
      <c r="B91" s="257" t="s">
        <v>1396</v>
      </c>
      <c r="C91" s="276">
        <v>44530</v>
      </c>
      <c r="D91" s="257" t="s">
        <v>1257</v>
      </c>
      <c r="E91" s="256" t="s">
        <v>1815</v>
      </c>
      <c r="F91" s="256" t="s">
        <v>1883</v>
      </c>
      <c r="G91" s="258">
        <v>7470000000</v>
      </c>
      <c r="H91" s="265">
        <v>0.1</v>
      </c>
      <c r="I91" s="258">
        <v>747000000</v>
      </c>
      <c r="J91" s="258">
        <v>8217000000</v>
      </c>
      <c r="K91" s="256" t="s">
        <v>1346</v>
      </c>
    </row>
    <row r="92" spans="1:11" x14ac:dyDescent="0.3">
      <c r="A92" s="256">
        <v>31</v>
      </c>
      <c r="B92" s="257" t="s">
        <v>1397</v>
      </c>
      <c r="C92" s="276">
        <v>44286</v>
      </c>
      <c r="D92" s="257" t="s">
        <v>1286</v>
      </c>
      <c r="E92" s="256" t="s">
        <v>1828</v>
      </c>
      <c r="F92" s="256" t="s">
        <v>1883</v>
      </c>
      <c r="G92" s="258">
        <v>5822000000</v>
      </c>
      <c r="H92" s="265">
        <v>0</v>
      </c>
      <c r="I92" s="258">
        <v>0</v>
      </c>
      <c r="J92" s="258">
        <v>5822000000</v>
      </c>
      <c r="K92" s="256" t="s">
        <v>1346</v>
      </c>
    </row>
    <row r="93" spans="1:11" x14ac:dyDescent="0.3">
      <c r="A93" s="256">
        <v>32</v>
      </c>
      <c r="B93" s="257" t="s">
        <v>1398</v>
      </c>
      <c r="C93" s="276">
        <v>44347</v>
      </c>
      <c r="D93" s="257" t="s">
        <v>1301</v>
      </c>
      <c r="E93" s="256" t="s">
        <v>1781</v>
      </c>
      <c r="F93" s="256" t="s">
        <v>1883</v>
      </c>
      <c r="G93" s="258">
        <v>5189000000</v>
      </c>
      <c r="H93" s="265">
        <v>0.1</v>
      </c>
      <c r="I93" s="258">
        <v>518900000</v>
      </c>
      <c r="J93" s="258">
        <v>5707900000</v>
      </c>
      <c r="K93" s="256" t="s">
        <v>1348</v>
      </c>
    </row>
    <row r="94" spans="1:11" x14ac:dyDescent="0.3">
      <c r="A94" s="256">
        <v>33</v>
      </c>
      <c r="B94" s="257" t="s">
        <v>1399</v>
      </c>
      <c r="C94" s="276">
        <v>44408</v>
      </c>
      <c r="D94" s="257" t="s">
        <v>1261</v>
      </c>
      <c r="E94" s="256" t="s">
        <v>1813</v>
      </c>
      <c r="F94" s="256" t="s">
        <v>1883</v>
      </c>
      <c r="G94" s="258">
        <v>15038000000</v>
      </c>
      <c r="H94" s="265">
        <v>0.1</v>
      </c>
      <c r="I94" s="258">
        <v>1503800000</v>
      </c>
      <c r="J94" s="258">
        <v>16541800000</v>
      </c>
      <c r="K94" s="256" t="s">
        <v>1346</v>
      </c>
    </row>
    <row r="95" spans="1:11" x14ac:dyDescent="0.3">
      <c r="A95" s="256">
        <v>34</v>
      </c>
      <c r="B95" s="257" t="s">
        <v>1401</v>
      </c>
      <c r="C95" s="276">
        <v>44439</v>
      </c>
      <c r="D95" s="257" t="s">
        <v>1268</v>
      </c>
      <c r="E95" s="256" t="s">
        <v>1821</v>
      </c>
      <c r="F95" s="256" t="s">
        <v>1884</v>
      </c>
      <c r="G95" s="258">
        <v>14265000000</v>
      </c>
      <c r="H95" s="265">
        <v>0.1</v>
      </c>
      <c r="I95" s="258">
        <v>1426500000</v>
      </c>
      <c r="J95" s="258">
        <v>15691500000</v>
      </c>
      <c r="K95" s="256" t="s">
        <v>1346</v>
      </c>
    </row>
    <row r="96" spans="1:11" x14ac:dyDescent="0.3">
      <c r="A96" s="256">
        <v>35</v>
      </c>
      <c r="B96" s="257" t="s">
        <v>1402</v>
      </c>
      <c r="C96" s="276">
        <v>44500</v>
      </c>
      <c r="D96" s="257" t="s">
        <v>1284</v>
      </c>
      <c r="E96" s="256" t="s">
        <v>1786</v>
      </c>
      <c r="F96" s="256" t="s">
        <v>1882</v>
      </c>
      <c r="G96" s="258">
        <v>6560000000</v>
      </c>
      <c r="H96" s="265">
        <v>0.1</v>
      </c>
      <c r="I96" s="258">
        <v>656000000</v>
      </c>
      <c r="J96" s="258">
        <v>7216000000</v>
      </c>
      <c r="K96" s="256" t="s">
        <v>1346</v>
      </c>
    </row>
    <row r="97" spans="1:11" x14ac:dyDescent="0.3">
      <c r="A97" s="256">
        <v>36</v>
      </c>
      <c r="B97" s="257" t="s">
        <v>1403</v>
      </c>
      <c r="C97" s="276">
        <v>44561</v>
      </c>
      <c r="D97" s="257" t="s">
        <v>1257</v>
      </c>
      <c r="E97" s="256" t="s">
        <v>1815</v>
      </c>
      <c r="F97" s="256" t="s">
        <v>1882</v>
      </c>
      <c r="G97" s="258">
        <v>8070000000</v>
      </c>
      <c r="H97" s="265">
        <v>0.1</v>
      </c>
      <c r="I97" s="258">
        <v>807000000</v>
      </c>
      <c r="J97" s="258">
        <v>8877000000</v>
      </c>
      <c r="K97" s="256" t="s">
        <v>1346</v>
      </c>
    </row>
    <row r="98" spans="1:11" x14ac:dyDescent="0.3">
      <c r="A98" s="256">
        <v>37</v>
      </c>
      <c r="B98" s="257" t="s">
        <v>1404</v>
      </c>
      <c r="C98" s="276">
        <v>44561</v>
      </c>
      <c r="D98" s="257" t="s">
        <v>1301</v>
      </c>
      <c r="E98" s="256" t="s">
        <v>1781</v>
      </c>
      <c r="F98" s="256" t="s">
        <v>1884</v>
      </c>
      <c r="G98" s="258">
        <v>5381000000</v>
      </c>
      <c r="H98" s="265">
        <v>0.1</v>
      </c>
      <c r="I98" s="258">
        <v>538100000</v>
      </c>
      <c r="J98" s="258">
        <v>5919100000</v>
      </c>
      <c r="K98" s="256" t="s">
        <v>1346</v>
      </c>
    </row>
    <row r="99" spans="1:11" x14ac:dyDescent="0.3">
      <c r="A99" s="256">
        <v>38</v>
      </c>
      <c r="B99" s="257" t="s">
        <v>1405</v>
      </c>
      <c r="C99" s="276">
        <v>44561</v>
      </c>
      <c r="D99" s="257" t="s">
        <v>1256</v>
      </c>
      <c r="E99" s="256" t="s">
        <v>1802</v>
      </c>
      <c r="F99" s="256" t="s">
        <v>1883</v>
      </c>
      <c r="G99" s="258">
        <v>5150000000</v>
      </c>
      <c r="H99" s="265">
        <v>0</v>
      </c>
      <c r="I99" s="258">
        <v>0</v>
      </c>
      <c r="J99" s="258">
        <v>5150000000</v>
      </c>
      <c r="K99" s="256" t="s">
        <v>1348</v>
      </c>
    </row>
    <row r="100" spans="1:11" x14ac:dyDescent="0.3">
      <c r="A100" s="256">
        <v>39</v>
      </c>
      <c r="B100" s="257" t="s">
        <v>1406</v>
      </c>
      <c r="C100" s="276">
        <v>44561</v>
      </c>
      <c r="D100" s="257" t="s">
        <v>1294</v>
      </c>
      <c r="E100" s="256" t="s">
        <v>1795</v>
      </c>
      <c r="F100" s="256" t="s">
        <v>1884</v>
      </c>
      <c r="G100" s="258">
        <v>8951000000</v>
      </c>
      <c r="H100" s="265">
        <v>0.1</v>
      </c>
      <c r="I100" s="258">
        <v>895100000</v>
      </c>
      <c r="J100" s="258">
        <v>9846100000</v>
      </c>
      <c r="K100" s="256" t="s">
        <v>1346</v>
      </c>
    </row>
    <row r="101" spans="1:11" x14ac:dyDescent="0.3">
      <c r="A101" s="256">
        <v>40</v>
      </c>
      <c r="B101" s="257" t="s">
        <v>1408</v>
      </c>
      <c r="C101" s="276">
        <v>44561</v>
      </c>
      <c r="D101" s="257" t="s">
        <v>1289</v>
      </c>
      <c r="E101" s="256" t="s">
        <v>1803</v>
      </c>
      <c r="F101" s="256" t="s">
        <v>1882</v>
      </c>
      <c r="G101" s="258">
        <v>12294000000</v>
      </c>
      <c r="H101" s="265">
        <v>0.1</v>
      </c>
      <c r="I101" s="258">
        <v>1229400000</v>
      </c>
      <c r="J101" s="258">
        <v>13523400000</v>
      </c>
      <c r="K101" s="256" t="s">
        <v>1346</v>
      </c>
    </row>
    <row r="102" spans="1:11" x14ac:dyDescent="0.3">
      <c r="A102" s="256">
        <v>41</v>
      </c>
      <c r="B102" s="257" t="s">
        <v>1409</v>
      </c>
      <c r="C102" s="276">
        <v>44561</v>
      </c>
      <c r="D102" s="257" t="s">
        <v>1282</v>
      </c>
      <c r="E102" s="256" t="s">
        <v>1789</v>
      </c>
      <c r="F102" s="256" t="s">
        <v>1884</v>
      </c>
      <c r="G102" s="258">
        <v>7020000000</v>
      </c>
      <c r="H102" s="265">
        <v>0.1</v>
      </c>
      <c r="I102" s="258">
        <v>702000000</v>
      </c>
      <c r="J102" s="258">
        <v>7722000000</v>
      </c>
      <c r="K102" s="256" t="s">
        <v>1348</v>
      </c>
    </row>
    <row r="103" spans="1:11" x14ac:dyDescent="0.3">
      <c r="A103" s="256">
        <v>42</v>
      </c>
      <c r="B103" s="257" t="s">
        <v>1411</v>
      </c>
      <c r="C103" s="276">
        <v>44561</v>
      </c>
      <c r="D103" s="257" t="s">
        <v>1291</v>
      </c>
      <c r="E103" s="256" t="s">
        <v>1800</v>
      </c>
      <c r="F103" s="256" t="s">
        <v>1884</v>
      </c>
      <c r="G103" s="258">
        <v>9075000000</v>
      </c>
      <c r="H103" s="265">
        <v>0.1</v>
      </c>
      <c r="I103" s="258">
        <v>907500000</v>
      </c>
      <c r="J103" s="258">
        <v>9982500000</v>
      </c>
      <c r="K103" s="256" t="s">
        <v>1346</v>
      </c>
    </row>
    <row r="104" spans="1:11" x14ac:dyDescent="0.3">
      <c r="A104" s="256">
        <v>43</v>
      </c>
      <c r="B104" s="257" t="s">
        <v>1414</v>
      </c>
      <c r="C104" s="276">
        <v>44561</v>
      </c>
      <c r="D104" s="257" t="s">
        <v>1268</v>
      </c>
      <c r="E104" s="256" t="s">
        <v>1821</v>
      </c>
      <c r="F104" s="256" t="s">
        <v>1881</v>
      </c>
      <c r="G104" s="258">
        <v>11693000000</v>
      </c>
      <c r="H104" s="265">
        <v>0</v>
      </c>
      <c r="I104" s="258">
        <v>0</v>
      </c>
      <c r="J104" s="258">
        <v>11693000000</v>
      </c>
      <c r="K104" s="256" t="s">
        <v>1346</v>
      </c>
    </row>
    <row r="105" spans="1:11" x14ac:dyDescent="0.3">
      <c r="A105" s="256">
        <v>44</v>
      </c>
      <c r="B105" s="257" t="s">
        <v>1415</v>
      </c>
      <c r="C105" s="276">
        <v>44561</v>
      </c>
      <c r="D105" s="257" t="s">
        <v>1258</v>
      </c>
      <c r="E105" s="256" t="s">
        <v>1833</v>
      </c>
      <c r="F105" s="256" t="s">
        <v>1884</v>
      </c>
      <c r="G105" s="258">
        <v>14220000000</v>
      </c>
      <c r="H105" s="265">
        <v>0.1</v>
      </c>
      <c r="I105" s="258">
        <v>1422000000</v>
      </c>
      <c r="J105" s="258">
        <v>15642000000</v>
      </c>
      <c r="K105" s="256" t="s">
        <v>1346</v>
      </c>
    </row>
    <row r="106" spans="1:11" x14ac:dyDescent="0.3">
      <c r="A106" s="256">
        <v>45</v>
      </c>
      <c r="B106" s="257" t="s">
        <v>1206</v>
      </c>
      <c r="C106" s="276">
        <v>44561</v>
      </c>
      <c r="D106" s="257" t="s">
        <v>1285</v>
      </c>
      <c r="E106" s="256" t="s">
        <v>1793</v>
      </c>
      <c r="F106" s="256" t="s">
        <v>1883</v>
      </c>
      <c r="G106" s="258">
        <v>9487000000</v>
      </c>
      <c r="H106" s="265">
        <v>0</v>
      </c>
      <c r="I106" s="258">
        <v>0</v>
      </c>
      <c r="J106" s="258">
        <v>9487000000</v>
      </c>
      <c r="K106" s="256" t="s">
        <v>1346</v>
      </c>
    </row>
    <row r="107" spans="1:11" x14ac:dyDescent="0.3">
      <c r="A107" s="256">
        <v>46</v>
      </c>
      <c r="B107" s="257" t="s">
        <v>1207</v>
      </c>
      <c r="C107" s="276">
        <v>44561</v>
      </c>
      <c r="D107" s="257" t="s">
        <v>1255</v>
      </c>
      <c r="E107" s="273">
        <v>46152</v>
      </c>
      <c r="F107" s="256" t="s">
        <v>1882</v>
      </c>
      <c r="G107" s="258">
        <v>14835000000</v>
      </c>
      <c r="H107" s="265">
        <v>0.1</v>
      </c>
      <c r="I107" s="258">
        <v>1483500000</v>
      </c>
      <c r="J107" s="258">
        <v>16318500000</v>
      </c>
      <c r="K107" s="256" t="s">
        <v>1348</v>
      </c>
    </row>
    <row r="108" spans="1:11" x14ac:dyDescent="0.3">
      <c r="A108" s="256">
        <v>47</v>
      </c>
      <c r="B108" s="257" t="s">
        <v>1208</v>
      </c>
      <c r="C108" s="276">
        <v>44561</v>
      </c>
      <c r="D108" s="257" t="s">
        <v>1259</v>
      </c>
      <c r="E108" s="256" t="s">
        <v>1788</v>
      </c>
      <c r="F108" s="256" t="s">
        <v>1884</v>
      </c>
      <c r="G108" s="258">
        <v>5472000000</v>
      </c>
      <c r="H108" s="265">
        <v>0.1</v>
      </c>
      <c r="I108" s="258">
        <v>547200000</v>
      </c>
      <c r="J108" s="258">
        <v>6019200000</v>
      </c>
      <c r="K108" s="256" t="s">
        <v>1346</v>
      </c>
    </row>
    <row r="109" spans="1:11" x14ac:dyDescent="0.3">
      <c r="A109" s="256">
        <v>48</v>
      </c>
      <c r="B109" s="257" t="s">
        <v>1209</v>
      </c>
      <c r="C109" s="276">
        <v>44561</v>
      </c>
      <c r="D109" s="257" t="s">
        <v>1262</v>
      </c>
      <c r="E109" s="256" t="s">
        <v>1816</v>
      </c>
      <c r="F109" s="256" t="s">
        <v>1882</v>
      </c>
      <c r="G109" s="258">
        <v>6355000000</v>
      </c>
      <c r="H109" s="265">
        <v>0.1</v>
      </c>
      <c r="I109" s="258">
        <v>635500000</v>
      </c>
      <c r="J109" s="258">
        <v>6990500000</v>
      </c>
      <c r="K109" s="256" t="s">
        <v>1346</v>
      </c>
    </row>
    <row r="110" spans="1:11" x14ac:dyDescent="0.3">
      <c r="A110" s="256">
        <v>49</v>
      </c>
      <c r="B110" s="257" t="s">
        <v>1418</v>
      </c>
      <c r="C110" s="276">
        <v>44561</v>
      </c>
      <c r="D110" s="257" t="s">
        <v>1255</v>
      </c>
      <c r="E110" s="273">
        <v>46152</v>
      </c>
      <c r="F110" s="256" t="s">
        <v>1883</v>
      </c>
      <c r="G110" s="258">
        <v>15953000000</v>
      </c>
      <c r="H110" s="265">
        <v>0.1</v>
      </c>
      <c r="I110" s="258">
        <v>1595300000</v>
      </c>
      <c r="J110" s="258">
        <v>17548300000</v>
      </c>
      <c r="K110" s="256" t="s">
        <v>1346</v>
      </c>
    </row>
    <row r="111" spans="1:11" x14ac:dyDescent="0.3">
      <c r="A111" s="256">
        <v>50</v>
      </c>
      <c r="B111" s="257" t="s">
        <v>1419</v>
      </c>
      <c r="C111" s="276">
        <v>44561</v>
      </c>
      <c r="D111" s="257" t="s">
        <v>1256</v>
      </c>
      <c r="E111" s="256" t="s">
        <v>1802</v>
      </c>
      <c r="F111" s="256" t="s">
        <v>1882</v>
      </c>
      <c r="G111" s="258">
        <v>13310000000</v>
      </c>
      <c r="H111" s="265">
        <v>0.1</v>
      </c>
      <c r="I111" s="258">
        <v>1331000000</v>
      </c>
      <c r="J111" s="258">
        <v>14641000000</v>
      </c>
      <c r="K111" s="256" t="s">
        <v>1346</v>
      </c>
    </row>
    <row r="112" spans="1:11" x14ac:dyDescent="0.3">
      <c r="A112" s="266" t="s">
        <v>1351</v>
      </c>
      <c r="B112" s="266"/>
      <c r="C112" s="266"/>
      <c r="D112" s="266"/>
      <c r="E112" s="266"/>
      <c r="F112" s="266"/>
      <c r="G112" s="267">
        <f>SUM(G62:G111)</f>
        <v>529466000000</v>
      </c>
      <c r="H112" s="266"/>
      <c r="I112" s="267">
        <f>SUM(I62:I111)</f>
        <v>45876700000</v>
      </c>
      <c r="J112" s="267">
        <f>SUM(J62:J111)</f>
        <v>575342700000</v>
      </c>
      <c r="K112" s="266"/>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668</v>
      </c>
      <c r="C1" s="256"/>
      <c r="D1" s="256"/>
      <c r="E1" s="256"/>
      <c r="F1" s="256"/>
      <c r="G1" s="256"/>
      <c r="H1" s="256"/>
      <c r="I1" s="256"/>
      <c r="J1" s="256"/>
      <c r="K1" s="256"/>
    </row>
    <row r="2" spans="1:11" x14ac:dyDescent="0.3">
      <c r="A2" s="256" t="s">
        <v>1339</v>
      </c>
      <c r="B2" s="257">
        <v>104141407</v>
      </c>
      <c r="C2" s="256"/>
      <c r="D2" s="256"/>
      <c r="E2" s="256"/>
      <c r="F2" s="256"/>
      <c r="G2" s="256"/>
      <c r="H2" s="256"/>
      <c r="I2" s="256"/>
      <c r="J2" s="256"/>
      <c r="K2" s="256"/>
    </row>
    <row r="3" spans="1:11" x14ac:dyDescent="0.3">
      <c r="A3" s="256" t="s">
        <v>1343</v>
      </c>
      <c r="B3" s="258">
        <v>215740210865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1404</v>
      </c>
      <c r="C8" s="276">
        <v>44317</v>
      </c>
      <c r="D8" s="257" t="s">
        <v>1256</v>
      </c>
      <c r="E8" s="256" t="s">
        <v>1802</v>
      </c>
      <c r="F8" s="256" t="s">
        <v>1861</v>
      </c>
      <c r="G8" s="258">
        <v>1748000000</v>
      </c>
      <c r="H8" s="265">
        <v>0.1</v>
      </c>
      <c r="I8" s="258">
        <v>174800000</v>
      </c>
      <c r="J8" s="258">
        <v>1922800000</v>
      </c>
      <c r="K8" s="256" t="s">
        <v>1346</v>
      </c>
    </row>
    <row r="9" spans="1:11" x14ac:dyDescent="0.3">
      <c r="A9" s="256">
        <v>2</v>
      </c>
      <c r="B9" s="257" t="s">
        <v>1382</v>
      </c>
      <c r="C9" s="276">
        <v>44318</v>
      </c>
      <c r="D9" s="257" t="s">
        <v>1287</v>
      </c>
      <c r="E9" s="256" t="s">
        <v>1801</v>
      </c>
      <c r="F9" s="256" t="s">
        <v>1885</v>
      </c>
      <c r="G9" s="258">
        <v>4267000000</v>
      </c>
      <c r="H9" s="265">
        <v>0.1</v>
      </c>
      <c r="I9" s="258">
        <v>426700000</v>
      </c>
      <c r="J9" s="258">
        <v>4693700000</v>
      </c>
      <c r="K9" s="256" t="s">
        <v>1346</v>
      </c>
    </row>
    <row r="10" spans="1:11" x14ac:dyDescent="0.3">
      <c r="A10" s="256">
        <v>3</v>
      </c>
      <c r="B10" s="257" t="s">
        <v>1409</v>
      </c>
      <c r="C10" s="276">
        <v>44472</v>
      </c>
      <c r="D10" s="257" t="s">
        <v>1272</v>
      </c>
      <c r="E10" s="256" t="s">
        <v>1805</v>
      </c>
      <c r="F10" s="256" t="s">
        <v>1886</v>
      </c>
      <c r="G10" s="258">
        <v>2714000000</v>
      </c>
      <c r="H10" s="265">
        <v>0.1</v>
      </c>
      <c r="I10" s="258">
        <v>271400000</v>
      </c>
      <c r="J10" s="258">
        <v>2985400000</v>
      </c>
      <c r="K10" s="256" t="s">
        <v>1346</v>
      </c>
    </row>
    <row r="11" spans="1:11" x14ac:dyDescent="0.3">
      <c r="A11" s="256">
        <v>4</v>
      </c>
      <c r="B11" s="257" t="s">
        <v>1397</v>
      </c>
      <c r="C11" s="276">
        <v>44473</v>
      </c>
      <c r="D11" s="257" t="s">
        <v>1255</v>
      </c>
      <c r="E11" s="273">
        <v>46152</v>
      </c>
      <c r="F11" s="256" t="s">
        <v>1885</v>
      </c>
      <c r="G11" s="258">
        <v>3456000000</v>
      </c>
      <c r="H11" s="265">
        <v>0.1</v>
      </c>
      <c r="I11" s="258">
        <v>345600000</v>
      </c>
      <c r="J11" s="258">
        <v>3801600000</v>
      </c>
      <c r="K11" s="256" t="s">
        <v>1346</v>
      </c>
    </row>
    <row r="12" spans="1:11" x14ac:dyDescent="0.3">
      <c r="A12" s="256">
        <v>5</v>
      </c>
      <c r="B12" s="257" t="s">
        <v>1391</v>
      </c>
      <c r="C12" s="276">
        <v>44474</v>
      </c>
      <c r="D12" s="257" t="s">
        <v>1265</v>
      </c>
      <c r="E12" s="256" t="s">
        <v>1830</v>
      </c>
      <c r="F12" s="256" t="s">
        <v>1859</v>
      </c>
      <c r="G12" s="258">
        <v>3417000000</v>
      </c>
      <c r="H12" s="265">
        <v>0.1</v>
      </c>
      <c r="I12" s="258">
        <v>341700000</v>
      </c>
      <c r="J12" s="258">
        <v>3758700000</v>
      </c>
      <c r="K12" s="256" t="s">
        <v>1346</v>
      </c>
    </row>
    <row r="13" spans="1:11" x14ac:dyDescent="0.3">
      <c r="A13" s="256">
        <v>6</v>
      </c>
      <c r="B13" s="257" t="s">
        <v>1207</v>
      </c>
      <c r="C13" s="276">
        <v>44475</v>
      </c>
      <c r="D13" s="257" t="s">
        <v>1276</v>
      </c>
      <c r="E13" s="256" t="s">
        <v>1822</v>
      </c>
      <c r="F13" s="256" t="s">
        <v>1887</v>
      </c>
      <c r="G13" s="258">
        <v>2726000000</v>
      </c>
      <c r="H13" s="265">
        <v>0.1</v>
      </c>
      <c r="I13" s="258">
        <v>272600000</v>
      </c>
      <c r="J13" s="258">
        <v>2998600000</v>
      </c>
      <c r="K13" s="256" t="s">
        <v>1346</v>
      </c>
    </row>
    <row r="14" spans="1:11" x14ac:dyDescent="0.3">
      <c r="A14" s="256">
        <v>7</v>
      </c>
      <c r="B14" s="257" t="s">
        <v>1206</v>
      </c>
      <c r="C14" s="276">
        <v>44476</v>
      </c>
      <c r="D14" s="257" t="s">
        <v>1263</v>
      </c>
      <c r="E14" s="256" t="s">
        <v>1790</v>
      </c>
      <c r="F14" s="256" t="s">
        <v>1885</v>
      </c>
      <c r="G14" s="258">
        <v>2631000000</v>
      </c>
      <c r="H14" s="265">
        <v>0.1</v>
      </c>
      <c r="I14" s="258">
        <v>263100000</v>
      </c>
      <c r="J14" s="258">
        <v>2894100000</v>
      </c>
      <c r="K14" s="256" t="s">
        <v>1346</v>
      </c>
    </row>
    <row r="15" spans="1:11" x14ac:dyDescent="0.3">
      <c r="A15" s="256">
        <v>8</v>
      </c>
      <c r="B15" s="257" t="s">
        <v>1398</v>
      </c>
      <c r="C15" s="276">
        <v>44477</v>
      </c>
      <c r="D15" s="257" t="s">
        <v>1267</v>
      </c>
      <c r="E15" s="256" t="s">
        <v>1810</v>
      </c>
      <c r="F15" s="256" t="s">
        <v>1859</v>
      </c>
      <c r="G15" s="258">
        <v>1754000000</v>
      </c>
      <c r="H15" s="265">
        <v>0.1</v>
      </c>
      <c r="I15" s="258">
        <v>175400000</v>
      </c>
      <c r="J15" s="258">
        <v>1929400000</v>
      </c>
      <c r="K15" s="256" t="s">
        <v>1346</v>
      </c>
    </row>
    <row r="16" spans="1:11" x14ac:dyDescent="0.3">
      <c r="A16" s="256">
        <v>9</v>
      </c>
      <c r="B16" s="257" t="s">
        <v>1406</v>
      </c>
      <c r="C16" s="276">
        <v>44478</v>
      </c>
      <c r="D16" s="257" t="s">
        <v>1270</v>
      </c>
      <c r="E16" s="256" t="s">
        <v>1782</v>
      </c>
      <c r="F16" s="256" t="s">
        <v>1887</v>
      </c>
      <c r="G16" s="258">
        <v>1976000000</v>
      </c>
      <c r="H16" s="265">
        <v>0</v>
      </c>
      <c r="I16" s="258">
        <v>0</v>
      </c>
      <c r="J16" s="258">
        <v>1976000000</v>
      </c>
      <c r="K16" s="256" t="s">
        <v>1346</v>
      </c>
    </row>
    <row r="17" spans="1:11" x14ac:dyDescent="0.3">
      <c r="A17" s="256">
        <v>10</v>
      </c>
      <c r="B17" s="257" t="s">
        <v>1382</v>
      </c>
      <c r="C17" s="276">
        <v>44479</v>
      </c>
      <c r="D17" s="257" t="s">
        <v>1292</v>
      </c>
      <c r="E17" s="256" t="s">
        <v>1792</v>
      </c>
      <c r="F17" s="256" t="s">
        <v>1858</v>
      </c>
      <c r="G17" s="258">
        <v>4797000000</v>
      </c>
      <c r="H17" s="265">
        <v>0.1</v>
      </c>
      <c r="I17" s="258">
        <v>479700000</v>
      </c>
      <c r="J17" s="258">
        <v>5276700000</v>
      </c>
      <c r="K17" s="256" t="s">
        <v>1346</v>
      </c>
    </row>
    <row r="18" spans="1:11" x14ac:dyDescent="0.3">
      <c r="A18" s="256">
        <v>11</v>
      </c>
      <c r="B18" s="257" t="s">
        <v>1373</v>
      </c>
      <c r="C18" s="276">
        <v>44480</v>
      </c>
      <c r="D18" s="257" t="s">
        <v>1297</v>
      </c>
      <c r="E18" s="256" t="s">
        <v>1820</v>
      </c>
      <c r="F18" s="256" t="s">
        <v>1858</v>
      </c>
      <c r="G18" s="258">
        <v>5008000000</v>
      </c>
      <c r="H18" s="265">
        <v>0.1</v>
      </c>
      <c r="I18" s="258">
        <v>500800000</v>
      </c>
      <c r="J18" s="258">
        <v>5508800000</v>
      </c>
      <c r="K18" s="256" t="s">
        <v>1346</v>
      </c>
    </row>
    <row r="19" spans="1:11" x14ac:dyDescent="0.3">
      <c r="A19" s="256">
        <v>12</v>
      </c>
      <c r="B19" s="257" t="s">
        <v>1207</v>
      </c>
      <c r="C19" s="276">
        <v>44481</v>
      </c>
      <c r="D19" s="257" t="s">
        <v>1263</v>
      </c>
      <c r="E19" s="256" t="s">
        <v>1790</v>
      </c>
      <c r="F19" s="256" t="s">
        <v>1887</v>
      </c>
      <c r="G19" s="258">
        <v>1466000000</v>
      </c>
      <c r="H19" s="265">
        <v>0.1</v>
      </c>
      <c r="I19" s="258">
        <v>146600000</v>
      </c>
      <c r="J19" s="258">
        <v>1612600000</v>
      </c>
      <c r="K19" s="256" t="s">
        <v>1348</v>
      </c>
    </row>
    <row r="20" spans="1:11" x14ac:dyDescent="0.3">
      <c r="A20" s="256">
        <v>13</v>
      </c>
      <c r="B20" s="257" t="s">
        <v>1409</v>
      </c>
      <c r="C20" s="276">
        <v>44211</v>
      </c>
      <c r="D20" s="257" t="s">
        <v>1278</v>
      </c>
      <c r="E20" s="256" t="s">
        <v>1785</v>
      </c>
      <c r="F20" s="256" t="s">
        <v>1859</v>
      </c>
      <c r="G20" s="258">
        <v>2375000000</v>
      </c>
      <c r="H20" s="265">
        <v>0.1</v>
      </c>
      <c r="I20" s="258">
        <v>237500000</v>
      </c>
      <c r="J20" s="258">
        <v>2612500000</v>
      </c>
      <c r="K20" s="256" t="s">
        <v>1346</v>
      </c>
    </row>
    <row r="21" spans="1:11" x14ac:dyDescent="0.3">
      <c r="A21" s="256">
        <v>14</v>
      </c>
      <c r="B21" s="257" t="s">
        <v>1364</v>
      </c>
      <c r="C21" s="276">
        <v>44242</v>
      </c>
      <c r="D21" s="257" t="s">
        <v>1294</v>
      </c>
      <c r="E21" s="256" t="s">
        <v>1795</v>
      </c>
      <c r="F21" s="256" t="s">
        <v>1861</v>
      </c>
      <c r="G21" s="258">
        <v>1425000000</v>
      </c>
      <c r="H21" s="265">
        <v>0.1</v>
      </c>
      <c r="I21" s="258">
        <v>142500000</v>
      </c>
      <c r="J21" s="258">
        <v>1567500000</v>
      </c>
      <c r="K21" s="256" t="s">
        <v>1348</v>
      </c>
    </row>
    <row r="22" spans="1:11" x14ac:dyDescent="0.3">
      <c r="A22" s="256">
        <v>15</v>
      </c>
      <c r="B22" s="257" t="s">
        <v>1205</v>
      </c>
      <c r="C22" s="276">
        <v>44275</v>
      </c>
      <c r="D22" s="257" t="s">
        <v>1293</v>
      </c>
      <c r="E22" s="256" t="s">
        <v>1826</v>
      </c>
      <c r="F22" s="256" t="s">
        <v>1859</v>
      </c>
      <c r="G22" s="258">
        <v>4827000000</v>
      </c>
      <c r="H22" s="265">
        <v>0.1</v>
      </c>
      <c r="I22" s="258">
        <v>482700000</v>
      </c>
      <c r="J22" s="258">
        <v>5309700000</v>
      </c>
      <c r="K22" s="256" t="s">
        <v>1346</v>
      </c>
    </row>
    <row r="23" spans="1:11" x14ac:dyDescent="0.3">
      <c r="A23" s="256">
        <v>16</v>
      </c>
      <c r="B23" s="257" t="s">
        <v>1403</v>
      </c>
      <c r="C23" s="276">
        <v>44306</v>
      </c>
      <c r="D23" s="257" t="s">
        <v>1280</v>
      </c>
      <c r="E23" s="256" t="s">
        <v>1777</v>
      </c>
      <c r="F23" s="256" t="s">
        <v>1886</v>
      </c>
      <c r="G23" s="258">
        <v>4424000000</v>
      </c>
      <c r="H23" s="265">
        <v>0.1</v>
      </c>
      <c r="I23" s="258">
        <v>442400000</v>
      </c>
      <c r="J23" s="258">
        <v>4866400000</v>
      </c>
      <c r="K23" s="256" t="s">
        <v>1346</v>
      </c>
    </row>
    <row r="24" spans="1:11" x14ac:dyDescent="0.3">
      <c r="A24" s="256">
        <v>17</v>
      </c>
      <c r="B24" s="257" t="s">
        <v>1418</v>
      </c>
      <c r="C24" s="276">
        <v>44336</v>
      </c>
      <c r="D24" s="257" t="s">
        <v>1281</v>
      </c>
      <c r="E24" s="256" t="s">
        <v>1806</v>
      </c>
      <c r="F24" s="256" t="s">
        <v>1863</v>
      </c>
      <c r="G24" s="258">
        <v>1992000000</v>
      </c>
      <c r="H24" s="265">
        <v>0.1</v>
      </c>
      <c r="I24" s="258">
        <v>199200000</v>
      </c>
      <c r="J24" s="258">
        <v>2191200000</v>
      </c>
      <c r="K24" s="256" t="s">
        <v>1348</v>
      </c>
    </row>
    <row r="25" spans="1:11" x14ac:dyDescent="0.3">
      <c r="A25" s="256">
        <v>18</v>
      </c>
      <c r="B25" s="257" t="s">
        <v>1378</v>
      </c>
      <c r="C25" s="276">
        <v>44367</v>
      </c>
      <c r="D25" s="257" t="s">
        <v>1295</v>
      </c>
      <c r="E25" s="256" t="s">
        <v>1825</v>
      </c>
      <c r="F25" s="256" t="s">
        <v>1887</v>
      </c>
      <c r="G25" s="258">
        <v>3604000000</v>
      </c>
      <c r="H25" s="265">
        <v>0.1</v>
      </c>
      <c r="I25" s="258">
        <v>360400000</v>
      </c>
      <c r="J25" s="258">
        <v>3964400000</v>
      </c>
      <c r="K25" s="256" t="s">
        <v>1346</v>
      </c>
    </row>
    <row r="26" spans="1:11" x14ac:dyDescent="0.3">
      <c r="A26" s="256">
        <v>19</v>
      </c>
      <c r="B26" s="257" t="s">
        <v>1208</v>
      </c>
      <c r="C26" s="276">
        <v>44397</v>
      </c>
      <c r="D26" s="257" t="s">
        <v>1259</v>
      </c>
      <c r="E26" s="256" t="s">
        <v>1788</v>
      </c>
      <c r="F26" s="256" t="s">
        <v>1859</v>
      </c>
      <c r="G26" s="258">
        <v>1867000000</v>
      </c>
      <c r="H26" s="265">
        <v>0.1</v>
      </c>
      <c r="I26" s="258">
        <v>186700000</v>
      </c>
      <c r="J26" s="258">
        <v>2053700000</v>
      </c>
      <c r="K26" s="256" t="s">
        <v>1346</v>
      </c>
    </row>
    <row r="27" spans="1:11" x14ac:dyDescent="0.3">
      <c r="A27" s="256">
        <v>20</v>
      </c>
      <c r="B27" s="257" t="s">
        <v>1405</v>
      </c>
      <c r="C27" s="276">
        <v>44428</v>
      </c>
      <c r="D27" s="257" t="s">
        <v>1283</v>
      </c>
      <c r="E27" s="256" t="s">
        <v>1798</v>
      </c>
      <c r="F27" s="256" t="s">
        <v>1861</v>
      </c>
      <c r="G27" s="258">
        <v>3215000000</v>
      </c>
      <c r="H27" s="265">
        <v>0.1</v>
      </c>
      <c r="I27" s="258">
        <v>321500000</v>
      </c>
      <c r="J27" s="258">
        <v>3536500000</v>
      </c>
      <c r="K27" s="256" t="s">
        <v>1346</v>
      </c>
    </row>
    <row r="28" spans="1:11" x14ac:dyDescent="0.3">
      <c r="A28" s="256">
        <v>21</v>
      </c>
      <c r="B28" s="257" t="s">
        <v>1208</v>
      </c>
      <c r="C28" s="276">
        <v>44459</v>
      </c>
      <c r="D28" s="257" t="s">
        <v>1263</v>
      </c>
      <c r="E28" s="256" t="s">
        <v>1790</v>
      </c>
      <c r="F28" s="256" t="s">
        <v>1863</v>
      </c>
      <c r="G28" s="258">
        <v>2595000000</v>
      </c>
      <c r="H28" s="265">
        <v>0.1</v>
      </c>
      <c r="I28" s="258">
        <v>259500000</v>
      </c>
      <c r="J28" s="258">
        <v>2854500000</v>
      </c>
      <c r="K28" s="256" t="s">
        <v>1346</v>
      </c>
    </row>
    <row r="29" spans="1:11" x14ac:dyDescent="0.3">
      <c r="A29" s="256">
        <v>22</v>
      </c>
      <c r="B29" s="257" t="s">
        <v>1399</v>
      </c>
      <c r="C29" s="276">
        <v>44489</v>
      </c>
      <c r="D29" s="257" t="s">
        <v>1267</v>
      </c>
      <c r="E29" s="256" t="s">
        <v>1810</v>
      </c>
      <c r="F29" s="256" t="s">
        <v>1885</v>
      </c>
      <c r="G29" s="258">
        <v>1960000000</v>
      </c>
      <c r="H29" s="265">
        <v>0.1</v>
      </c>
      <c r="I29" s="258">
        <v>196000000</v>
      </c>
      <c r="J29" s="258">
        <v>2156000000</v>
      </c>
      <c r="K29" s="256" t="s">
        <v>1346</v>
      </c>
    </row>
    <row r="30" spans="1:11" x14ac:dyDescent="0.3">
      <c r="A30" s="256">
        <v>23</v>
      </c>
      <c r="B30" s="257" t="s">
        <v>1383</v>
      </c>
      <c r="C30" s="276">
        <v>44520</v>
      </c>
      <c r="D30" s="257" t="s">
        <v>1287</v>
      </c>
      <c r="E30" s="256" t="s">
        <v>1801</v>
      </c>
      <c r="F30" s="256" t="s">
        <v>1859</v>
      </c>
      <c r="G30" s="258">
        <v>4558000000</v>
      </c>
      <c r="H30" s="265">
        <v>0</v>
      </c>
      <c r="I30" s="258">
        <v>0</v>
      </c>
      <c r="J30" s="258">
        <v>4558000000</v>
      </c>
      <c r="K30" s="256" t="s">
        <v>1346</v>
      </c>
    </row>
    <row r="31" spans="1:11" x14ac:dyDescent="0.3">
      <c r="A31" s="256">
        <v>24</v>
      </c>
      <c r="B31" s="257" t="s">
        <v>1373</v>
      </c>
      <c r="C31" s="276">
        <v>44550</v>
      </c>
      <c r="D31" s="257" t="s">
        <v>1301</v>
      </c>
      <c r="E31" s="256" t="s">
        <v>1781</v>
      </c>
      <c r="F31" s="256" t="s">
        <v>1859</v>
      </c>
      <c r="G31" s="258">
        <v>3373000000</v>
      </c>
      <c r="H31" s="265">
        <v>0.1</v>
      </c>
      <c r="I31" s="258">
        <v>337300000</v>
      </c>
      <c r="J31" s="258">
        <v>3710300000</v>
      </c>
      <c r="K31" s="256" t="s">
        <v>1346</v>
      </c>
    </row>
    <row r="32" spans="1:11" x14ac:dyDescent="0.3">
      <c r="A32" s="256">
        <v>25</v>
      </c>
      <c r="B32" s="257" t="s">
        <v>1374</v>
      </c>
      <c r="C32" s="276">
        <v>44221</v>
      </c>
      <c r="D32" s="257" t="s">
        <v>1301</v>
      </c>
      <c r="E32" s="256" t="s">
        <v>1781</v>
      </c>
      <c r="F32" s="256" t="s">
        <v>1886</v>
      </c>
      <c r="G32" s="258">
        <v>5013000000</v>
      </c>
      <c r="H32" s="265">
        <v>0.1</v>
      </c>
      <c r="I32" s="258">
        <v>501300000</v>
      </c>
      <c r="J32" s="258">
        <v>5514300000</v>
      </c>
      <c r="K32" s="256" t="s">
        <v>1346</v>
      </c>
    </row>
    <row r="33" spans="1:11" x14ac:dyDescent="0.3">
      <c r="A33" s="256">
        <v>26</v>
      </c>
      <c r="B33" s="257" t="s">
        <v>1408</v>
      </c>
      <c r="C33" s="276">
        <v>44255</v>
      </c>
      <c r="D33" s="257" t="s">
        <v>1273</v>
      </c>
      <c r="E33" s="256" t="s">
        <v>1829</v>
      </c>
      <c r="F33" s="256" t="s">
        <v>1861</v>
      </c>
      <c r="G33" s="258">
        <v>4053000000</v>
      </c>
      <c r="H33" s="265">
        <v>0.1</v>
      </c>
      <c r="I33" s="258">
        <v>405300000</v>
      </c>
      <c r="J33" s="258">
        <v>4458300000</v>
      </c>
      <c r="K33" s="256" t="s">
        <v>1346</v>
      </c>
    </row>
    <row r="34" spans="1:11" x14ac:dyDescent="0.3">
      <c r="A34" s="256">
        <v>27</v>
      </c>
      <c r="B34" s="257" t="s">
        <v>1385</v>
      </c>
      <c r="C34" s="276">
        <v>44316</v>
      </c>
      <c r="D34" s="257" t="s">
        <v>1304</v>
      </c>
      <c r="E34" s="256" t="s">
        <v>1831</v>
      </c>
      <c r="F34" s="256" t="s">
        <v>1886</v>
      </c>
      <c r="G34" s="258">
        <v>4458000000</v>
      </c>
      <c r="H34" s="265">
        <v>0.1</v>
      </c>
      <c r="I34" s="258">
        <v>445800000</v>
      </c>
      <c r="J34" s="258">
        <v>4903800000</v>
      </c>
      <c r="K34" s="256" t="s">
        <v>1346</v>
      </c>
    </row>
    <row r="35" spans="1:11" x14ac:dyDescent="0.3">
      <c r="A35" s="256">
        <v>28</v>
      </c>
      <c r="B35" s="257" t="s">
        <v>1399</v>
      </c>
      <c r="C35" s="276">
        <v>44377</v>
      </c>
      <c r="D35" s="257" t="s">
        <v>1271</v>
      </c>
      <c r="E35" s="256" t="s">
        <v>1799</v>
      </c>
      <c r="F35" s="256" t="s">
        <v>1858</v>
      </c>
      <c r="G35" s="258">
        <v>3822000000</v>
      </c>
      <c r="H35" s="265">
        <v>0.1</v>
      </c>
      <c r="I35" s="258">
        <v>382200000</v>
      </c>
      <c r="J35" s="258">
        <v>4204200000</v>
      </c>
      <c r="K35" s="256" t="s">
        <v>1346</v>
      </c>
    </row>
    <row r="36" spans="1:11" x14ac:dyDescent="0.3">
      <c r="A36" s="256">
        <v>29</v>
      </c>
      <c r="B36" s="257" t="s">
        <v>1392</v>
      </c>
      <c r="C36" s="276">
        <v>44469</v>
      </c>
      <c r="D36" s="257" t="s">
        <v>1265</v>
      </c>
      <c r="E36" s="256" t="s">
        <v>1830</v>
      </c>
      <c r="F36" s="256" t="s">
        <v>1861</v>
      </c>
      <c r="G36" s="258">
        <v>3626000000</v>
      </c>
      <c r="H36" s="265">
        <v>0.1</v>
      </c>
      <c r="I36" s="258">
        <v>362600000</v>
      </c>
      <c r="J36" s="258">
        <v>3988600000</v>
      </c>
      <c r="K36" s="256" t="s">
        <v>1348</v>
      </c>
    </row>
    <row r="37" spans="1:11" x14ac:dyDescent="0.3">
      <c r="A37" s="256">
        <v>30</v>
      </c>
      <c r="B37" s="257" t="s">
        <v>1374</v>
      </c>
      <c r="C37" s="276">
        <v>44530</v>
      </c>
      <c r="D37" s="257" t="s">
        <v>1297</v>
      </c>
      <c r="E37" s="256" t="s">
        <v>1820</v>
      </c>
      <c r="F37" s="256" t="s">
        <v>1858</v>
      </c>
      <c r="G37" s="258">
        <v>4865000000</v>
      </c>
      <c r="H37" s="265">
        <v>0.1</v>
      </c>
      <c r="I37" s="258">
        <v>486500000</v>
      </c>
      <c r="J37" s="258">
        <v>5351500000</v>
      </c>
      <c r="K37" s="256" t="s">
        <v>1346</v>
      </c>
    </row>
    <row r="38" spans="1:11" x14ac:dyDescent="0.3">
      <c r="A38" s="256">
        <v>31</v>
      </c>
      <c r="B38" s="257" t="s">
        <v>1208</v>
      </c>
      <c r="C38" s="276">
        <v>44286</v>
      </c>
      <c r="D38" s="257" t="s">
        <v>1276</v>
      </c>
      <c r="E38" s="256" t="s">
        <v>1822</v>
      </c>
      <c r="F38" s="256" t="s">
        <v>1863</v>
      </c>
      <c r="G38" s="258">
        <v>2063000000</v>
      </c>
      <c r="H38" s="265">
        <v>0.1</v>
      </c>
      <c r="I38" s="258">
        <v>206300000</v>
      </c>
      <c r="J38" s="258">
        <v>2269300000</v>
      </c>
      <c r="K38" s="256" t="s">
        <v>1346</v>
      </c>
    </row>
    <row r="39" spans="1:11" x14ac:dyDescent="0.3">
      <c r="A39" s="256">
        <v>32</v>
      </c>
      <c r="B39" s="257" t="s">
        <v>1408</v>
      </c>
      <c r="C39" s="276">
        <v>44347</v>
      </c>
      <c r="D39" s="257" t="s">
        <v>1274</v>
      </c>
      <c r="E39" s="256" t="s">
        <v>1794</v>
      </c>
      <c r="F39" s="256" t="s">
        <v>1859</v>
      </c>
      <c r="G39" s="258">
        <v>3046000000</v>
      </c>
      <c r="H39" s="265">
        <v>0.1</v>
      </c>
      <c r="I39" s="258">
        <v>304600000</v>
      </c>
      <c r="J39" s="258">
        <v>3350600000</v>
      </c>
      <c r="K39" s="256" t="s">
        <v>1346</v>
      </c>
    </row>
    <row r="40" spans="1:11" x14ac:dyDescent="0.3">
      <c r="A40" s="256">
        <v>33</v>
      </c>
      <c r="B40" s="257" t="s">
        <v>1368</v>
      </c>
      <c r="C40" s="276">
        <v>44408</v>
      </c>
      <c r="D40" s="257" t="s">
        <v>1303</v>
      </c>
      <c r="E40" s="256" t="s">
        <v>1817</v>
      </c>
      <c r="F40" s="256" t="s">
        <v>1885</v>
      </c>
      <c r="G40" s="258">
        <v>4453000000</v>
      </c>
      <c r="H40" s="265">
        <v>0.1</v>
      </c>
      <c r="I40" s="258">
        <v>445300000</v>
      </c>
      <c r="J40" s="258">
        <v>4898300000</v>
      </c>
      <c r="K40" s="256" t="s">
        <v>1346</v>
      </c>
    </row>
    <row r="41" spans="1:11" x14ac:dyDescent="0.3">
      <c r="A41" s="256">
        <v>34</v>
      </c>
      <c r="B41" s="257" t="s">
        <v>1401</v>
      </c>
      <c r="C41" s="276">
        <v>44439</v>
      </c>
      <c r="D41" s="257" t="s">
        <v>1271</v>
      </c>
      <c r="E41" s="256" t="s">
        <v>1799</v>
      </c>
      <c r="F41" s="256" t="s">
        <v>1863</v>
      </c>
      <c r="G41" s="258">
        <v>2372000000</v>
      </c>
      <c r="H41" s="265">
        <v>0.1</v>
      </c>
      <c r="I41" s="258">
        <v>237200000</v>
      </c>
      <c r="J41" s="258">
        <v>2609200000</v>
      </c>
      <c r="K41" s="256" t="s">
        <v>1346</v>
      </c>
    </row>
    <row r="42" spans="1:11" x14ac:dyDescent="0.3">
      <c r="A42" s="256">
        <v>35</v>
      </c>
      <c r="B42" s="257" t="s">
        <v>1415</v>
      </c>
      <c r="C42" s="276">
        <v>44500</v>
      </c>
      <c r="D42" s="257" t="s">
        <v>1275</v>
      </c>
      <c r="E42" s="256" t="s">
        <v>1808</v>
      </c>
      <c r="F42" s="256" t="s">
        <v>1861</v>
      </c>
      <c r="G42" s="258">
        <v>3884000000</v>
      </c>
      <c r="H42" s="265">
        <v>0.1</v>
      </c>
      <c r="I42" s="258">
        <v>388400000</v>
      </c>
      <c r="J42" s="258">
        <v>4272400000</v>
      </c>
      <c r="K42" s="256" t="s">
        <v>1346</v>
      </c>
    </row>
    <row r="43" spans="1:11" x14ac:dyDescent="0.3">
      <c r="A43" s="256">
        <v>36</v>
      </c>
      <c r="B43" s="257" t="s">
        <v>1376</v>
      </c>
      <c r="C43" s="276">
        <v>44561</v>
      </c>
      <c r="D43" s="257" t="s">
        <v>1301</v>
      </c>
      <c r="E43" s="256" t="s">
        <v>1781</v>
      </c>
      <c r="F43" s="256" t="s">
        <v>1886</v>
      </c>
      <c r="G43" s="258">
        <v>3809000000</v>
      </c>
      <c r="H43" s="265">
        <v>0</v>
      </c>
      <c r="I43" s="258">
        <v>0</v>
      </c>
      <c r="J43" s="258">
        <v>3809000000</v>
      </c>
      <c r="K43" s="256" t="s">
        <v>1346</v>
      </c>
    </row>
    <row r="44" spans="1:11" x14ac:dyDescent="0.3">
      <c r="A44" s="256">
        <v>37</v>
      </c>
      <c r="B44" s="257" t="s">
        <v>1419</v>
      </c>
      <c r="C44" s="276">
        <v>44561</v>
      </c>
      <c r="D44" s="257" t="s">
        <v>1277</v>
      </c>
      <c r="E44" s="256" t="s">
        <v>1783</v>
      </c>
      <c r="F44" s="256" t="s">
        <v>1863</v>
      </c>
      <c r="G44" s="258">
        <v>1997000000</v>
      </c>
      <c r="H44" s="265">
        <v>0.1</v>
      </c>
      <c r="I44" s="258">
        <v>199700000</v>
      </c>
      <c r="J44" s="258">
        <v>2196700000</v>
      </c>
      <c r="K44" s="256" t="s">
        <v>1348</v>
      </c>
    </row>
    <row r="45" spans="1:11" x14ac:dyDescent="0.3">
      <c r="A45" s="256">
        <v>38</v>
      </c>
      <c r="B45" s="257" t="s">
        <v>1379</v>
      </c>
      <c r="C45" s="276">
        <v>44561</v>
      </c>
      <c r="D45" s="257" t="s">
        <v>1295</v>
      </c>
      <c r="E45" s="256" t="s">
        <v>1825</v>
      </c>
      <c r="F45" s="256" t="s">
        <v>1859</v>
      </c>
      <c r="G45" s="258">
        <v>1703000000</v>
      </c>
      <c r="H45" s="265">
        <v>0.1</v>
      </c>
      <c r="I45" s="258">
        <v>170300000</v>
      </c>
      <c r="J45" s="258">
        <v>1873300000</v>
      </c>
      <c r="K45" s="256" t="s">
        <v>1346</v>
      </c>
    </row>
    <row r="46" spans="1:11" x14ac:dyDescent="0.3">
      <c r="A46" s="256">
        <v>39</v>
      </c>
      <c r="B46" s="257" t="s">
        <v>1379</v>
      </c>
      <c r="C46" s="276">
        <v>44561</v>
      </c>
      <c r="D46" s="257" t="s">
        <v>1299</v>
      </c>
      <c r="E46" s="256" t="s">
        <v>1776</v>
      </c>
      <c r="F46" s="256" t="s">
        <v>1887</v>
      </c>
      <c r="G46" s="258">
        <v>4238000000</v>
      </c>
      <c r="H46" s="265">
        <v>0.1</v>
      </c>
      <c r="I46" s="258">
        <v>423800000</v>
      </c>
      <c r="J46" s="258">
        <v>4661800000</v>
      </c>
      <c r="K46" s="256" t="s">
        <v>1346</v>
      </c>
    </row>
    <row r="47" spans="1:11" x14ac:dyDescent="0.3">
      <c r="A47" s="256">
        <v>40</v>
      </c>
      <c r="B47" s="257" t="s">
        <v>1402</v>
      </c>
      <c r="C47" s="276">
        <v>44561</v>
      </c>
      <c r="D47" s="257" t="s">
        <v>1271</v>
      </c>
      <c r="E47" s="256" t="s">
        <v>1799</v>
      </c>
      <c r="F47" s="256" t="s">
        <v>1863</v>
      </c>
      <c r="G47" s="258">
        <v>2489000000</v>
      </c>
      <c r="H47" s="265">
        <v>0.1</v>
      </c>
      <c r="I47" s="258">
        <v>248900000</v>
      </c>
      <c r="J47" s="258">
        <v>2737900000</v>
      </c>
      <c r="K47" s="256" t="s">
        <v>1348</v>
      </c>
    </row>
    <row r="48" spans="1:11" x14ac:dyDescent="0.3">
      <c r="A48" s="256">
        <v>41</v>
      </c>
      <c r="B48" s="257" t="s">
        <v>1373</v>
      </c>
      <c r="C48" s="276">
        <v>44561</v>
      </c>
      <c r="D48" s="257" t="s">
        <v>1296</v>
      </c>
      <c r="E48" s="256" t="s">
        <v>1807</v>
      </c>
      <c r="F48" s="256" t="s">
        <v>1861</v>
      </c>
      <c r="G48" s="258">
        <v>3886000000</v>
      </c>
      <c r="H48" s="265">
        <v>0.1</v>
      </c>
      <c r="I48" s="258">
        <v>388600000</v>
      </c>
      <c r="J48" s="258">
        <v>4274600000</v>
      </c>
      <c r="K48" s="256" t="s">
        <v>1346</v>
      </c>
    </row>
    <row r="49" spans="1:11" x14ac:dyDescent="0.3">
      <c r="A49" s="256">
        <v>42</v>
      </c>
      <c r="B49" s="257" t="s">
        <v>1408</v>
      </c>
      <c r="C49" s="276">
        <v>44561</v>
      </c>
      <c r="D49" s="257" t="s">
        <v>1270</v>
      </c>
      <c r="E49" s="256" t="s">
        <v>1782</v>
      </c>
      <c r="F49" s="256" t="s">
        <v>1863</v>
      </c>
      <c r="G49" s="258">
        <v>4336000000</v>
      </c>
      <c r="H49" s="265">
        <v>0.1</v>
      </c>
      <c r="I49" s="258">
        <v>433600000</v>
      </c>
      <c r="J49" s="258">
        <v>4769600000</v>
      </c>
      <c r="K49" s="256" t="s">
        <v>1346</v>
      </c>
    </row>
    <row r="50" spans="1:11" x14ac:dyDescent="0.3">
      <c r="A50" s="256">
        <v>43</v>
      </c>
      <c r="B50" s="257" t="s">
        <v>1388</v>
      </c>
      <c r="C50" s="276">
        <v>44561</v>
      </c>
      <c r="D50" s="257" t="s">
        <v>1288</v>
      </c>
      <c r="E50" s="256" t="s">
        <v>1797</v>
      </c>
      <c r="F50" s="256" t="s">
        <v>1886</v>
      </c>
      <c r="G50" s="258">
        <v>4915000000</v>
      </c>
      <c r="H50" s="265">
        <v>0.1</v>
      </c>
      <c r="I50" s="258">
        <v>491500000</v>
      </c>
      <c r="J50" s="258">
        <v>5406500000</v>
      </c>
      <c r="K50" s="256" t="s">
        <v>1348</v>
      </c>
    </row>
    <row r="51" spans="1:11" x14ac:dyDescent="0.3">
      <c r="A51" s="256">
        <v>44</v>
      </c>
      <c r="B51" s="257" t="s">
        <v>1388</v>
      </c>
      <c r="C51" s="276">
        <v>44561</v>
      </c>
      <c r="D51" s="257" t="s">
        <v>1264</v>
      </c>
      <c r="E51" s="256" t="s">
        <v>1779</v>
      </c>
      <c r="F51" s="256" t="s">
        <v>1861</v>
      </c>
      <c r="G51" s="258">
        <v>4913000000</v>
      </c>
      <c r="H51" s="265">
        <v>0.1</v>
      </c>
      <c r="I51" s="258">
        <v>491300000</v>
      </c>
      <c r="J51" s="258">
        <v>5404300000</v>
      </c>
      <c r="K51" s="256" t="s">
        <v>1346</v>
      </c>
    </row>
    <row r="52" spans="1:11" x14ac:dyDescent="0.3">
      <c r="A52" s="256">
        <v>45</v>
      </c>
      <c r="B52" s="257" t="s">
        <v>1391</v>
      </c>
      <c r="C52" s="276">
        <v>44561</v>
      </c>
      <c r="D52" s="257" t="s">
        <v>1288</v>
      </c>
      <c r="E52" s="256" t="s">
        <v>1797</v>
      </c>
      <c r="F52" s="256" t="s">
        <v>1859</v>
      </c>
      <c r="G52" s="258">
        <v>3584000000</v>
      </c>
      <c r="H52" s="265">
        <v>0</v>
      </c>
      <c r="I52" s="258">
        <v>0</v>
      </c>
      <c r="J52" s="258">
        <v>3584000000</v>
      </c>
      <c r="K52" s="256" t="s">
        <v>1346</v>
      </c>
    </row>
    <row r="53" spans="1:11" x14ac:dyDescent="0.3">
      <c r="A53" s="256">
        <v>46</v>
      </c>
      <c r="B53" s="257" t="s">
        <v>1394</v>
      </c>
      <c r="C53" s="276">
        <v>44561</v>
      </c>
      <c r="D53" s="257" t="s">
        <v>1265</v>
      </c>
      <c r="E53" s="256" t="s">
        <v>1830</v>
      </c>
      <c r="F53" s="256" t="s">
        <v>1863</v>
      </c>
      <c r="G53" s="258">
        <v>2852000000</v>
      </c>
      <c r="H53" s="265">
        <v>0.1</v>
      </c>
      <c r="I53" s="258">
        <v>285200000</v>
      </c>
      <c r="J53" s="258">
        <v>3137200000</v>
      </c>
      <c r="K53" s="256" t="s">
        <v>1346</v>
      </c>
    </row>
    <row r="54" spans="1:11" x14ac:dyDescent="0.3">
      <c r="A54" s="256">
        <v>47</v>
      </c>
      <c r="B54" s="257" t="s">
        <v>1203</v>
      </c>
      <c r="C54" s="276">
        <v>44561</v>
      </c>
      <c r="D54" s="257" t="s">
        <v>1287</v>
      </c>
      <c r="E54" s="256" t="s">
        <v>1801</v>
      </c>
      <c r="F54" s="256" t="s">
        <v>1886</v>
      </c>
      <c r="G54" s="258">
        <v>4157000000</v>
      </c>
      <c r="H54" s="265">
        <v>0.1</v>
      </c>
      <c r="I54" s="258">
        <v>415700000</v>
      </c>
      <c r="J54" s="258">
        <v>4572700000</v>
      </c>
      <c r="K54" s="256" t="s">
        <v>1346</v>
      </c>
    </row>
    <row r="55" spans="1:11" x14ac:dyDescent="0.3">
      <c r="A55" s="256">
        <v>48</v>
      </c>
      <c r="B55" s="257" t="s">
        <v>1204</v>
      </c>
      <c r="C55" s="276">
        <v>44561</v>
      </c>
      <c r="D55" s="257" t="s">
        <v>1287</v>
      </c>
      <c r="E55" s="256" t="s">
        <v>1801</v>
      </c>
      <c r="F55" s="256" t="s">
        <v>1863</v>
      </c>
      <c r="G55" s="258">
        <v>3245000000</v>
      </c>
      <c r="H55" s="265">
        <v>0.1</v>
      </c>
      <c r="I55" s="258">
        <v>324500000</v>
      </c>
      <c r="J55" s="258">
        <v>3569500000</v>
      </c>
      <c r="K55" s="256" t="s">
        <v>1346</v>
      </c>
    </row>
    <row r="56" spans="1:11" x14ac:dyDescent="0.3">
      <c r="A56" s="256">
        <v>49</v>
      </c>
      <c r="B56" s="257" t="s">
        <v>1366</v>
      </c>
      <c r="C56" s="276">
        <v>44561</v>
      </c>
      <c r="D56" s="257" t="s">
        <v>1298</v>
      </c>
      <c r="E56" s="256" t="s">
        <v>1819</v>
      </c>
      <c r="F56" s="256" t="s">
        <v>1886</v>
      </c>
      <c r="G56" s="258">
        <v>3446000000</v>
      </c>
      <c r="H56" s="265">
        <v>0.1</v>
      </c>
      <c r="I56" s="258">
        <v>344600000</v>
      </c>
      <c r="J56" s="258">
        <v>3790600000</v>
      </c>
      <c r="K56" s="256" t="s">
        <v>1346</v>
      </c>
    </row>
    <row r="57" spans="1:11" x14ac:dyDescent="0.3">
      <c r="A57" s="256">
        <v>50</v>
      </c>
      <c r="B57" s="257" t="s">
        <v>1379</v>
      </c>
      <c r="C57" s="276">
        <v>44561</v>
      </c>
      <c r="D57" s="257" t="s">
        <v>1291</v>
      </c>
      <c r="E57" s="256" t="s">
        <v>1800</v>
      </c>
      <c r="F57" s="256" t="s">
        <v>1885</v>
      </c>
      <c r="G57" s="258">
        <v>4225000000</v>
      </c>
      <c r="H57" s="265">
        <v>0.1</v>
      </c>
      <c r="I57" s="258">
        <v>422500000</v>
      </c>
      <c r="J57" s="258">
        <v>4647500000</v>
      </c>
      <c r="K57" s="256" t="s">
        <v>1348</v>
      </c>
    </row>
    <row r="58" spans="1:11" x14ac:dyDescent="0.3">
      <c r="A58" s="266" t="s">
        <v>1351</v>
      </c>
      <c r="B58" s="266"/>
      <c r="C58" s="266"/>
      <c r="D58" s="266"/>
      <c r="E58" s="266"/>
      <c r="F58" s="266"/>
      <c r="G58" s="267">
        <f>SUM(G8:G57)</f>
        <v>167625000000</v>
      </c>
      <c r="H58" s="266"/>
      <c r="I58" s="267">
        <f>SUM(I8:I57)</f>
        <v>15369800000</v>
      </c>
      <c r="J58" s="267">
        <f>SUM(J8:J57)</f>
        <v>182994800000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1302</v>
      </c>
      <c r="E62" s="256" t="s">
        <v>1784</v>
      </c>
      <c r="F62" s="256" t="s">
        <v>1866</v>
      </c>
      <c r="G62" s="258">
        <v>2268000000</v>
      </c>
      <c r="H62" s="265">
        <v>0.1</v>
      </c>
      <c r="I62" s="258">
        <v>226800000</v>
      </c>
      <c r="J62" s="258">
        <v>2494800000</v>
      </c>
      <c r="K62" s="256" t="s">
        <v>1346</v>
      </c>
    </row>
    <row r="63" spans="1:11" x14ac:dyDescent="0.3">
      <c r="A63" s="256">
        <v>2</v>
      </c>
      <c r="B63" s="257" t="s">
        <v>1201</v>
      </c>
      <c r="C63" s="276">
        <v>44318</v>
      </c>
      <c r="D63" s="257" t="s">
        <v>1288</v>
      </c>
      <c r="E63" s="256" t="s">
        <v>1797</v>
      </c>
      <c r="F63" s="256" t="s">
        <v>1864</v>
      </c>
      <c r="G63" s="258">
        <v>3054000000</v>
      </c>
      <c r="H63" s="265">
        <v>0.1</v>
      </c>
      <c r="I63" s="258">
        <v>305400000</v>
      </c>
      <c r="J63" s="258">
        <v>3359400000</v>
      </c>
      <c r="K63" s="256" t="s">
        <v>1346</v>
      </c>
    </row>
    <row r="64" spans="1:11" x14ac:dyDescent="0.3">
      <c r="A64" s="256">
        <v>3</v>
      </c>
      <c r="B64" s="257" t="s">
        <v>1202</v>
      </c>
      <c r="C64" s="276">
        <v>44472</v>
      </c>
      <c r="D64" s="257" t="s">
        <v>1292</v>
      </c>
      <c r="E64" s="256" t="s">
        <v>1792</v>
      </c>
      <c r="F64" s="256" t="s">
        <v>1867</v>
      </c>
      <c r="G64" s="258">
        <v>4527000000</v>
      </c>
      <c r="H64" s="265">
        <v>0.1</v>
      </c>
      <c r="I64" s="258">
        <v>452700000</v>
      </c>
      <c r="J64" s="258">
        <v>4979700000</v>
      </c>
      <c r="K64" s="256" t="s">
        <v>1346</v>
      </c>
    </row>
    <row r="65" spans="1:11" x14ac:dyDescent="0.3">
      <c r="A65" s="256">
        <v>4</v>
      </c>
      <c r="B65" s="257" t="s">
        <v>1355</v>
      </c>
      <c r="C65" s="276">
        <v>44473</v>
      </c>
      <c r="D65" s="257" t="s">
        <v>1296</v>
      </c>
      <c r="E65" s="256" t="s">
        <v>1807</v>
      </c>
      <c r="F65" s="256" t="s">
        <v>1864</v>
      </c>
      <c r="G65" s="258">
        <v>5442000000</v>
      </c>
      <c r="H65" s="265">
        <v>0.1</v>
      </c>
      <c r="I65" s="258">
        <v>544200000</v>
      </c>
      <c r="J65" s="258">
        <v>5986200000</v>
      </c>
      <c r="K65" s="256" t="s">
        <v>1348</v>
      </c>
    </row>
    <row r="66" spans="1:11" x14ac:dyDescent="0.3">
      <c r="A66" s="256">
        <v>5</v>
      </c>
      <c r="B66" s="257" t="s">
        <v>1356</v>
      </c>
      <c r="C66" s="276">
        <v>44474</v>
      </c>
      <c r="D66" s="257" t="s">
        <v>1272</v>
      </c>
      <c r="E66" s="256" t="s">
        <v>1805</v>
      </c>
      <c r="F66" s="256" t="s">
        <v>1865</v>
      </c>
      <c r="G66" s="258">
        <v>6211000000</v>
      </c>
      <c r="H66" s="265">
        <v>0.1</v>
      </c>
      <c r="I66" s="258">
        <v>621100000</v>
      </c>
      <c r="J66" s="258">
        <v>6832100000</v>
      </c>
      <c r="K66" s="256" t="s">
        <v>1346</v>
      </c>
    </row>
    <row r="67" spans="1:11" x14ac:dyDescent="0.3">
      <c r="A67" s="256">
        <v>6</v>
      </c>
      <c r="B67" s="257" t="s">
        <v>1358</v>
      </c>
      <c r="C67" s="276">
        <v>44475</v>
      </c>
      <c r="D67" s="257" t="s">
        <v>1295</v>
      </c>
      <c r="E67" s="256" t="s">
        <v>1825</v>
      </c>
      <c r="F67" s="256" t="s">
        <v>1867</v>
      </c>
      <c r="G67" s="258">
        <v>2488000000</v>
      </c>
      <c r="H67" s="265">
        <v>0.1</v>
      </c>
      <c r="I67" s="258">
        <v>248800000</v>
      </c>
      <c r="J67" s="258">
        <v>2736800000</v>
      </c>
      <c r="K67" s="256" t="s">
        <v>1346</v>
      </c>
    </row>
    <row r="68" spans="1:11" x14ac:dyDescent="0.3">
      <c r="A68" s="256">
        <v>7</v>
      </c>
      <c r="B68" s="257" t="s">
        <v>1360</v>
      </c>
      <c r="C68" s="276">
        <v>44476</v>
      </c>
      <c r="D68" s="257" t="s">
        <v>1287</v>
      </c>
      <c r="E68" s="256" t="s">
        <v>1801</v>
      </c>
      <c r="F68" s="256" t="s">
        <v>1864</v>
      </c>
      <c r="G68" s="258">
        <v>4775000000</v>
      </c>
      <c r="H68" s="265">
        <v>0</v>
      </c>
      <c r="I68" s="258">
        <v>0</v>
      </c>
      <c r="J68" s="258">
        <v>4775000000</v>
      </c>
      <c r="K68" s="256" t="s">
        <v>1348</v>
      </c>
    </row>
    <row r="69" spans="1:11" x14ac:dyDescent="0.3">
      <c r="A69" s="256">
        <v>8</v>
      </c>
      <c r="B69" s="257" t="s">
        <v>1362</v>
      </c>
      <c r="C69" s="276">
        <v>44477</v>
      </c>
      <c r="D69" s="257" t="s">
        <v>1261</v>
      </c>
      <c r="E69" s="256" t="s">
        <v>1813</v>
      </c>
      <c r="F69" s="256" t="s">
        <v>1864</v>
      </c>
      <c r="G69" s="258">
        <v>6246000000</v>
      </c>
      <c r="H69" s="265">
        <v>0.1</v>
      </c>
      <c r="I69" s="258">
        <v>624600000</v>
      </c>
      <c r="J69" s="258">
        <v>6870600000</v>
      </c>
      <c r="K69" s="256" t="s">
        <v>1346</v>
      </c>
    </row>
    <row r="70" spans="1:11" x14ac:dyDescent="0.3">
      <c r="A70" s="256">
        <v>9</v>
      </c>
      <c r="B70" s="257" t="s">
        <v>1364</v>
      </c>
      <c r="C70" s="276">
        <v>44478</v>
      </c>
      <c r="D70" s="257" t="s">
        <v>1281</v>
      </c>
      <c r="E70" s="256" t="s">
        <v>1806</v>
      </c>
      <c r="F70" s="256" t="s">
        <v>1865</v>
      </c>
      <c r="G70" s="258">
        <v>6314000000</v>
      </c>
      <c r="H70" s="265">
        <v>0.1</v>
      </c>
      <c r="I70" s="258">
        <v>631400000</v>
      </c>
      <c r="J70" s="258">
        <v>6945400000</v>
      </c>
      <c r="K70" s="256" t="s">
        <v>1346</v>
      </c>
    </row>
    <row r="71" spans="1:11" x14ac:dyDescent="0.3">
      <c r="A71" s="256">
        <v>10</v>
      </c>
      <c r="B71" s="257" t="s">
        <v>1366</v>
      </c>
      <c r="C71" s="276">
        <v>44479</v>
      </c>
      <c r="D71" s="257" t="s">
        <v>1291</v>
      </c>
      <c r="E71" s="256" t="s">
        <v>1800</v>
      </c>
      <c r="F71" s="256" t="s">
        <v>1866</v>
      </c>
      <c r="G71" s="258">
        <v>2969000000</v>
      </c>
      <c r="H71" s="265">
        <v>0.1</v>
      </c>
      <c r="I71" s="258">
        <v>296900000</v>
      </c>
      <c r="J71" s="258">
        <v>3265900000</v>
      </c>
      <c r="K71" s="256" t="s">
        <v>1346</v>
      </c>
    </row>
    <row r="72" spans="1:11" x14ac:dyDescent="0.3">
      <c r="A72" s="256">
        <v>11</v>
      </c>
      <c r="B72" s="257" t="s">
        <v>1368</v>
      </c>
      <c r="C72" s="276">
        <v>44480</v>
      </c>
      <c r="D72" s="257" t="s">
        <v>1257</v>
      </c>
      <c r="E72" s="256" t="s">
        <v>1815</v>
      </c>
      <c r="F72" s="256" t="s">
        <v>1866</v>
      </c>
      <c r="G72" s="258">
        <v>4685000000</v>
      </c>
      <c r="H72" s="265">
        <v>0.1</v>
      </c>
      <c r="I72" s="258">
        <v>468500000</v>
      </c>
      <c r="J72" s="258">
        <v>5153500000</v>
      </c>
      <c r="K72" s="256" t="s">
        <v>1346</v>
      </c>
    </row>
    <row r="73" spans="1:11" x14ac:dyDescent="0.3">
      <c r="A73" s="256">
        <v>12</v>
      </c>
      <c r="B73" s="257" t="s">
        <v>1371</v>
      </c>
      <c r="C73" s="276">
        <v>44481</v>
      </c>
      <c r="D73" s="257" t="s">
        <v>1284</v>
      </c>
      <c r="E73" s="256" t="s">
        <v>1786</v>
      </c>
      <c r="F73" s="256" t="s">
        <v>1867</v>
      </c>
      <c r="G73" s="258">
        <v>3169000000</v>
      </c>
      <c r="H73" s="265">
        <v>0.1</v>
      </c>
      <c r="I73" s="258">
        <v>316900000</v>
      </c>
      <c r="J73" s="258">
        <v>3485900000</v>
      </c>
      <c r="K73" s="256" t="s">
        <v>1346</v>
      </c>
    </row>
    <row r="74" spans="1:11" x14ac:dyDescent="0.3">
      <c r="A74" s="256">
        <v>13</v>
      </c>
      <c r="B74" s="257" t="s">
        <v>1373</v>
      </c>
      <c r="C74" s="276">
        <v>44211</v>
      </c>
      <c r="D74" s="257" t="s">
        <v>1276</v>
      </c>
      <c r="E74" s="256" t="s">
        <v>1822</v>
      </c>
      <c r="F74" s="256" t="s">
        <v>1865</v>
      </c>
      <c r="G74" s="258">
        <v>5261000000</v>
      </c>
      <c r="H74" s="265">
        <v>0.1</v>
      </c>
      <c r="I74" s="258">
        <v>526100000</v>
      </c>
      <c r="J74" s="258">
        <v>5787100000</v>
      </c>
      <c r="K74" s="256" t="s">
        <v>1346</v>
      </c>
    </row>
    <row r="75" spans="1:11" x14ac:dyDescent="0.3">
      <c r="A75" s="256">
        <v>14</v>
      </c>
      <c r="B75" s="257" t="s">
        <v>1374</v>
      </c>
      <c r="C75" s="276">
        <v>44242</v>
      </c>
      <c r="D75" s="257" t="s">
        <v>1278</v>
      </c>
      <c r="E75" s="256" t="s">
        <v>1785</v>
      </c>
      <c r="F75" s="256" t="s">
        <v>1865</v>
      </c>
      <c r="G75" s="258">
        <v>3923000000</v>
      </c>
      <c r="H75" s="265">
        <v>0.1</v>
      </c>
      <c r="I75" s="258">
        <v>392300000</v>
      </c>
      <c r="J75" s="258">
        <v>4315300000</v>
      </c>
      <c r="K75" s="256" t="s">
        <v>1346</v>
      </c>
    </row>
    <row r="76" spans="1:11" x14ac:dyDescent="0.3">
      <c r="A76" s="256">
        <v>15</v>
      </c>
      <c r="B76" s="257" t="s">
        <v>1376</v>
      </c>
      <c r="C76" s="276">
        <v>44275</v>
      </c>
      <c r="D76" s="257" t="s">
        <v>1298</v>
      </c>
      <c r="E76" s="256" t="s">
        <v>1819</v>
      </c>
      <c r="F76" s="256" t="s">
        <v>1866</v>
      </c>
      <c r="G76" s="258">
        <v>2681000000</v>
      </c>
      <c r="H76" s="265">
        <v>0.1</v>
      </c>
      <c r="I76" s="258">
        <v>268100000</v>
      </c>
      <c r="J76" s="258">
        <v>2949100000</v>
      </c>
      <c r="K76" s="256" t="s">
        <v>1346</v>
      </c>
    </row>
    <row r="77" spans="1:11" x14ac:dyDescent="0.3">
      <c r="A77" s="256">
        <v>16</v>
      </c>
      <c r="B77" s="257" t="s">
        <v>1378</v>
      </c>
      <c r="C77" s="276">
        <v>44306</v>
      </c>
      <c r="D77" s="257" t="s">
        <v>1298</v>
      </c>
      <c r="E77" s="256" t="s">
        <v>1819</v>
      </c>
      <c r="F77" s="256" t="s">
        <v>1867</v>
      </c>
      <c r="G77" s="258">
        <v>2428000000</v>
      </c>
      <c r="H77" s="265">
        <v>0.1</v>
      </c>
      <c r="I77" s="258">
        <v>242800000</v>
      </c>
      <c r="J77" s="258">
        <v>2670800000</v>
      </c>
      <c r="K77" s="256" t="s">
        <v>1346</v>
      </c>
    </row>
    <row r="78" spans="1:11" x14ac:dyDescent="0.3">
      <c r="A78" s="256">
        <v>17</v>
      </c>
      <c r="B78" s="257" t="s">
        <v>1379</v>
      </c>
      <c r="C78" s="276">
        <v>44336</v>
      </c>
      <c r="D78" s="257" t="s">
        <v>1268</v>
      </c>
      <c r="E78" s="256" t="s">
        <v>1821</v>
      </c>
      <c r="F78" s="256" t="s">
        <v>1867</v>
      </c>
      <c r="G78" s="258">
        <v>3029000000</v>
      </c>
      <c r="H78" s="265">
        <v>0.1</v>
      </c>
      <c r="I78" s="258">
        <v>302900000</v>
      </c>
      <c r="J78" s="258">
        <v>3331900000</v>
      </c>
      <c r="K78" s="256" t="s">
        <v>1346</v>
      </c>
    </row>
    <row r="79" spans="1:11" x14ac:dyDescent="0.3">
      <c r="A79" s="256">
        <v>18</v>
      </c>
      <c r="B79" s="257" t="s">
        <v>1381</v>
      </c>
      <c r="C79" s="276">
        <v>44367</v>
      </c>
      <c r="D79" s="257" t="s">
        <v>1258</v>
      </c>
      <c r="E79" s="256" t="s">
        <v>1833</v>
      </c>
      <c r="F79" s="256" t="s">
        <v>1864</v>
      </c>
      <c r="G79" s="258">
        <v>2554000000</v>
      </c>
      <c r="H79" s="265">
        <v>0.1</v>
      </c>
      <c r="I79" s="258">
        <v>255400000</v>
      </c>
      <c r="J79" s="258">
        <v>2809400000</v>
      </c>
      <c r="K79" s="256" t="s">
        <v>1346</v>
      </c>
    </row>
    <row r="80" spans="1:11" x14ac:dyDescent="0.3">
      <c r="A80" s="256">
        <v>19</v>
      </c>
      <c r="B80" s="257" t="s">
        <v>1382</v>
      </c>
      <c r="C80" s="276">
        <v>44397</v>
      </c>
      <c r="D80" s="257" t="s">
        <v>1257</v>
      </c>
      <c r="E80" s="256" t="s">
        <v>1815</v>
      </c>
      <c r="F80" s="256" t="s">
        <v>1866</v>
      </c>
      <c r="G80" s="258">
        <v>4237000000</v>
      </c>
      <c r="H80" s="265">
        <v>0.1</v>
      </c>
      <c r="I80" s="258">
        <v>423700000</v>
      </c>
      <c r="J80" s="258">
        <v>4660700000</v>
      </c>
      <c r="K80" s="256" t="s">
        <v>1346</v>
      </c>
    </row>
    <row r="81" spans="1:11" x14ac:dyDescent="0.3">
      <c r="A81" s="256">
        <v>20</v>
      </c>
      <c r="B81" s="257" t="s">
        <v>1383</v>
      </c>
      <c r="C81" s="276">
        <v>44428</v>
      </c>
      <c r="D81" s="257" t="s">
        <v>1266</v>
      </c>
      <c r="E81" s="256" t="s">
        <v>1824</v>
      </c>
      <c r="F81" s="256" t="s">
        <v>1865</v>
      </c>
      <c r="G81" s="258">
        <v>6469000000</v>
      </c>
      <c r="H81" s="265">
        <v>0.1</v>
      </c>
      <c r="I81" s="258">
        <v>646900000</v>
      </c>
      <c r="J81" s="258">
        <v>7115900000</v>
      </c>
      <c r="K81" s="256" t="s">
        <v>1346</v>
      </c>
    </row>
    <row r="82" spans="1:11" x14ac:dyDescent="0.3">
      <c r="A82" s="256">
        <v>21</v>
      </c>
      <c r="B82" s="257" t="s">
        <v>1203</v>
      </c>
      <c r="C82" s="276">
        <v>44459</v>
      </c>
      <c r="D82" s="257" t="s">
        <v>1304</v>
      </c>
      <c r="E82" s="256" t="s">
        <v>1831</v>
      </c>
      <c r="F82" s="256" t="s">
        <v>1866</v>
      </c>
      <c r="G82" s="258">
        <v>3119000000</v>
      </c>
      <c r="H82" s="265">
        <v>0.1</v>
      </c>
      <c r="I82" s="258">
        <v>311900000</v>
      </c>
      <c r="J82" s="258">
        <v>3430900000</v>
      </c>
      <c r="K82" s="256" t="s">
        <v>1346</v>
      </c>
    </row>
    <row r="83" spans="1:11" x14ac:dyDescent="0.3">
      <c r="A83" s="256">
        <v>22</v>
      </c>
      <c r="B83" s="257" t="s">
        <v>1204</v>
      </c>
      <c r="C83" s="276">
        <v>44489</v>
      </c>
      <c r="D83" s="257" t="s">
        <v>1257</v>
      </c>
      <c r="E83" s="256" t="s">
        <v>1815</v>
      </c>
      <c r="F83" s="256" t="s">
        <v>1864</v>
      </c>
      <c r="G83" s="258">
        <v>2766000000</v>
      </c>
      <c r="H83" s="265">
        <v>0.1</v>
      </c>
      <c r="I83" s="258">
        <v>276600000</v>
      </c>
      <c r="J83" s="258">
        <v>3042600000</v>
      </c>
      <c r="K83" s="256" t="s">
        <v>1346</v>
      </c>
    </row>
    <row r="84" spans="1:11" x14ac:dyDescent="0.3">
      <c r="A84" s="256">
        <v>23</v>
      </c>
      <c r="B84" s="257" t="s">
        <v>1205</v>
      </c>
      <c r="C84" s="276">
        <v>44520</v>
      </c>
      <c r="D84" s="257" t="s">
        <v>1297</v>
      </c>
      <c r="E84" s="256" t="s">
        <v>1820</v>
      </c>
      <c r="F84" s="256" t="s">
        <v>1865</v>
      </c>
      <c r="G84" s="258">
        <v>6490000000</v>
      </c>
      <c r="H84" s="265">
        <v>0.1</v>
      </c>
      <c r="I84" s="258">
        <v>649000000</v>
      </c>
      <c r="J84" s="258">
        <v>7139000000</v>
      </c>
      <c r="K84" s="256" t="s">
        <v>1346</v>
      </c>
    </row>
    <row r="85" spans="1:11" x14ac:dyDescent="0.3">
      <c r="A85" s="256">
        <v>24</v>
      </c>
      <c r="B85" s="257" t="s">
        <v>1385</v>
      </c>
      <c r="C85" s="276">
        <v>44550</v>
      </c>
      <c r="D85" s="257" t="s">
        <v>1262</v>
      </c>
      <c r="E85" s="256" t="s">
        <v>1816</v>
      </c>
      <c r="F85" s="256" t="s">
        <v>1864</v>
      </c>
      <c r="G85" s="258">
        <v>1844000000</v>
      </c>
      <c r="H85" s="265">
        <v>0.1</v>
      </c>
      <c r="I85" s="258">
        <v>184400000</v>
      </c>
      <c r="J85" s="258">
        <v>2028400000</v>
      </c>
      <c r="K85" s="256" t="s">
        <v>1348</v>
      </c>
    </row>
    <row r="86" spans="1:11" x14ac:dyDescent="0.3">
      <c r="A86" s="256">
        <v>25</v>
      </c>
      <c r="B86" s="257" t="s">
        <v>1387</v>
      </c>
      <c r="C86" s="276">
        <v>44221</v>
      </c>
      <c r="D86" s="257" t="s">
        <v>1287</v>
      </c>
      <c r="E86" s="256" t="s">
        <v>1801</v>
      </c>
      <c r="F86" s="256" t="s">
        <v>1867</v>
      </c>
      <c r="G86" s="258">
        <v>2847000000</v>
      </c>
      <c r="H86" s="265">
        <v>0.1</v>
      </c>
      <c r="I86" s="258">
        <v>284700000</v>
      </c>
      <c r="J86" s="258">
        <v>3131700000</v>
      </c>
      <c r="K86" s="256" t="s">
        <v>1346</v>
      </c>
    </row>
    <row r="87" spans="1:11" x14ac:dyDescent="0.3">
      <c r="A87" s="256">
        <v>26</v>
      </c>
      <c r="B87" s="257" t="s">
        <v>1388</v>
      </c>
      <c r="C87" s="276">
        <v>44255</v>
      </c>
      <c r="D87" s="257" t="s">
        <v>1258</v>
      </c>
      <c r="E87" s="256" t="s">
        <v>1833</v>
      </c>
      <c r="F87" s="256" t="s">
        <v>1865</v>
      </c>
      <c r="G87" s="258">
        <v>6736000000</v>
      </c>
      <c r="H87" s="265">
        <v>0.1</v>
      </c>
      <c r="I87" s="258">
        <v>673600000</v>
      </c>
      <c r="J87" s="258">
        <v>7409600000</v>
      </c>
      <c r="K87" s="256" t="s">
        <v>1346</v>
      </c>
    </row>
    <row r="88" spans="1:11" x14ac:dyDescent="0.3">
      <c r="A88" s="256">
        <v>27</v>
      </c>
      <c r="B88" s="257" t="s">
        <v>1391</v>
      </c>
      <c r="C88" s="276">
        <v>44316</v>
      </c>
      <c r="D88" s="257" t="s">
        <v>1266</v>
      </c>
      <c r="E88" s="256" t="s">
        <v>1824</v>
      </c>
      <c r="F88" s="256" t="s">
        <v>1867</v>
      </c>
      <c r="G88" s="258">
        <v>3464000000</v>
      </c>
      <c r="H88" s="265">
        <v>0.1</v>
      </c>
      <c r="I88" s="258">
        <v>346400000</v>
      </c>
      <c r="J88" s="258">
        <v>3810400000</v>
      </c>
      <c r="K88" s="256" t="s">
        <v>1346</v>
      </c>
    </row>
    <row r="89" spans="1:11" x14ac:dyDescent="0.3">
      <c r="A89" s="256">
        <v>28</v>
      </c>
      <c r="B89" s="257" t="s">
        <v>1392</v>
      </c>
      <c r="C89" s="276">
        <v>44377</v>
      </c>
      <c r="D89" s="257" t="s">
        <v>1258</v>
      </c>
      <c r="E89" s="256" t="s">
        <v>1833</v>
      </c>
      <c r="F89" s="256" t="s">
        <v>1867</v>
      </c>
      <c r="G89" s="258">
        <v>6621000000</v>
      </c>
      <c r="H89" s="265">
        <v>0.1</v>
      </c>
      <c r="I89" s="258">
        <v>662100000</v>
      </c>
      <c r="J89" s="258">
        <v>7283100000</v>
      </c>
      <c r="K89" s="256" t="s">
        <v>1346</v>
      </c>
    </row>
    <row r="90" spans="1:11" x14ac:dyDescent="0.3">
      <c r="A90" s="256">
        <v>29</v>
      </c>
      <c r="B90" s="257" t="s">
        <v>1394</v>
      </c>
      <c r="C90" s="276">
        <v>44469</v>
      </c>
      <c r="D90" s="257" t="s">
        <v>1296</v>
      </c>
      <c r="E90" s="256" t="s">
        <v>1807</v>
      </c>
      <c r="F90" s="256" t="s">
        <v>1864</v>
      </c>
      <c r="G90" s="258">
        <v>6287000000</v>
      </c>
      <c r="H90" s="265">
        <v>0.1</v>
      </c>
      <c r="I90" s="258">
        <v>628700000</v>
      </c>
      <c r="J90" s="258">
        <v>6915700000</v>
      </c>
      <c r="K90" s="256" t="s">
        <v>1346</v>
      </c>
    </row>
    <row r="91" spans="1:11" x14ac:dyDescent="0.3">
      <c r="A91" s="256">
        <v>30</v>
      </c>
      <c r="B91" s="257" t="s">
        <v>1396</v>
      </c>
      <c r="C91" s="276">
        <v>44530</v>
      </c>
      <c r="D91" s="257" t="s">
        <v>1301</v>
      </c>
      <c r="E91" s="256" t="s">
        <v>1781</v>
      </c>
      <c r="F91" s="256" t="s">
        <v>1866</v>
      </c>
      <c r="G91" s="258">
        <v>5960000000</v>
      </c>
      <c r="H91" s="265">
        <v>0</v>
      </c>
      <c r="I91" s="258">
        <v>0</v>
      </c>
      <c r="J91" s="258">
        <v>5960000000</v>
      </c>
      <c r="K91" s="256" t="s">
        <v>1346</v>
      </c>
    </row>
    <row r="92" spans="1:11" x14ac:dyDescent="0.3">
      <c r="A92" s="256">
        <v>31</v>
      </c>
      <c r="B92" s="257" t="s">
        <v>1397</v>
      </c>
      <c r="C92" s="276">
        <v>44286</v>
      </c>
      <c r="D92" s="257" t="s">
        <v>1297</v>
      </c>
      <c r="E92" s="256" t="s">
        <v>1820</v>
      </c>
      <c r="F92" s="256" t="s">
        <v>1867</v>
      </c>
      <c r="G92" s="258">
        <v>6361000000</v>
      </c>
      <c r="H92" s="265">
        <v>0.1</v>
      </c>
      <c r="I92" s="258">
        <v>636100000</v>
      </c>
      <c r="J92" s="258">
        <v>6997100000</v>
      </c>
      <c r="K92" s="256" t="s">
        <v>1346</v>
      </c>
    </row>
    <row r="93" spans="1:11" x14ac:dyDescent="0.3">
      <c r="A93" s="256">
        <v>32</v>
      </c>
      <c r="B93" s="257" t="s">
        <v>1398</v>
      </c>
      <c r="C93" s="276">
        <v>44347</v>
      </c>
      <c r="D93" s="257" t="s">
        <v>1300</v>
      </c>
      <c r="E93" s="256" t="s">
        <v>1818</v>
      </c>
      <c r="F93" s="256" t="s">
        <v>1864</v>
      </c>
      <c r="G93" s="258">
        <v>6819000000</v>
      </c>
      <c r="H93" s="265">
        <v>0.1</v>
      </c>
      <c r="I93" s="258">
        <v>681900000</v>
      </c>
      <c r="J93" s="258">
        <v>7500900000</v>
      </c>
      <c r="K93" s="256" t="s">
        <v>1346</v>
      </c>
    </row>
    <row r="94" spans="1:11" x14ac:dyDescent="0.3">
      <c r="A94" s="256">
        <v>33</v>
      </c>
      <c r="B94" s="257" t="s">
        <v>1399</v>
      </c>
      <c r="C94" s="276">
        <v>44408</v>
      </c>
      <c r="D94" s="257" t="s">
        <v>1274</v>
      </c>
      <c r="E94" s="256" t="s">
        <v>1794</v>
      </c>
      <c r="F94" s="256" t="s">
        <v>1864</v>
      </c>
      <c r="G94" s="258">
        <v>3249000000</v>
      </c>
      <c r="H94" s="265">
        <v>0.1</v>
      </c>
      <c r="I94" s="258">
        <v>324900000</v>
      </c>
      <c r="J94" s="258">
        <v>3573900000</v>
      </c>
      <c r="K94" s="256" t="s">
        <v>1346</v>
      </c>
    </row>
    <row r="95" spans="1:11" x14ac:dyDescent="0.3">
      <c r="A95" s="256">
        <v>34</v>
      </c>
      <c r="B95" s="257" t="s">
        <v>1401</v>
      </c>
      <c r="C95" s="276">
        <v>44439</v>
      </c>
      <c r="D95" s="257" t="s">
        <v>1303</v>
      </c>
      <c r="E95" s="256" t="s">
        <v>1817</v>
      </c>
      <c r="F95" s="256" t="s">
        <v>1866</v>
      </c>
      <c r="G95" s="258">
        <v>3135000000</v>
      </c>
      <c r="H95" s="265">
        <v>0.1</v>
      </c>
      <c r="I95" s="258">
        <v>313500000</v>
      </c>
      <c r="J95" s="258">
        <v>3448500000</v>
      </c>
      <c r="K95" s="256" t="s">
        <v>1346</v>
      </c>
    </row>
    <row r="96" spans="1:11" x14ac:dyDescent="0.3">
      <c r="A96" s="256">
        <v>35</v>
      </c>
      <c r="B96" s="257" t="s">
        <v>1402</v>
      </c>
      <c r="C96" s="276">
        <v>44500</v>
      </c>
      <c r="D96" s="257" t="s">
        <v>1267</v>
      </c>
      <c r="E96" s="256" t="s">
        <v>1810</v>
      </c>
      <c r="F96" s="256" t="s">
        <v>1865</v>
      </c>
      <c r="G96" s="258">
        <v>4172000000</v>
      </c>
      <c r="H96" s="265">
        <v>0.1</v>
      </c>
      <c r="I96" s="258">
        <v>417200000</v>
      </c>
      <c r="J96" s="258">
        <v>4589200000</v>
      </c>
      <c r="K96" s="256" t="s">
        <v>1346</v>
      </c>
    </row>
    <row r="97" spans="1:11" x14ac:dyDescent="0.3">
      <c r="A97" s="256">
        <v>36</v>
      </c>
      <c r="B97" s="257" t="s">
        <v>1403</v>
      </c>
      <c r="C97" s="276">
        <v>44561</v>
      </c>
      <c r="D97" s="257" t="s">
        <v>1256</v>
      </c>
      <c r="E97" s="256" t="s">
        <v>1802</v>
      </c>
      <c r="F97" s="256" t="s">
        <v>1866</v>
      </c>
      <c r="G97" s="258">
        <v>2327000000</v>
      </c>
      <c r="H97" s="265">
        <v>0.1</v>
      </c>
      <c r="I97" s="258">
        <v>232700000</v>
      </c>
      <c r="J97" s="258">
        <v>2559700000</v>
      </c>
      <c r="K97" s="256" t="s">
        <v>1346</v>
      </c>
    </row>
    <row r="98" spans="1:11" x14ac:dyDescent="0.3">
      <c r="A98" s="256">
        <v>37</v>
      </c>
      <c r="B98" s="257" t="s">
        <v>1404</v>
      </c>
      <c r="C98" s="276">
        <v>44561</v>
      </c>
      <c r="D98" s="257" t="s">
        <v>1286</v>
      </c>
      <c r="E98" s="256" t="s">
        <v>1828</v>
      </c>
      <c r="F98" s="256" t="s">
        <v>1866</v>
      </c>
      <c r="G98" s="258">
        <v>6895000000</v>
      </c>
      <c r="H98" s="265">
        <v>0.1</v>
      </c>
      <c r="I98" s="258">
        <v>689500000</v>
      </c>
      <c r="J98" s="258">
        <v>7584500000</v>
      </c>
      <c r="K98" s="256" t="s">
        <v>1346</v>
      </c>
    </row>
    <row r="99" spans="1:11" x14ac:dyDescent="0.3">
      <c r="A99" s="256">
        <v>38</v>
      </c>
      <c r="B99" s="257" t="s">
        <v>1405</v>
      </c>
      <c r="C99" s="276">
        <v>44561</v>
      </c>
      <c r="D99" s="257" t="s">
        <v>1299</v>
      </c>
      <c r="E99" s="256" t="s">
        <v>1776</v>
      </c>
      <c r="F99" s="256" t="s">
        <v>1864</v>
      </c>
      <c r="G99" s="258">
        <v>3295000000</v>
      </c>
      <c r="H99" s="265">
        <v>0.1</v>
      </c>
      <c r="I99" s="258">
        <v>329500000</v>
      </c>
      <c r="J99" s="258">
        <v>3624500000</v>
      </c>
      <c r="K99" s="256" t="s">
        <v>1348</v>
      </c>
    </row>
    <row r="100" spans="1:11" x14ac:dyDescent="0.3">
      <c r="A100" s="256">
        <v>39</v>
      </c>
      <c r="B100" s="257" t="s">
        <v>1406</v>
      </c>
      <c r="C100" s="276">
        <v>44561</v>
      </c>
      <c r="D100" s="257" t="s">
        <v>1290</v>
      </c>
      <c r="E100" s="256" t="s">
        <v>1796</v>
      </c>
      <c r="F100" s="256" t="s">
        <v>1866</v>
      </c>
      <c r="G100" s="258">
        <v>6873000000</v>
      </c>
      <c r="H100" s="265">
        <v>0</v>
      </c>
      <c r="I100" s="258">
        <v>0</v>
      </c>
      <c r="J100" s="258">
        <v>6873000000</v>
      </c>
      <c r="K100" s="256" t="s">
        <v>1346</v>
      </c>
    </row>
    <row r="101" spans="1:11" x14ac:dyDescent="0.3">
      <c r="A101" s="256">
        <v>40</v>
      </c>
      <c r="B101" s="257" t="s">
        <v>1408</v>
      </c>
      <c r="C101" s="276">
        <v>44561</v>
      </c>
      <c r="D101" s="257" t="s">
        <v>1256</v>
      </c>
      <c r="E101" s="256" t="s">
        <v>1802</v>
      </c>
      <c r="F101" s="256" t="s">
        <v>1867</v>
      </c>
      <c r="G101" s="258">
        <v>4144000000</v>
      </c>
      <c r="H101" s="265">
        <v>0.1</v>
      </c>
      <c r="I101" s="258">
        <v>414400000</v>
      </c>
      <c r="J101" s="258">
        <v>4558400000</v>
      </c>
      <c r="K101" s="256" t="s">
        <v>1346</v>
      </c>
    </row>
    <row r="102" spans="1:11" x14ac:dyDescent="0.3">
      <c r="A102" s="256">
        <v>41</v>
      </c>
      <c r="B102" s="257" t="s">
        <v>1409</v>
      </c>
      <c r="C102" s="276">
        <v>44561</v>
      </c>
      <c r="D102" s="257" t="s">
        <v>1286</v>
      </c>
      <c r="E102" s="256" t="s">
        <v>1828</v>
      </c>
      <c r="F102" s="256" t="s">
        <v>1864</v>
      </c>
      <c r="G102" s="258">
        <v>2309000000</v>
      </c>
      <c r="H102" s="265">
        <v>0.1</v>
      </c>
      <c r="I102" s="258">
        <v>230900000</v>
      </c>
      <c r="J102" s="258">
        <v>2539900000</v>
      </c>
      <c r="K102" s="256" t="s">
        <v>1346</v>
      </c>
    </row>
    <row r="103" spans="1:11" x14ac:dyDescent="0.3">
      <c r="A103" s="256">
        <v>42</v>
      </c>
      <c r="B103" s="257" t="s">
        <v>1411</v>
      </c>
      <c r="C103" s="276">
        <v>44561</v>
      </c>
      <c r="D103" s="257" t="s">
        <v>1295</v>
      </c>
      <c r="E103" s="256" t="s">
        <v>1825</v>
      </c>
      <c r="F103" s="256" t="s">
        <v>1864</v>
      </c>
      <c r="G103" s="258">
        <v>5633000000</v>
      </c>
      <c r="H103" s="265">
        <v>0.1</v>
      </c>
      <c r="I103" s="258">
        <v>563300000</v>
      </c>
      <c r="J103" s="258">
        <v>6196300000</v>
      </c>
      <c r="K103" s="256" t="s">
        <v>1346</v>
      </c>
    </row>
    <row r="104" spans="1:11" x14ac:dyDescent="0.3">
      <c r="A104" s="256">
        <v>43</v>
      </c>
      <c r="B104" s="257" t="s">
        <v>1414</v>
      </c>
      <c r="C104" s="276">
        <v>44561</v>
      </c>
      <c r="D104" s="257" t="s">
        <v>1304</v>
      </c>
      <c r="E104" s="256" t="s">
        <v>1831</v>
      </c>
      <c r="F104" s="256" t="s">
        <v>1866</v>
      </c>
      <c r="G104" s="258">
        <v>3813000000</v>
      </c>
      <c r="H104" s="265">
        <v>0.1</v>
      </c>
      <c r="I104" s="258">
        <v>381300000</v>
      </c>
      <c r="J104" s="258">
        <v>4194300000</v>
      </c>
      <c r="K104" s="256" t="s">
        <v>1346</v>
      </c>
    </row>
    <row r="105" spans="1:11" x14ac:dyDescent="0.3">
      <c r="A105" s="256">
        <v>44</v>
      </c>
      <c r="B105" s="257" t="s">
        <v>1415</v>
      </c>
      <c r="C105" s="276">
        <v>44561</v>
      </c>
      <c r="D105" s="257" t="s">
        <v>1272</v>
      </c>
      <c r="E105" s="256" t="s">
        <v>1805</v>
      </c>
      <c r="F105" s="256" t="s">
        <v>1864</v>
      </c>
      <c r="G105" s="258">
        <v>5147000000</v>
      </c>
      <c r="H105" s="265">
        <v>0.1</v>
      </c>
      <c r="I105" s="258">
        <v>514700000</v>
      </c>
      <c r="J105" s="258">
        <v>5661700000</v>
      </c>
      <c r="K105" s="256" t="s">
        <v>1346</v>
      </c>
    </row>
    <row r="106" spans="1:11" x14ac:dyDescent="0.3">
      <c r="A106" s="256">
        <v>45</v>
      </c>
      <c r="B106" s="257" t="s">
        <v>1206</v>
      </c>
      <c r="C106" s="276">
        <v>44561</v>
      </c>
      <c r="D106" s="257" t="s">
        <v>1274</v>
      </c>
      <c r="E106" s="256" t="s">
        <v>1794</v>
      </c>
      <c r="F106" s="256" t="s">
        <v>1865</v>
      </c>
      <c r="G106" s="258">
        <v>6118000000</v>
      </c>
      <c r="H106" s="265">
        <v>0.1</v>
      </c>
      <c r="I106" s="258">
        <v>611800000</v>
      </c>
      <c r="J106" s="258">
        <v>6729800000</v>
      </c>
      <c r="K106" s="256" t="s">
        <v>1346</v>
      </c>
    </row>
    <row r="107" spans="1:11" x14ac:dyDescent="0.3">
      <c r="A107" s="256">
        <v>46</v>
      </c>
      <c r="B107" s="257" t="s">
        <v>1207</v>
      </c>
      <c r="C107" s="276">
        <v>44561</v>
      </c>
      <c r="D107" s="257" t="s">
        <v>1298</v>
      </c>
      <c r="E107" s="256" t="s">
        <v>1819</v>
      </c>
      <c r="F107" s="256" t="s">
        <v>1866</v>
      </c>
      <c r="G107" s="258">
        <v>3820000000</v>
      </c>
      <c r="H107" s="265">
        <v>0</v>
      </c>
      <c r="I107" s="258">
        <v>0</v>
      </c>
      <c r="J107" s="258">
        <v>3820000000</v>
      </c>
      <c r="K107" s="256" t="s">
        <v>1346</v>
      </c>
    </row>
    <row r="108" spans="1:11" x14ac:dyDescent="0.3">
      <c r="A108" s="256">
        <v>47</v>
      </c>
      <c r="B108" s="257" t="s">
        <v>1208</v>
      </c>
      <c r="C108" s="276">
        <v>44561</v>
      </c>
      <c r="D108" s="257" t="s">
        <v>1269</v>
      </c>
      <c r="E108" s="256" t="s">
        <v>1823</v>
      </c>
      <c r="F108" s="256" t="s">
        <v>1867</v>
      </c>
      <c r="G108" s="258">
        <v>3422000000</v>
      </c>
      <c r="H108" s="265">
        <v>0.1</v>
      </c>
      <c r="I108" s="258">
        <v>342200000</v>
      </c>
      <c r="J108" s="258">
        <v>3764200000</v>
      </c>
      <c r="K108" s="256" t="s">
        <v>1346</v>
      </c>
    </row>
    <row r="109" spans="1:11" x14ac:dyDescent="0.3">
      <c r="A109" s="256">
        <v>48</v>
      </c>
      <c r="B109" s="257" t="s">
        <v>1209</v>
      </c>
      <c r="C109" s="276">
        <v>44561</v>
      </c>
      <c r="D109" s="257" t="s">
        <v>1304</v>
      </c>
      <c r="E109" s="256" t="s">
        <v>1831</v>
      </c>
      <c r="F109" s="256" t="s">
        <v>1865</v>
      </c>
      <c r="G109" s="258">
        <v>3335000000</v>
      </c>
      <c r="H109" s="265">
        <v>0.1</v>
      </c>
      <c r="I109" s="258">
        <v>333500000</v>
      </c>
      <c r="J109" s="258">
        <v>3668500000</v>
      </c>
      <c r="K109" s="256" t="s">
        <v>1346</v>
      </c>
    </row>
    <row r="110" spans="1:11" x14ac:dyDescent="0.3">
      <c r="A110" s="256">
        <v>49</v>
      </c>
      <c r="B110" s="257" t="s">
        <v>1418</v>
      </c>
      <c r="C110" s="276">
        <v>44561</v>
      </c>
      <c r="D110" s="257" t="s">
        <v>1259</v>
      </c>
      <c r="E110" s="256" t="s">
        <v>1788</v>
      </c>
      <c r="F110" s="256" t="s">
        <v>1866</v>
      </c>
      <c r="G110" s="258">
        <v>6115000000</v>
      </c>
      <c r="H110" s="265">
        <v>0.1</v>
      </c>
      <c r="I110" s="258">
        <v>611500000</v>
      </c>
      <c r="J110" s="258">
        <v>6726500000</v>
      </c>
      <c r="K110" s="256" t="s">
        <v>1346</v>
      </c>
    </row>
    <row r="111" spans="1:11" x14ac:dyDescent="0.3">
      <c r="A111" s="256">
        <v>50</v>
      </c>
      <c r="B111" s="257" t="s">
        <v>1419</v>
      </c>
      <c r="C111" s="276">
        <v>44561</v>
      </c>
      <c r="D111" s="257" t="s">
        <v>1259</v>
      </c>
      <c r="E111" s="256" t="s">
        <v>1788</v>
      </c>
      <c r="F111" s="256" t="s">
        <v>1866</v>
      </c>
      <c r="G111" s="258">
        <v>6703000000</v>
      </c>
      <c r="H111" s="265">
        <v>0.1</v>
      </c>
      <c r="I111" s="258">
        <v>670300000</v>
      </c>
      <c r="J111" s="258">
        <v>7373300000</v>
      </c>
      <c r="K111" s="256" t="s">
        <v>1346</v>
      </c>
    </row>
    <row r="112" spans="1:11" x14ac:dyDescent="0.3">
      <c r="A112" s="266" t="s">
        <v>1351</v>
      </c>
      <c r="B112" s="266"/>
      <c r="C112" s="266"/>
      <c r="D112" s="266"/>
      <c r="E112" s="266"/>
      <c r="F112" s="266"/>
      <c r="G112" s="267">
        <f>SUM(G62:G111)</f>
        <v>222549000000</v>
      </c>
      <c r="H112" s="266"/>
      <c r="I112" s="267">
        <f>SUM(I62:I111)</f>
        <v>20112100000</v>
      </c>
      <c r="J112" s="267">
        <f>SUM(J62:J111)</f>
        <v>242661100000</v>
      </c>
      <c r="K112" s="266"/>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cols>
    <col min="5" max="5" width="18.109375" bestFit="1" customWidth="1"/>
    <col min="6" max="7" width="12.88671875" bestFit="1" customWidth="1"/>
    <col min="10" max="10" width="12.88671875" bestFit="1" customWidth="1"/>
  </cols>
  <sheetData>
    <row r="1" spans="1:11" x14ac:dyDescent="0.3">
      <c r="A1" s="256" t="s">
        <v>1340</v>
      </c>
      <c r="B1" s="256" t="s">
        <v>680</v>
      </c>
      <c r="C1" s="256"/>
      <c r="D1" s="256"/>
      <c r="E1" s="256"/>
      <c r="F1" s="256"/>
      <c r="G1" s="256"/>
      <c r="H1" s="256"/>
      <c r="I1" s="256"/>
      <c r="J1" s="256"/>
      <c r="K1" s="256"/>
    </row>
    <row r="2" spans="1:11" x14ac:dyDescent="0.3">
      <c r="A2" s="256" t="s">
        <v>1339</v>
      </c>
      <c r="B2" s="257">
        <v>104220419</v>
      </c>
      <c r="C2" s="256"/>
      <c r="D2" s="256"/>
      <c r="E2" s="256"/>
      <c r="F2" s="256"/>
      <c r="G2" s="256"/>
      <c r="H2" s="256"/>
      <c r="I2" s="256"/>
      <c r="J2" s="256"/>
      <c r="K2" s="256"/>
    </row>
    <row r="3" spans="1:11" x14ac:dyDescent="0.3">
      <c r="A3" s="256" t="s">
        <v>1343</v>
      </c>
      <c r="B3" s="258">
        <v>484336693302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1387</v>
      </c>
      <c r="C8" s="276">
        <v>44317</v>
      </c>
      <c r="D8" s="257" t="s">
        <v>1304</v>
      </c>
      <c r="E8" s="256" t="s">
        <v>1831</v>
      </c>
      <c r="F8" s="256" t="s">
        <v>1609</v>
      </c>
      <c r="G8" s="258">
        <v>3579000000</v>
      </c>
      <c r="H8" s="265">
        <v>0.1</v>
      </c>
      <c r="I8" s="258">
        <v>357900000</v>
      </c>
      <c r="J8" s="258">
        <v>3936900000</v>
      </c>
      <c r="K8" s="256" t="s">
        <v>1346</v>
      </c>
    </row>
    <row r="9" spans="1:11" x14ac:dyDescent="0.3">
      <c r="A9" s="256">
        <v>2</v>
      </c>
      <c r="B9" s="257" t="s">
        <v>1409</v>
      </c>
      <c r="C9" s="276">
        <v>44318</v>
      </c>
      <c r="D9" s="257" t="s">
        <v>1270</v>
      </c>
      <c r="E9" s="256" t="s">
        <v>1782</v>
      </c>
      <c r="F9" s="256" t="s">
        <v>1609</v>
      </c>
      <c r="G9" s="258">
        <v>9488000000</v>
      </c>
      <c r="H9" s="265">
        <v>0.1</v>
      </c>
      <c r="I9" s="258">
        <v>948800000</v>
      </c>
      <c r="J9" s="258">
        <v>10436800000</v>
      </c>
      <c r="K9" s="256" t="s">
        <v>1346</v>
      </c>
    </row>
    <row r="10" spans="1:11" x14ac:dyDescent="0.3">
      <c r="A10" s="256">
        <v>3</v>
      </c>
      <c r="B10" s="257" t="s">
        <v>1409</v>
      </c>
      <c r="C10" s="276">
        <v>44472</v>
      </c>
      <c r="D10" s="257" t="s">
        <v>1268</v>
      </c>
      <c r="E10" s="256" t="s">
        <v>1821</v>
      </c>
      <c r="F10" s="256" t="s">
        <v>1880</v>
      </c>
      <c r="G10" s="258">
        <v>10623000000</v>
      </c>
      <c r="H10" s="265">
        <v>0.1</v>
      </c>
      <c r="I10" s="258">
        <v>1062300000</v>
      </c>
      <c r="J10" s="258">
        <v>11685300000</v>
      </c>
      <c r="K10" s="256" t="s">
        <v>1346</v>
      </c>
    </row>
    <row r="11" spans="1:11" x14ac:dyDescent="0.3">
      <c r="A11" s="256">
        <v>4</v>
      </c>
      <c r="B11" s="257" t="s">
        <v>1418</v>
      </c>
      <c r="C11" s="276">
        <v>44473</v>
      </c>
      <c r="D11" s="257" t="s">
        <v>1279</v>
      </c>
      <c r="E11" s="256" t="s">
        <v>1827</v>
      </c>
      <c r="F11" s="256" t="s">
        <v>1879</v>
      </c>
      <c r="G11" s="258">
        <v>6371000000</v>
      </c>
      <c r="H11" s="265">
        <v>0.1</v>
      </c>
      <c r="I11" s="258">
        <v>637100000</v>
      </c>
      <c r="J11" s="258">
        <v>7008100000</v>
      </c>
      <c r="K11" s="256" t="s">
        <v>1348</v>
      </c>
    </row>
    <row r="12" spans="1:11" x14ac:dyDescent="0.3">
      <c r="A12" s="256">
        <v>5</v>
      </c>
      <c r="B12" s="257" t="s">
        <v>1206</v>
      </c>
      <c r="C12" s="276">
        <v>44474</v>
      </c>
      <c r="D12" s="257" t="s">
        <v>1275</v>
      </c>
      <c r="E12" s="256" t="s">
        <v>1808</v>
      </c>
      <c r="F12" s="256" t="s">
        <v>1609</v>
      </c>
      <c r="G12" s="258">
        <v>3289000000</v>
      </c>
      <c r="H12" s="265">
        <v>0.1</v>
      </c>
      <c r="I12" s="258">
        <v>328900000</v>
      </c>
      <c r="J12" s="258">
        <v>3617900000</v>
      </c>
      <c r="K12" s="256" t="s">
        <v>1346</v>
      </c>
    </row>
    <row r="13" spans="1:11" x14ac:dyDescent="0.3">
      <c r="A13" s="256">
        <v>6</v>
      </c>
      <c r="B13" s="257" t="s">
        <v>1404</v>
      </c>
      <c r="C13" s="276">
        <v>44475</v>
      </c>
      <c r="D13" s="257" t="s">
        <v>1280</v>
      </c>
      <c r="E13" s="256" t="s">
        <v>1777</v>
      </c>
      <c r="F13" s="256" t="s">
        <v>1876</v>
      </c>
      <c r="G13" s="258">
        <v>10836000000</v>
      </c>
      <c r="H13" s="265">
        <v>0.1</v>
      </c>
      <c r="I13" s="258">
        <v>1083600000</v>
      </c>
      <c r="J13" s="258">
        <v>11919600000</v>
      </c>
      <c r="K13" s="256" t="s">
        <v>1346</v>
      </c>
    </row>
    <row r="14" spans="1:11" x14ac:dyDescent="0.3">
      <c r="A14" s="256">
        <v>7</v>
      </c>
      <c r="B14" s="257" t="s">
        <v>1414</v>
      </c>
      <c r="C14" s="276">
        <v>44476</v>
      </c>
      <c r="D14" s="257" t="s">
        <v>1260</v>
      </c>
      <c r="E14" s="256" t="s">
        <v>1804</v>
      </c>
      <c r="F14" s="256" t="s">
        <v>1879</v>
      </c>
      <c r="G14" s="258">
        <v>4209000000</v>
      </c>
      <c r="H14" s="265">
        <v>0.1</v>
      </c>
      <c r="I14" s="258">
        <v>420900000</v>
      </c>
      <c r="J14" s="258">
        <v>4629900000</v>
      </c>
      <c r="K14" s="256" t="s">
        <v>1346</v>
      </c>
    </row>
    <row r="15" spans="1:11" x14ac:dyDescent="0.3">
      <c r="A15" s="256">
        <v>8</v>
      </c>
      <c r="B15" s="257" t="s">
        <v>1411</v>
      </c>
      <c r="C15" s="276">
        <v>44477</v>
      </c>
      <c r="D15" s="257" t="s">
        <v>1272</v>
      </c>
      <c r="E15" s="256" t="s">
        <v>1805</v>
      </c>
      <c r="F15" s="256" t="s">
        <v>1877</v>
      </c>
      <c r="G15" s="258">
        <v>10143000000</v>
      </c>
      <c r="H15" s="265">
        <v>0.1</v>
      </c>
      <c r="I15" s="258">
        <v>1014300000</v>
      </c>
      <c r="J15" s="258">
        <v>11157300000</v>
      </c>
      <c r="K15" s="256" t="s">
        <v>1346</v>
      </c>
    </row>
    <row r="16" spans="1:11" x14ac:dyDescent="0.3">
      <c r="A16" s="256">
        <v>9</v>
      </c>
      <c r="B16" s="257" t="s">
        <v>1376</v>
      </c>
      <c r="C16" s="276">
        <v>44478</v>
      </c>
      <c r="D16" s="257" t="s">
        <v>1297</v>
      </c>
      <c r="E16" s="256" t="s">
        <v>1820</v>
      </c>
      <c r="F16" s="256" t="s">
        <v>1877</v>
      </c>
      <c r="G16" s="258">
        <v>10694000000</v>
      </c>
      <c r="H16" s="265">
        <v>0.1</v>
      </c>
      <c r="I16" s="258">
        <v>1069400000</v>
      </c>
      <c r="J16" s="258">
        <v>11763400000</v>
      </c>
      <c r="K16" s="256" t="s">
        <v>1348</v>
      </c>
    </row>
    <row r="17" spans="1:11" x14ac:dyDescent="0.3">
      <c r="A17" s="256">
        <v>10</v>
      </c>
      <c r="B17" s="257" t="s">
        <v>1401</v>
      </c>
      <c r="C17" s="276">
        <v>44479</v>
      </c>
      <c r="D17" s="257" t="s">
        <v>1267</v>
      </c>
      <c r="E17" s="256" t="s">
        <v>1810</v>
      </c>
      <c r="F17" s="256" t="s">
        <v>1878</v>
      </c>
      <c r="G17" s="258">
        <v>3278000000</v>
      </c>
      <c r="H17" s="265">
        <v>0.1</v>
      </c>
      <c r="I17" s="258">
        <v>327800000</v>
      </c>
      <c r="J17" s="258">
        <v>3605800000</v>
      </c>
      <c r="K17" s="256" t="s">
        <v>1346</v>
      </c>
    </row>
    <row r="18" spans="1:11" x14ac:dyDescent="0.3">
      <c r="A18" s="256">
        <v>11</v>
      </c>
      <c r="B18" s="257" t="s">
        <v>1405</v>
      </c>
      <c r="C18" s="276">
        <v>44480</v>
      </c>
      <c r="D18" s="257" t="s">
        <v>1256</v>
      </c>
      <c r="E18" s="256" t="s">
        <v>1802</v>
      </c>
      <c r="F18" s="256" t="s">
        <v>1876</v>
      </c>
      <c r="G18" s="258">
        <v>4269000000</v>
      </c>
      <c r="H18" s="265">
        <v>0.1</v>
      </c>
      <c r="I18" s="258">
        <v>426900000</v>
      </c>
      <c r="J18" s="258">
        <v>4695900000</v>
      </c>
      <c r="K18" s="256" t="s">
        <v>1346</v>
      </c>
    </row>
    <row r="19" spans="1:11" x14ac:dyDescent="0.3">
      <c r="A19" s="256">
        <v>12</v>
      </c>
      <c r="B19" s="257" t="s">
        <v>1381</v>
      </c>
      <c r="C19" s="276">
        <v>44481</v>
      </c>
      <c r="D19" s="257" t="s">
        <v>1299</v>
      </c>
      <c r="E19" s="256" t="s">
        <v>1776</v>
      </c>
      <c r="F19" s="256" t="s">
        <v>1880</v>
      </c>
      <c r="G19" s="258">
        <v>3129000000</v>
      </c>
      <c r="H19" s="265">
        <v>0.1</v>
      </c>
      <c r="I19" s="258">
        <v>312900000</v>
      </c>
      <c r="J19" s="258">
        <v>3441900000</v>
      </c>
      <c r="K19" s="256" t="s">
        <v>1346</v>
      </c>
    </row>
    <row r="20" spans="1:11" x14ac:dyDescent="0.3">
      <c r="A20" s="256">
        <v>13</v>
      </c>
      <c r="B20" s="257" t="s">
        <v>1411</v>
      </c>
      <c r="C20" s="276">
        <v>44211</v>
      </c>
      <c r="D20" s="257" t="s">
        <v>1278</v>
      </c>
      <c r="E20" s="256" t="s">
        <v>1785</v>
      </c>
      <c r="F20" s="256" t="s">
        <v>1879</v>
      </c>
      <c r="G20" s="258">
        <v>9322000000</v>
      </c>
      <c r="H20" s="265">
        <v>0.1</v>
      </c>
      <c r="I20" s="258">
        <v>932200000</v>
      </c>
      <c r="J20" s="258">
        <v>10254200000</v>
      </c>
      <c r="K20" s="256" t="s">
        <v>1346</v>
      </c>
    </row>
    <row r="21" spans="1:11" x14ac:dyDescent="0.3">
      <c r="A21" s="256">
        <v>14</v>
      </c>
      <c r="B21" s="257" t="s">
        <v>1398</v>
      </c>
      <c r="C21" s="276">
        <v>44242</v>
      </c>
      <c r="D21" s="257" t="s">
        <v>1255</v>
      </c>
      <c r="E21" s="273">
        <v>46152</v>
      </c>
      <c r="F21" s="256" t="s">
        <v>1879</v>
      </c>
      <c r="G21" s="258">
        <v>4681000000</v>
      </c>
      <c r="H21" s="265">
        <v>0.1</v>
      </c>
      <c r="I21" s="258">
        <v>468100000</v>
      </c>
      <c r="J21" s="258">
        <v>5149100000</v>
      </c>
      <c r="K21" s="256" t="s">
        <v>1346</v>
      </c>
    </row>
    <row r="22" spans="1:11" x14ac:dyDescent="0.3">
      <c r="A22" s="256">
        <v>15</v>
      </c>
      <c r="B22" s="257" t="s">
        <v>1409</v>
      </c>
      <c r="C22" s="276">
        <v>44275</v>
      </c>
      <c r="D22" s="257" t="s">
        <v>1274</v>
      </c>
      <c r="E22" s="256" t="s">
        <v>1794</v>
      </c>
      <c r="F22" s="256" t="s">
        <v>1880</v>
      </c>
      <c r="G22" s="258">
        <v>10895000000</v>
      </c>
      <c r="H22" s="265">
        <v>0.1</v>
      </c>
      <c r="I22" s="258">
        <v>1089500000</v>
      </c>
      <c r="J22" s="258">
        <v>11984500000</v>
      </c>
      <c r="K22" s="256" t="s">
        <v>1346</v>
      </c>
    </row>
    <row r="23" spans="1:11" x14ac:dyDescent="0.3">
      <c r="A23" s="256">
        <v>16</v>
      </c>
      <c r="B23" s="257" t="s">
        <v>1411</v>
      </c>
      <c r="C23" s="276">
        <v>44306</v>
      </c>
      <c r="D23" s="257" t="s">
        <v>1262</v>
      </c>
      <c r="E23" s="256" t="s">
        <v>1816</v>
      </c>
      <c r="F23" s="256" t="s">
        <v>1878</v>
      </c>
      <c r="G23" s="258">
        <v>4930000000</v>
      </c>
      <c r="H23" s="265">
        <v>0.1</v>
      </c>
      <c r="I23" s="258">
        <v>493000000</v>
      </c>
      <c r="J23" s="258">
        <v>5423000000</v>
      </c>
      <c r="K23" s="256" t="s">
        <v>1346</v>
      </c>
    </row>
    <row r="24" spans="1:11" x14ac:dyDescent="0.3">
      <c r="A24" s="256">
        <v>17</v>
      </c>
      <c r="B24" s="257" t="s">
        <v>1383</v>
      </c>
      <c r="C24" s="276">
        <v>44336</v>
      </c>
      <c r="D24" s="257" t="s">
        <v>1292</v>
      </c>
      <c r="E24" s="256" t="s">
        <v>1792</v>
      </c>
      <c r="F24" s="256" t="s">
        <v>1878</v>
      </c>
      <c r="G24" s="258">
        <v>4304000000</v>
      </c>
      <c r="H24" s="265">
        <v>0.1</v>
      </c>
      <c r="I24" s="258">
        <v>430400000</v>
      </c>
      <c r="J24" s="258">
        <v>4734400000</v>
      </c>
      <c r="K24" s="256" t="s">
        <v>1348</v>
      </c>
    </row>
    <row r="25" spans="1:11" x14ac:dyDescent="0.3">
      <c r="A25" s="256">
        <v>18</v>
      </c>
      <c r="B25" s="257" t="s">
        <v>1378</v>
      </c>
      <c r="C25" s="276">
        <v>44367</v>
      </c>
      <c r="D25" s="257" t="s">
        <v>1301</v>
      </c>
      <c r="E25" s="256" t="s">
        <v>1781</v>
      </c>
      <c r="F25" s="256" t="s">
        <v>1609</v>
      </c>
      <c r="G25" s="258">
        <v>4089000000</v>
      </c>
      <c r="H25" s="265">
        <v>0.1</v>
      </c>
      <c r="I25" s="258">
        <v>408900000</v>
      </c>
      <c r="J25" s="258">
        <v>4497900000</v>
      </c>
      <c r="K25" s="256" t="s">
        <v>1346</v>
      </c>
    </row>
    <row r="26" spans="1:11" x14ac:dyDescent="0.3">
      <c r="A26" s="256">
        <v>19</v>
      </c>
      <c r="B26" s="257" t="s">
        <v>1392</v>
      </c>
      <c r="C26" s="276">
        <v>44397</v>
      </c>
      <c r="D26" s="257" t="s">
        <v>1288</v>
      </c>
      <c r="E26" s="256" t="s">
        <v>1797</v>
      </c>
      <c r="F26" s="256" t="s">
        <v>1878</v>
      </c>
      <c r="G26" s="258">
        <v>8583000000</v>
      </c>
      <c r="H26" s="265">
        <v>0.1</v>
      </c>
      <c r="I26" s="258">
        <v>858300000</v>
      </c>
      <c r="J26" s="258">
        <v>9441300000</v>
      </c>
      <c r="K26" s="256" t="s">
        <v>1346</v>
      </c>
    </row>
    <row r="27" spans="1:11" x14ac:dyDescent="0.3">
      <c r="A27" s="256">
        <v>20</v>
      </c>
      <c r="B27" s="257" t="s">
        <v>1207</v>
      </c>
      <c r="C27" s="276">
        <v>44428</v>
      </c>
      <c r="D27" s="257" t="s">
        <v>1275</v>
      </c>
      <c r="E27" s="256" t="s">
        <v>1808</v>
      </c>
      <c r="F27" s="256" t="s">
        <v>1879</v>
      </c>
      <c r="G27" s="258">
        <v>6950000000</v>
      </c>
      <c r="H27" s="265">
        <v>0.1</v>
      </c>
      <c r="I27" s="258">
        <v>695000000</v>
      </c>
      <c r="J27" s="258">
        <v>7645000000</v>
      </c>
      <c r="K27" s="256" t="s">
        <v>1346</v>
      </c>
    </row>
    <row r="28" spans="1:11" x14ac:dyDescent="0.3">
      <c r="A28" s="256">
        <v>21</v>
      </c>
      <c r="B28" s="257" t="s">
        <v>1388</v>
      </c>
      <c r="C28" s="276">
        <v>44459</v>
      </c>
      <c r="D28" s="257" t="s">
        <v>1304</v>
      </c>
      <c r="E28" s="256" t="s">
        <v>1831</v>
      </c>
      <c r="F28" s="256" t="s">
        <v>1877</v>
      </c>
      <c r="G28" s="258">
        <v>11043000000</v>
      </c>
      <c r="H28" s="265">
        <v>0.1</v>
      </c>
      <c r="I28" s="258">
        <v>1104300000</v>
      </c>
      <c r="J28" s="258">
        <v>12147300000</v>
      </c>
      <c r="K28" s="256" t="s">
        <v>1346</v>
      </c>
    </row>
    <row r="29" spans="1:11" x14ac:dyDescent="0.3">
      <c r="A29" s="256">
        <v>22</v>
      </c>
      <c r="B29" s="257" t="s">
        <v>1414</v>
      </c>
      <c r="C29" s="276">
        <v>44489</v>
      </c>
      <c r="D29" s="257" t="s">
        <v>1262</v>
      </c>
      <c r="E29" s="256" t="s">
        <v>1816</v>
      </c>
      <c r="F29" s="256" t="s">
        <v>1877</v>
      </c>
      <c r="G29" s="258">
        <v>7374000000</v>
      </c>
      <c r="H29" s="265">
        <v>0.1</v>
      </c>
      <c r="I29" s="258">
        <v>737400000</v>
      </c>
      <c r="J29" s="258">
        <v>8111400000</v>
      </c>
      <c r="K29" s="256" t="s">
        <v>1346</v>
      </c>
    </row>
    <row r="30" spans="1:11" x14ac:dyDescent="0.3">
      <c r="A30" s="256">
        <v>23</v>
      </c>
      <c r="B30" s="257" t="s">
        <v>1371</v>
      </c>
      <c r="C30" s="276">
        <v>44520</v>
      </c>
      <c r="D30" s="257" t="s">
        <v>1303</v>
      </c>
      <c r="E30" s="256" t="s">
        <v>1817</v>
      </c>
      <c r="F30" s="256" t="s">
        <v>1879</v>
      </c>
      <c r="G30" s="258">
        <v>6143000000</v>
      </c>
      <c r="H30" s="265">
        <v>0.1</v>
      </c>
      <c r="I30" s="258">
        <v>614300000</v>
      </c>
      <c r="J30" s="258">
        <v>6757300000</v>
      </c>
      <c r="K30" s="256" t="s">
        <v>1346</v>
      </c>
    </row>
    <row r="31" spans="1:11" x14ac:dyDescent="0.3">
      <c r="A31" s="256">
        <v>24</v>
      </c>
      <c r="B31" s="257" t="s">
        <v>1381</v>
      </c>
      <c r="C31" s="276">
        <v>44550</v>
      </c>
      <c r="D31" s="257" t="s">
        <v>1295</v>
      </c>
      <c r="E31" s="256" t="s">
        <v>1825</v>
      </c>
      <c r="F31" s="256" t="s">
        <v>1609</v>
      </c>
      <c r="G31" s="258">
        <v>10875000000</v>
      </c>
      <c r="H31" s="265">
        <v>0.1</v>
      </c>
      <c r="I31" s="258">
        <v>1087500000</v>
      </c>
      <c r="J31" s="258">
        <v>11962500000</v>
      </c>
      <c r="K31" s="256" t="s">
        <v>1346</v>
      </c>
    </row>
    <row r="32" spans="1:11" x14ac:dyDescent="0.3">
      <c r="A32" s="256">
        <v>25</v>
      </c>
      <c r="B32" s="257" t="s">
        <v>1411</v>
      </c>
      <c r="C32" s="276">
        <v>44221</v>
      </c>
      <c r="D32" s="257" t="s">
        <v>1268</v>
      </c>
      <c r="E32" s="256" t="s">
        <v>1821</v>
      </c>
      <c r="F32" s="256" t="s">
        <v>1878</v>
      </c>
      <c r="G32" s="258">
        <v>3520000000</v>
      </c>
      <c r="H32" s="265">
        <v>0.1</v>
      </c>
      <c r="I32" s="258">
        <v>352000000</v>
      </c>
      <c r="J32" s="258">
        <v>3872000000</v>
      </c>
      <c r="K32" s="256" t="s">
        <v>1346</v>
      </c>
    </row>
    <row r="33" spans="1:11" x14ac:dyDescent="0.3">
      <c r="A33" s="256">
        <v>26</v>
      </c>
      <c r="B33" s="257" t="s">
        <v>1405</v>
      </c>
      <c r="C33" s="276">
        <v>44255</v>
      </c>
      <c r="D33" s="257" t="s">
        <v>1280</v>
      </c>
      <c r="E33" s="256" t="s">
        <v>1777</v>
      </c>
      <c r="F33" s="256" t="s">
        <v>1879</v>
      </c>
      <c r="G33" s="258">
        <v>11193000000</v>
      </c>
      <c r="H33" s="265">
        <v>0.1</v>
      </c>
      <c r="I33" s="258">
        <v>1119300000</v>
      </c>
      <c r="J33" s="258">
        <v>12312300000</v>
      </c>
      <c r="K33" s="256" t="s">
        <v>1346</v>
      </c>
    </row>
    <row r="34" spans="1:11" x14ac:dyDescent="0.3">
      <c r="A34" s="256">
        <v>27</v>
      </c>
      <c r="B34" s="257" t="s">
        <v>1209</v>
      </c>
      <c r="C34" s="276">
        <v>44316</v>
      </c>
      <c r="D34" s="257" t="s">
        <v>1259</v>
      </c>
      <c r="E34" s="256" t="s">
        <v>1788</v>
      </c>
      <c r="F34" s="256" t="s">
        <v>1880</v>
      </c>
      <c r="G34" s="258">
        <v>9861000000</v>
      </c>
      <c r="H34" s="265">
        <v>0.1</v>
      </c>
      <c r="I34" s="258">
        <v>986100000</v>
      </c>
      <c r="J34" s="258">
        <v>10847100000</v>
      </c>
      <c r="K34" s="256" t="s">
        <v>1346</v>
      </c>
    </row>
    <row r="35" spans="1:11" x14ac:dyDescent="0.3">
      <c r="A35" s="256">
        <v>28</v>
      </c>
      <c r="B35" s="257" t="s">
        <v>1409</v>
      </c>
      <c r="C35" s="276">
        <v>44377</v>
      </c>
      <c r="D35" s="257" t="s">
        <v>1273</v>
      </c>
      <c r="E35" s="256" t="s">
        <v>1829</v>
      </c>
      <c r="F35" s="256" t="s">
        <v>1878</v>
      </c>
      <c r="G35" s="258">
        <v>9123000000</v>
      </c>
      <c r="H35" s="265">
        <v>0</v>
      </c>
      <c r="I35" s="258">
        <v>0</v>
      </c>
      <c r="J35" s="258">
        <v>9123000000</v>
      </c>
      <c r="K35" s="256" t="s">
        <v>1348</v>
      </c>
    </row>
    <row r="36" spans="1:11" x14ac:dyDescent="0.3">
      <c r="A36" s="256">
        <v>29</v>
      </c>
      <c r="B36" s="257" t="s">
        <v>1456</v>
      </c>
      <c r="C36" s="276">
        <v>44469</v>
      </c>
      <c r="D36" s="257" t="s">
        <v>1277</v>
      </c>
      <c r="E36" s="256" t="s">
        <v>1783</v>
      </c>
      <c r="F36" s="256" t="s">
        <v>1880</v>
      </c>
      <c r="G36" s="258">
        <v>2837000000</v>
      </c>
      <c r="H36" s="265">
        <v>0.1</v>
      </c>
      <c r="I36" s="258">
        <v>283700000</v>
      </c>
      <c r="J36" s="258">
        <v>3120700000</v>
      </c>
      <c r="K36" s="256" t="s">
        <v>1346</v>
      </c>
    </row>
    <row r="37" spans="1:11" x14ac:dyDescent="0.3">
      <c r="A37" s="256">
        <v>30</v>
      </c>
      <c r="B37" s="257" t="s">
        <v>1399</v>
      </c>
      <c r="C37" s="276">
        <v>44530</v>
      </c>
      <c r="D37" s="257" t="s">
        <v>1255</v>
      </c>
      <c r="E37" s="273">
        <v>46152</v>
      </c>
      <c r="F37" s="256" t="s">
        <v>1879</v>
      </c>
      <c r="G37" s="258">
        <v>2851000000</v>
      </c>
      <c r="H37" s="265">
        <v>0.1</v>
      </c>
      <c r="I37" s="258">
        <v>285100000</v>
      </c>
      <c r="J37" s="258">
        <v>3136100000</v>
      </c>
      <c r="K37" s="256" t="s">
        <v>1346</v>
      </c>
    </row>
    <row r="38" spans="1:11" x14ac:dyDescent="0.3">
      <c r="A38" s="256">
        <v>31</v>
      </c>
      <c r="B38" s="257" t="s">
        <v>1205</v>
      </c>
      <c r="C38" s="276">
        <v>44286</v>
      </c>
      <c r="D38" s="257" t="s">
        <v>1287</v>
      </c>
      <c r="E38" s="256" t="s">
        <v>1801</v>
      </c>
      <c r="F38" s="256" t="s">
        <v>1878</v>
      </c>
      <c r="G38" s="258">
        <v>5371000000</v>
      </c>
      <c r="H38" s="265">
        <v>0.1</v>
      </c>
      <c r="I38" s="258">
        <v>537100000</v>
      </c>
      <c r="J38" s="258">
        <v>5908100000</v>
      </c>
      <c r="K38" s="256" t="s">
        <v>1346</v>
      </c>
    </row>
    <row r="39" spans="1:11" x14ac:dyDescent="0.3">
      <c r="A39" s="256">
        <v>32</v>
      </c>
      <c r="B39" s="257" t="s">
        <v>1415</v>
      </c>
      <c r="C39" s="276">
        <v>44347</v>
      </c>
      <c r="D39" s="257" t="s">
        <v>1260</v>
      </c>
      <c r="E39" s="256" t="s">
        <v>1804</v>
      </c>
      <c r="F39" s="256" t="s">
        <v>1880</v>
      </c>
      <c r="G39" s="258">
        <v>4612000000</v>
      </c>
      <c r="H39" s="265">
        <v>0</v>
      </c>
      <c r="I39" s="258">
        <v>0</v>
      </c>
      <c r="J39" s="258">
        <v>4612000000</v>
      </c>
      <c r="K39" s="256" t="s">
        <v>1346</v>
      </c>
    </row>
    <row r="40" spans="1:11" x14ac:dyDescent="0.3">
      <c r="A40" s="256">
        <v>33</v>
      </c>
      <c r="B40" s="257" t="s">
        <v>1374</v>
      </c>
      <c r="C40" s="276">
        <v>44408</v>
      </c>
      <c r="D40" s="257" t="s">
        <v>1261</v>
      </c>
      <c r="E40" s="256" t="s">
        <v>1813</v>
      </c>
      <c r="F40" s="256" t="s">
        <v>1880</v>
      </c>
      <c r="G40" s="258">
        <v>4236000000</v>
      </c>
      <c r="H40" s="265">
        <v>0.1</v>
      </c>
      <c r="I40" s="258">
        <v>423600000</v>
      </c>
      <c r="J40" s="258">
        <v>4659600000</v>
      </c>
      <c r="K40" s="256" t="s">
        <v>1346</v>
      </c>
    </row>
    <row r="41" spans="1:11" x14ac:dyDescent="0.3">
      <c r="A41" s="256">
        <v>34</v>
      </c>
      <c r="B41" s="257" t="s">
        <v>1208</v>
      </c>
      <c r="C41" s="276">
        <v>44439</v>
      </c>
      <c r="D41" s="257" t="s">
        <v>1275</v>
      </c>
      <c r="E41" s="256" t="s">
        <v>1808</v>
      </c>
      <c r="F41" s="256" t="s">
        <v>1876</v>
      </c>
      <c r="G41" s="258">
        <v>10884000000</v>
      </c>
      <c r="H41" s="265">
        <v>0.1</v>
      </c>
      <c r="I41" s="258">
        <v>1088400000</v>
      </c>
      <c r="J41" s="258">
        <v>11972400000</v>
      </c>
      <c r="K41" s="256" t="s">
        <v>1348</v>
      </c>
    </row>
    <row r="42" spans="1:11" x14ac:dyDescent="0.3">
      <c r="A42" s="256">
        <v>35</v>
      </c>
      <c r="B42" s="257" t="s">
        <v>1415</v>
      </c>
      <c r="C42" s="276">
        <v>44500</v>
      </c>
      <c r="D42" s="257" t="s">
        <v>1262</v>
      </c>
      <c r="E42" s="256" t="s">
        <v>1816</v>
      </c>
      <c r="F42" s="256" t="s">
        <v>1879</v>
      </c>
      <c r="G42" s="258">
        <v>6209000000</v>
      </c>
      <c r="H42" s="265">
        <v>0.1</v>
      </c>
      <c r="I42" s="258">
        <v>620900000</v>
      </c>
      <c r="J42" s="258">
        <v>6829900000</v>
      </c>
      <c r="K42" s="256" t="s">
        <v>1346</v>
      </c>
    </row>
    <row r="43" spans="1:11" x14ac:dyDescent="0.3">
      <c r="A43" s="256">
        <v>36</v>
      </c>
      <c r="B43" s="257" t="s">
        <v>1205</v>
      </c>
      <c r="C43" s="276">
        <v>44561</v>
      </c>
      <c r="D43" s="257" t="s">
        <v>1290</v>
      </c>
      <c r="E43" s="256" t="s">
        <v>1796</v>
      </c>
      <c r="F43" s="256" t="s">
        <v>1876</v>
      </c>
      <c r="G43" s="258">
        <v>6110000000</v>
      </c>
      <c r="H43" s="265">
        <v>0.1</v>
      </c>
      <c r="I43" s="258">
        <v>611000000</v>
      </c>
      <c r="J43" s="258">
        <v>6721000000</v>
      </c>
      <c r="K43" s="256" t="s">
        <v>1346</v>
      </c>
    </row>
    <row r="44" spans="1:11" x14ac:dyDescent="0.3">
      <c r="A44" s="256">
        <v>37</v>
      </c>
      <c r="B44" s="257" t="s">
        <v>1461</v>
      </c>
      <c r="C44" s="276">
        <v>44561</v>
      </c>
      <c r="D44" s="257" t="s">
        <v>1284</v>
      </c>
      <c r="E44" s="256" t="s">
        <v>1786</v>
      </c>
      <c r="F44" s="256" t="s">
        <v>1876</v>
      </c>
      <c r="G44" s="258">
        <v>8058000000</v>
      </c>
      <c r="H44" s="265">
        <v>0.1</v>
      </c>
      <c r="I44" s="258">
        <v>805800000</v>
      </c>
      <c r="J44" s="258">
        <v>8863800000</v>
      </c>
      <c r="K44" s="256" t="s">
        <v>1346</v>
      </c>
    </row>
    <row r="45" spans="1:11" x14ac:dyDescent="0.3">
      <c r="A45" s="256">
        <v>38</v>
      </c>
      <c r="B45" s="257" t="s">
        <v>1379</v>
      </c>
      <c r="C45" s="276">
        <v>44561</v>
      </c>
      <c r="D45" s="257" t="s">
        <v>1301</v>
      </c>
      <c r="E45" s="256" t="s">
        <v>1781</v>
      </c>
      <c r="F45" s="256" t="s">
        <v>1879</v>
      </c>
      <c r="G45" s="258">
        <v>5918000000</v>
      </c>
      <c r="H45" s="265">
        <v>0.1</v>
      </c>
      <c r="I45" s="258">
        <v>591800000</v>
      </c>
      <c r="J45" s="258">
        <v>6509800000</v>
      </c>
      <c r="K45" s="256" t="s">
        <v>1346</v>
      </c>
    </row>
    <row r="46" spans="1:11" x14ac:dyDescent="0.3">
      <c r="A46" s="256">
        <v>39</v>
      </c>
      <c r="B46" s="257" t="s">
        <v>1391</v>
      </c>
      <c r="C46" s="276">
        <v>44561</v>
      </c>
      <c r="D46" s="257" t="s">
        <v>1304</v>
      </c>
      <c r="E46" s="256" t="s">
        <v>1831</v>
      </c>
      <c r="F46" s="256" t="s">
        <v>1880</v>
      </c>
      <c r="G46" s="258">
        <v>10596000000</v>
      </c>
      <c r="H46" s="265">
        <v>0.1</v>
      </c>
      <c r="I46" s="258">
        <v>1059600000</v>
      </c>
      <c r="J46" s="258">
        <v>11655600000</v>
      </c>
      <c r="K46" s="256" t="s">
        <v>1346</v>
      </c>
    </row>
    <row r="47" spans="1:11" x14ac:dyDescent="0.3">
      <c r="A47" s="256">
        <v>40</v>
      </c>
      <c r="B47" s="257" t="s">
        <v>1381</v>
      </c>
      <c r="C47" s="276">
        <v>44561</v>
      </c>
      <c r="D47" s="257" t="s">
        <v>1300</v>
      </c>
      <c r="E47" s="256" t="s">
        <v>1818</v>
      </c>
      <c r="F47" s="256" t="s">
        <v>1879</v>
      </c>
      <c r="G47" s="258">
        <v>10563000000</v>
      </c>
      <c r="H47" s="265">
        <v>0.1</v>
      </c>
      <c r="I47" s="258">
        <v>1056300000</v>
      </c>
      <c r="J47" s="258">
        <v>11619300000</v>
      </c>
      <c r="K47" s="256" t="s">
        <v>1346</v>
      </c>
    </row>
    <row r="48" spans="1:11" x14ac:dyDescent="0.3">
      <c r="A48" s="256">
        <v>41</v>
      </c>
      <c r="B48" s="257" t="s">
        <v>1382</v>
      </c>
      <c r="C48" s="276">
        <v>44561</v>
      </c>
      <c r="D48" s="257" t="s">
        <v>1299</v>
      </c>
      <c r="E48" s="256" t="s">
        <v>1776</v>
      </c>
      <c r="F48" s="256" t="s">
        <v>1876</v>
      </c>
      <c r="G48" s="258">
        <v>5185000000</v>
      </c>
      <c r="H48" s="265">
        <v>0.1</v>
      </c>
      <c r="I48" s="258">
        <v>518500000</v>
      </c>
      <c r="J48" s="258">
        <v>5703500000</v>
      </c>
      <c r="K48" s="256" t="s">
        <v>1346</v>
      </c>
    </row>
    <row r="49" spans="1:11" x14ac:dyDescent="0.3">
      <c r="A49" s="256">
        <v>42</v>
      </c>
      <c r="B49" s="257" t="s">
        <v>1404</v>
      </c>
      <c r="C49" s="276">
        <v>44561</v>
      </c>
      <c r="D49" s="257" t="s">
        <v>1285</v>
      </c>
      <c r="E49" s="256" t="s">
        <v>1793</v>
      </c>
      <c r="F49" s="256" t="s">
        <v>1878</v>
      </c>
      <c r="G49" s="258">
        <v>6657000000</v>
      </c>
      <c r="H49" s="265">
        <v>0.1</v>
      </c>
      <c r="I49" s="258">
        <v>665700000</v>
      </c>
      <c r="J49" s="258">
        <v>7322700000</v>
      </c>
      <c r="K49" s="256" t="s">
        <v>1348</v>
      </c>
    </row>
    <row r="50" spans="1:11" x14ac:dyDescent="0.3">
      <c r="A50" s="256">
        <v>43</v>
      </c>
      <c r="B50" s="257" t="s">
        <v>1411</v>
      </c>
      <c r="C50" s="276">
        <v>44561</v>
      </c>
      <c r="D50" s="257" t="s">
        <v>1270</v>
      </c>
      <c r="E50" s="256" t="s">
        <v>1782</v>
      </c>
      <c r="F50" s="256" t="s">
        <v>1878</v>
      </c>
      <c r="G50" s="258">
        <v>11239000000</v>
      </c>
      <c r="H50" s="265">
        <v>0.1</v>
      </c>
      <c r="I50" s="258">
        <v>1123900000</v>
      </c>
      <c r="J50" s="258">
        <v>12362900000</v>
      </c>
      <c r="K50" s="256" t="s">
        <v>1346</v>
      </c>
    </row>
    <row r="51" spans="1:11" x14ac:dyDescent="0.3">
      <c r="A51" s="256">
        <v>44</v>
      </c>
      <c r="B51" s="257" t="s">
        <v>1394</v>
      </c>
      <c r="C51" s="276">
        <v>44561</v>
      </c>
      <c r="D51" s="257" t="s">
        <v>1257</v>
      </c>
      <c r="E51" s="256" t="s">
        <v>1815</v>
      </c>
      <c r="F51" s="256" t="s">
        <v>1879</v>
      </c>
      <c r="G51" s="258">
        <v>9015000000</v>
      </c>
      <c r="H51" s="265">
        <v>0.1</v>
      </c>
      <c r="I51" s="258">
        <v>901500000</v>
      </c>
      <c r="J51" s="258">
        <v>9916500000</v>
      </c>
      <c r="K51" s="256" t="s">
        <v>1346</v>
      </c>
    </row>
    <row r="52" spans="1:11" x14ac:dyDescent="0.3">
      <c r="A52" s="256">
        <v>45</v>
      </c>
      <c r="B52" s="257" t="s">
        <v>1376</v>
      </c>
      <c r="C52" s="276">
        <v>44561</v>
      </c>
      <c r="D52" s="257" t="s">
        <v>1261</v>
      </c>
      <c r="E52" s="256" t="s">
        <v>1813</v>
      </c>
      <c r="F52" s="256" t="s">
        <v>1876</v>
      </c>
      <c r="G52" s="258">
        <v>6200000000</v>
      </c>
      <c r="H52" s="265">
        <v>0.1</v>
      </c>
      <c r="I52" s="258">
        <v>620000000</v>
      </c>
      <c r="J52" s="258">
        <v>6820000000</v>
      </c>
      <c r="K52" s="256" t="s">
        <v>1346</v>
      </c>
    </row>
    <row r="53" spans="1:11" x14ac:dyDescent="0.3">
      <c r="A53" s="256">
        <v>46</v>
      </c>
      <c r="B53" s="257" t="s">
        <v>1396</v>
      </c>
      <c r="C53" s="276">
        <v>44561</v>
      </c>
      <c r="D53" s="257" t="s">
        <v>1257</v>
      </c>
      <c r="E53" s="256" t="s">
        <v>1815</v>
      </c>
      <c r="F53" s="256" t="s">
        <v>1876</v>
      </c>
      <c r="G53" s="258">
        <v>8866000000</v>
      </c>
      <c r="H53" s="265">
        <v>0.1</v>
      </c>
      <c r="I53" s="258">
        <v>886600000</v>
      </c>
      <c r="J53" s="258">
        <v>9752600000</v>
      </c>
      <c r="K53" s="256" t="s">
        <v>1346</v>
      </c>
    </row>
    <row r="54" spans="1:11" x14ac:dyDescent="0.3">
      <c r="A54" s="256">
        <v>47</v>
      </c>
      <c r="B54" s="257" t="s">
        <v>1457</v>
      </c>
      <c r="C54" s="276">
        <v>44561</v>
      </c>
      <c r="D54" s="257" t="s">
        <v>1277</v>
      </c>
      <c r="E54" s="256" t="s">
        <v>1783</v>
      </c>
      <c r="F54" s="256" t="s">
        <v>1609</v>
      </c>
      <c r="G54" s="258">
        <v>3078000000</v>
      </c>
      <c r="H54" s="265">
        <v>0.1</v>
      </c>
      <c r="I54" s="258">
        <v>307800000</v>
      </c>
      <c r="J54" s="258">
        <v>3385800000</v>
      </c>
      <c r="K54" s="256" t="s">
        <v>1346</v>
      </c>
    </row>
    <row r="55" spans="1:11" x14ac:dyDescent="0.3">
      <c r="A55" s="256">
        <v>48</v>
      </c>
      <c r="B55" s="257" t="s">
        <v>1404</v>
      </c>
      <c r="C55" s="276">
        <v>44561</v>
      </c>
      <c r="D55" s="257" t="s">
        <v>1266</v>
      </c>
      <c r="E55" s="256" t="s">
        <v>1824</v>
      </c>
      <c r="F55" s="256" t="s">
        <v>1609</v>
      </c>
      <c r="G55" s="258">
        <v>8207000000</v>
      </c>
      <c r="H55" s="265">
        <v>0.1</v>
      </c>
      <c r="I55" s="258">
        <v>820700000</v>
      </c>
      <c r="J55" s="258">
        <v>9027700000</v>
      </c>
      <c r="K55" s="256" t="s">
        <v>1346</v>
      </c>
    </row>
    <row r="56" spans="1:11" x14ac:dyDescent="0.3">
      <c r="A56" s="256">
        <v>49</v>
      </c>
      <c r="B56" s="257" t="s">
        <v>1371</v>
      </c>
      <c r="C56" s="276">
        <v>44561</v>
      </c>
      <c r="D56" s="257" t="s">
        <v>1286</v>
      </c>
      <c r="E56" s="256" t="s">
        <v>1828</v>
      </c>
      <c r="F56" s="256" t="s">
        <v>1876</v>
      </c>
      <c r="G56" s="258">
        <v>7311000000</v>
      </c>
      <c r="H56" s="265">
        <v>0.1</v>
      </c>
      <c r="I56" s="258">
        <v>731100000</v>
      </c>
      <c r="J56" s="258">
        <v>8042100000</v>
      </c>
      <c r="K56" s="256" t="s">
        <v>1346</v>
      </c>
    </row>
    <row r="57" spans="1:11" x14ac:dyDescent="0.3">
      <c r="A57" s="256">
        <v>50</v>
      </c>
      <c r="B57" s="257" t="s">
        <v>1391</v>
      </c>
      <c r="C57" s="276">
        <v>44561</v>
      </c>
      <c r="D57" s="257" t="s">
        <v>1269</v>
      </c>
      <c r="E57" s="256" t="s">
        <v>1823</v>
      </c>
      <c r="F57" s="256" t="s">
        <v>1609</v>
      </c>
      <c r="G57" s="258">
        <v>11083000000</v>
      </c>
      <c r="H57" s="265">
        <v>0.1</v>
      </c>
      <c r="I57" s="258">
        <v>1108300000</v>
      </c>
      <c r="J57" s="258">
        <v>12191300000</v>
      </c>
      <c r="K57" s="256" t="s">
        <v>1346</v>
      </c>
    </row>
    <row r="58" spans="1:11" x14ac:dyDescent="0.3">
      <c r="A58" s="266" t="s">
        <v>1351</v>
      </c>
      <c r="B58" s="266"/>
      <c r="C58" s="266"/>
      <c r="D58" s="266"/>
      <c r="E58" s="266"/>
      <c r="F58" s="266"/>
      <c r="G58" s="267">
        <f>SUM(G8:G57)</f>
        <v>357880000000</v>
      </c>
      <c r="H58" s="266"/>
      <c r="I58" s="267">
        <f>SUM(I8:I57)</f>
        <v>34414500000</v>
      </c>
      <c r="J58" s="267">
        <f>SUM(J8:J57)</f>
        <v>392294500000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1256</v>
      </c>
      <c r="E62" s="256" t="s">
        <v>1802</v>
      </c>
      <c r="F62" s="256" t="s">
        <v>1882</v>
      </c>
      <c r="G62" s="258">
        <v>7553000000</v>
      </c>
      <c r="H62" s="265">
        <v>0.1</v>
      </c>
      <c r="I62" s="258">
        <v>755300000</v>
      </c>
      <c r="J62" s="258">
        <v>8308300000</v>
      </c>
      <c r="K62" s="256" t="s">
        <v>1348</v>
      </c>
    </row>
    <row r="63" spans="1:11" x14ac:dyDescent="0.3">
      <c r="A63" s="256">
        <v>2</v>
      </c>
      <c r="B63" s="257" t="s">
        <v>1201</v>
      </c>
      <c r="C63" s="276">
        <v>44318</v>
      </c>
      <c r="D63" s="257" t="s">
        <v>1255</v>
      </c>
      <c r="E63" s="273">
        <v>46152</v>
      </c>
      <c r="F63" s="256" t="s">
        <v>1883</v>
      </c>
      <c r="G63" s="258">
        <v>9759000000</v>
      </c>
      <c r="H63" s="265">
        <v>0.1</v>
      </c>
      <c r="I63" s="258">
        <v>975900000</v>
      </c>
      <c r="J63" s="258">
        <v>10734900000</v>
      </c>
      <c r="K63" s="256" t="s">
        <v>1346</v>
      </c>
    </row>
    <row r="64" spans="1:11" x14ac:dyDescent="0.3">
      <c r="A64" s="256">
        <v>3</v>
      </c>
      <c r="B64" s="257" t="s">
        <v>1202</v>
      </c>
      <c r="C64" s="276">
        <v>44472</v>
      </c>
      <c r="D64" s="257" t="s">
        <v>1303</v>
      </c>
      <c r="E64" s="256" t="s">
        <v>1817</v>
      </c>
      <c r="F64" s="256" t="s">
        <v>1881</v>
      </c>
      <c r="G64" s="258">
        <v>9125000000</v>
      </c>
      <c r="H64" s="265">
        <v>0.1</v>
      </c>
      <c r="I64" s="258">
        <v>912500000</v>
      </c>
      <c r="J64" s="258">
        <v>10037500000</v>
      </c>
      <c r="K64" s="256" t="s">
        <v>1346</v>
      </c>
    </row>
    <row r="65" spans="1:11" x14ac:dyDescent="0.3">
      <c r="A65" s="256">
        <v>4</v>
      </c>
      <c r="B65" s="257" t="s">
        <v>1355</v>
      </c>
      <c r="C65" s="276">
        <v>44473</v>
      </c>
      <c r="D65" s="257" t="s">
        <v>1259</v>
      </c>
      <c r="E65" s="256" t="s">
        <v>1788</v>
      </c>
      <c r="F65" s="256" t="s">
        <v>1882</v>
      </c>
      <c r="G65" s="258">
        <v>9152000000</v>
      </c>
      <c r="H65" s="265">
        <v>0.1</v>
      </c>
      <c r="I65" s="258">
        <v>915200000</v>
      </c>
      <c r="J65" s="258">
        <v>10067200000</v>
      </c>
      <c r="K65" s="256" t="s">
        <v>1346</v>
      </c>
    </row>
    <row r="66" spans="1:11" x14ac:dyDescent="0.3">
      <c r="A66" s="256">
        <v>5</v>
      </c>
      <c r="B66" s="257" t="s">
        <v>1356</v>
      </c>
      <c r="C66" s="276">
        <v>44474</v>
      </c>
      <c r="D66" s="257" t="s">
        <v>1281</v>
      </c>
      <c r="E66" s="256" t="s">
        <v>1806</v>
      </c>
      <c r="F66" s="256" t="s">
        <v>1881</v>
      </c>
      <c r="G66" s="258">
        <v>15071000000</v>
      </c>
      <c r="H66" s="265">
        <v>0.1</v>
      </c>
      <c r="I66" s="258">
        <v>1507100000</v>
      </c>
      <c r="J66" s="258">
        <v>16578100000</v>
      </c>
      <c r="K66" s="256" t="s">
        <v>1346</v>
      </c>
    </row>
    <row r="67" spans="1:11" x14ac:dyDescent="0.3">
      <c r="A67" s="256">
        <v>6</v>
      </c>
      <c r="B67" s="257" t="s">
        <v>1358</v>
      </c>
      <c r="C67" s="276">
        <v>44475</v>
      </c>
      <c r="D67" s="257" t="s">
        <v>1298</v>
      </c>
      <c r="E67" s="256" t="s">
        <v>1819</v>
      </c>
      <c r="F67" s="256" t="s">
        <v>1882</v>
      </c>
      <c r="G67" s="258">
        <v>10783000000</v>
      </c>
      <c r="H67" s="265">
        <v>0.1</v>
      </c>
      <c r="I67" s="258">
        <v>1078300000</v>
      </c>
      <c r="J67" s="258">
        <v>11861300000</v>
      </c>
      <c r="K67" s="256" t="s">
        <v>1346</v>
      </c>
    </row>
    <row r="68" spans="1:11" x14ac:dyDescent="0.3">
      <c r="A68" s="256">
        <v>7</v>
      </c>
      <c r="B68" s="257" t="s">
        <v>1360</v>
      </c>
      <c r="C68" s="276">
        <v>44476</v>
      </c>
      <c r="D68" s="257" t="s">
        <v>1288</v>
      </c>
      <c r="E68" s="256" t="s">
        <v>1797</v>
      </c>
      <c r="F68" s="256" t="s">
        <v>1881</v>
      </c>
      <c r="G68" s="258">
        <v>5834000000</v>
      </c>
      <c r="H68" s="265">
        <v>0.1</v>
      </c>
      <c r="I68" s="258">
        <v>583400000</v>
      </c>
      <c r="J68" s="258">
        <v>6417400000</v>
      </c>
      <c r="K68" s="256" t="s">
        <v>1346</v>
      </c>
    </row>
    <row r="69" spans="1:11" x14ac:dyDescent="0.3">
      <c r="A69" s="256">
        <v>8</v>
      </c>
      <c r="B69" s="257" t="s">
        <v>1362</v>
      </c>
      <c r="C69" s="276">
        <v>44477</v>
      </c>
      <c r="D69" s="257" t="s">
        <v>1265</v>
      </c>
      <c r="E69" s="256" t="s">
        <v>1830</v>
      </c>
      <c r="F69" s="256" t="s">
        <v>1882</v>
      </c>
      <c r="G69" s="258">
        <v>4811000000</v>
      </c>
      <c r="H69" s="265">
        <v>0</v>
      </c>
      <c r="I69" s="258">
        <v>0</v>
      </c>
      <c r="J69" s="258">
        <v>4811000000</v>
      </c>
      <c r="K69" s="256" t="s">
        <v>1346</v>
      </c>
    </row>
    <row r="70" spans="1:11" x14ac:dyDescent="0.3">
      <c r="A70" s="256">
        <v>9</v>
      </c>
      <c r="B70" s="257" t="s">
        <v>1364</v>
      </c>
      <c r="C70" s="276">
        <v>44478</v>
      </c>
      <c r="D70" s="257" t="s">
        <v>1279</v>
      </c>
      <c r="E70" s="256" t="s">
        <v>1827</v>
      </c>
      <c r="F70" s="256" t="s">
        <v>1882</v>
      </c>
      <c r="G70" s="258">
        <v>4003000000</v>
      </c>
      <c r="H70" s="265">
        <v>0.1</v>
      </c>
      <c r="I70" s="258">
        <v>400300000</v>
      </c>
      <c r="J70" s="258">
        <v>4403300000</v>
      </c>
      <c r="K70" s="256" t="s">
        <v>1346</v>
      </c>
    </row>
    <row r="71" spans="1:11" x14ac:dyDescent="0.3">
      <c r="A71" s="256">
        <v>10</v>
      </c>
      <c r="B71" s="257" t="s">
        <v>1366</v>
      </c>
      <c r="C71" s="276">
        <v>44479</v>
      </c>
      <c r="D71" s="257" t="s">
        <v>1303</v>
      </c>
      <c r="E71" s="256" t="s">
        <v>1817</v>
      </c>
      <c r="F71" s="256" t="s">
        <v>1884</v>
      </c>
      <c r="G71" s="258">
        <v>5188000000</v>
      </c>
      <c r="H71" s="265">
        <v>0.1</v>
      </c>
      <c r="I71" s="258">
        <v>518800000</v>
      </c>
      <c r="J71" s="258">
        <v>5706800000</v>
      </c>
      <c r="K71" s="256" t="s">
        <v>1346</v>
      </c>
    </row>
    <row r="72" spans="1:11" x14ac:dyDescent="0.3">
      <c r="A72" s="256">
        <v>11</v>
      </c>
      <c r="B72" s="257" t="s">
        <v>1368</v>
      </c>
      <c r="C72" s="276">
        <v>44480</v>
      </c>
      <c r="D72" s="257" t="s">
        <v>1285</v>
      </c>
      <c r="E72" s="256" t="s">
        <v>1793</v>
      </c>
      <c r="F72" s="256" t="s">
        <v>1884</v>
      </c>
      <c r="G72" s="258">
        <v>12504000000</v>
      </c>
      <c r="H72" s="265">
        <v>0.1</v>
      </c>
      <c r="I72" s="258">
        <v>1250400000</v>
      </c>
      <c r="J72" s="258">
        <v>13754400000</v>
      </c>
      <c r="K72" s="256" t="s">
        <v>1346</v>
      </c>
    </row>
    <row r="73" spans="1:11" x14ac:dyDescent="0.3">
      <c r="A73" s="256">
        <v>12</v>
      </c>
      <c r="B73" s="257" t="s">
        <v>1371</v>
      </c>
      <c r="C73" s="276">
        <v>44481</v>
      </c>
      <c r="D73" s="257" t="s">
        <v>1280</v>
      </c>
      <c r="E73" s="256" t="s">
        <v>1777</v>
      </c>
      <c r="F73" s="256" t="s">
        <v>1882</v>
      </c>
      <c r="G73" s="258">
        <v>8904000000</v>
      </c>
      <c r="H73" s="265">
        <v>0.1</v>
      </c>
      <c r="I73" s="258">
        <v>890400000</v>
      </c>
      <c r="J73" s="258">
        <v>9794400000</v>
      </c>
      <c r="K73" s="256" t="s">
        <v>1348</v>
      </c>
    </row>
    <row r="74" spans="1:11" x14ac:dyDescent="0.3">
      <c r="A74" s="256">
        <v>13</v>
      </c>
      <c r="B74" s="257" t="s">
        <v>1373</v>
      </c>
      <c r="C74" s="276">
        <v>44211</v>
      </c>
      <c r="D74" s="257" t="s">
        <v>1263</v>
      </c>
      <c r="E74" s="256" t="s">
        <v>1790</v>
      </c>
      <c r="F74" s="256" t="s">
        <v>1884</v>
      </c>
      <c r="G74" s="258">
        <v>14820000000</v>
      </c>
      <c r="H74" s="265">
        <v>0.1</v>
      </c>
      <c r="I74" s="258">
        <v>1482000000</v>
      </c>
      <c r="J74" s="258">
        <v>16302000000</v>
      </c>
      <c r="K74" s="256" t="s">
        <v>1346</v>
      </c>
    </row>
    <row r="75" spans="1:11" x14ac:dyDescent="0.3">
      <c r="A75" s="256">
        <v>14</v>
      </c>
      <c r="B75" s="257" t="s">
        <v>1374</v>
      </c>
      <c r="C75" s="276">
        <v>44242</v>
      </c>
      <c r="D75" s="257" t="s">
        <v>1274</v>
      </c>
      <c r="E75" s="256" t="s">
        <v>1794</v>
      </c>
      <c r="F75" s="256" t="s">
        <v>1883</v>
      </c>
      <c r="G75" s="258">
        <v>3898000000</v>
      </c>
      <c r="H75" s="265">
        <v>0.1</v>
      </c>
      <c r="I75" s="258">
        <v>389800000</v>
      </c>
      <c r="J75" s="258">
        <v>4287800000</v>
      </c>
      <c r="K75" s="256" t="s">
        <v>1346</v>
      </c>
    </row>
    <row r="76" spans="1:11" x14ac:dyDescent="0.3">
      <c r="A76" s="256">
        <v>15</v>
      </c>
      <c r="B76" s="257" t="s">
        <v>1376</v>
      </c>
      <c r="C76" s="276">
        <v>44275</v>
      </c>
      <c r="D76" s="257" t="s">
        <v>1294</v>
      </c>
      <c r="E76" s="256" t="s">
        <v>1795</v>
      </c>
      <c r="F76" s="256" t="s">
        <v>1884</v>
      </c>
      <c r="G76" s="258">
        <v>4895000000</v>
      </c>
      <c r="H76" s="265">
        <v>0.1</v>
      </c>
      <c r="I76" s="258">
        <v>489500000</v>
      </c>
      <c r="J76" s="258">
        <v>5384500000</v>
      </c>
      <c r="K76" s="256" t="s">
        <v>1346</v>
      </c>
    </row>
    <row r="77" spans="1:11" x14ac:dyDescent="0.3">
      <c r="A77" s="256">
        <v>16</v>
      </c>
      <c r="B77" s="257" t="s">
        <v>1378</v>
      </c>
      <c r="C77" s="276">
        <v>44306</v>
      </c>
      <c r="D77" s="257" t="s">
        <v>1285</v>
      </c>
      <c r="E77" s="256" t="s">
        <v>1793</v>
      </c>
      <c r="F77" s="256" t="s">
        <v>1881</v>
      </c>
      <c r="G77" s="258">
        <v>13264000000</v>
      </c>
      <c r="H77" s="265">
        <v>0.1</v>
      </c>
      <c r="I77" s="258">
        <v>1326400000</v>
      </c>
      <c r="J77" s="258">
        <v>14590400000</v>
      </c>
      <c r="K77" s="256" t="s">
        <v>1346</v>
      </c>
    </row>
    <row r="78" spans="1:11" x14ac:dyDescent="0.3">
      <c r="A78" s="256">
        <v>17</v>
      </c>
      <c r="B78" s="257" t="s">
        <v>1379</v>
      </c>
      <c r="C78" s="276">
        <v>44336</v>
      </c>
      <c r="D78" s="257" t="s">
        <v>1282</v>
      </c>
      <c r="E78" s="256" t="s">
        <v>1789</v>
      </c>
      <c r="F78" s="256" t="s">
        <v>1882</v>
      </c>
      <c r="G78" s="258">
        <v>11639000000</v>
      </c>
      <c r="H78" s="265">
        <v>0.1</v>
      </c>
      <c r="I78" s="258">
        <v>1163900000</v>
      </c>
      <c r="J78" s="258">
        <v>12802900000</v>
      </c>
      <c r="K78" s="256" t="s">
        <v>1346</v>
      </c>
    </row>
    <row r="79" spans="1:11" x14ac:dyDescent="0.3">
      <c r="A79" s="256">
        <v>18</v>
      </c>
      <c r="B79" s="257" t="s">
        <v>1381</v>
      </c>
      <c r="C79" s="276">
        <v>44367</v>
      </c>
      <c r="D79" s="257" t="s">
        <v>1269</v>
      </c>
      <c r="E79" s="256" t="s">
        <v>1823</v>
      </c>
      <c r="F79" s="256" t="s">
        <v>1881</v>
      </c>
      <c r="G79" s="258">
        <v>14997000000</v>
      </c>
      <c r="H79" s="265">
        <v>0.1</v>
      </c>
      <c r="I79" s="258">
        <v>1499700000</v>
      </c>
      <c r="J79" s="258">
        <v>16496700000</v>
      </c>
      <c r="K79" s="256" t="s">
        <v>1348</v>
      </c>
    </row>
    <row r="80" spans="1:11" x14ac:dyDescent="0.3">
      <c r="A80" s="256">
        <v>19</v>
      </c>
      <c r="B80" s="257" t="s">
        <v>1382</v>
      </c>
      <c r="C80" s="276">
        <v>44397</v>
      </c>
      <c r="D80" s="257" t="s">
        <v>1279</v>
      </c>
      <c r="E80" s="256" t="s">
        <v>1827</v>
      </c>
      <c r="F80" s="256" t="s">
        <v>1883</v>
      </c>
      <c r="G80" s="258">
        <v>4167000000</v>
      </c>
      <c r="H80" s="265">
        <v>0.1</v>
      </c>
      <c r="I80" s="258">
        <v>416700000</v>
      </c>
      <c r="J80" s="258">
        <v>4583700000</v>
      </c>
      <c r="K80" s="256" t="s">
        <v>1346</v>
      </c>
    </row>
    <row r="81" spans="1:11" x14ac:dyDescent="0.3">
      <c r="A81" s="256">
        <v>20</v>
      </c>
      <c r="B81" s="257" t="s">
        <v>1383</v>
      </c>
      <c r="C81" s="276">
        <v>44428</v>
      </c>
      <c r="D81" s="257" t="s">
        <v>1280</v>
      </c>
      <c r="E81" s="256" t="s">
        <v>1777</v>
      </c>
      <c r="F81" s="256" t="s">
        <v>1883</v>
      </c>
      <c r="G81" s="258">
        <v>10528000000</v>
      </c>
      <c r="H81" s="265">
        <v>0.1</v>
      </c>
      <c r="I81" s="258">
        <v>1052800000</v>
      </c>
      <c r="J81" s="258">
        <v>11580800000</v>
      </c>
      <c r="K81" s="256" t="s">
        <v>1346</v>
      </c>
    </row>
    <row r="82" spans="1:11" x14ac:dyDescent="0.3">
      <c r="A82" s="256">
        <v>21</v>
      </c>
      <c r="B82" s="257" t="s">
        <v>1203</v>
      </c>
      <c r="C82" s="276">
        <v>44459</v>
      </c>
      <c r="D82" s="257" t="s">
        <v>1263</v>
      </c>
      <c r="E82" s="256" t="s">
        <v>1790</v>
      </c>
      <c r="F82" s="256" t="s">
        <v>1881</v>
      </c>
      <c r="G82" s="258">
        <v>13305000000</v>
      </c>
      <c r="H82" s="265">
        <v>0.1</v>
      </c>
      <c r="I82" s="258">
        <v>1330500000</v>
      </c>
      <c r="J82" s="258">
        <v>14635500000</v>
      </c>
      <c r="K82" s="256" t="s">
        <v>1346</v>
      </c>
    </row>
    <row r="83" spans="1:11" x14ac:dyDescent="0.3">
      <c r="A83" s="256">
        <v>22</v>
      </c>
      <c r="B83" s="257" t="s">
        <v>1204</v>
      </c>
      <c r="C83" s="276">
        <v>44489</v>
      </c>
      <c r="D83" s="257" t="s">
        <v>1304</v>
      </c>
      <c r="E83" s="256" t="s">
        <v>1831</v>
      </c>
      <c r="F83" s="256" t="s">
        <v>1884</v>
      </c>
      <c r="G83" s="258">
        <v>11231000000</v>
      </c>
      <c r="H83" s="265">
        <v>0.1</v>
      </c>
      <c r="I83" s="258">
        <v>1123100000</v>
      </c>
      <c r="J83" s="258">
        <v>12354100000</v>
      </c>
      <c r="K83" s="256" t="s">
        <v>1346</v>
      </c>
    </row>
    <row r="84" spans="1:11" x14ac:dyDescent="0.3">
      <c r="A84" s="256">
        <v>23</v>
      </c>
      <c r="B84" s="257" t="s">
        <v>1205</v>
      </c>
      <c r="C84" s="276">
        <v>44520</v>
      </c>
      <c r="D84" s="257" t="s">
        <v>1290</v>
      </c>
      <c r="E84" s="256" t="s">
        <v>1796</v>
      </c>
      <c r="F84" s="256" t="s">
        <v>1883</v>
      </c>
      <c r="G84" s="258">
        <v>10474000000</v>
      </c>
      <c r="H84" s="265">
        <v>0.1</v>
      </c>
      <c r="I84" s="258">
        <v>1047400000</v>
      </c>
      <c r="J84" s="258">
        <v>11521400000</v>
      </c>
      <c r="K84" s="256" t="s">
        <v>1346</v>
      </c>
    </row>
    <row r="85" spans="1:11" x14ac:dyDescent="0.3">
      <c r="A85" s="256">
        <v>24</v>
      </c>
      <c r="B85" s="257" t="s">
        <v>1385</v>
      </c>
      <c r="C85" s="276">
        <v>44550</v>
      </c>
      <c r="D85" s="257" t="s">
        <v>1258</v>
      </c>
      <c r="E85" s="256" t="s">
        <v>1833</v>
      </c>
      <c r="F85" s="256" t="s">
        <v>1884</v>
      </c>
      <c r="G85" s="258">
        <v>8827000000</v>
      </c>
      <c r="H85" s="265">
        <v>0</v>
      </c>
      <c r="I85" s="258">
        <v>0</v>
      </c>
      <c r="J85" s="258">
        <v>8827000000</v>
      </c>
      <c r="K85" s="256" t="s">
        <v>1346</v>
      </c>
    </row>
    <row r="86" spans="1:11" x14ac:dyDescent="0.3">
      <c r="A86" s="256">
        <v>25</v>
      </c>
      <c r="B86" s="257" t="s">
        <v>1387</v>
      </c>
      <c r="C86" s="276">
        <v>44221</v>
      </c>
      <c r="D86" s="257" t="s">
        <v>1298</v>
      </c>
      <c r="E86" s="256" t="s">
        <v>1819</v>
      </c>
      <c r="F86" s="256" t="s">
        <v>1881</v>
      </c>
      <c r="G86" s="258">
        <v>13945000000</v>
      </c>
      <c r="H86" s="265">
        <v>0.1</v>
      </c>
      <c r="I86" s="258">
        <v>1394500000</v>
      </c>
      <c r="J86" s="258">
        <v>15339500000</v>
      </c>
      <c r="K86" s="256" t="s">
        <v>1346</v>
      </c>
    </row>
    <row r="87" spans="1:11" x14ac:dyDescent="0.3">
      <c r="A87" s="256">
        <v>26</v>
      </c>
      <c r="B87" s="257" t="s">
        <v>1388</v>
      </c>
      <c r="C87" s="276">
        <v>44255</v>
      </c>
      <c r="D87" s="257" t="s">
        <v>1281</v>
      </c>
      <c r="E87" s="256" t="s">
        <v>1806</v>
      </c>
      <c r="F87" s="256" t="s">
        <v>1881</v>
      </c>
      <c r="G87" s="258">
        <v>14948000000</v>
      </c>
      <c r="H87" s="265">
        <v>0.1</v>
      </c>
      <c r="I87" s="258">
        <v>1494800000</v>
      </c>
      <c r="J87" s="258">
        <v>16442800000</v>
      </c>
      <c r="K87" s="256" t="s">
        <v>1346</v>
      </c>
    </row>
    <row r="88" spans="1:11" x14ac:dyDescent="0.3">
      <c r="A88" s="256">
        <v>27</v>
      </c>
      <c r="B88" s="257" t="s">
        <v>1391</v>
      </c>
      <c r="C88" s="276">
        <v>44316</v>
      </c>
      <c r="D88" s="257" t="s">
        <v>1297</v>
      </c>
      <c r="E88" s="256" t="s">
        <v>1820</v>
      </c>
      <c r="F88" s="256" t="s">
        <v>1881</v>
      </c>
      <c r="G88" s="258">
        <v>8817000000</v>
      </c>
      <c r="H88" s="265">
        <v>0</v>
      </c>
      <c r="I88" s="258">
        <v>0</v>
      </c>
      <c r="J88" s="258">
        <v>8817000000</v>
      </c>
      <c r="K88" s="256" t="s">
        <v>1348</v>
      </c>
    </row>
    <row r="89" spans="1:11" x14ac:dyDescent="0.3">
      <c r="A89" s="256">
        <v>28</v>
      </c>
      <c r="B89" s="257" t="s">
        <v>1392</v>
      </c>
      <c r="C89" s="276">
        <v>44377</v>
      </c>
      <c r="D89" s="257" t="s">
        <v>1262</v>
      </c>
      <c r="E89" s="256" t="s">
        <v>1816</v>
      </c>
      <c r="F89" s="256" t="s">
        <v>1882</v>
      </c>
      <c r="G89" s="258">
        <v>10410000000</v>
      </c>
      <c r="H89" s="265">
        <v>0.1</v>
      </c>
      <c r="I89" s="258">
        <v>1041000000</v>
      </c>
      <c r="J89" s="258">
        <v>11451000000</v>
      </c>
      <c r="K89" s="256" t="s">
        <v>1346</v>
      </c>
    </row>
    <row r="90" spans="1:11" x14ac:dyDescent="0.3">
      <c r="A90" s="256">
        <v>29</v>
      </c>
      <c r="B90" s="257" t="s">
        <v>1394</v>
      </c>
      <c r="C90" s="276">
        <v>44469</v>
      </c>
      <c r="D90" s="257" t="s">
        <v>1280</v>
      </c>
      <c r="E90" s="256" t="s">
        <v>1777</v>
      </c>
      <c r="F90" s="256" t="s">
        <v>1883</v>
      </c>
      <c r="G90" s="258">
        <v>15390000000</v>
      </c>
      <c r="H90" s="265">
        <v>0.1</v>
      </c>
      <c r="I90" s="258">
        <v>1539000000</v>
      </c>
      <c r="J90" s="258">
        <v>16929000000</v>
      </c>
      <c r="K90" s="256" t="s">
        <v>1346</v>
      </c>
    </row>
    <row r="91" spans="1:11" x14ac:dyDescent="0.3">
      <c r="A91" s="256">
        <v>30</v>
      </c>
      <c r="B91" s="257" t="s">
        <v>1396</v>
      </c>
      <c r="C91" s="276">
        <v>44530</v>
      </c>
      <c r="D91" s="257" t="s">
        <v>1304</v>
      </c>
      <c r="E91" s="256" t="s">
        <v>1831</v>
      </c>
      <c r="F91" s="256" t="s">
        <v>1881</v>
      </c>
      <c r="G91" s="258">
        <v>8102000000</v>
      </c>
      <c r="H91" s="265">
        <v>0.1</v>
      </c>
      <c r="I91" s="258">
        <v>810200000</v>
      </c>
      <c r="J91" s="258">
        <v>8912200000</v>
      </c>
      <c r="K91" s="256" t="s">
        <v>1348</v>
      </c>
    </row>
    <row r="92" spans="1:11" x14ac:dyDescent="0.3">
      <c r="A92" s="256">
        <v>31</v>
      </c>
      <c r="B92" s="257" t="s">
        <v>1397</v>
      </c>
      <c r="C92" s="276">
        <v>44286</v>
      </c>
      <c r="D92" s="257" t="s">
        <v>1287</v>
      </c>
      <c r="E92" s="256" t="s">
        <v>1801</v>
      </c>
      <c r="F92" s="256" t="s">
        <v>1883</v>
      </c>
      <c r="G92" s="258">
        <v>14972000000</v>
      </c>
      <c r="H92" s="265">
        <v>0.1</v>
      </c>
      <c r="I92" s="258">
        <v>1497200000</v>
      </c>
      <c r="J92" s="258">
        <v>16469200000</v>
      </c>
      <c r="K92" s="256" t="s">
        <v>1346</v>
      </c>
    </row>
    <row r="93" spans="1:11" x14ac:dyDescent="0.3">
      <c r="A93" s="256">
        <v>32</v>
      </c>
      <c r="B93" s="257" t="s">
        <v>1398</v>
      </c>
      <c r="C93" s="276">
        <v>44347</v>
      </c>
      <c r="D93" s="257" t="s">
        <v>1270</v>
      </c>
      <c r="E93" s="256" t="s">
        <v>1782</v>
      </c>
      <c r="F93" s="256" t="s">
        <v>1884</v>
      </c>
      <c r="G93" s="258">
        <v>10530000000</v>
      </c>
      <c r="H93" s="265">
        <v>0.1</v>
      </c>
      <c r="I93" s="258">
        <v>1053000000</v>
      </c>
      <c r="J93" s="258">
        <v>11583000000</v>
      </c>
      <c r="K93" s="256" t="s">
        <v>1346</v>
      </c>
    </row>
    <row r="94" spans="1:11" x14ac:dyDescent="0.3">
      <c r="A94" s="256">
        <v>33</v>
      </c>
      <c r="B94" s="257" t="s">
        <v>1399</v>
      </c>
      <c r="C94" s="276">
        <v>44408</v>
      </c>
      <c r="D94" s="257" t="s">
        <v>1259</v>
      </c>
      <c r="E94" s="256" t="s">
        <v>1788</v>
      </c>
      <c r="F94" s="256" t="s">
        <v>1881</v>
      </c>
      <c r="G94" s="258">
        <v>14547000000</v>
      </c>
      <c r="H94" s="265">
        <v>0.1</v>
      </c>
      <c r="I94" s="258">
        <v>1454700000</v>
      </c>
      <c r="J94" s="258">
        <v>16001700000</v>
      </c>
      <c r="K94" s="256" t="s">
        <v>1346</v>
      </c>
    </row>
    <row r="95" spans="1:11" x14ac:dyDescent="0.3">
      <c r="A95" s="256">
        <v>34</v>
      </c>
      <c r="B95" s="257" t="s">
        <v>1401</v>
      </c>
      <c r="C95" s="276">
        <v>44439</v>
      </c>
      <c r="D95" s="257" t="s">
        <v>1273</v>
      </c>
      <c r="E95" s="256" t="s">
        <v>1829</v>
      </c>
      <c r="F95" s="256" t="s">
        <v>1882</v>
      </c>
      <c r="G95" s="258">
        <v>11193000000</v>
      </c>
      <c r="H95" s="265">
        <v>0.1</v>
      </c>
      <c r="I95" s="258">
        <v>1119300000</v>
      </c>
      <c r="J95" s="258">
        <v>12312300000</v>
      </c>
      <c r="K95" s="256" t="s">
        <v>1346</v>
      </c>
    </row>
    <row r="96" spans="1:11" x14ac:dyDescent="0.3">
      <c r="A96" s="256">
        <v>35</v>
      </c>
      <c r="B96" s="257" t="s">
        <v>1402</v>
      </c>
      <c r="C96" s="276">
        <v>44500</v>
      </c>
      <c r="D96" s="257" t="s">
        <v>1286</v>
      </c>
      <c r="E96" s="256" t="s">
        <v>1828</v>
      </c>
      <c r="F96" s="256" t="s">
        <v>1884</v>
      </c>
      <c r="G96" s="258">
        <v>8598000000</v>
      </c>
      <c r="H96" s="265">
        <v>0.1</v>
      </c>
      <c r="I96" s="258">
        <v>859800000</v>
      </c>
      <c r="J96" s="258">
        <v>9457800000</v>
      </c>
      <c r="K96" s="256" t="s">
        <v>1346</v>
      </c>
    </row>
    <row r="97" spans="1:11" x14ac:dyDescent="0.3">
      <c r="A97" s="256">
        <v>36</v>
      </c>
      <c r="B97" s="257" t="s">
        <v>1403</v>
      </c>
      <c r="C97" s="276">
        <v>44561</v>
      </c>
      <c r="D97" s="257" t="s">
        <v>1260</v>
      </c>
      <c r="E97" s="256" t="s">
        <v>1804</v>
      </c>
      <c r="F97" s="256" t="s">
        <v>1883</v>
      </c>
      <c r="G97" s="258">
        <v>10712000000</v>
      </c>
      <c r="H97" s="265">
        <v>0</v>
      </c>
      <c r="I97" s="258">
        <v>0</v>
      </c>
      <c r="J97" s="258">
        <v>10712000000</v>
      </c>
      <c r="K97" s="256" t="s">
        <v>1346</v>
      </c>
    </row>
    <row r="98" spans="1:11" x14ac:dyDescent="0.3">
      <c r="A98" s="256">
        <v>37</v>
      </c>
      <c r="B98" s="257" t="s">
        <v>1404</v>
      </c>
      <c r="C98" s="276">
        <v>44561</v>
      </c>
      <c r="D98" s="257" t="s">
        <v>1279</v>
      </c>
      <c r="E98" s="256" t="s">
        <v>1827</v>
      </c>
      <c r="F98" s="256" t="s">
        <v>1881</v>
      </c>
      <c r="G98" s="258">
        <v>12758000000</v>
      </c>
      <c r="H98" s="265">
        <v>0.1</v>
      </c>
      <c r="I98" s="258">
        <v>1275800000</v>
      </c>
      <c r="J98" s="258">
        <v>14033800000</v>
      </c>
      <c r="K98" s="256" t="s">
        <v>1346</v>
      </c>
    </row>
    <row r="99" spans="1:11" x14ac:dyDescent="0.3">
      <c r="A99" s="256">
        <v>38</v>
      </c>
      <c r="B99" s="257" t="s">
        <v>1405</v>
      </c>
      <c r="C99" s="276">
        <v>44561</v>
      </c>
      <c r="D99" s="257" t="s">
        <v>1279</v>
      </c>
      <c r="E99" s="256" t="s">
        <v>1827</v>
      </c>
      <c r="F99" s="256" t="s">
        <v>1882</v>
      </c>
      <c r="G99" s="258">
        <v>11060000000</v>
      </c>
      <c r="H99" s="265">
        <v>0.1</v>
      </c>
      <c r="I99" s="258">
        <v>1106000000</v>
      </c>
      <c r="J99" s="258">
        <v>12166000000</v>
      </c>
      <c r="K99" s="256" t="s">
        <v>1346</v>
      </c>
    </row>
    <row r="100" spans="1:11" x14ac:dyDescent="0.3">
      <c r="A100" s="256">
        <v>39</v>
      </c>
      <c r="B100" s="257" t="s">
        <v>1406</v>
      </c>
      <c r="C100" s="276">
        <v>44561</v>
      </c>
      <c r="D100" s="257" t="s">
        <v>1290</v>
      </c>
      <c r="E100" s="256" t="s">
        <v>1796</v>
      </c>
      <c r="F100" s="256" t="s">
        <v>1883</v>
      </c>
      <c r="G100" s="258">
        <v>8848000000</v>
      </c>
      <c r="H100" s="265">
        <v>0.1</v>
      </c>
      <c r="I100" s="258">
        <v>884800000</v>
      </c>
      <c r="J100" s="258">
        <v>9732800000</v>
      </c>
      <c r="K100" s="256" t="s">
        <v>1346</v>
      </c>
    </row>
    <row r="101" spans="1:11" x14ac:dyDescent="0.3">
      <c r="A101" s="256">
        <v>40</v>
      </c>
      <c r="B101" s="257" t="s">
        <v>1408</v>
      </c>
      <c r="C101" s="276">
        <v>44561</v>
      </c>
      <c r="D101" s="257" t="s">
        <v>1297</v>
      </c>
      <c r="E101" s="256" t="s">
        <v>1820</v>
      </c>
      <c r="F101" s="256" t="s">
        <v>1884</v>
      </c>
      <c r="G101" s="258">
        <v>10509000000</v>
      </c>
      <c r="H101" s="265">
        <v>0.1</v>
      </c>
      <c r="I101" s="258">
        <v>1050900000</v>
      </c>
      <c r="J101" s="258">
        <v>11559900000</v>
      </c>
      <c r="K101" s="256" t="s">
        <v>1346</v>
      </c>
    </row>
    <row r="102" spans="1:11" x14ac:dyDescent="0.3">
      <c r="A102" s="256">
        <v>41</v>
      </c>
      <c r="B102" s="257" t="s">
        <v>1409</v>
      </c>
      <c r="C102" s="276">
        <v>44561</v>
      </c>
      <c r="D102" s="257" t="s">
        <v>1270</v>
      </c>
      <c r="E102" s="256" t="s">
        <v>1782</v>
      </c>
      <c r="F102" s="256" t="s">
        <v>1884</v>
      </c>
      <c r="G102" s="258">
        <v>7949000000</v>
      </c>
      <c r="H102" s="265">
        <v>0.1</v>
      </c>
      <c r="I102" s="258">
        <v>794900000</v>
      </c>
      <c r="J102" s="258">
        <v>8743900000</v>
      </c>
      <c r="K102" s="256" t="s">
        <v>1346</v>
      </c>
    </row>
    <row r="103" spans="1:11" x14ac:dyDescent="0.3">
      <c r="A103" s="256">
        <v>42</v>
      </c>
      <c r="B103" s="257" t="s">
        <v>1411</v>
      </c>
      <c r="C103" s="276">
        <v>44561</v>
      </c>
      <c r="D103" s="257" t="s">
        <v>1281</v>
      </c>
      <c r="E103" s="256" t="s">
        <v>1806</v>
      </c>
      <c r="F103" s="256" t="s">
        <v>1882</v>
      </c>
      <c r="G103" s="258">
        <v>8196000000</v>
      </c>
      <c r="H103" s="265">
        <v>0.1</v>
      </c>
      <c r="I103" s="258">
        <v>819600000</v>
      </c>
      <c r="J103" s="258">
        <v>9015600000</v>
      </c>
      <c r="K103" s="256" t="s">
        <v>1346</v>
      </c>
    </row>
    <row r="104" spans="1:11" x14ac:dyDescent="0.3">
      <c r="A104" s="256">
        <v>43</v>
      </c>
      <c r="B104" s="257" t="s">
        <v>1414</v>
      </c>
      <c r="C104" s="276">
        <v>44561</v>
      </c>
      <c r="D104" s="257" t="s">
        <v>1259</v>
      </c>
      <c r="E104" s="256" t="s">
        <v>1788</v>
      </c>
      <c r="F104" s="256" t="s">
        <v>1883</v>
      </c>
      <c r="G104" s="258">
        <v>4836000000</v>
      </c>
      <c r="H104" s="265">
        <v>0.1</v>
      </c>
      <c r="I104" s="258">
        <v>483600000</v>
      </c>
      <c r="J104" s="258">
        <v>5319600000</v>
      </c>
      <c r="K104" s="256" t="s">
        <v>1346</v>
      </c>
    </row>
    <row r="105" spans="1:11" x14ac:dyDescent="0.3">
      <c r="A105" s="256">
        <v>44</v>
      </c>
      <c r="B105" s="257" t="s">
        <v>1415</v>
      </c>
      <c r="C105" s="276">
        <v>44561</v>
      </c>
      <c r="D105" s="257" t="s">
        <v>1296</v>
      </c>
      <c r="E105" s="256" t="s">
        <v>1807</v>
      </c>
      <c r="F105" s="256" t="s">
        <v>1882</v>
      </c>
      <c r="G105" s="258">
        <v>11426000000</v>
      </c>
      <c r="H105" s="265">
        <v>0.1</v>
      </c>
      <c r="I105" s="258">
        <v>1142600000</v>
      </c>
      <c r="J105" s="258">
        <v>12568600000</v>
      </c>
      <c r="K105" s="256" t="s">
        <v>1346</v>
      </c>
    </row>
    <row r="106" spans="1:11" x14ac:dyDescent="0.3">
      <c r="A106" s="256">
        <v>45</v>
      </c>
      <c r="B106" s="257" t="s">
        <v>1206</v>
      </c>
      <c r="C106" s="276">
        <v>44561</v>
      </c>
      <c r="D106" s="257" t="s">
        <v>1262</v>
      </c>
      <c r="E106" s="256" t="s">
        <v>1816</v>
      </c>
      <c r="F106" s="256" t="s">
        <v>1883</v>
      </c>
      <c r="G106" s="258">
        <v>11746000000</v>
      </c>
      <c r="H106" s="265">
        <v>0</v>
      </c>
      <c r="I106" s="258">
        <v>0</v>
      </c>
      <c r="J106" s="258">
        <v>11746000000</v>
      </c>
      <c r="K106" s="256" t="s">
        <v>1346</v>
      </c>
    </row>
    <row r="107" spans="1:11" x14ac:dyDescent="0.3">
      <c r="A107" s="256">
        <v>46</v>
      </c>
      <c r="B107" s="257" t="s">
        <v>1207</v>
      </c>
      <c r="C107" s="276">
        <v>44561</v>
      </c>
      <c r="D107" s="257" t="s">
        <v>1303</v>
      </c>
      <c r="E107" s="256" t="s">
        <v>1817</v>
      </c>
      <c r="F107" s="256" t="s">
        <v>1882</v>
      </c>
      <c r="G107" s="258">
        <v>4030000000</v>
      </c>
      <c r="H107" s="265">
        <v>0.1</v>
      </c>
      <c r="I107" s="258">
        <v>403000000</v>
      </c>
      <c r="J107" s="258">
        <v>4433000000</v>
      </c>
      <c r="K107" s="256" t="s">
        <v>1346</v>
      </c>
    </row>
    <row r="108" spans="1:11" x14ac:dyDescent="0.3">
      <c r="A108" s="256">
        <v>47</v>
      </c>
      <c r="B108" s="257" t="s">
        <v>1208</v>
      </c>
      <c r="C108" s="276">
        <v>44561</v>
      </c>
      <c r="D108" s="257" t="s">
        <v>1297</v>
      </c>
      <c r="E108" s="256" t="s">
        <v>1820</v>
      </c>
      <c r="F108" s="256" t="s">
        <v>1884</v>
      </c>
      <c r="G108" s="258">
        <v>4235000000</v>
      </c>
      <c r="H108" s="265">
        <v>0.1</v>
      </c>
      <c r="I108" s="258">
        <v>423500000</v>
      </c>
      <c r="J108" s="258">
        <v>4658500000</v>
      </c>
      <c r="K108" s="256" t="s">
        <v>1346</v>
      </c>
    </row>
    <row r="109" spans="1:11" x14ac:dyDescent="0.3">
      <c r="A109" s="256">
        <v>48</v>
      </c>
      <c r="B109" s="257" t="s">
        <v>1209</v>
      </c>
      <c r="C109" s="276">
        <v>44561</v>
      </c>
      <c r="D109" s="257" t="s">
        <v>1276</v>
      </c>
      <c r="E109" s="256" t="s">
        <v>1822</v>
      </c>
      <c r="F109" s="256" t="s">
        <v>1881</v>
      </c>
      <c r="G109" s="258">
        <v>4663000000</v>
      </c>
      <c r="H109" s="265">
        <v>0.1</v>
      </c>
      <c r="I109" s="258">
        <v>466300000</v>
      </c>
      <c r="J109" s="258">
        <v>5129300000</v>
      </c>
      <c r="K109" s="256" t="s">
        <v>1346</v>
      </c>
    </row>
    <row r="110" spans="1:11" x14ac:dyDescent="0.3">
      <c r="A110" s="256">
        <v>49</v>
      </c>
      <c r="B110" s="257" t="s">
        <v>1418</v>
      </c>
      <c r="C110" s="276">
        <v>44561</v>
      </c>
      <c r="D110" s="257" t="s">
        <v>1280</v>
      </c>
      <c r="E110" s="256" t="s">
        <v>1777</v>
      </c>
      <c r="F110" s="256" t="s">
        <v>1881</v>
      </c>
      <c r="G110" s="258">
        <v>11310000000</v>
      </c>
      <c r="H110" s="265">
        <v>0.1</v>
      </c>
      <c r="I110" s="258">
        <v>1131000000</v>
      </c>
      <c r="J110" s="258">
        <v>12441000000</v>
      </c>
      <c r="K110" s="256" t="s">
        <v>1346</v>
      </c>
    </row>
    <row r="111" spans="1:11" x14ac:dyDescent="0.3">
      <c r="A111" s="256">
        <v>50</v>
      </c>
      <c r="B111" s="257" t="s">
        <v>1419</v>
      </c>
      <c r="C111" s="276">
        <v>44561</v>
      </c>
      <c r="D111" s="257" t="s">
        <v>1284</v>
      </c>
      <c r="E111" s="256" t="s">
        <v>1786</v>
      </c>
      <c r="F111" s="256" t="s">
        <v>1882</v>
      </c>
      <c r="G111" s="258">
        <v>4341000000</v>
      </c>
      <c r="H111" s="265">
        <v>0.1</v>
      </c>
      <c r="I111" s="258">
        <v>434100000</v>
      </c>
      <c r="J111" s="258">
        <v>4775100000</v>
      </c>
      <c r="K111" s="256" t="s">
        <v>1346</v>
      </c>
    </row>
    <row r="112" spans="1:11" x14ac:dyDescent="0.3">
      <c r="A112" s="266" t="s">
        <v>1351</v>
      </c>
      <c r="B112" s="266"/>
      <c r="C112" s="266"/>
      <c r="D112" s="266"/>
      <c r="E112" s="266"/>
      <c r="F112" s="266"/>
      <c r="G112" s="267">
        <f>SUM(G62:G111)</f>
        <v>482803000000</v>
      </c>
      <c r="H112" s="266"/>
      <c r="I112" s="267">
        <f>SUM(I62:I111)</f>
        <v>43789000000</v>
      </c>
      <c r="J112" s="267">
        <f>SUM(J62:J111)</f>
        <v>526592000000</v>
      </c>
      <c r="K112" s="266"/>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cols>
    <col min="7" max="7" width="12.88671875" bestFit="1" customWidth="1"/>
    <col min="9" max="9" width="11.88671875" bestFit="1" customWidth="1"/>
    <col min="10" max="10" width="12.88671875" bestFit="1" customWidth="1"/>
  </cols>
  <sheetData>
    <row r="1" spans="1:11" x14ac:dyDescent="0.3">
      <c r="A1" s="256" t="s">
        <v>1340</v>
      </c>
      <c r="B1" s="256" t="s">
        <v>691</v>
      </c>
      <c r="C1" s="256"/>
      <c r="D1" s="256"/>
      <c r="E1" s="256"/>
      <c r="F1" s="256"/>
      <c r="G1" s="256"/>
      <c r="H1" s="256"/>
      <c r="I1" s="256"/>
      <c r="J1" s="256"/>
      <c r="K1" s="256"/>
    </row>
    <row r="2" spans="1:11" x14ac:dyDescent="0.3">
      <c r="A2" s="256" t="s">
        <v>1339</v>
      </c>
      <c r="B2" s="257">
        <v>104380966</v>
      </c>
      <c r="C2" s="256"/>
      <c r="D2" s="256"/>
      <c r="E2" s="256"/>
      <c r="F2" s="256"/>
      <c r="G2" s="256"/>
      <c r="H2" s="256"/>
      <c r="I2" s="256"/>
      <c r="J2" s="256"/>
      <c r="K2" s="256"/>
    </row>
    <row r="3" spans="1:11" x14ac:dyDescent="0.3">
      <c r="A3" s="256" t="s">
        <v>1343</v>
      </c>
      <c r="B3" s="258">
        <v>954267366808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1391</v>
      </c>
      <c r="C8" s="276">
        <v>44317</v>
      </c>
      <c r="D8" s="257" t="s">
        <v>1264</v>
      </c>
      <c r="E8" s="256" t="s">
        <v>1779</v>
      </c>
      <c r="F8" s="256" t="s">
        <v>1734</v>
      </c>
      <c r="G8" s="258">
        <v>6143000000</v>
      </c>
      <c r="H8" s="265">
        <v>0.1</v>
      </c>
      <c r="I8" s="258">
        <v>614300000</v>
      </c>
      <c r="J8" s="258">
        <v>6757300000</v>
      </c>
      <c r="K8" s="256" t="s">
        <v>1346</v>
      </c>
    </row>
    <row r="9" spans="1:11" x14ac:dyDescent="0.3">
      <c r="A9" s="256">
        <v>2</v>
      </c>
      <c r="B9" s="257" t="s">
        <v>1381</v>
      </c>
      <c r="C9" s="276">
        <v>44318</v>
      </c>
      <c r="D9" s="257" t="s">
        <v>1301</v>
      </c>
      <c r="E9" s="256" t="s">
        <v>1781</v>
      </c>
      <c r="F9" s="256" t="s">
        <v>1869</v>
      </c>
      <c r="G9" s="258">
        <v>16511000000</v>
      </c>
      <c r="H9" s="265">
        <v>0.1</v>
      </c>
      <c r="I9" s="258">
        <v>1651100000</v>
      </c>
      <c r="J9" s="258">
        <v>18162100000</v>
      </c>
      <c r="K9" s="256" t="s">
        <v>1346</v>
      </c>
    </row>
    <row r="10" spans="1:11" x14ac:dyDescent="0.3">
      <c r="A10" s="256">
        <v>3</v>
      </c>
      <c r="B10" s="257" t="s">
        <v>1392</v>
      </c>
      <c r="C10" s="276">
        <v>44472</v>
      </c>
      <c r="D10" s="257" t="s">
        <v>1304</v>
      </c>
      <c r="E10" s="256" t="s">
        <v>1831</v>
      </c>
      <c r="F10" s="256" t="s">
        <v>1871</v>
      </c>
      <c r="G10" s="258">
        <v>8626000000</v>
      </c>
      <c r="H10" s="265">
        <v>0.1</v>
      </c>
      <c r="I10" s="258">
        <v>862600000</v>
      </c>
      <c r="J10" s="258">
        <v>9488600000</v>
      </c>
      <c r="K10" s="256" t="s">
        <v>1346</v>
      </c>
    </row>
    <row r="11" spans="1:11" x14ac:dyDescent="0.3">
      <c r="A11" s="256">
        <v>4</v>
      </c>
      <c r="B11" s="257" t="s">
        <v>1397</v>
      </c>
      <c r="C11" s="276">
        <v>44473</v>
      </c>
      <c r="D11" s="257" t="s">
        <v>1257</v>
      </c>
      <c r="E11" s="256" t="s">
        <v>1815</v>
      </c>
      <c r="F11" s="256" t="s">
        <v>1741</v>
      </c>
      <c r="G11" s="258">
        <v>22027000000</v>
      </c>
      <c r="H11" s="265">
        <v>0</v>
      </c>
      <c r="I11" s="258">
        <v>0</v>
      </c>
      <c r="J11" s="258">
        <v>22027000000</v>
      </c>
      <c r="K11" s="256" t="s">
        <v>1348</v>
      </c>
    </row>
    <row r="12" spans="1:11" x14ac:dyDescent="0.3">
      <c r="A12" s="256">
        <v>5</v>
      </c>
      <c r="B12" s="257" t="s">
        <v>1392</v>
      </c>
      <c r="C12" s="276">
        <v>44474</v>
      </c>
      <c r="D12" s="257" t="s">
        <v>1269</v>
      </c>
      <c r="E12" s="256" t="s">
        <v>1823</v>
      </c>
      <c r="F12" s="256" t="s">
        <v>1870</v>
      </c>
      <c r="G12" s="258">
        <v>14583000000</v>
      </c>
      <c r="H12" s="265">
        <v>0.1</v>
      </c>
      <c r="I12" s="258">
        <v>1458300000</v>
      </c>
      <c r="J12" s="258">
        <v>16041300000</v>
      </c>
      <c r="K12" s="256" t="s">
        <v>1348</v>
      </c>
    </row>
    <row r="13" spans="1:11" x14ac:dyDescent="0.3">
      <c r="A13" s="256">
        <v>6</v>
      </c>
      <c r="B13" s="257" t="s">
        <v>1398</v>
      </c>
      <c r="C13" s="276">
        <v>44475</v>
      </c>
      <c r="D13" s="257" t="s">
        <v>1257</v>
      </c>
      <c r="E13" s="256" t="s">
        <v>1815</v>
      </c>
      <c r="F13" s="256" t="s">
        <v>1870</v>
      </c>
      <c r="G13" s="258">
        <v>20170000000</v>
      </c>
      <c r="H13" s="265">
        <v>0.1</v>
      </c>
      <c r="I13" s="258">
        <v>2017000000</v>
      </c>
      <c r="J13" s="258">
        <v>22187000000</v>
      </c>
      <c r="K13" s="256" t="s">
        <v>1346</v>
      </c>
    </row>
    <row r="14" spans="1:11" x14ac:dyDescent="0.3">
      <c r="A14" s="256">
        <v>7</v>
      </c>
      <c r="B14" s="257" t="s">
        <v>1378</v>
      </c>
      <c r="C14" s="276">
        <v>44476</v>
      </c>
      <c r="D14" s="257" t="s">
        <v>1302</v>
      </c>
      <c r="E14" s="256" t="s">
        <v>1784</v>
      </c>
      <c r="F14" s="256" t="s">
        <v>1741</v>
      </c>
      <c r="G14" s="258">
        <v>7812000000</v>
      </c>
      <c r="H14" s="265">
        <v>0.1</v>
      </c>
      <c r="I14" s="258">
        <v>781200000</v>
      </c>
      <c r="J14" s="258">
        <v>8593200000</v>
      </c>
      <c r="K14" s="256" t="s">
        <v>1346</v>
      </c>
    </row>
    <row r="15" spans="1:11" x14ac:dyDescent="0.3">
      <c r="A15" s="256">
        <v>8</v>
      </c>
      <c r="B15" s="257" t="s">
        <v>1374</v>
      </c>
      <c r="C15" s="276">
        <v>44477</v>
      </c>
      <c r="D15" s="257" t="s">
        <v>1296</v>
      </c>
      <c r="E15" s="256" t="s">
        <v>1807</v>
      </c>
      <c r="F15" s="256" t="s">
        <v>1730</v>
      </c>
      <c r="G15" s="258">
        <v>9160000000</v>
      </c>
      <c r="H15" s="265">
        <v>0.1</v>
      </c>
      <c r="I15" s="258">
        <v>916000000</v>
      </c>
      <c r="J15" s="258">
        <v>10076000000</v>
      </c>
      <c r="K15" s="256" t="s">
        <v>1346</v>
      </c>
    </row>
    <row r="16" spans="1:11" x14ac:dyDescent="0.3">
      <c r="A16" s="256">
        <v>9</v>
      </c>
      <c r="B16" s="257" t="s">
        <v>1392</v>
      </c>
      <c r="C16" s="276">
        <v>44478</v>
      </c>
      <c r="D16" s="257" t="s">
        <v>1264</v>
      </c>
      <c r="E16" s="256" t="s">
        <v>1779</v>
      </c>
      <c r="F16" s="256" t="s">
        <v>1869</v>
      </c>
      <c r="G16" s="258">
        <v>12705000000</v>
      </c>
      <c r="H16" s="265">
        <v>0</v>
      </c>
      <c r="I16" s="258">
        <v>0</v>
      </c>
      <c r="J16" s="258">
        <v>12705000000</v>
      </c>
      <c r="K16" s="256" t="s">
        <v>1346</v>
      </c>
    </row>
    <row r="17" spans="1:11" x14ac:dyDescent="0.3">
      <c r="A17" s="256">
        <v>10</v>
      </c>
      <c r="B17" s="257" t="s">
        <v>1373</v>
      </c>
      <c r="C17" s="276">
        <v>44479</v>
      </c>
      <c r="D17" s="257" t="s">
        <v>1286</v>
      </c>
      <c r="E17" s="256" t="s">
        <v>1828</v>
      </c>
      <c r="F17" s="256" t="s">
        <v>1741</v>
      </c>
      <c r="G17" s="258">
        <v>19657000000</v>
      </c>
      <c r="H17" s="265">
        <v>0.1</v>
      </c>
      <c r="I17" s="258">
        <v>1965700000</v>
      </c>
      <c r="J17" s="258">
        <v>21622700000</v>
      </c>
      <c r="K17" s="256" t="s">
        <v>1346</v>
      </c>
    </row>
    <row r="18" spans="1:11" x14ac:dyDescent="0.3">
      <c r="A18" s="256">
        <v>11</v>
      </c>
      <c r="B18" s="257" t="s">
        <v>1209</v>
      </c>
      <c r="C18" s="276">
        <v>44480</v>
      </c>
      <c r="D18" s="257" t="s">
        <v>1263</v>
      </c>
      <c r="E18" s="256" t="s">
        <v>1790</v>
      </c>
      <c r="F18" s="256" t="s">
        <v>1734</v>
      </c>
      <c r="G18" s="258">
        <v>7059000000</v>
      </c>
      <c r="H18" s="265">
        <v>0.1</v>
      </c>
      <c r="I18" s="258">
        <v>705900000</v>
      </c>
      <c r="J18" s="258">
        <v>7764900000</v>
      </c>
      <c r="K18" s="256" t="s">
        <v>1348</v>
      </c>
    </row>
    <row r="19" spans="1:11" x14ac:dyDescent="0.3">
      <c r="A19" s="256">
        <v>12</v>
      </c>
      <c r="B19" s="257" t="s">
        <v>1406</v>
      </c>
      <c r="C19" s="276">
        <v>44481</v>
      </c>
      <c r="D19" s="257" t="s">
        <v>1280</v>
      </c>
      <c r="E19" s="256" t="s">
        <v>1777</v>
      </c>
      <c r="F19" s="256" t="s">
        <v>1869</v>
      </c>
      <c r="G19" s="258">
        <v>11291000000</v>
      </c>
      <c r="H19" s="265">
        <v>0.1</v>
      </c>
      <c r="I19" s="258">
        <v>1129100000</v>
      </c>
      <c r="J19" s="258">
        <v>12420100000</v>
      </c>
      <c r="K19" s="256" t="s">
        <v>1346</v>
      </c>
    </row>
    <row r="20" spans="1:11" x14ac:dyDescent="0.3">
      <c r="A20" s="256">
        <v>13</v>
      </c>
      <c r="B20" s="257" t="s">
        <v>1414</v>
      </c>
      <c r="C20" s="276">
        <v>44211</v>
      </c>
      <c r="D20" s="257" t="s">
        <v>1272</v>
      </c>
      <c r="E20" s="256" t="s">
        <v>1805</v>
      </c>
      <c r="F20" s="256" t="s">
        <v>1730</v>
      </c>
      <c r="G20" s="258">
        <v>11863000000</v>
      </c>
      <c r="H20" s="265">
        <v>0.1</v>
      </c>
      <c r="I20" s="258">
        <v>1186300000</v>
      </c>
      <c r="J20" s="258">
        <v>13049300000</v>
      </c>
      <c r="K20" s="256" t="s">
        <v>1346</v>
      </c>
    </row>
    <row r="21" spans="1:11" x14ac:dyDescent="0.3">
      <c r="A21" s="256">
        <v>14</v>
      </c>
      <c r="B21" s="257" t="s">
        <v>1394</v>
      </c>
      <c r="C21" s="276">
        <v>44242</v>
      </c>
      <c r="D21" s="257" t="s">
        <v>1264</v>
      </c>
      <c r="E21" s="256" t="s">
        <v>1779</v>
      </c>
      <c r="F21" s="256" t="s">
        <v>1734</v>
      </c>
      <c r="G21" s="258">
        <v>9503000000</v>
      </c>
      <c r="H21" s="265">
        <v>0.1</v>
      </c>
      <c r="I21" s="258">
        <v>950300000</v>
      </c>
      <c r="J21" s="258">
        <v>10453300000</v>
      </c>
      <c r="K21" s="256" t="s">
        <v>1346</v>
      </c>
    </row>
    <row r="22" spans="1:11" x14ac:dyDescent="0.3">
      <c r="A22" s="256">
        <v>15</v>
      </c>
      <c r="B22" s="257" t="s">
        <v>1368</v>
      </c>
      <c r="C22" s="276">
        <v>44275</v>
      </c>
      <c r="D22" s="257" t="s">
        <v>1298</v>
      </c>
      <c r="E22" s="256" t="s">
        <v>1819</v>
      </c>
      <c r="F22" s="256" t="s">
        <v>1870</v>
      </c>
      <c r="G22" s="258">
        <v>5953000000</v>
      </c>
      <c r="H22" s="265">
        <v>0.1</v>
      </c>
      <c r="I22" s="258">
        <v>595300000</v>
      </c>
      <c r="J22" s="258">
        <v>6548300000</v>
      </c>
      <c r="K22" s="256" t="s">
        <v>1346</v>
      </c>
    </row>
    <row r="23" spans="1:11" x14ac:dyDescent="0.3">
      <c r="A23" s="256">
        <v>16</v>
      </c>
      <c r="B23" s="257" t="s">
        <v>1388</v>
      </c>
      <c r="C23" s="276">
        <v>44306</v>
      </c>
      <c r="D23" s="257" t="s">
        <v>1282</v>
      </c>
      <c r="E23" s="256" t="s">
        <v>1789</v>
      </c>
      <c r="F23" s="256" t="s">
        <v>1731</v>
      </c>
      <c r="G23" s="258">
        <v>12773000000</v>
      </c>
      <c r="H23" s="265">
        <v>0.1</v>
      </c>
      <c r="I23" s="258">
        <v>1277300000</v>
      </c>
      <c r="J23" s="258">
        <v>14050300000</v>
      </c>
      <c r="K23" s="256" t="s">
        <v>1346</v>
      </c>
    </row>
    <row r="24" spans="1:11" x14ac:dyDescent="0.3">
      <c r="A24" s="256">
        <v>17</v>
      </c>
      <c r="B24" s="257" t="s">
        <v>1394</v>
      </c>
      <c r="C24" s="276">
        <v>44336</v>
      </c>
      <c r="D24" s="257" t="s">
        <v>1304</v>
      </c>
      <c r="E24" s="256" t="s">
        <v>1831</v>
      </c>
      <c r="F24" s="256" t="s">
        <v>1871</v>
      </c>
      <c r="G24" s="258">
        <v>11271000000</v>
      </c>
      <c r="H24" s="265">
        <v>0.1</v>
      </c>
      <c r="I24" s="258">
        <v>1127100000</v>
      </c>
      <c r="J24" s="258">
        <v>12398100000</v>
      </c>
      <c r="K24" s="256" t="s">
        <v>1348</v>
      </c>
    </row>
    <row r="25" spans="1:11" x14ac:dyDescent="0.3">
      <c r="A25" s="256">
        <v>18</v>
      </c>
      <c r="B25" s="257" t="s">
        <v>1381</v>
      </c>
      <c r="C25" s="276">
        <v>44367</v>
      </c>
      <c r="D25" s="257" t="s">
        <v>1291</v>
      </c>
      <c r="E25" s="256" t="s">
        <v>1800</v>
      </c>
      <c r="F25" s="256" t="s">
        <v>1734</v>
      </c>
      <c r="G25" s="258">
        <v>9582000000</v>
      </c>
      <c r="H25" s="265">
        <v>0.1</v>
      </c>
      <c r="I25" s="258">
        <v>958200000</v>
      </c>
      <c r="J25" s="258">
        <v>10540200000</v>
      </c>
      <c r="K25" s="256" t="s">
        <v>1346</v>
      </c>
    </row>
    <row r="26" spans="1:11" x14ac:dyDescent="0.3">
      <c r="A26" s="256">
        <v>19</v>
      </c>
      <c r="B26" s="257" t="s">
        <v>1378</v>
      </c>
      <c r="C26" s="276">
        <v>44397</v>
      </c>
      <c r="D26" s="257" t="s">
        <v>1297</v>
      </c>
      <c r="E26" s="256" t="s">
        <v>1820</v>
      </c>
      <c r="F26" s="256" t="s">
        <v>1870</v>
      </c>
      <c r="G26" s="258">
        <v>11012000000</v>
      </c>
      <c r="H26" s="265">
        <v>0.1</v>
      </c>
      <c r="I26" s="258">
        <v>1101200000</v>
      </c>
      <c r="J26" s="258">
        <v>12113200000</v>
      </c>
      <c r="K26" s="256" t="s">
        <v>1346</v>
      </c>
    </row>
    <row r="27" spans="1:11" x14ac:dyDescent="0.3">
      <c r="A27" s="256">
        <v>20</v>
      </c>
      <c r="B27" s="257" t="s">
        <v>1394</v>
      </c>
      <c r="C27" s="276">
        <v>44428</v>
      </c>
      <c r="D27" s="257" t="s">
        <v>1288</v>
      </c>
      <c r="E27" s="256" t="s">
        <v>1797</v>
      </c>
      <c r="F27" s="256" t="s">
        <v>1870</v>
      </c>
      <c r="G27" s="258">
        <v>18367000000</v>
      </c>
      <c r="H27" s="265">
        <v>0.1</v>
      </c>
      <c r="I27" s="258">
        <v>1836700000</v>
      </c>
      <c r="J27" s="258">
        <v>20203700000</v>
      </c>
      <c r="K27" s="256" t="s">
        <v>1346</v>
      </c>
    </row>
    <row r="28" spans="1:11" x14ac:dyDescent="0.3">
      <c r="A28" s="256">
        <v>21</v>
      </c>
      <c r="B28" s="257" t="s">
        <v>1374</v>
      </c>
      <c r="C28" s="276">
        <v>44459</v>
      </c>
      <c r="D28" s="257" t="s">
        <v>1286</v>
      </c>
      <c r="E28" s="256" t="s">
        <v>1828</v>
      </c>
      <c r="F28" s="256" t="s">
        <v>1869</v>
      </c>
      <c r="G28" s="258">
        <v>17870000000</v>
      </c>
      <c r="H28" s="265">
        <v>0</v>
      </c>
      <c r="I28" s="258">
        <v>0</v>
      </c>
      <c r="J28" s="258">
        <v>17870000000</v>
      </c>
      <c r="K28" s="256" t="s">
        <v>1348</v>
      </c>
    </row>
    <row r="29" spans="1:11" x14ac:dyDescent="0.3">
      <c r="A29" s="256">
        <v>22</v>
      </c>
      <c r="B29" s="257" t="s">
        <v>1379</v>
      </c>
      <c r="C29" s="276">
        <v>44489</v>
      </c>
      <c r="D29" s="257" t="s">
        <v>1302</v>
      </c>
      <c r="E29" s="256" t="s">
        <v>1784</v>
      </c>
      <c r="F29" s="256" t="s">
        <v>1871</v>
      </c>
      <c r="G29" s="258">
        <v>9576000000</v>
      </c>
      <c r="H29" s="265">
        <v>0.1</v>
      </c>
      <c r="I29" s="258">
        <v>957600000</v>
      </c>
      <c r="J29" s="258">
        <v>10533600000</v>
      </c>
      <c r="K29" s="256" t="s">
        <v>1346</v>
      </c>
    </row>
    <row r="30" spans="1:11" x14ac:dyDescent="0.3">
      <c r="A30" s="256">
        <v>23</v>
      </c>
      <c r="B30" s="257" t="s">
        <v>1396</v>
      </c>
      <c r="C30" s="276">
        <v>44520</v>
      </c>
      <c r="D30" s="257" t="s">
        <v>1265</v>
      </c>
      <c r="E30" s="256" t="s">
        <v>1830</v>
      </c>
      <c r="F30" s="256" t="s">
        <v>1730</v>
      </c>
      <c r="G30" s="258">
        <v>9987000000</v>
      </c>
      <c r="H30" s="265">
        <v>0.1</v>
      </c>
      <c r="I30" s="258">
        <v>998700000</v>
      </c>
      <c r="J30" s="258">
        <v>10985700000</v>
      </c>
      <c r="K30" s="256" t="s">
        <v>1346</v>
      </c>
    </row>
    <row r="31" spans="1:11" x14ac:dyDescent="0.3">
      <c r="A31" s="256">
        <v>24</v>
      </c>
      <c r="B31" s="257" t="s">
        <v>1414</v>
      </c>
      <c r="C31" s="276">
        <v>44550</v>
      </c>
      <c r="D31" s="257" t="s">
        <v>1278</v>
      </c>
      <c r="E31" s="256" t="s">
        <v>1785</v>
      </c>
      <c r="F31" s="256" t="s">
        <v>1870</v>
      </c>
      <c r="G31" s="258">
        <v>12513000000</v>
      </c>
      <c r="H31" s="265">
        <v>0.1</v>
      </c>
      <c r="I31" s="258">
        <v>1251300000</v>
      </c>
      <c r="J31" s="258">
        <v>13764300000</v>
      </c>
      <c r="K31" s="256" t="s">
        <v>1346</v>
      </c>
    </row>
    <row r="32" spans="1:11" x14ac:dyDescent="0.3">
      <c r="A32" s="256">
        <v>25</v>
      </c>
      <c r="B32" s="257" t="s">
        <v>1379</v>
      </c>
      <c r="C32" s="276">
        <v>44221</v>
      </c>
      <c r="D32" s="257" t="s">
        <v>1297</v>
      </c>
      <c r="E32" s="256" t="s">
        <v>1820</v>
      </c>
      <c r="F32" s="256" t="s">
        <v>1734</v>
      </c>
      <c r="G32" s="258">
        <v>14776000000</v>
      </c>
      <c r="H32" s="265">
        <v>0.1</v>
      </c>
      <c r="I32" s="258">
        <v>1477600000</v>
      </c>
      <c r="J32" s="258">
        <v>16253600000</v>
      </c>
      <c r="K32" s="256" t="s">
        <v>1346</v>
      </c>
    </row>
    <row r="33" spans="1:11" x14ac:dyDescent="0.3">
      <c r="A33" s="256">
        <v>26</v>
      </c>
      <c r="B33" s="257" t="s">
        <v>1394</v>
      </c>
      <c r="C33" s="276">
        <v>44255</v>
      </c>
      <c r="D33" s="257" t="s">
        <v>1269</v>
      </c>
      <c r="E33" s="256" t="s">
        <v>1823</v>
      </c>
      <c r="F33" s="256" t="s">
        <v>1731</v>
      </c>
      <c r="G33" s="258">
        <v>21325000000</v>
      </c>
      <c r="H33" s="265">
        <v>0.1</v>
      </c>
      <c r="I33" s="258">
        <v>2132500000</v>
      </c>
      <c r="J33" s="258">
        <v>23457500000</v>
      </c>
      <c r="K33" s="256" t="s">
        <v>1348</v>
      </c>
    </row>
    <row r="34" spans="1:11" x14ac:dyDescent="0.3">
      <c r="A34" s="256">
        <v>27</v>
      </c>
      <c r="B34" s="257" t="s">
        <v>1398</v>
      </c>
      <c r="C34" s="276">
        <v>44316</v>
      </c>
      <c r="D34" s="257" t="s">
        <v>1289</v>
      </c>
      <c r="E34" s="256" t="s">
        <v>1803</v>
      </c>
      <c r="F34" s="256" t="s">
        <v>1869</v>
      </c>
      <c r="G34" s="258">
        <v>16954000000</v>
      </c>
      <c r="H34" s="265">
        <v>0.1</v>
      </c>
      <c r="I34" s="258">
        <v>1695400000</v>
      </c>
      <c r="J34" s="258">
        <v>18649400000</v>
      </c>
      <c r="K34" s="256" t="s">
        <v>1346</v>
      </c>
    </row>
    <row r="35" spans="1:11" x14ac:dyDescent="0.3">
      <c r="A35" s="256">
        <v>28</v>
      </c>
      <c r="B35" s="257" t="s">
        <v>1396</v>
      </c>
      <c r="C35" s="276">
        <v>44377</v>
      </c>
      <c r="D35" s="257" t="s">
        <v>1288</v>
      </c>
      <c r="E35" s="256" t="s">
        <v>1797</v>
      </c>
      <c r="F35" s="256" t="s">
        <v>1869</v>
      </c>
      <c r="G35" s="258">
        <v>6045000000</v>
      </c>
      <c r="H35" s="265">
        <v>0.1</v>
      </c>
      <c r="I35" s="258">
        <v>604500000</v>
      </c>
      <c r="J35" s="258">
        <v>6649500000</v>
      </c>
      <c r="K35" s="256" t="s">
        <v>1346</v>
      </c>
    </row>
    <row r="36" spans="1:11" x14ac:dyDescent="0.3">
      <c r="A36" s="256">
        <v>29</v>
      </c>
      <c r="B36" s="257" t="s">
        <v>1396</v>
      </c>
      <c r="C36" s="276">
        <v>44469</v>
      </c>
      <c r="D36" s="257" t="s">
        <v>1264</v>
      </c>
      <c r="E36" s="256" t="s">
        <v>1779</v>
      </c>
      <c r="F36" s="256" t="s">
        <v>1734</v>
      </c>
      <c r="G36" s="258">
        <v>10996000000</v>
      </c>
      <c r="H36" s="265">
        <v>0</v>
      </c>
      <c r="I36" s="258">
        <v>0</v>
      </c>
      <c r="J36" s="258">
        <v>10996000000</v>
      </c>
      <c r="K36" s="256" t="s">
        <v>1348</v>
      </c>
    </row>
    <row r="37" spans="1:11" x14ac:dyDescent="0.3">
      <c r="A37" s="256">
        <v>30</v>
      </c>
      <c r="B37" s="257" t="s">
        <v>1206</v>
      </c>
      <c r="C37" s="276">
        <v>44530</v>
      </c>
      <c r="D37" s="257" t="s">
        <v>1260</v>
      </c>
      <c r="E37" s="256" t="s">
        <v>1804</v>
      </c>
      <c r="F37" s="256" t="s">
        <v>1730</v>
      </c>
      <c r="G37" s="258">
        <v>18503000000</v>
      </c>
      <c r="H37" s="265">
        <v>0.1</v>
      </c>
      <c r="I37" s="258">
        <v>1850300000</v>
      </c>
      <c r="J37" s="258">
        <v>20353300000</v>
      </c>
      <c r="K37" s="256" t="s">
        <v>1346</v>
      </c>
    </row>
    <row r="38" spans="1:11" x14ac:dyDescent="0.3">
      <c r="A38" s="256">
        <v>31</v>
      </c>
      <c r="B38" s="257" t="s">
        <v>1366</v>
      </c>
      <c r="C38" s="276">
        <v>44286</v>
      </c>
      <c r="D38" s="257" t="s">
        <v>1294</v>
      </c>
      <c r="E38" s="256" t="s">
        <v>1795</v>
      </c>
      <c r="F38" s="256" t="s">
        <v>1869</v>
      </c>
      <c r="G38" s="258">
        <v>7001000000</v>
      </c>
      <c r="H38" s="265">
        <v>0.1</v>
      </c>
      <c r="I38" s="258">
        <v>700100000</v>
      </c>
      <c r="J38" s="258">
        <v>7701100000</v>
      </c>
      <c r="K38" s="256" t="s">
        <v>1348</v>
      </c>
    </row>
    <row r="39" spans="1:11" x14ac:dyDescent="0.3">
      <c r="A39" s="256">
        <v>32</v>
      </c>
      <c r="B39" s="257" t="s">
        <v>1403</v>
      </c>
      <c r="C39" s="276">
        <v>44347</v>
      </c>
      <c r="D39" s="257" t="s">
        <v>1271</v>
      </c>
      <c r="E39" s="256" t="s">
        <v>1799</v>
      </c>
      <c r="F39" s="256" t="s">
        <v>1870</v>
      </c>
      <c r="G39" s="258">
        <v>21233000000</v>
      </c>
      <c r="H39" s="265">
        <v>0</v>
      </c>
      <c r="I39" s="258">
        <v>0</v>
      </c>
      <c r="J39" s="258">
        <v>21233000000</v>
      </c>
      <c r="K39" s="256" t="s">
        <v>1346</v>
      </c>
    </row>
    <row r="40" spans="1:11" x14ac:dyDescent="0.3">
      <c r="A40" s="256">
        <v>33</v>
      </c>
      <c r="B40" s="257" t="s">
        <v>1399</v>
      </c>
      <c r="C40" s="276">
        <v>44408</v>
      </c>
      <c r="D40" s="257" t="s">
        <v>1289</v>
      </c>
      <c r="E40" s="256" t="s">
        <v>1803</v>
      </c>
      <c r="F40" s="256" t="s">
        <v>1868</v>
      </c>
      <c r="G40" s="258">
        <v>21552000000</v>
      </c>
      <c r="H40" s="265">
        <v>0.1</v>
      </c>
      <c r="I40" s="258">
        <v>2155200000</v>
      </c>
      <c r="J40" s="258">
        <v>23707200000</v>
      </c>
      <c r="K40" s="256" t="s">
        <v>1346</v>
      </c>
    </row>
    <row r="41" spans="1:11" x14ac:dyDescent="0.3">
      <c r="A41" s="256">
        <v>34</v>
      </c>
      <c r="B41" s="257" t="s">
        <v>1382</v>
      </c>
      <c r="C41" s="276">
        <v>44439</v>
      </c>
      <c r="D41" s="257" t="s">
        <v>1295</v>
      </c>
      <c r="E41" s="256" t="s">
        <v>1825</v>
      </c>
      <c r="F41" s="256" t="s">
        <v>1870</v>
      </c>
      <c r="G41" s="258">
        <v>9490000000</v>
      </c>
      <c r="H41" s="265">
        <v>0.1</v>
      </c>
      <c r="I41" s="258">
        <v>949000000</v>
      </c>
      <c r="J41" s="258">
        <v>10439000000</v>
      </c>
      <c r="K41" s="256" t="s">
        <v>1346</v>
      </c>
    </row>
    <row r="42" spans="1:11" x14ac:dyDescent="0.3">
      <c r="A42" s="256">
        <v>35</v>
      </c>
      <c r="B42" s="257" t="s">
        <v>1373</v>
      </c>
      <c r="C42" s="276">
        <v>44500</v>
      </c>
      <c r="D42" s="257" t="s">
        <v>1303</v>
      </c>
      <c r="E42" s="256" t="s">
        <v>1817</v>
      </c>
      <c r="F42" s="256" t="s">
        <v>1868</v>
      </c>
      <c r="G42" s="258">
        <v>20222000000</v>
      </c>
      <c r="H42" s="265">
        <v>0</v>
      </c>
      <c r="I42" s="258">
        <v>0</v>
      </c>
      <c r="J42" s="258">
        <v>20222000000</v>
      </c>
      <c r="K42" s="256" t="s">
        <v>1348</v>
      </c>
    </row>
    <row r="43" spans="1:11" x14ac:dyDescent="0.3">
      <c r="A43" s="256">
        <v>36</v>
      </c>
      <c r="B43" s="257" t="s">
        <v>1374</v>
      </c>
      <c r="C43" s="276">
        <v>44561</v>
      </c>
      <c r="D43" s="257" t="s">
        <v>1303</v>
      </c>
      <c r="E43" s="256" t="s">
        <v>1817</v>
      </c>
      <c r="F43" s="256" t="s">
        <v>1741</v>
      </c>
      <c r="G43" s="258">
        <v>18646000000</v>
      </c>
      <c r="H43" s="265">
        <v>0.1</v>
      </c>
      <c r="I43" s="258">
        <v>1864600000</v>
      </c>
      <c r="J43" s="258">
        <v>20510600000</v>
      </c>
      <c r="K43" s="256" t="s">
        <v>1346</v>
      </c>
    </row>
    <row r="44" spans="1:11" x14ac:dyDescent="0.3">
      <c r="A44" s="256">
        <v>37</v>
      </c>
      <c r="B44" s="257" t="s">
        <v>1405</v>
      </c>
      <c r="C44" s="276">
        <v>44561</v>
      </c>
      <c r="D44" s="257" t="s">
        <v>1285</v>
      </c>
      <c r="E44" s="256" t="s">
        <v>1793</v>
      </c>
      <c r="F44" s="256" t="s">
        <v>1741</v>
      </c>
      <c r="G44" s="258">
        <v>6626000000</v>
      </c>
      <c r="H44" s="265">
        <v>0.1</v>
      </c>
      <c r="I44" s="258">
        <v>662600000</v>
      </c>
      <c r="J44" s="258">
        <v>7288600000</v>
      </c>
      <c r="K44" s="256" t="s">
        <v>1346</v>
      </c>
    </row>
    <row r="45" spans="1:11" x14ac:dyDescent="0.3">
      <c r="A45" s="256">
        <v>38</v>
      </c>
      <c r="B45" s="257" t="s">
        <v>1209</v>
      </c>
      <c r="C45" s="276">
        <v>44561</v>
      </c>
      <c r="D45" s="257" t="s">
        <v>1276</v>
      </c>
      <c r="E45" s="256" t="s">
        <v>1822</v>
      </c>
      <c r="F45" s="256" t="s">
        <v>1870</v>
      </c>
      <c r="G45" s="258">
        <v>13881000000</v>
      </c>
      <c r="H45" s="265">
        <v>0.1</v>
      </c>
      <c r="I45" s="258">
        <v>1388100000</v>
      </c>
      <c r="J45" s="258">
        <v>15269100000</v>
      </c>
      <c r="K45" s="256" t="s">
        <v>1346</v>
      </c>
    </row>
    <row r="46" spans="1:11" x14ac:dyDescent="0.3">
      <c r="A46" s="256">
        <v>39</v>
      </c>
      <c r="B46" s="257" t="s">
        <v>1385</v>
      </c>
      <c r="C46" s="276">
        <v>44561</v>
      </c>
      <c r="D46" s="257" t="s">
        <v>1293</v>
      </c>
      <c r="E46" s="256" t="s">
        <v>1826</v>
      </c>
      <c r="F46" s="256" t="s">
        <v>1730</v>
      </c>
      <c r="G46" s="258">
        <v>17658000000</v>
      </c>
      <c r="H46" s="265">
        <v>0.1</v>
      </c>
      <c r="I46" s="258">
        <v>1765800000</v>
      </c>
      <c r="J46" s="258">
        <v>19423800000</v>
      </c>
      <c r="K46" s="256" t="s">
        <v>1346</v>
      </c>
    </row>
    <row r="47" spans="1:11" x14ac:dyDescent="0.3">
      <c r="A47" s="256">
        <v>40</v>
      </c>
      <c r="B47" s="257" t="s">
        <v>1419</v>
      </c>
      <c r="C47" s="276">
        <v>44561</v>
      </c>
      <c r="D47" s="257" t="s">
        <v>1281</v>
      </c>
      <c r="E47" s="256" t="s">
        <v>1806</v>
      </c>
      <c r="F47" s="256" t="s">
        <v>1731</v>
      </c>
      <c r="G47" s="258">
        <v>16582000000</v>
      </c>
      <c r="H47" s="265">
        <v>0.1</v>
      </c>
      <c r="I47" s="258">
        <v>1658200000</v>
      </c>
      <c r="J47" s="258">
        <v>18240200000</v>
      </c>
      <c r="K47" s="256" t="s">
        <v>1346</v>
      </c>
    </row>
    <row r="48" spans="1:11" x14ac:dyDescent="0.3">
      <c r="A48" s="256">
        <v>41</v>
      </c>
      <c r="B48" s="257" t="s">
        <v>1406</v>
      </c>
      <c r="C48" s="276">
        <v>44561</v>
      </c>
      <c r="D48" s="257" t="s">
        <v>1283</v>
      </c>
      <c r="E48" s="256" t="s">
        <v>1798</v>
      </c>
      <c r="F48" s="256" t="s">
        <v>1734</v>
      </c>
      <c r="G48" s="258">
        <v>13445000000</v>
      </c>
      <c r="H48" s="265">
        <v>0.1</v>
      </c>
      <c r="I48" s="258">
        <v>1344500000</v>
      </c>
      <c r="J48" s="258">
        <v>14789500000</v>
      </c>
      <c r="K48" s="256" t="s">
        <v>1346</v>
      </c>
    </row>
    <row r="49" spans="1:11" x14ac:dyDescent="0.3">
      <c r="A49" s="256">
        <v>42</v>
      </c>
      <c r="B49" s="257" t="s">
        <v>1368</v>
      </c>
      <c r="C49" s="276">
        <v>44561</v>
      </c>
      <c r="D49" s="257" t="s">
        <v>1294</v>
      </c>
      <c r="E49" s="256" t="s">
        <v>1795</v>
      </c>
      <c r="F49" s="256" t="s">
        <v>1871</v>
      </c>
      <c r="G49" s="258">
        <v>22225000000</v>
      </c>
      <c r="H49" s="265">
        <v>0</v>
      </c>
      <c r="I49" s="258">
        <v>0</v>
      </c>
      <c r="J49" s="258">
        <v>22225000000</v>
      </c>
      <c r="K49" s="256" t="s">
        <v>1346</v>
      </c>
    </row>
    <row r="50" spans="1:11" x14ac:dyDescent="0.3">
      <c r="A50" s="256">
        <v>43</v>
      </c>
      <c r="B50" s="257" t="s">
        <v>1406</v>
      </c>
      <c r="C50" s="276">
        <v>44561</v>
      </c>
      <c r="D50" s="257" t="s">
        <v>1285</v>
      </c>
      <c r="E50" s="256" t="s">
        <v>1793</v>
      </c>
      <c r="F50" s="256" t="s">
        <v>1871</v>
      </c>
      <c r="G50" s="258">
        <v>11154000000</v>
      </c>
      <c r="H50" s="265">
        <v>0.1</v>
      </c>
      <c r="I50" s="258">
        <v>1115400000</v>
      </c>
      <c r="J50" s="258">
        <v>12269400000</v>
      </c>
      <c r="K50" s="256" t="s">
        <v>1348</v>
      </c>
    </row>
    <row r="51" spans="1:11" x14ac:dyDescent="0.3">
      <c r="A51" s="256">
        <v>44</v>
      </c>
      <c r="B51" s="257" t="s">
        <v>1382</v>
      </c>
      <c r="C51" s="276">
        <v>44561</v>
      </c>
      <c r="D51" s="257" t="s">
        <v>1301</v>
      </c>
      <c r="E51" s="256" t="s">
        <v>1781</v>
      </c>
      <c r="F51" s="256" t="s">
        <v>1868</v>
      </c>
      <c r="G51" s="258">
        <v>9458000000</v>
      </c>
      <c r="H51" s="265">
        <v>0.1</v>
      </c>
      <c r="I51" s="258">
        <v>945800000</v>
      </c>
      <c r="J51" s="258">
        <v>10403800000</v>
      </c>
      <c r="K51" s="256" t="s">
        <v>1346</v>
      </c>
    </row>
    <row r="52" spans="1:11" x14ac:dyDescent="0.3">
      <c r="A52" s="256">
        <v>45</v>
      </c>
      <c r="B52" s="257" t="s">
        <v>1411</v>
      </c>
      <c r="C52" s="276">
        <v>44561</v>
      </c>
      <c r="D52" s="257" t="s">
        <v>1274</v>
      </c>
      <c r="E52" s="256" t="s">
        <v>1794</v>
      </c>
      <c r="F52" s="256" t="s">
        <v>1730</v>
      </c>
      <c r="G52" s="258">
        <v>15291000000</v>
      </c>
      <c r="H52" s="265">
        <v>0.1</v>
      </c>
      <c r="I52" s="258">
        <v>1529100000</v>
      </c>
      <c r="J52" s="258">
        <v>16820100000</v>
      </c>
      <c r="K52" s="256" t="s">
        <v>1346</v>
      </c>
    </row>
    <row r="53" spans="1:11" x14ac:dyDescent="0.3">
      <c r="A53" s="256">
        <v>46</v>
      </c>
      <c r="B53" s="257" t="s">
        <v>1408</v>
      </c>
      <c r="C53" s="276">
        <v>44561</v>
      </c>
      <c r="D53" s="257" t="s">
        <v>1283</v>
      </c>
      <c r="E53" s="256" t="s">
        <v>1798</v>
      </c>
      <c r="F53" s="256" t="s">
        <v>1870</v>
      </c>
      <c r="G53" s="258">
        <v>18320000000</v>
      </c>
      <c r="H53" s="265">
        <v>0.1</v>
      </c>
      <c r="I53" s="258">
        <v>1832000000</v>
      </c>
      <c r="J53" s="258">
        <v>20152000000</v>
      </c>
      <c r="K53" s="256" t="s">
        <v>1346</v>
      </c>
    </row>
    <row r="54" spans="1:11" x14ac:dyDescent="0.3">
      <c r="A54" s="256">
        <v>47</v>
      </c>
      <c r="B54" s="257" t="s">
        <v>1418</v>
      </c>
      <c r="C54" s="276">
        <v>44561</v>
      </c>
      <c r="D54" s="257" t="s">
        <v>1276</v>
      </c>
      <c r="E54" s="256" t="s">
        <v>1822</v>
      </c>
      <c r="F54" s="256" t="s">
        <v>1868</v>
      </c>
      <c r="G54" s="258">
        <v>11228000000</v>
      </c>
      <c r="H54" s="265">
        <v>0.1</v>
      </c>
      <c r="I54" s="258">
        <v>1122800000</v>
      </c>
      <c r="J54" s="258">
        <v>12350800000</v>
      </c>
      <c r="K54" s="256" t="s">
        <v>1346</v>
      </c>
    </row>
    <row r="55" spans="1:11" x14ac:dyDescent="0.3">
      <c r="A55" s="256">
        <v>48</v>
      </c>
      <c r="B55" s="257" t="s">
        <v>1401</v>
      </c>
      <c r="C55" s="276">
        <v>44561</v>
      </c>
      <c r="D55" s="257" t="s">
        <v>1255</v>
      </c>
      <c r="E55" s="273">
        <v>46152</v>
      </c>
      <c r="F55" s="256" t="s">
        <v>1731</v>
      </c>
      <c r="G55" s="258">
        <v>8707000000</v>
      </c>
      <c r="H55" s="265">
        <v>0.1</v>
      </c>
      <c r="I55" s="258">
        <v>870700000</v>
      </c>
      <c r="J55" s="258">
        <v>9577700000</v>
      </c>
      <c r="K55" s="256" t="s">
        <v>1346</v>
      </c>
    </row>
    <row r="56" spans="1:11" x14ac:dyDescent="0.3">
      <c r="A56" s="256">
        <v>49</v>
      </c>
      <c r="B56" s="257" t="s">
        <v>1399</v>
      </c>
      <c r="C56" s="276">
        <v>44561</v>
      </c>
      <c r="D56" s="257" t="s">
        <v>1257</v>
      </c>
      <c r="E56" s="256" t="s">
        <v>1815</v>
      </c>
      <c r="F56" s="256" t="s">
        <v>1871</v>
      </c>
      <c r="G56" s="258">
        <v>12371000000</v>
      </c>
      <c r="H56" s="265">
        <v>0.1</v>
      </c>
      <c r="I56" s="258">
        <v>1237100000</v>
      </c>
      <c r="J56" s="258">
        <v>13608100000</v>
      </c>
      <c r="K56" s="256" t="s">
        <v>1346</v>
      </c>
    </row>
    <row r="57" spans="1:11" x14ac:dyDescent="0.3">
      <c r="A57" s="256">
        <v>50</v>
      </c>
      <c r="B57" s="257" t="s">
        <v>1383</v>
      </c>
      <c r="C57" s="276">
        <v>44561</v>
      </c>
      <c r="D57" s="257" t="s">
        <v>1301</v>
      </c>
      <c r="E57" s="256" t="s">
        <v>1781</v>
      </c>
      <c r="F57" s="256" t="s">
        <v>1871</v>
      </c>
      <c r="G57" s="258">
        <v>12677000000</v>
      </c>
      <c r="H57" s="265">
        <v>0.1</v>
      </c>
      <c r="I57" s="258">
        <v>1267700000</v>
      </c>
      <c r="J57" s="258">
        <v>13944700000</v>
      </c>
      <c r="K57" s="256" t="s">
        <v>1346</v>
      </c>
    </row>
    <row r="58" spans="1:11" x14ac:dyDescent="0.3">
      <c r="A58" s="266" t="s">
        <v>1351</v>
      </c>
      <c r="B58" s="266"/>
      <c r="C58" s="266"/>
      <c r="D58" s="266"/>
      <c r="E58" s="266"/>
      <c r="F58" s="266"/>
      <c r="G58" s="267">
        <f>SUM(G8:G57)</f>
        <v>672380000000</v>
      </c>
      <c r="H58" s="266"/>
      <c r="I58" s="267">
        <f>SUM(I8:I57)</f>
        <v>54510200000</v>
      </c>
      <c r="J58" s="267">
        <f>SUM(J8:J57)</f>
        <v>726890200000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1286</v>
      </c>
      <c r="E62" s="256" t="s">
        <v>1828</v>
      </c>
      <c r="F62" s="256" t="s">
        <v>1872</v>
      </c>
      <c r="G62" s="258">
        <v>23138000000</v>
      </c>
      <c r="H62" s="265">
        <v>0.1</v>
      </c>
      <c r="I62" s="258">
        <v>2313800000</v>
      </c>
      <c r="J62" s="258">
        <v>25451800000</v>
      </c>
      <c r="K62" s="256" t="s">
        <v>1348</v>
      </c>
    </row>
    <row r="63" spans="1:11" x14ac:dyDescent="0.3">
      <c r="A63" s="256">
        <v>2</v>
      </c>
      <c r="B63" s="257" t="s">
        <v>1201</v>
      </c>
      <c r="C63" s="276">
        <v>44318</v>
      </c>
      <c r="D63" s="257" t="s">
        <v>1273</v>
      </c>
      <c r="E63" s="256" t="s">
        <v>1829</v>
      </c>
      <c r="F63" s="256" t="s">
        <v>1872</v>
      </c>
      <c r="G63" s="258">
        <v>21696000000</v>
      </c>
      <c r="H63" s="265">
        <v>0</v>
      </c>
      <c r="I63" s="258">
        <v>0</v>
      </c>
      <c r="J63" s="258">
        <v>21696000000</v>
      </c>
      <c r="K63" s="256" t="s">
        <v>1346</v>
      </c>
    </row>
    <row r="64" spans="1:11" x14ac:dyDescent="0.3">
      <c r="A64" s="256">
        <v>3</v>
      </c>
      <c r="B64" s="257" t="s">
        <v>1202</v>
      </c>
      <c r="C64" s="276">
        <v>44472</v>
      </c>
      <c r="D64" s="257" t="s">
        <v>1275</v>
      </c>
      <c r="E64" s="256" t="s">
        <v>1808</v>
      </c>
      <c r="F64" s="256" t="s">
        <v>1875</v>
      </c>
      <c r="G64" s="258">
        <v>22136000000</v>
      </c>
      <c r="H64" s="265">
        <v>0.1</v>
      </c>
      <c r="I64" s="258">
        <v>2213600000</v>
      </c>
      <c r="J64" s="258">
        <v>24349600000</v>
      </c>
      <c r="K64" s="256" t="s">
        <v>1348</v>
      </c>
    </row>
    <row r="65" spans="1:11" x14ac:dyDescent="0.3">
      <c r="A65" s="256">
        <v>4</v>
      </c>
      <c r="B65" s="257" t="s">
        <v>1355</v>
      </c>
      <c r="C65" s="276">
        <v>44473</v>
      </c>
      <c r="D65" s="257" t="s">
        <v>1262</v>
      </c>
      <c r="E65" s="256" t="s">
        <v>1816</v>
      </c>
      <c r="F65" s="256" t="s">
        <v>1875</v>
      </c>
      <c r="G65" s="258">
        <v>8122000000</v>
      </c>
      <c r="H65" s="265">
        <v>0.1</v>
      </c>
      <c r="I65" s="258">
        <v>812200000</v>
      </c>
      <c r="J65" s="258">
        <v>8934200000</v>
      </c>
      <c r="K65" s="256" t="s">
        <v>1346</v>
      </c>
    </row>
    <row r="66" spans="1:11" x14ac:dyDescent="0.3">
      <c r="A66" s="256">
        <v>5</v>
      </c>
      <c r="B66" s="257" t="s">
        <v>1356</v>
      </c>
      <c r="C66" s="276">
        <v>44474</v>
      </c>
      <c r="D66" s="257" t="s">
        <v>1274</v>
      </c>
      <c r="E66" s="256" t="s">
        <v>1794</v>
      </c>
      <c r="F66" s="256" t="s">
        <v>1872</v>
      </c>
      <c r="G66" s="258">
        <v>23356000000</v>
      </c>
      <c r="H66" s="265">
        <v>0.1</v>
      </c>
      <c r="I66" s="258">
        <v>2335600000</v>
      </c>
      <c r="J66" s="258">
        <v>25691600000</v>
      </c>
      <c r="K66" s="256" t="s">
        <v>1346</v>
      </c>
    </row>
    <row r="67" spans="1:11" x14ac:dyDescent="0.3">
      <c r="A67" s="256">
        <v>6</v>
      </c>
      <c r="B67" s="257" t="s">
        <v>1358</v>
      </c>
      <c r="C67" s="276">
        <v>44475</v>
      </c>
      <c r="D67" s="257" t="s">
        <v>1276</v>
      </c>
      <c r="E67" s="256" t="s">
        <v>1822</v>
      </c>
      <c r="F67" s="256" t="s">
        <v>1875</v>
      </c>
      <c r="G67" s="258">
        <v>29090000000</v>
      </c>
      <c r="H67" s="265">
        <v>0.1</v>
      </c>
      <c r="I67" s="258">
        <v>2909000000</v>
      </c>
      <c r="J67" s="258">
        <v>31999000000</v>
      </c>
      <c r="K67" s="256" t="s">
        <v>1346</v>
      </c>
    </row>
    <row r="68" spans="1:11" x14ac:dyDescent="0.3">
      <c r="A68" s="256">
        <v>7</v>
      </c>
      <c r="B68" s="257" t="s">
        <v>1360</v>
      </c>
      <c r="C68" s="276">
        <v>44476</v>
      </c>
      <c r="D68" s="257" t="s">
        <v>1255</v>
      </c>
      <c r="E68" s="273">
        <v>46152</v>
      </c>
      <c r="F68" s="256" t="s">
        <v>1874</v>
      </c>
      <c r="G68" s="258">
        <v>17571000000</v>
      </c>
      <c r="H68" s="265">
        <v>0</v>
      </c>
      <c r="I68" s="258">
        <v>0</v>
      </c>
      <c r="J68" s="258">
        <v>17571000000</v>
      </c>
      <c r="K68" s="256" t="s">
        <v>1346</v>
      </c>
    </row>
    <row r="69" spans="1:11" x14ac:dyDescent="0.3">
      <c r="A69" s="256">
        <v>8</v>
      </c>
      <c r="B69" s="257" t="s">
        <v>1362</v>
      </c>
      <c r="C69" s="276">
        <v>44477</v>
      </c>
      <c r="D69" s="257" t="s">
        <v>1272</v>
      </c>
      <c r="E69" s="256" t="s">
        <v>1805</v>
      </c>
      <c r="F69" s="256" t="s">
        <v>1875</v>
      </c>
      <c r="G69" s="258">
        <v>11678000000</v>
      </c>
      <c r="H69" s="265">
        <v>0.1</v>
      </c>
      <c r="I69" s="258">
        <v>1167800000</v>
      </c>
      <c r="J69" s="258">
        <v>12845800000</v>
      </c>
      <c r="K69" s="256" t="s">
        <v>1348</v>
      </c>
    </row>
    <row r="70" spans="1:11" x14ac:dyDescent="0.3">
      <c r="A70" s="256">
        <v>9</v>
      </c>
      <c r="B70" s="257" t="s">
        <v>1364</v>
      </c>
      <c r="C70" s="276">
        <v>44478</v>
      </c>
      <c r="D70" s="257" t="s">
        <v>1284</v>
      </c>
      <c r="E70" s="256" t="s">
        <v>1786</v>
      </c>
      <c r="F70" s="256" t="s">
        <v>1875</v>
      </c>
      <c r="G70" s="258">
        <v>21043000000</v>
      </c>
      <c r="H70" s="265">
        <v>0.1</v>
      </c>
      <c r="I70" s="258">
        <v>2104300000</v>
      </c>
      <c r="J70" s="258">
        <v>23147300000</v>
      </c>
      <c r="K70" s="256" t="s">
        <v>1346</v>
      </c>
    </row>
    <row r="71" spans="1:11" x14ac:dyDescent="0.3">
      <c r="A71" s="256">
        <v>10</v>
      </c>
      <c r="B71" s="257" t="s">
        <v>1366</v>
      </c>
      <c r="C71" s="276">
        <v>44479</v>
      </c>
      <c r="D71" s="257" t="s">
        <v>1284</v>
      </c>
      <c r="E71" s="256" t="s">
        <v>1786</v>
      </c>
      <c r="F71" s="256" t="s">
        <v>1872</v>
      </c>
      <c r="G71" s="258">
        <v>24320000000</v>
      </c>
      <c r="H71" s="265">
        <v>0.1</v>
      </c>
      <c r="I71" s="258">
        <v>2432000000</v>
      </c>
      <c r="J71" s="258">
        <v>26752000000</v>
      </c>
      <c r="K71" s="256" t="s">
        <v>1346</v>
      </c>
    </row>
    <row r="72" spans="1:11" x14ac:dyDescent="0.3">
      <c r="A72" s="256">
        <v>11</v>
      </c>
      <c r="B72" s="257" t="s">
        <v>1368</v>
      </c>
      <c r="C72" s="276">
        <v>44480</v>
      </c>
      <c r="D72" s="257" t="s">
        <v>1298</v>
      </c>
      <c r="E72" s="256" t="s">
        <v>1819</v>
      </c>
      <c r="F72" s="256" t="s">
        <v>1872</v>
      </c>
      <c r="G72" s="258">
        <v>8004000000</v>
      </c>
      <c r="H72" s="265">
        <v>0.1</v>
      </c>
      <c r="I72" s="258">
        <v>800400000</v>
      </c>
      <c r="J72" s="258">
        <v>8804400000</v>
      </c>
      <c r="K72" s="256" t="s">
        <v>1346</v>
      </c>
    </row>
    <row r="73" spans="1:11" x14ac:dyDescent="0.3">
      <c r="A73" s="256">
        <v>12</v>
      </c>
      <c r="B73" s="257" t="s">
        <v>1371</v>
      </c>
      <c r="C73" s="276">
        <v>44481</v>
      </c>
      <c r="D73" s="257" t="s">
        <v>1303</v>
      </c>
      <c r="E73" s="256" t="s">
        <v>1817</v>
      </c>
      <c r="F73" s="256" t="s">
        <v>1873</v>
      </c>
      <c r="G73" s="258">
        <v>26587000000</v>
      </c>
      <c r="H73" s="265">
        <v>0.1</v>
      </c>
      <c r="I73" s="258">
        <v>2658700000</v>
      </c>
      <c r="J73" s="258">
        <v>29245700000</v>
      </c>
      <c r="K73" s="256" t="s">
        <v>1346</v>
      </c>
    </row>
    <row r="74" spans="1:11" x14ac:dyDescent="0.3">
      <c r="A74" s="256">
        <v>13</v>
      </c>
      <c r="B74" s="257" t="s">
        <v>1373</v>
      </c>
      <c r="C74" s="276">
        <v>44211</v>
      </c>
      <c r="D74" s="257" t="s">
        <v>1299</v>
      </c>
      <c r="E74" s="256" t="s">
        <v>1776</v>
      </c>
      <c r="F74" s="256" t="s">
        <v>1874</v>
      </c>
      <c r="G74" s="258">
        <v>27752000000</v>
      </c>
      <c r="H74" s="265">
        <v>0.1</v>
      </c>
      <c r="I74" s="258">
        <v>2775200000</v>
      </c>
      <c r="J74" s="258">
        <v>30527200000</v>
      </c>
      <c r="K74" s="256" t="s">
        <v>1346</v>
      </c>
    </row>
    <row r="75" spans="1:11" x14ac:dyDescent="0.3">
      <c r="A75" s="256">
        <v>14</v>
      </c>
      <c r="B75" s="257" t="s">
        <v>1374</v>
      </c>
      <c r="C75" s="276">
        <v>44242</v>
      </c>
      <c r="D75" s="257" t="s">
        <v>1271</v>
      </c>
      <c r="E75" s="256" t="s">
        <v>1799</v>
      </c>
      <c r="F75" s="256" t="s">
        <v>1874</v>
      </c>
      <c r="G75" s="258">
        <v>10464000000</v>
      </c>
      <c r="H75" s="265">
        <v>0.1</v>
      </c>
      <c r="I75" s="258">
        <v>1046400000</v>
      </c>
      <c r="J75" s="258">
        <v>11510400000</v>
      </c>
      <c r="K75" s="256" t="s">
        <v>1346</v>
      </c>
    </row>
    <row r="76" spans="1:11" x14ac:dyDescent="0.3">
      <c r="A76" s="256">
        <v>15</v>
      </c>
      <c r="B76" s="257" t="s">
        <v>1376</v>
      </c>
      <c r="C76" s="276">
        <v>44275</v>
      </c>
      <c r="D76" s="257" t="s">
        <v>1268</v>
      </c>
      <c r="E76" s="256" t="s">
        <v>1821</v>
      </c>
      <c r="F76" s="256" t="s">
        <v>1872</v>
      </c>
      <c r="G76" s="258">
        <v>27793000000</v>
      </c>
      <c r="H76" s="265">
        <v>0.1</v>
      </c>
      <c r="I76" s="258">
        <v>2779300000</v>
      </c>
      <c r="J76" s="258">
        <v>30572300000</v>
      </c>
      <c r="K76" s="256" t="s">
        <v>1346</v>
      </c>
    </row>
    <row r="77" spans="1:11" x14ac:dyDescent="0.3">
      <c r="A77" s="256">
        <v>16</v>
      </c>
      <c r="B77" s="257" t="s">
        <v>1378</v>
      </c>
      <c r="C77" s="276">
        <v>44306</v>
      </c>
      <c r="D77" s="257" t="s">
        <v>1289</v>
      </c>
      <c r="E77" s="256" t="s">
        <v>1803</v>
      </c>
      <c r="F77" s="256" t="s">
        <v>1873</v>
      </c>
      <c r="G77" s="258">
        <v>28345000000</v>
      </c>
      <c r="H77" s="265">
        <v>0.1</v>
      </c>
      <c r="I77" s="258">
        <v>2834500000</v>
      </c>
      <c r="J77" s="258">
        <v>31179500000</v>
      </c>
      <c r="K77" s="256" t="s">
        <v>1346</v>
      </c>
    </row>
    <row r="78" spans="1:11" x14ac:dyDescent="0.3">
      <c r="A78" s="256">
        <v>17</v>
      </c>
      <c r="B78" s="257" t="s">
        <v>1379</v>
      </c>
      <c r="C78" s="276">
        <v>44336</v>
      </c>
      <c r="D78" s="257" t="s">
        <v>1264</v>
      </c>
      <c r="E78" s="256" t="s">
        <v>1779</v>
      </c>
      <c r="F78" s="256" t="s">
        <v>1872</v>
      </c>
      <c r="G78" s="258">
        <v>16810000000</v>
      </c>
      <c r="H78" s="265">
        <v>0.1</v>
      </c>
      <c r="I78" s="258">
        <v>1681000000</v>
      </c>
      <c r="J78" s="258">
        <v>18491000000</v>
      </c>
      <c r="K78" s="256" t="s">
        <v>1346</v>
      </c>
    </row>
    <row r="79" spans="1:11" x14ac:dyDescent="0.3">
      <c r="A79" s="256">
        <v>18</v>
      </c>
      <c r="B79" s="257" t="s">
        <v>1381</v>
      </c>
      <c r="C79" s="276">
        <v>44367</v>
      </c>
      <c r="D79" s="257" t="s">
        <v>1297</v>
      </c>
      <c r="E79" s="256" t="s">
        <v>1820</v>
      </c>
      <c r="F79" s="256" t="s">
        <v>1875</v>
      </c>
      <c r="G79" s="258">
        <v>29053000000</v>
      </c>
      <c r="H79" s="265">
        <v>0.1</v>
      </c>
      <c r="I79" s="258">
        <v>2905300000</v>
      </c>
      <c r="J79" s="258">
        <v>31958300000</v>
      </c>
      <c r="K79" s="256" t="s">
        <v>1346</v>
      </c>
    </row>
    <row r="80" spans="1:11" x14ac:dyDescent="0.3">
      <c r="A80" s="256">
        <v>19</v>
      </c>
      <c r="B80" s="257" t="s">
        <v>1382</v>
      </c>
      <c r="C80" s="276">
        <v>44397</v>
      </c>
      <c r="D80" s="257" t="s">
        <v>1297</v>
      </c>
      <c r="E80" s="256" t="s">
        <v>1820</v>
      </c>
      <c r="F80" s="256" t="s">
        <v>1875</v>
      </c>
      <c r="G80" s="258">
        <v>12594000000</v>
      </c>
      <c r="H80" s="265">
        <v>0.1</v>
      </c>
      <c r="I80" s="258">
        <v>1259400000</v>
      </c>
      <c r="J80" s="258">
        <v>13853400000</v>
      </c>
      <c r="K80" s="256" t="s">
        <v>1346</v>
      </c>
    </row>
    <row r="81" spans="1:11" x14ac:dyDescent="0.3">
      <c r="A81" s="256">
        <v>20</v>
      </c>
      <c r="B81" s="257" t="s">
        <v>1383</v>
      </c>
      <c r="C81" s="276">
        <v>44428</v>
      </c>
      <c r="D81" s="257" t="s">
        <v>1270</v>
      </c>
      <c r="E81" s="256" t="s">
        <v>1782</v>
      </c>
      <c r="F81" s="256" t="s">
        <v>1875</v>
      </c>
      <c r="G81" s="258">
        <v>15906000000</v>
      </c>
      <c r="H81" s="265">
        <v>0.1</v>
      </c>
      <c r="I81" s="258">
        <v>1590600000</v>
      </c>
      <c r="J81" s="258">
        <v>17496600000</v>
      </c>
      <c r="K81" s="256" t="s">
        <v>1346</v>
      </c>
    </row>
    <row r="82" spans="1:11" x14ac:dyDescent="0.3">
      <c r="A82" s="256">
        <v>21</v>
      </c>
      <c r="B82" s="257" t="s">
        <v>1203</v>
      </c>
      <c r="C82" s="276">
        <v>44459</v>
      </c>
      <c r="D82" s="257" t="s">
        <v>1267</v>
      </c>
      <c r="E82" s="256" t="s">
        <v>1810</v>
      </c>
      <c r="F82" s="256" t="s">
        <v>1874</v>
      </c>
      <c r="G82" s="258">
        <v>18711000000</v>
      </c>
      <c r="H82" s="265">
        <v>0.1</v>
      </c>
      <c r="I82" s="258">
        <v>1871100000</v>
      </c>
      <c r="J82" s="258">
        <v>20582100000</v>
      </c>
      <c r="K82" s="256" t="s">
        <v>1346</v>
      </c>
    </row>
    <row r="83" spans="1:11" x14ac:dyDescent="0.3">
      <c r="A83" s="256">
        <v>22</v>
      </c>
      <c r="B83" s="257" t="s">
        <v>1204</v>
      </c>
      <c r="C83" s="276">
        <v>44489</v>
      </c>
      <c r="D83" s="257" t="s">
        <v>1267</v>
      </c>
      <c r="E83" s="256" t="s">
        <v>1810</v>
      </c>
      <c r="F83" s="256" t="s">
        <v>1875</v>
      </c>
      <c r="G83" s="258">
        <v>11445000000</v>
      </c>
      <c r="H83" s="265">
        <v>0.1</v>
      </c>
      <c r="I83" s="258">
        <v>1144500000</v>
      </c>
      <c r="J83" s="258">
        <v>12589500000</v>
      </c>
      <c r="K83" s="256" t="s">
        <v>1346</v>
      </c>
    </row>
    <row r="84" spans="1:11" x14ac:dyDescent="0.3">
      <c r="A84" s="256">
        <v>23</v>
      </c>
      <c r="B84" s="257" t="s">
        <v>1205</v>
      </c>
      <c r="C84" s="276">
        <v>44520</v>
      </c>
      <c r="D84" s="257" t="s">
        <v>1297</v>
      </c>
      <c r="E84" s="256" t="s">
        <v>1820</v>
      </c>
      <c r="F84" s="256" t="s">
        <v>1875</v>
      </c>
      <c r="G84" s="258">
        <v>23181000000</v>
      </c>
      <c r="H84" s="265">
        <v>0.1</v>
      </c>
      <c r="I84" s="258">
        <v>2318100000</v>
      </c>
      <c r="J84" s="258">
        <v>25499100000</v>
      </c>
      <c r="K84" s="256" t="s">
        <v>1346</v>
      </c>
    </row>
    <row r="85" spans="1:11" x14ac:dyDescent="0.3">
      <c r="A85" s="256">
        <v>24</v>
      </c>
      <c r="B85" s="257" t="s">
        <v>1385</v>
      </c>
      <c r="C85" s="276">
        <v>44550</v>
      </c>
      <c r="D85" s="257" t="s">
        <v>1275</v>
      </c>
      <c r="E85" s="256" t="s">
        <v>1808</v>
      </c>
      <c r="F85" s="256" t="s">
        <v>1872</v>
      </c>
      <c r="G85" s="258">
        <v>27448000000</v>
      </c>
      <c r="H85" s="265">
        <v>0</v>
      </c>
      <c r="I85" s="258">
        <v>0</v>
      </c>
      <c r="J85" s="258">
        <v>27448000000</v>
      </c>
      <c r="K85" s="256" t="s">
        <v>1346</v>
      </c>
    </row>
    <row r="86" spans="1:11" x14ac:dyDescent="0.3">
      <c r="A86" s="256">
        <v>25</v>
      </c>
      <c r="B86" s="257" t="s">
        <v>1387</v>
      </c>
      <c r="C86" s="276">
        <v>44221</v>
      </c>
      <c r="D86" s="257" t="s">
        <v>1293</v>
      </c>
      <c r="E86" s="256" t="s">
        <v>1826</v>
      </c>
      <c r="F86" s="256" t="s">
        <v>1873</v>
      </c>
      <c r="G86" s="258">
        <v>24784000000</v>
      </c>
      <c r="H86" s="265">
        <v>0.1</v>
      </c>
      <c r="I86" s="258">
        <v>2478400000</v>
      </c>
      <c r="J86" s="258">
        <v>27262400000</v>
      </c>
      <c r="K86" s="256" t="s">
        <v>1346</v>
      </c>
    </row>
    <row r="87" spans="1:11" x14ac:dyDescent="0.3">
      <c r="A87" s="256">
        <v>26</v>
      </c>
      <c r="B87" s="257" t="s">
        <v>1388</v>
      </c>
      <c r="C87" s="276">
        <v>44255</v>
      </c>
      <c r="D87" s="257" t="s">
        <v>1265</v>
      </c>
      <c r="E87" s="256" t="s">
        <v>1830</v>
      </c>
      <c r="F87" s="256" t="s">
        <v>1875</v>
      </c>
      <c r="G87" s="258">
        <v>26245000000</v>
      </c>
      <c r="H87" s="265">
        <v>0.1</v>
      </c>
      <c r="I87" s="258">
        <v>2624500000</v>
      </c>
      <c r="J87" s="258">
        <v>28869500000</v>
      </c>
      <c r="K87" s="256" t="s">
        <v>1346</v>
      </c>
    </row>
    <row r="88" spans="1:11" x14ac:dyDescent="0.3">
      <c r="A88" s="256">
        <v>27</v>
      </c>
      <c r="B88" s="257" t="s">
        <v>1391</v>
      </c>
      <c r="C88" s="276">
        <v>44316</v>
      </c>
      <c r="D88" s="257" t="s">
        <v>1297</v>
      </c>
      <c r="E88" s="256" t="s">
        <v>1820</v>
      </c>
      <c r="F88" s="256" t="s">
        <v>1874</v>
      </c>
      <c r="G88" s="258">
        <v>14284000000</v>
      </c>
      <c r="H88" s="265">
        <v>0.1</v>
      </c>
      <c r="I88" s="258">
        <v>1428400000</v>
      </c>
      <c r="J88" s="258">
        <v>15712400000</v>
      </c>
      <c r="K88" s="256" t="s">
        <v>1346</v>
      </c>
    </row>
    <row r="89" spans="1:11" x14ac:dyDescent="0.3">
      <c r="A89" s="256">
        <v>28</v>
      </c>
      <c r="B89" s="257" t="s">
        <v>1392</v>
      </c>
      <c r="C89" s="276">
        <v>44377</v>
      </c>
      <c r="D89" s="257" t="s">
        <v>1274</v>
      </c>
      <c r="E89" s="256" t="s">
        <v>1794</v>
      </c>
      <c r="F89" s="256" t="s">
        <v>1875</v>
      </c>
      <c r="G89" s="258">
        <v>8403000000</v>
      </c>
      <c r="H89" s="265">
        <v>0.1</v>
      </c>
      <c r="I89" s="258">
        <v>840300000</v>
      </c>
      <c r="J89" s="258">
        <v>9243300000</v>
      </c>
      <c r="K89" s="256" t="s">
        <v>1348</v>
      </c>
    </row>
    <row r="90" spans="1:11" x14ac:dyDescent="0.3">
      <c r="A90" s="256">
        <v>29</v>
      </c>
      <c r="B90" s="257" t="s">
        <v>1394</v>
      </c>
      <c r="C90" s="276">
        <v>44469</v>
      </c>
      <c r="D90" s="257" t="s">
        <v>1257</v>
      </c>
      <c r="E90" s="256" t="s">
        <v>1815</v>
      </c>
      <c r="F90" s="256" t="s">
        <v>1875</v>
      </c>
      <c r="G90" s="258">
        <v>9539000000</v>
      </c>
      <c r="H90" s="265">
        <v>0.1</v>
      </c>
      <c r="I90" s="258">
        <v>953900000</v>
      </c>
      <c r="J90" s="258">
        <v>10492900000</v>
      </c>
      <c r="K90" s="256" t="s">
        <v>1346</v>
      </c>
    </row>
    <row r="91" spans="1:11" x14ac:dyDescent="0.3">
      <c r="A91" s="256">
        <v>30</v>
      </c>
      <c r="B91" s="257" t="s">
        <v>1396</v>
      </c>
      <c r="C91" s="276">
        <v>44530</v>
      </c>
      <c r="D91" s="257" t="s">
        <v>1296</v>
      </c>
      <c r="E91" s="256" t="s">
        <v>1807</v>
      </c>
      <c r="F91" s="256" t="s">
        <v>1874</v>
      </c>
      <c r="G91" s="258">
        <v>21070000000</v>
      </c>
      <c r="H91" s="265">
        <v>0.1</v>
      </c>
      <c r="I91" s="258">
        <v>2107000000</v>
      </c>
      <c r="J91" s="258">
        <v>23177000000</v>
      </c>
      <c r="K91" s="256" t="s">
        <v>1346</v>
      </c>
    </row>
    <row r="92" spans="1:11" x14ac:dyDescent="0.3">
      <c r="A92" s="256">
        <v>31</v>
      </c>
      <c r="B92" s="257" t="s">
        <v>1397</v>
      </c>
      <c r="C92" s="276">
        <v>44286</v>
      </c>
      <c r="D92" s="257" t="s">
        <v>1257</v>
      </c>
      <c r="E92" s="256" t="s">
        <v>1815</v>
      </c>
      <c r="F92" s="256" t="s">
        <v>1874</v>
      </c>
      <c r="G92" s="258">
        <v>12928000000</v>
      </c>
      <c r="H92" s="265">
        <v>0.1</v>
      </c>
      <c r="I92" s="258">
        <v>1292800000</v>
      </c>
      <c r="J92" s="258">
        <v>14220800000</v>
      </c>
      <c r="K92" s="256" t="s">
        <v>1346</v>
      </c>
    </row>
    <row r="93" spans="1:11" x14ac:dyDescent="0.3">
      <c r="A93" s="256">
        <v>32</v>
      </c>
      <c r="B93" s="257" t="s">
        <v>1398</v>
      </c>
      <c r="C93" s="276">
        <v>44347</v>
      </c>
      <c r="D93" s="257" t="s">
        <v>1286</v>
      </c>
      <c r="E93" s="256" t="s">
        <v>1828</v>
      </c>
      <c r="F93" s="256" t="s">
        <v>1874</v>
      </c>
      <c r="G93" s="258">
        <v>10077000000</v>
      </c>
      <c r="H93" s="265">
        <v>0</v>
      </c>
      <c r="I93" s="258">
        <v>0</v>
      </c>
      <c r="J93" s="258">
        <v>10077000000</v>
      </c>
      <c r="K93" s="256" t="s">
        <v>1346</v>
      </c>
    </row>
    <row r="94" spans="1:11" x14ac:dyDescent="0.3">
      <c r="A94" s="256">
        <v>33</v>
      </c>
      <c r="B94" s="257" t="s">
        <v>1399</v>
      </c>
      <c r="C94" s="276">
        <v>44408</v>
      </c>
      <c r="D94" s="257" t="s">
        <v>1301</v>
      </c>
      <c r="E94" s="256" t="s">
        <v>1781</v>
      </c>
      <c r="F94" s="256" t="s">
        <v>1874</v>
      </c>
      <c r="G94" s="258">
        <v>8980000000</v>
      </c>
      <c r="H94" s="265">
        <v>0.1</v>
      </c>
      <c r="I94" s="258">
        <v>898000000</v>
      </c>
      <c r="J94" s="258">
        <v>9878000000</v>
      </c>
      <c r="K94" s="256" t="s">
        <v>1348</v>
      </c>
    </row>
    <row r="95" spans="1:11" x14ac:dyDescent="0.3">
      <c r="A95" s="256">
        <v>34</v>
      </c>
      <c r="B95" s="257" t="s">
        <v>1401</v>
      </c>
      <c r="C95" s="276">
        <v>44439</v>
      </c>
      <c r="D95" s="257" t="s">
        <v>1261</v>
      </c>
      <c r="E95" s="256" t="s">
        <v>1813</v>
      </c>
      <c r="F95" s="256" t="s">
        <v>1874</v>
      </c>
      <c r="G95" s="258">
        <v>26027000000</v>
      </c>
      <c r="H95" s="265">
        <v>0.1</v>
      </c>
      <c r="I95" s="258">
        <v>2602700000</v>
      </c>
      <c r="J95" s="258">
        <v>28629700000</v>
      </c>
      <c r="K95" s="256" t="s">
        <v>1346</v>
      </c>
    </row>
    <row r="96" spans="1:11" x14ac:dyDescent="0.3">
      <c r="A96" s="256">
        <v>35</v>
      </c>
      <c r="B96" s="257" t="s">
        <v>1402</v>
      </c>
      <c r="C96" s="276">
        <v>44500</v>
      </c>
      <c r="D96" s="257" t="s">
        <v>1268</v>
      </c>
      <c r="E96" s="256" t="s">
        <v>1821</v>
      </c>
      <c r="F96" s="256" t="s">
        <v>1873</v>
      </c>
      <c r="G96" s="258">
        <v>24689000000</v>
      </c>
      <c r="H96" s="265">
        <v>0.1</v>
      </c>
      <c r="I96" s="258">
        <v>2468900000</v>
      </c>
      <c r="J96" s="258">
        <v>27157900000</v>
      </c>
      <c r="K96" s="256" t="s">
        <v>1346</v>
      </c>
    </row>
    <row r="97" spans="1:11" x14ac:dyDescent="0.3">
      <c r="A97" s="256">
        <v>36</v>
      </c>
      <c r="B97" s="257" t="s">
        <v>1403</v>
      </c>
      <c r="C97" s="276">
        <v>44561</v>
      </c>
      <c r="D97" s="257" t="s">
        <v>1284</v>
      </c>
      <c r="E97" s="256" t="s">
        <v>1786</v>
      </c>
      <c r="F97" s="256" t="s">
        <v>1875</v>
      </c>
      <c r="G97" s="258">
        <v>11353000000</v>
      </c>
      <c r="H97" s="265">
        <v>0.1</v>
      </c>
      <c r="I97" s="258">
        <v>1135300000</v>
      </c>
      <c r="J97" s="258">
        <v>12488300000</v>
      </c>
      <c r="K97" s="256" t="s">
        <v>1346</v>
      </c>
    </row>
    <row r="98" spans="1:11" x14ac:dyDescent="0.3">
      <c r="A98" s="256">
        <v>37</v>
      </c>
      <c r="B98" s="257" t="s">
        <v>1404</v>
      </c>
      <c r="C98" s="276">
        <v>44561</v>
      </c>
      <c r="D98" s="257" t="s">
        <v>1257</v>
      </c>
      <c r="E98" s="256" t="s">
        <v>1815</v>
      </c>
      <c r="F98" s="256" t="s">
        <v>1875</v>
      </c>
      <c r="G98" s="258">
        <v>13968000000</v>
      </c>
      <c r="H98" s="265">
        <v>0.1</v>
      </c>
      <c r="I98" s="258">
        <v>1396800000</v>
      </c>
      <c r="J98" s="258">
        <v>15364800000</v>
      </c>
      <c r="K98" s="256" t="s">
        <v>1346</v>
      </c>
    </row>
    <row r="99" spans="1:11" x14ac:dyDescent="0.3">
      <c r="A99" s="256">
        <v>38</v>
      </c>
      <c r="B99" s="257" t="s">
        <v>1405</v>
      </c>
      <c r="C99" s="276">
        <v>44561</v>
      </c>
      <c r="D99" s="257" t="s">
        <v>1301</v>
      </c>
      <c r="E99" s="256" t="s">
        <v>1781</v>
      </c>
      <c r="F99" s="256" t="s">
        <v>1873</v>
      </c>
      <c r="G99" s="258">
        <v>9313000000</v>
      </c>
      <c r="H99" s="265">
        <v>0.1</v>
      </c>
      <c r="I99" s="258">
        <v>931300000</v>
      </c>
      <c r="J99" s="258">
        <v>10244300000</v>
      </c>
      <c r="K99" s="256" t="s">
        <v>1346</v>
      </c>
    </row>
    <row r="100" spans="1:11" x14ac:dyDescent="0.3">
      <c r="A100" s="256">
        <v>39</v>
      </c>
      <c r="B100" s="257" t="s">
        <v>1406</v>
      </c>
      <c r="C100" s="276">
        <v>44561</v>
      </c>
      <c r="D100" s="257" t="s">
        <v>1256</v>
      </c>
      <c r="E100" s="256" t="s">
        <v>1802</v>
      </c>
      <c r="F100" s="256" t="s">
        <v>1874</v>
      </c>
      <c r="G100" s="258">
        <v>8913000000</v>
      </c>
      <c r="H100" s="265">
        <v>0</v>
      </c>
      <c r="I100" s="258">
        <v>0</v>
      </c>
      <c r="J100" s="258">
        <v>8913000000</v>
      </c>
      <c r="K100" s="256" t="s">
        <v>1348</v>
      </c>
    </row>
    <row r="101" spans="1:11" x14ac:dyDescent="0.3">
      <c r="A101" s="256">
        <v>40</v>
      </c>
      <c r="B101" s="257" t="s">
        <v>1408</v>
      </c>
      <c r="C101" s="276">
        <v>44561</v>
      </c>
      <c r="D101" s="257" t="s">
        <v>1294</v>
      </c>
      <c r="E101" s="256" t="s">
        <v>1795</v>
      </c>
      <c r="F101" s="256" t="s">
        <v>1873</v>
      </c>
      <c r="G101" s="258">
        <v>15492000000</v>
      </c>
      <c r="H101" s="265">
        <v>0.1</v>
      </c>
      <c r="I101" s="258">
        <v>1549200000</v>
      </c>
      <c r="J101" s="258">
        <v>17041200000</v>
      </c>
      <c r="K101" s="256" t="s">
        <v>1346</v>
      </c>
    </row>
    <row r="102" spans="1:11" x14ac:dyDescent="0.3">
      <c r="A102" s="256">
        <v>41</v>
      </c>
      <c r="B102" s="257" t="s">
        <v>1409</v>
      </c>
      <c r="C102" s="276">
        <v>44561</v>
      </c>
      <c r="D102" s="257" t="s">
        <v>1289</v>
      </c>
      <c r="E102" s="256" t="s">
        <v>1803</v>
      </c>
      <c r="F102" s="256" t="s">
        <v>1875</v>
      </c>
      <c r="G102" s="258">
        <v>21279000000</v>
      </c>
      <c r="H102" s="265">
        <v>0.1</v>
      </c>
      <c r="I102" s="258">
        <v>2127900000</v>
      </c>
      <c r="J102" s="258">
        <v>23406900000</v>
      </c>
      <c r="K102" s="256" t="s">
        <v>1346</v>
      </c>
    </row>
    <row r="103" spans="1:11" x14ac:dyDescent="0.3">
      <c r="A103" s="256">
        <v>42</v>
      </c>
      <c r="B103" s="257" t="s">
        <v>1411</v>
      </c>
      <c r="C103" s="276">
        <v>44561</v>
      </c>
      <c r="D103" s="257" t="s">
        <v>1282</v>
      </c>
      <c r="E103" s="256" t="s">
        <v>1789</v>
      </c>
      <c r="F103" s="256" t="s">
        <v>1873</v>
      </c>
      <c r="G103" s="258">
        <v>12150000000</v>
      </c>
      <c r="H103" s="265">
        <v>0.1</v>
      </c>
      <c r="I103" s="258">
        <v>1215000000</v>
      </c>
      <c r="J103" s="258">
        <v>13365000000</v>
      </c>
      <c r="K103" s="256" t="s">
        <v>1348</v>
      </c>
    </row>
    <row r="104" spans="1:11" x14ac:dyDescent="0.3">
      <c r="A104" s="256">
        <v>43</v>
      </c>
      <c r="B104" s="257" t="s">
        <v>1414</v>
      </c>
      <c r="C104" s="276">
        <v>44561</v>
      </c>
      <c r="D104" s="257" t="s">
        <v>1291</v>
      </c>
      <c r="E104" s="256" t="s">
        <v>1800</v>
      </c>
      <c r="F104" s="256" t="s">
        <v>1873</v>
      </c>
      <c r="G104" s="258">
        <v>15707000000</v>
      </c>
      <c r="H104" s="265">
        <v>0.1</v>
      </c>
      <c r="I104" s="258">
        <v>1570700000</v>
      </c>
      <c r="J104" s="258">
        <v>17277700000</v>
      </c>
      <c r="K104" s="256" t="s">
        <v>1346</v>
      </c>
    </row>
    <row r="105" spans="1:11" x14ac:dyDescent="0.3">
      <c r="A105" s="256">
        <v>44</v>
      </c>
      <c r="B105" s="257" t="s">
        <v>1415</v>
      </c>
      <c r="C105" s="276">
        <v>44561</v>
      </c>
      <c r="D105" s="257" t="s">
        <v>1268</v>
      </c>
      <c r="E105" s="256" t="s">
        <v>1821</v>
      </c>
      <c r="F105" s="256" t="s">
        <v>1872</v>
      </c>
      <c r="G105" s="258">
        <v>20238000000</v>
      </c>
      <c r="H105" s="265">
        <v>0</v>
      </c>
      <c r="I105" s="258">
        <v>0</v>
      </c>
      <c r="J105" s="258">
        <v>20238000000</v>
      </c>
      <c r="K105" s="256" t="s">
        <v>1346</v>
      </c>
    </row>
    <row r="106" spans="1:11" x14ac:dyDescent="0.3">
      <c r="A106" s="256">
        <v>45</v>
      </c>
      <c r="B106" s="257" t="s">
        <v>1206</v>
      </c>
      <c r="C106" s="276">
        <v>44561</v>
      </c>
      <c r="D106" s="257" t="s">
        <v>1258</v>
      </c>
      <c r="E106" s="256" t="s">
        <v>1833</v>
      </c>
      <c r="F106" s="256" t="s">
        <v>1873</v>
      </c>
      <c r="G106" s="258">
        <v>24610000000</v>
      </c>
      <c r="H106" s="265">
        <v>0.1</v>
      </c>
      <c r="I106" s="258">
        <v>2461000000</v>
      </c>
      <c r="J106" s="258">
        <v>27071000000</v>
      </c>
      <c r="K106" s="256" t="s">
        <v>1346</v>
      </c>
    </row>
    <row r="107" spans="1:11" x14ac:dyDescent="0.3">
      <c r="A107" s="256">
        <v>46</v>
      </c>
      <c r="B107" s="257" t="s">
        <v>1207</v>
      </c>
      <c r="C107" s="276">
        <v>44561</v>
      </c>
      <c r="D107" s="257" t="s">
        <v>1285</v>
      </c>
      <c r="E107" s="256" t="s">
        <v>1793</v>
      </c>
      <c r="F107" s="256" t="s">
        <v>1874</v>
      </c>
      <c r="G107" s="258">
        <v>16419000000</v>
      </c>
      <c r="H107" s="265">
        <v>0</v>
      </c>
      <c r="I107" s="258">
        <v>0</v>
      </c>
      <c r="J107" s="258">
        <v>16419000000</v>
      </c>
      <c r="K107" s="256" t="s">
        <v>1346</v>
      </c>
    </row>
    <row r="108" spans="1:11" x14ac:dyDescent="0.3">
      <c r="A108" s="256">
        <v>47</v>
      </c>
      <c r="B108" s="257" t="s">
        <v>1208</v>
      </c>
      <c r="C108" s="276">
        <v>44561</v>
      </c>
      <c r="D108" s="257" t="s">
        <v>1255</v>
      </c>
      <c r="E108" s="273">
        <v>46152</v>
      </c>
      <c r="F108" s="256" t="s">
        <v>1875</v>
      </c>
      <c r="G108" s="258">
        <v>25675000000</v>
      </c>
      <c r="H108" s="265">
        <v>0.1</v>
      </c>
      <c r="I108" s="258">
        <v>2567500000</v>
      </c>
      <c r="J108" s="258">
        <v>28242500000</v>
      </c>
      <c r="K108" s="256" t="s">
        <v>1348</v>
      </c>
    </row>
    <row r="109" spans="1:11" x14ac:dyDescent="0.3">
      <c r="A109" s="256">
        <v>48</v>
      </c>
      <c r="B109" s="257" t="s">
        <v>1209</v>
      </c>
      <c r="C109" s="276">
        <v>44561</v>
      </c>
      <c r="D109" s="257" t="s">
        <v>1259</v>
      </c>
      <c r="E109" s="256" t="s">
        <v>1788</v>
      </c>
      <c r="F109" s="256" t="s">
        <v>1873</v>
      </c>
      <c r="G109" s="258">
        <v>9471000000</v>
      </c>
      <c r="H109" s="265">
        <v>0.1</v>
      </c>
      <c r="I109" s="258">
        <v>947100000</v>
      </c>
      <c r="J109" s="258">
        <v>10418100000</v>
      </c>
      <c r="K109" s="256" t="s">
        <v>1346</v>
      </c>
    </row>
    <row r="110" spans="1:11" x14ac:dyDescent="0.3">
      <c r="A110" s="256">
        <v>49</v>
      </c>
      <c r="B110" s="257" t="s">
        <v>1418</v>
      </c>
      <c r="C110" s="276">
        <v>44561</v>
      </c>
      <c r="D110" s="257" t="s">
        <v>1262</v>
      </c>
      <c r="E110" s="256" t="s">
        <v>1816</v>
      </c>
      <c r="F110" s="256" t="s">
        <v>1875</v>
      </c>
      <c r="G110" s="258">
        <v>11000000000</v>
      </c>
      <c r="H110" s="265">
        <v>0.1</v>
      </c>
      <c r="I110" s="258">
        <v>1100000000</v>
      </c>
      <c r="J110" s="258">
        <v>12100000000</v>
      </c>
      <c r="K110" s="256" t="s">
        <v>1346</v>
      </c>
    </row>
    <row r="111" spans="1:11" x14ac:dyDescent="0.3">
      <c r="A111" s="256">
        <v>50</v>
      </c>
      <c r="B111" s="257" t="s">
        <v>1419</v>
      </c>
      <c r="C111" s="276">
        <v>44561</v>
      </c>
      <c r="D111" s="257" t="s">
        <v>1255</v>
      </c>
      <c r="E111" s="273">
        <v>46152</v>
      </c>
      <c r="F111" s="256" t="s">
        <v>1874</v>
      </c>
      <c r="G111" s="258">
        <v>27610000000</v>
      </c>
      <c r="H111" s="265">
        <v>0.1</v>
      </c>
      <c r="I111" s="258">
        <v>2761000000</v>
      </c>
      <c r="J111" s="258">
        <v>30371000000</v>
      </c>
      <c r="K111" s="256" t="s">
        <v>1346</v>
      </c>
    </row>
    <row r="112" spans="1:11" x14ac:dyDescent="0.3">
      <c r="A112" s="266" t="s">
        <v>1351</v>
      </c>
      <c r="B112" s="266"/>
      <c r="C112" s="266"/>
      <c r="D112" s="266"/>
      <c r="E112" s="266"/>
      <c r="F112" s="266"/>
      <c r="G112" s="267">
        <f>SUM(G62:G111)</f>
        <v>916467000000</v>
      </c>
      <c r="H112" s="266"/>
      <c r="I112" s="267">
        <f>SUM(I62:I111)</f>
        <v>79410500000</v>
      </c>
      <c r="J112" s="267">
        <f>SUM(J62:J111)</f>
        <v>995877500000</v>
      </c>
      <c r="K112" s="266"/>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opLeftCell="C1" workbookViewId="0"/>
  </sheetViews>
  <sheetFormatPr defaultRowHeight="14.4" x14ac:dyDescent="0.3"/>
  <cols>
    <col min="7" max="7" width="12.88671875" bestFit="1" customWidth="1"/>
    <col min="9" max="9" width="11.88671875" bestFit="1" customWidth="1"/>
    <col min="10" max="10" width="12.88671875" bestFit="1" customWidth="1"/>
  </cols>
  <sheetData>
    <row r="1" spans="1:11" x14ac:dyDescent="0.3">
      <c r="A1" s="256" t="s">
        <v>1340</v>
      </c>
      <c r="B1" s="256" t="s">
        <v>698</v>
      </c>
      <c r="C1" s="256"/>
      <c r="D1" s="256"/>
      <c r="E1" s="256"/>
      <c r="F1" s="256"/>
      <c r="G1" s="256"/>
      <c r="H1" s="256"/>
      <c r="I1" s="256"/>
      <c r="J1" s="256"/>
      <c r="K1" s="256"/>
    </row>
    <row r="2" spans="1:11" x14ac:dyDescent="0.3">
      <c r="A2" s="256" t="s">
        <v>1339</v>
      </c>
      <c r="B2" s="257">
        <v>104630172</v>
      </c>
      <c r="C2" s="256"/>
      <c r="D2" s="256"/>
      <c r="E2" s="256"/>
      <c r="F2" s="256"/>
      <c r="G2" s="256"/>
      <c r="H2" s="256"/>
      <c r="I2" s="256"/>
      <c r="J2" s="256"/>
      <c r="K2" s="256"/>
    </row>
    <row r="3" spans="1:11" x14ac:dyDescent="0.3">
      <c r="A3" s="256" t="s">
        <v>1343</v>
      </c>
      <c r="B3" s="258">
        <v>570579630866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1406</v>
      </c>
      <c r="C8" s="276">
        <v>44317</v>
      </c>
      <c r="D8" s="257" t="s">
        <v>1256</v>
      </c>
      <c r="E8" s="256" t="s">
        <v>1802</v>
      </c>
      <c r="F8" s="256" t="s">
        <v>1876</v>
      </c>
      <c r="G8" s="258">
        <v>5646000000</v>
      </c>
      <c r="H8" s="265">
        <v>0.1</v>
      </c>
      <c r="I8" s="258">
        <v>564600000</v>
      </c>
      <c r="J8" s="258">
        <v>6210600000</v>
      </c>
      <c r="K8" s="256" t="s">
        <v>1346</v>
      </c>
    </row>
    <row r="9" spans="1:11" x14ac:dyDescent="0.3">
      <c r="A9" s="256">
        <v>2</v>
      </c>
      <c r="B9" s="257" t="s">
        <v>1414</v>
      </c>
      <c r="C9" s="276">
        <v>44318</v>
      </c>
      <c r="D9" s="257" t="s">
        <v>1268</v>
      </c>
      <c r="E9" s="256" t="s">
        <v>1821</v>
      </c>
      <c r="F9" s="256" t="s">
        <v>1877</v>
      </c>
      <c r="G9" s="258">
        <v>8347000000</v>
      </c>
      <c r="H9" s="265">
        <v>0.1</v>
      </c>
      <c r="I9" s="258">
        <v>834700000</v>
      </c>
      <c r="J9" s="258">
        <v>9181700000</v>
      </c>
      <c r="K9" s="256" t="s">
        <v>1346</v>
      </c>
    </row>
    <row r="10" spans="1:11" x14ac:dyDescent="0.3">
      <c r="A10" s="256">
        <v>3</v>
      </c>
      <c r="B10" s="257" t="s">
        <v>1397</v>
      </c>
      <c r="C10" s="276">
        <v>44472</v>
      </c>
      <c r="D10" s="257" t="s">
        <v>1265</v>
      </c>
      <c r="E10" s="256" t="s">
        <v>1830</v>
      </c>
      <c r="F10" s="256" t="s">
        <v>1879</v>
      </c>
      <c r="G10" s="258">
        <v>6630000000</v>
      </c>
      <c r="H10" s="265">
        <v>0.1</v>
      </c>
      <c r="I10" s="258">
        <v>663000000</v>
      </c>
      <c r="J10" s="258">
        <v>7293000000</v>
      </c>
      <c r="K10" s="256" t="s">
        <v>1348</v>
      </c>
    </row>
    <row r="11" spans="1:11" x14ac:dyDescent="0.3">
      <c r="A11" s="256">
        <v>4</v>
      </c>
      <c r="B11" s="257" t="s">
        <v>1405</v>
      </c>
      <c r="C11" s="276">
        <v>44473</v>
      </c>
      <c r="D11" s="257" t="s">
        <v>1266</v>
      </c>
      <c r="E11" s="256" t="s">
        <v>1824</v>
      </c>
      <c r="F11" s="256" t="s">
        <v>1609</v>
      </c>
      <c r="G11" s="258">
        <v>6331000000</v>
      </c>
      <c r="H11" s="265">
        <v>0</v>
      </c>
      <c r="I11" s="258">
        <v>0</v>
      </c>
      <c r="J11" s="258">
        <v>6331000000</v>
      </c>
      <c r="K11" s="256" t="s">
        <v>1346</v>
      </c>
    </row>
    <row r="12" spans="1:11" x14ac:dyDescent="0.3">
      <c r="A12" s="256">
        <v>5</v>
      </c>
      <c r="B12" s="257" t="s">
        <v>1408</v>
      </c>
      <c r="C12" s="276">
        <v>44474</v>
      </c>
      <c r="D12" s="257" t="s">
        <v>1256</v>
      </c>
      <c r="E12" s="256" t="s">
        <v>1802</v>
      </c>
      <c r="F12" s="256" t="s">
        <v>1880</v>
      </c>
      <c r="G12" s="258">
        <v>8726000000</v>
      </c>
      <c r="H12" s="265">
        <v>0.1</v>
      </c>
      <c r="I12" s="258">
        <v>872600000</v>
      </c>
      <c r="J12" s="258">
        <v>9598600000</v>
      </c>
      <c r="K12" s="256" t="s">
        <v>1346</v>
      </c>
    </row>
    <row r="13" spans="1:11" x14ac:dyDescent="0.3">
      <c r="A13" s="256">
        <v>6</v>
      </c>
      <c r="B13" s="257" t="s">
        <v>1401</v>
      </c>
      <c r="C13" s="276">
        <v>44475</v>
      </c>
      <c r="D13" s="257" t="s">
        <v>1257</v>
      </c>
      <c r="E13" s="256" t="s">
        <v>1815</v>
      </c>
      <c r="F13" s="256" t="s">
        <v>1880</v>
      </c>
      <c r="G13" s="258">
        <v>8995000000</v>
      </c>
      <c r="H13" s="265">
        <v>0.1</v>
      </c>
      <c r="I13" s="258">
        <v>899500000</v>
      </c>
      <c r="J13" s="258">
        <v>9894500000</v>
      </c>
      <c r="K13" s="256" t="s">
        <v>1348</v>
      </c>
    </row>
    <row r="14" spans="1:11" x14ac:dyDescent="0.3">
      <c r="A14" s="256">
        <v>7</v>
      </c>
      <c r="B14" s="257" t="s">
        <v>1404</v>
      </c>
      <c r="C14" s="276">
        <v>44476</v>
      </c>
      <c r="D14" s="257" t="s">
        <v>1271</v>
      </c>
      <c r="E14" s="256" t="s">
        <v>1799</v>
      </c>
      <c r="F14" s="256" t="s">
        <v>1877</v>
      </c>
      <c r="G14" s="258">
        <v>6784000000</v>
      </c>
      <c r="H14" s="265">
        <v>0.1</v>
      </c>
      <c r="I14" s="258">
        <v>678400000</v>
      </c>
      <c r="J14" s="258">
        <v>7462400000</v>
      </c>
      <c r="K14" s="256" t="s">
        <v>1346</v>
      </c>
    </row>
    <row r="15" spans="1:11" x14ac:dyDescent="0.3">
      <c r="A15" s="256">
        <v>8</v>
      </c>
      <c r="B15" s="257" t="s">
        <v>1391</v>
      </c>
      <c r="C15" s="276">
        <v>44477</v>
      </c>
      <c r="D15" s="257" t="s">
        <v>1282</v>
      </c>
      <c r="E15" s="256" t="s">
        <v>1789</v>
      </c>
      <c r="F15" s="256" t="s">
        <v>1879</v>
      </c>
      <c r="G15" s="258">
        <v>6608000000</v>
      </c>
      <c r="H15" s="265">
        <v>0.1</v>
      </c>
      <c r="I15" s="258">
        <v>660800000</v>
      </c>
      <c r="J15" s="258">
        <v>7268800000</v>
      </c>
      <c r="K15" s="256" t="s">
        <v>1346</v>
      </c>
    </row>
    <row r="16" spans="1:11" x14ac:dyDescent="0.3">
      <c r="A16" s="256">
        <v>9</v>
      </c>
      <c r="B16" s="257" t="s">
        <v>1419</v>
      </c>
      <c r="C16" s="276">
        <v>44478</v>
      </c>
      <c r="D16" s="257" t="s">
        <v>1276</v>
      </c>
      <c r="E16" s="256" t="s">
        <v>1822</v>
      </c>
      <c r="F16" s="256" t="s">
        <v>1879</v>
      </c>
      <c r="G16" s="258">
        <v>9434000000</v>
      </c>
      <c r="H16" s="265">
        <v>0.1</v>
      </c>
      <c r="I16" s="258">
        <v>943400000</v>
      </c>
      <c r="J16" s="258">
        <v>10377400000</v>
      </c>
      <c r="K16" s="256" t="s">
        <v>1348</v>
      </c>
    </row>
    <row r="17" spans="1:11" x14ac:dyDescent="0.3">
      <c r="A17" s="256">
        <v>10</v>
      </c>
      <c r="B17" s="257" t="s">
        <v>1408</v>
      </c>
      <c r="C17" s="276">
        <v>44479</v>
      </c>
      <c r="D17" s="257" t="s">
        <v>1280</v>
      </c>
      <c r="E17" s="256" t="s">
        <v>1777</v>
      </c>
      <c r="F17" s="256" t="s">
        <v>1877</v>
      </c>
      <c r="G17" s="258">
        <v>11183000000</v>
      </c>
      <c r="H17" s="265">
        <v>0.1</v>
      </c>
      <c r="I17" s="258">
        <v>1118300000</v>
      </c>
      <c r="J17" s="258">
        <v>12301300000</v>
      </c>
      <c r="K17" s="256" t="s">
        <v>1346</v>
      </c>
    </row>
    <row r="18" spans="1:11" x14ac:dyDescent="0.3">
      <c r="A18" s="256">
        <v>11</v>
      </c>
      <c r="B18" s="257" t="s">
        <v>1456</v>
      </c>
      <c r="C18" s="276">
        <v>44480</v>
      </c>
      <c r="D18" s="257" t="s">
        <v>1276</v>
      </c>
      <c r="E18" s="256" t="s">
        <v>1822</v>
      </c>
      <c r="F18" s="256" t="s">
        <v>1879</v>
      </c>
      <c r="G18" s="258">
        <v>9992000000</v>
      </c>
      <c r="H18" s="265">
        <v>0.1</v>
      </c>
      <c r="I18" s="258">
        <v>999200000</v>
      </c>
      <c r="J18" s="258">
        <v>10991200000</v>
      </c>
      <c r="K18" s="256" t="s">
        <v>1346</v>
      </c>
    </row>
    <row r="19" spans="1:11" x14ac:dyDescent="0.3">
      <c r="A19" s="256">
        <v>12</v>
      </c>
      <c r="B19" s="257" t="s">
        <v>1376</v>
      </c>
      <c r="C19" s="276">
        <v>44481</v>
      </c>
      <c r="D19" s="257" t="s">
        <v>1286</v>
      </c>
      <c r="E19" s="256" t="s">
        <v>1828</v>
      </c>
      <c r="F19" s="256" t="s">
        <v>1609</v>
      </c>
      <c r="G19" s="258">
        <v>9311000000</v>
      </c>
      <c r="H19" s="265">
        <v>0.1</v>
      </c>
      <c r="I19" s="258">
        <v>931100000</v>
      </c>
      <c r="J19" s="258">
        <v>10242100000</v>
      </c>
      <c r="K19" s="256" t="s">
        <v>1346</v>
      </c>
    </row>
    <row r="20" spans="1:11" x14ac:dyDescent="0.3">
      <c r="A20" s="256">
        <v>13</v>
      </c>
      <c r="B20" s="257" t="s">
        <v>1203</v>
      </c>
      <c r="C20" s="276">
        <v>44211</v>
      </c>
      <c r="D20" s="257" t="s">
        <v>1301</v>
      </c>
      <c r="E20" s="256" t="s">
        <v>1781</v>
      </c>
      <c r="F20" s="256" t="s">
        <v>1879</v>
      </c>
      <c r="G20" s="258">
        <v>6644000000</v>
      </c>
      <c r="H20" s="265">
        <v>0.1</v>
      </c>
      <c r="I20" s="258">
        <v>664400000</v>
      </c>
      <c r="J20" s="258">
        <v>7308400000</v>
      </c>
      <c r="K20" s="256" t="s">
        <v>1346</v>
      </c>
    </row>
    <row r="21" spans="1:11" x14ac:dyDescent="0.3">
      <c r="A21" s="256">
        <v>14</v>
      </c>
      <c r="B21" s="257" t="s">
        <v>1381</v>
      </c>
      <c r="C21" s="276">
        <v>44242</v>
      </c>
      <c r="D21" s="257" t="s">
        <v>1302</v>
      </c>
      <c r="E21" s="256" t="s">
        <v>1784</v>
      </c>
      <c r="F21" s="256" t="s">
        <v>1879</v>
      </c>
      <c r="G21" s="258">
        <v>13202000000</v>
      </c>
      <c r="H21" s="265">
        <v>0.1</v>
      </c>
      <c r="I21" s="258">
        <v>1320200000</v>
      </c>
      <c r="J21" s="258">
        <v>14522200000</v>
      </c>
      <c r="K21" s="256" t="s">
        <v>1346</v>
      </c>
    </row>
    <row r="22" spans="1:11" x14ac:dyDescent="0.3">
      <c r="A22" s="256">
        <v>15</v>
      </c>
      <c r="B22" s="257" t="s">
        <v>1209</v>
      </c>
      <c r="C22" s="276">
        <v>44275</v>
      </c>
      <c r="D22" s="257" t="s">
        <v>1275</v>
      </c>
      <c r="E22" s="256" t="s">
        <v>1808</v>
      </c>
      <c r="F22" s="256" t="s">
        <v>1880</v>
      </c>
      <c r="G22" s="258">
        <v>5411000000</v>
      </c>
      <c r="H22" s="265">
        <v>0.1</v>
      </c>
      <c r="I22" s="258">
        <v>541100000</v>
      </c>
      <c r="J22" s="258">
        <v>5952100000</v>
      </c>
      <c r="K22" s="256" t="s">
        <v>1348</v>
      </c>
    </row>
    <row r="23" spans="1:11" x14ac:dyDescent="0.3">
      <c r="A23" s="256">
        <v>16</v>
      </c>
      <c r="B23" s="257" t="s">
        <v>1383</v>
      </c>
      <c r="C23" s="276">
        <v>44306</v>
      </c>
      <c r="D23" s="257" t="s">
        <v>1299</v>
      </c>
      <c r="E23" s="256" t="s">
        <v>1776</v>
      </c>
      <c r="F23" s="256" t="s">
        <v>1880</v>
      </c>
      <c r="G23" s="258">
        <v>12149000000</v>
      </c>
      <c r="H23" s="265">
        <v>0.1</v>
      </c>
      <c r="I23" s="258">
        <v>1214900000</v>
      </c>
      <c r="J23" s="258">
        <v>13363900000</v>
      </c>
      <c r="K23" s="256" t="s">
        <v>1346</v>
      </c>
    </row>
    <row r="24" spans="1:11" x14ac:dyDescent="0.3">
      <c r="A24" s="256">
        <v>17</v>
      </c>
      <c r="B24" s="257" t="s">
        <v>1418</v>
      </c>
      <c r="C24" s="276">
        <v>44336</v>
      </c>
      <c r="D24" s="257" t="s">
        <v>1275</v>
      </c>
      <c r="E24" s="256" t="s">
        <v>1808</v>
      </c>
      <c r="F24" s="256" t="s">
        <v>1879</v>
      </c>
      <c r="G24" s="258">
        <v>7143000000</v>
      </c>
      <c r="H24" s="265">
        <v>0.1</v>
      </c>
      <c r="I24" s="258">
        <v>714300000</v>
      </c>
      <c r="J24" s="258">
        <v>7857300000</v>
      </c>
      <c r="K24" s="256" t="s">
        <v>1346</v>
      </c>
    </row>
    <row r="25" spans="1:11" x14ac:dyDescent="0.3">
      <c r="A25" s="256">
        <v>18</v>
      </c>
      <c r="B25" s="257" t="s">
        <v>1458</v>
      </c>
      <c r="C25" s="276">
        <v>44367</v>
      </c>
      <c r="D25" s="257" t="s">
        <v>1277</v>
      </c>
      <c r="E25" s="256" t="s">
        <v>1783</v>
      </c>
      <c r="F25" s="256" t="s">
        <v>1878</v>
      </c>
      <c r="G25" s="258">
        <v>5639000000</v>
      </c>
      <c r="H25" s="265">
        <v>0.1</v>
      </c>
      <c r="I25" s="258">
        <v>563900000</v>
      </c>
      <c r="J25" s="258">
        <v>6202900000</v>
      </c>
      <c r="K25" s="256" t="s">
        <v>1346</v>
      </c>
    </row>
    <row r="26" spans="1:11" x14ac:dyDescent="0.3">
      <c r="A26" s="256">
        <v>19</v>
      </c>
      <c r="B26" s="257" t="s">
        <v>1204</v>
      </c>
      <c r="C26" s="276">
        <v>44397</v>
      </c>
      <c r="D26" s="257" t="s">
        <v>1301</v>
      </c>
      <c r="E26" s="256" t="s">
        <v>1781</v>
      </c>
      <c r="F26" s="256" t="s">
        <v>1878</v>
      </c>
      <c r="G26" s="258">
        <v>13153000000</v>
      </c>
      <c r="H26" s="265">
        <v>0.1</v>
      </c>
      <c r="I26" s="258">
        <v>1315300000</v>
      </c>
      <c r="J26" s="258">
        <v>14468300000</v>
      </c>
      <c r="K26" s="256" t="s">
        <v>1346</v>
      </c>
    </row>
    <row r="27" spans="1:11" x14ac:dyDescent="0.3">
      <c r="A27" s="256">
        <v>20</v>
      </c>
      <c r="B27" s="257" t="s">
        <v>1405</v>
      </c>
      <c r="C27" s="276">
        <v>44428</v>
      </c>
      <c r="D27" s="257" t="s">
        <v>1271</v>
      </c>
      <c r="E27" s="256" t="s">
        <v>1799</v>
      </c>
      <c r="F27" s="256" t="s">
        <v>1880</v>
      </c>
      <c r="G27" s="258">
        <v>8728000000</v>
      </c>
      <c r="H27" s="265">
        <v>0.1</v>
      </c>
      <c r="I27" s="258">
        <v>872800000</v>
      </c>
      <c r="J27" s="258">
        <v>9600800000</v>
      </c>
      <c r="K27" s="256" t="s">
        <v>1346</v>
      </c>
    </row>
    <row r="28" spans="1:11" x14ac:dyDescent="0.3">
      <c r="A28" s="256">
        <v>21</v>
      </c>
      <c r="B28" s="257" t="s">
        <v>1462</v>
      </c>
      <c r="C28" s="276">
        <v>44459</v>
      </c>
      <c r="D28" s="257" t="s">
        <v>1284</v>
      </c>
      <c r="E28" s="256" t="s">
        <v>1786</v>
      </c>
      <c r="F28" s="256" t="s">
        <v>1879</v>
      </c>
      <c r="G28" s="258">
        <v>8703000000</v>
      </c>
      <c r="H28" s="265">
        <v>0.1</v>
      </c>
      <c r="I28" s="258">
        <v>870300000</v>
      </c>
      <c r="J28" s="258">
        <v>9573300000</v>
      </c>
      <c r="K28" s="256" t="s">
        <v>1346</v>
      </c>
    </row>
    <row r="29" spans="1:11" x14ac:dyDescent="0.3">
      <c r="A29" s="256">
        <v>22</v>
      </c>
      <c r="B29" s="257" t="s">
        <v>1207</v>
      </c>
      <c r="C29" s="276">
        <v>44489</v>
      </c>
      <c r="D29" s="257" t="s">
        <v>1260</v>
      </c>
      <c r="E29" s="256" t="s">
        <v>1804</v>
      </c>
      <c r="F29" s="256" t="s">
        <v>1878</v>
      </c>
      <c r="G29" s="258">
        <v>6949000000</v>
      </c>
      <c r="H29" s="265">
        <v>0.1</v>
      </c>
      <c r="I29" s="258">
        <v>694900000</v>
      </c>
      <c r="J29" s="258">
        <v>7643900000</v>
      </c>
      <c r="K29" s="256" t="s">
        <v>1346</v>
      </c>
    </row>
    <row r="30" spans="1:11" x14ac:dyDescent="0.3">
      <c r="A30" s="256">
        <v>23</v>
      </c>
      <c r="B30" s="257" t="s">
        <v>1397</v>
      </c>
      <c r="C30" s="276">
        <v>44520</v>
      </c>
      <c r="D30" s="257" t="s">
        <v>1264</v>
      </c>
      <c r="E30" s="256" t="s">
        <v>1779</v>
      </c>
      <c r="F30" s="256" t="s">
        <v>1880</v>
      </c>
      <c r="G30" s="258">
        <v>9280000000</v>
      </c>
      <c r="H30" s="265">
        <v>0.1</v>
      </c>
      <c r="I30" s="258">
        <v>928000000</v>
      </c>
      <c r="J30" s="258">
        <v>10208000000</v>
      </c>
      <c r="K30" s="256" t="s">
        <v>1346</v>
      </c>
    </row>
    <row r="31" spans="1:11" x14ac:dyDescent="0.3">
      <c r="A31" s="256">
        <v>24</v>
      </c>
      <c r="B31" s="257" t="s">
        <v>1456</v>
      </c>
      <c r="C31" s="276">
        <v>44550</v>
      </c>
      <c r="D31" s="257" t="s">
        <v>1281</v>
      </c>
      <c r="E31" s="256" t="s">
        <v>1806</v>
      </c>
      <c r="F31" s="256" t="s">
        <v>1878</v>
      </c>
      <c r="G31" s="258">
        <v>9302000000</v>
      </c>
      <c r="H31" s="265">
        <v>0.1</v>
      </c>
      <c r="I31" s="258">
        <v>930200000</v>
      </c>
      <c r="J31" s="258">
        <v>10232200000</v>
      </c>
      <c r="K31" s="256" t="s">
        <v>1346</v>
      </c>
    </row>
    <row r="32" spans="1:11" x14ac:dyDescent="0.3">
      <c r="A32" s="256">
        <v>25</v>
      </c>
      <c r="B32" s="257" t="s">
        <v>1396</v>
      </c>
      <c r="C32" s="276">
        <v>44221</v>
      </c>
      <c r="D32" s="257" t="s">
        <v>1304</v>
      </c>
      <c r="E32" s="256" t="s">
        <v>1831</v>
      </c>
      <c r="F32" s="256" t="s">
        <v>1878</v>
      </c>
      <c r="G32" s="258">
        <v>10330000000</v>
      </c>
      <c r="H32" s="265">
        <v>0.1</v>
      </c>
      <c r="I32" s="258">
        <v>1033000000</v>
      </c>
      <c r="J32" s="258">
        <v>11363000000</v>
      </c>
      <c r="K32" s="256" t="s">
        <v>1346</v>
      </c>
    </row>
    <row r="33" spans="1:11" x14ac:dyDescent="0.3">
      <c r="A33" s="256">
        <v>26</v>
      </c>
      <c r="B33" s="257" t="s">
        <v>1414</v>
      </c>
      <c r="C33" s="276">
        <v>44255</v>
      </c>
      <c r="D33" s="257" t="s">
        <v>1274</v>
      </c>
      <c r="E33" s="256" t="s">
        <v>1794</v>
      </c>
      <c r="F33" s="256" t="s">
        <v>1876</v>
      </c>
      <c r="G33" s="258">
        <v>12502000000</v>
      </c>
      <c r="H33" s="265">
        <v>0.1</v>
      </c>
      <c r="I33" s="258">
        <v>1250200000</v>
      </c>
      <c r="J33" s="258">
        <v>13752200000</v>
      </c>
      <c r="K33" s="256" t="s">
        <v>1346</v>
      </c>
    </row>
    <row r="34" spans="1:11" x14ac:dyDescent="0.3">
      <c r="A34" s="256">
        <v>27</v>
      </c>
      <c r="B34" s="257" t="s">
        <v>1459</v>
      </c>
      <c r="C34" s="276">
        <v>44316</v>
      </c>
      <c r="D34" s="257" t="s">
        <v>1277</v>
      </c>
      <c r="E34" s="256" t="s">
        <v>1783</v>
      </c>
      <c r="F34" s="256" t="s">
        <v>1609</v>
      </c>
      <c r="G34" s="258">
        <v>6301000000</v>
      </c>
      <c r="H34" s="265">
        <v>0.1</v>
      </c>
      <c r="I34" s="258">
        <v>630100000</v>
      </c>
      <c r="J34" s="258">
        <v>6931100000</v>
      </c>
      <c r="K34" s="256" t="s">
        <v>1346</v>
      </c>
    </row>
    <row r="35" spans="1:11" x14ac:dyDescent="0.3">
      <c r="A35" s="256">
        <v>28</v>
      </c>
      <c r="B35" s="257" t="s">
        <v>1402</v>
      </c>
      <c r="C35" s="276">
        <v>44377</v>
      </c>
      <c r="D35" s="257" t="s">
        <v>1267</v>
      </c>
      <c r="E35" s="256" t="s">
        <v>1810</v>
      </c>
      <c r="F35" s="256" t="s">
        <v>1877</v>
      </c>
      <c r="G35" s="258">
        <v>5338000000</v>
      </c>
      <c r="H35" s="265">
        <v>0</v>
      </c>
      <c r="I35" s="258">
        <v>0</v>
      </c>
      <c r="J35" s="258">
        <v>5338000000</v>
      </c>
      <c r="K35" s="256" t="s">
        <v>1346</v>
      </c>
    </row>
    <row r="36" spans="1:11" x14ac:dyDescent="0.3">
      <c r="A36" s="256">
        <v>29</v>
      </c>
      <c r="B36" s="257" t="s">
        <v>1397</v>
      </c>
      <c r="C36" s="276">
        <v>44469</v>
      </c>
      <c r="D36" s="257" t="s">
        <v>1304</v>
      </c>
      <c r="E36" s="256" t="s">
        <v>1831</v>
      </c>
      <c r="F36" s="256" t="s">
        <v>1878</v>
      </c>
      <c r="G36" s="258">
        <v>13194000000</v>
      </c>
      <c r="H36" s="265">
        <v>0.1</v>
      </c>
      <c r="I36" s="258">
        <v>1319400000</v>
      </c>
      <c r="J36" s="258">
        <v>14513400000</v>
      </c>
      <c r="K36" s="256" t="s">
        <v>1346</v>
      </c>
    </row>
    <row r="37" spans="1:11" x14ac:dyDescent="0.3">
      <c r="A37" s="256">
        <v>30</v>
      </c>
      <c r="B37" s="257" t="s">
        <v>1414</v>
      </c>
      <c r="C37" s="276">
        <v>44530</v>
      </c>
      <c r="D37" s="257" t="s">
        <v>1270</v>
      </c>
      <c r="E37" s="256" t="s">
        <v>1782</v>
      </c>
      <c r="F37" s="256" t="s">
        <v>1879</v>
      </c>
      <c r="G37" s="258">
        <v>11074000000</v>
      </c>
      <c r="H37" s="265">
        <v>0.1</v>
      </c>
      <c r="I37" s="258">
        <v>1107400000</v>
      </c>
      <c r="J37" s="258">
        <v>12181400000</v>
      </c>
      <c r="K37" s="256" t="s">
        <v>1346</v>
      </c>
    </row>
    <row r="38" spans="1:11" x14ac:dyDescent="0.3">
      <c r="A38" s="256">
        <v>31</v>
      </c>
      <c r="B38" s="257" t="s">
        <v>1382</v>
      </c>
      <c r="C38" s="276">
        <v>44286</v>
      </c>
      <c r="D38" s="257" t="s">
        <v>1302</v>
      </c>
      <c r="E38" s="256" t="s">
        <v>1784</v>
      </c>
      <c r="F38" s="256" t="s">
        <v>1878</v>
      </c>
      <c r="G38" s="258">
        <v>4902000000</v>
      </c>
      <c r="H38" s="265">
        <v>0.1</v>
      </c>
      <c r="I38" s="258">
        <v>490200000</v>
      </c>
      <c r="J38" s="258">
        <v>5392200000</v>
      </c>
      <c r="K38" s="256" t="s">
        <v>1346</v>
      </c>
    </row>
    <row r="39" spans="1:11" x14ac:dyDescent="0.3">
      <c r="A39" s="256">
        <v>32</v>
      </c>
      <c r="B39" s="257" t="s">
        <v>1382</v>
      </c>
      <c r="C39" s="276">
        <v>44347</v>
      </c>
      <c r="D39" s="257" t="s">
        <v>1300</v>
      </c>
      <c r="E39" s="256" t="s">
        <v>1818</v>
      </c>
      <c r="F39" s="256" t="s">
        <v>1880</v>
      </c>
      <c r="G39" s="258">
        <v>9685000000</v>
      </c>
      <c r="H39" s="265">
        <v>0</v>
      </c>
      <c r="I39" s="258">
        <v>0</v>
      </c>
      <c r="J39" s="258">
        <v>9685000000</v>
      </c>
      <c r="K39" s="256" t="s">
        <v>1346</v>
      </c>
    </row>
    <row r="40" spans="1:11" x14ac:dyDescent="0.3">
      <c r="A40" s="256">
        <v>33</v>
      </c>
      <c r="B40" s="257" t="s">
        <v>1403</v>
      </c>
      <c r="C40" s="276">
        <v>44408</v>
      </c>
      <c r="D40" s="257" t="s">
        <v>1267</v>
      </c>
      <c r="E40" s="256" t="s">
        <v>1810</v>
      </c>
      <c r="F40" s="256" t="s">
        <v>1878</v>
      </c>
      <c r="G40" s="258">
        <v>13244000000</v>
      </c>
      <c r="H40" s="265">
        <v>0.1</v>
      </c>
      <c r="I40" s="258">
        <v>1324400000</v>
      </c>
      <c r="J40" s="258">
        <v>14568400000</v>
      </c>
      <c r="K40" s="256" t="s">
        <v>1346</v>
      </c>
    </row>
    <row r="41" spans="1:11" x14ac:dyDescent="0.3">
      <c r="A41" s="256">
        <v>34</v>
      </c>
      <c r="B41" s="257" t="s">
        <v>1457</v>
      </c>
      <c r="C41" s="276">
        <v>44439</v>
      </c>
      <c r="D41" s="257" t="s">
        <v>1276</v>
      </c>
      <c r="E41" s="256" t="s">
        <v>1822</v>
      </c>
      <c r="F41" s="256" t="s">
        <v>1609</v>
      </c>
      <c r="G41" s="258">
        <v>10143000000</v>
      </c>
      <c r="H41" s="265">
        <v>0.1</v>
      </c>
      <c r="I41" s="258">
        <v>1014300000</v>
      </c>
      <c r="J41" s="258">
        <v>11157300000</v>
      </c>
      <c r="K41" s="256" t="s">
        <v>1346</v>
      </c>
    </row>
    <row r="42" spans="1:11" x14ac:dyDescent="0.3">
      <c r="A42" s="256">
        <v>35</v>
      </c>
      <c r="B42" s="257" t="s">
        <v>1463</v>
      </c>
      <c r="C42" s="276">
        <v>44500</v>
      </c>
      <c r="D42" s="257" t="s">
        <v>1284</v>
      </c>
      <c r="E42" s="256" t="s">
        <v>1786</v>
      </c>
      <c r="F42" s="256" t="s">
        <v>1879</v>
      </c>
      <c r="G42" s="258">
        <v>10254000000</v>
      </c>
      <c r="H42" s="265">
        <v>0.1</v>
      </c>
      <c r="I42" s="258">
        <v>1025400000</v>
      </c>
      <c r="J42" s="258">
        <v>11279400000</v>
      </c>
      <c r="K42" s="256" t="s">
        <v>1346</v>
      </c>
    </row>
    <row r="43" spans="1:11" x14ac:dyDescent="0.3">
      <c r="A43" s="256">
        <v>36</v>
      </c>
      <c r="B43" s="257" t="s">
        <v>1411</v>
      </c>
      <c r="C43" s="276">
        <v>44561</v>
      </c>
      <c r="D43" s="257" t="s">
        <v>1273</v>
      </c>
      <c r="E43" s="256" t="s">
        <v>1829</v>
      </c>
      <c r="F43" s="256" t="s">
        <v>1878</v>
      </c>
      <c r="G43" s="258">
        <v>11025000000</v>
      </c>
      <c r="H43" s="265">
        <v>0.1</v>
      </c>
      <c r="I43" s="258">
        <v>1102500000</v>
      </c>
      <c r="J43" s="258">
        <v>12127500000</v>
      </c>
      <c r="K43" s="256" t="s">
        <v>1348</v>
      </c>
    </row>
    <row r="44" spans="1:11" x14ac:dyDescent="0.3">
      <c r="A44" s="256">
        <v>37</v>
      </c>
      <c r="B44" s="257" t="s">
        <v>1460</v>
      </c>
      <c r="C44" s="276">
        <v>44561</v>
      </c>
      <c r="D44" s="257" t="s">
        <v>1277</v>
      </c>
      <c r="E44" s="256" t="s">
        <v>1783</v>
      </c>
      <c r="F44" s="256" t="s">
        <v>1877</v>
      </c>
      <c r="G44" s="258">
        <v>11581000000</v>
      </c>
      <c r="H44" s="265">
        <v>0.1</v>
      </c>
      <c r="I44" s="258">
        <v>1158100000</v>
      </c>
      <c r="J44" s="258">
        <v>12739100000</v>
      </c>
      <c r="K44" s="256" t="s">
        <v>1346</v>
      </c>
    </row>
    <row r="45" spans="1:11" x14ac:dyDescent="0.3">
      <c r="A45" s="256">
        <v>38</v>
      </c>
      <c r="B45" s="257" t="s">
        <v>1402</v>
      </c>
      <c r="C45" s="276">
        <v>44561</v>
      </c>
      <c r="D45" s="257" t="s">
        <v>1257</v>
      </c>
      <c r="E45" s="256" t="s">
        <v>1815</v>
      </c>
      <c r="F45" s="256" t="s">
        <v>1878</v>
      </c>
      <c r="G45" s="258">
        <v>6930000000</v>
      </c>
      <c r="H45" s="265">
        <v>0.1</v>
      </c>
      <c r="I45" s="258">
        <v>693000000</v>
      </c>
      <c r="J45" s="258">
        <v>7623000000</v>
      </c>
      <c r="K45" s="256" t="s">
        <v>1346</v>
      </c>
    </row>
    <row r="46" spans="1:11" x14ac:dyDescent="0.3">
      <c r="A46" s="256">
        <v>39</v>
      </c>
      <c r="B46" s="257" t="s">
        <v>1381</v>
      </c>
      <c r="C46" s="276">
        <v>44561</v>
      </c>
      <c r="D46" s="257" t="s">
        <v>1297</v>
      </c>
      <c r="E46" s="256" t="s">
        <v>1820</v>
      </c>
      <c r="F46" s="256" t="s">
        <v>1878</v>
      </c>
      <c r="G46" s="258">
        <v>12466000000</v>
      </c>
      <c r="H46" s="265">
        <v>0.1</v>
      </c>
      <c r="I46" s="258">
        <v>1246600000</v>
      </c>
      <c r="J46" s="258">
        <v>13712600000</v>
      </c>
      <c r="K46" s="256" t="s">
        <v>1346</v>
      </c>
    </row>
    <row r="47" spans="1:11" x14ac:dyDescent="0.3">
      <c r="A47" s="256">
        <v>40</v>
      </c>
      <c r="B47" s="257" t="s">
        <v>1415</v>
      </c>
      <c r="C47" s="276">
        <v>44561</v>
      </c>
      <c r="D47" s="257" t="s">
        <v>1272</v>
      </c>
      <c r="E47" s="256" t="s">
        <v>1805</v>
      </c>
      <c r="F47" s="256" t="s">
        <v>1878</v>
      </c>
      <c r="G47" s="258">
        <v>4193000000</v>
      </c>
      <c r="H47" s="265">
        <v>0.1</v>
      </c>
      <c r="I47" s="258">
        <v>419300000</v>
      </c>
      <c r="J47" s="258">
        <v>4612300000</v>
      </c>
      <c r="K47" s="256" t="s">
        <v>1346</v>
      </c>
    </row>
    <row r="48" spans="1:11" x14ac:dyDescent="0.3">
      <c r="A48" s="256">
        <v>41</v>
      </c>
      <c r="B48" s="257" t="s">
        <v>1382</v>
      </c>
      <c r="C48" s="276">
        <v>44561</v>
      </c>
      <c r="D48" s="257" t="s">
        <v>1297</v>
      </c>
      <c r="E48" s="256" t="s">
        <v>1820</v>
      </c>
      <c r="F48" s="256" t="s">
        <v>1876</v>
      </c>
      <c r="G48" s="258">
        <v>9833000000</v>
      </c>
      <c r="H48" s="265">
        <v>0.1</v>
      </c>
      <c r="I48" s="258">
        <v>983300000</v>
      </c>
      <c r="J48" s="258">
        <v>10816300000</v>
      </c>
      <c r="K48" s="256" t="s">
        <v>1346</v>
      </c>
    </row>
    <row r="49" spans="1:11" x14ac:dyDescent="0.3">
      <c r="A49" s="256">
        <v>42</v>
      </c>
      <c r="B49" s="257" t="s">
        <v>1376</v>
      </c>
      <c r="C49" s="276">
        <v>44561</v>
      </c>
      <c r="D49" s="257" t="s">
        <v>1303</v>
      </c>
      <c r="E49" s="256" t="s">
        <v>1817</v>
      </c>
      <c r="F49" s="256" t="s">
        <v>1877</v>
      </c>
      <c r="G49" s="258">
        <v>6114000000</v>
      </c>
      <c r="H49" s="265">
        <v>0.1</v>
      </c>
      <c r="I49" s="258">
        <v>611400000</v>
      </c>
      <c r="J49" s="258">
        <v>6725400000</v>
      </c>
      <c r="K49" s="256" t="s">
        <v>1346</v>
      </c>
    </row>
    <row r="50" spans="1:11" x14ac:dyDescent="0.3">
      <c r="A50" s="256">
        <v>43</v>
      </c>
      <c r="B50" s="257" t="s">
        <v>1415</v>
      </c>
      <c r="C50" s="276">
        <v>44561</v>
      </c>
      <c r="D50" s="257" t="s">
        <v>1278</v>
      </c>
      <c r="E50" s="256" t="s">
        <v>1785</v>
      </c>
      <c r="F50" s="256" t="s">
        <v>1879</v>
      </c>
      <c r="G50" s="258">
        <v>6450000000</v>
      </c>
      <c r="H50" s="265">
        <v>0.1</v>
      </c>
      <c r="I50" s="258">
        <v>645000000</v>
      </c>
      <c r="J50" s="258">
        <v>7095000000</v>
      </c>
      <c r="K50" s="256" t="s">
        <v>1346</v>
      </c>
    </row>
    <row r="51" spans="1:11" x14ac:dyDescent="0.3">
      <c r="A51" s="256">
        <v>44</v>
      </c>
      <c r="B51" s="257" t="s">
        <v>1403</v>
      </c>
      <c r="C51" s="276">
        <v>44561</v>
      </c>
      <c r="D51" s="257" t="s">
        <v>1257</v>
      </c>
      <c r="E51" s="256" t="s">
        <v>1815</v>
      </c>
      <c r="F51" s="256" t="s">
        <v>1878</v>
      </c>
      <c r="G51" s="258">
        <v>10394000000</v>
      </c>
      <c r="H51" s="265">
        <v>0.1</v>
      </c>
      <c r="I51" s="258">
        <v>1039400000</v>
      </c>
      <c r="J51" s="258">
        <v>11433400000</v>
      </c>
      <c r="K51" s="256" t="s">
        <v>1346</v>
      </c>
    </row>
    <row r="52" spans="1:11" x14ac:dyDescent="0.3">
      <c r="A52" s="256">
        <v>45</v>
      </c>
      <c r="B52" s="257" t="s">
        <v>1383</v>
      </c>
      <c r="C52" s="276">
        <v>44561</v>
      </c>
      <c r="D52" s="257" t="s">
        <v>1297</v>
      </c>
      <c r="E52" s="256" t="s">
        <v>1820</v>
      </c>
      <c r="F52" s="256" t="s">
        <v>1878</v>
      </c>
      <c r="G52" s="258">
        <v>10007000000</v>
      </c>
      <c r="H52" s="265">
        <v>0.1</v>
      </c>
      <c r="I52" s="258">
        <v>1000700000</v>
      </c>
      <c r="J52" s="258">
        <v>11007700000</v>
      </c>
      <c r="K52" s="256" t="s">
        <v>1346</v>
      </c>
    </row>
    <row r="53" spans="1:11" x14ac:dyDescent="0.3">
      <c r="A53" s="256">
        <v>46</v>
      </c>
      <c r="B53" s="257" t="s">
        <v>1398</v>
      </c>
      <c r="C53" s="276">
        <v>44561</v>
      </c>
      <c r="D53" s="257" t="s">
        <v>1304</v>
      </c>
      <c r="E53" s="256" t="s">
        <v>1831</v>
      </c>
      <c r="F53" s="256" t="s">
        <v>1877</v>
      </c>
      <c r="G53" s="258">
        <v>8908000000</v>
      </c>
      <c r="H53" s="265">
        <v>0.1</v>
      </c>
      <c r="I53" s="258">
        <v>890800000</v>
      </c>
      <c r="J53" s="258">
        <v>9798800000</v>
      </c>
      <c r="K53" s="256" t="s">
        <v>1346</v>
      </c>
    </row>
    <row r="54" spans="1:11" x14ac:dyDescent="0.3">
      <c r="A54" s="256">
        <v>47</v>
      </c>
      <c r="B54" s="257" t="s">
        <v>1419</v>
      </c>
      <c r="C54" s="276">
        <v>44561</v>
      </c>
      <c r="D54" s="257" t="s">
        <v>1275</v>
      </c>
      <c r="E54" s="256" t="s">
        <v>1808</v>
      </c>
      <c r="F54" s="256" t="s">
        <v>1880</v>
      </c>
      <c r="G54" s="258">
        <v>5489000000</v>
      </c>
      <c r="H54" s="265">
        <v>0</v>
      </c>
      <c r="I54" s="258">
        <v>0</v>
      </c>
      <c r="J54" s="258">
        <v>5489000000</v>
      </c>
      <c r="K54" s="256" t="s">
        <v>1346</v>
      </c>
    </row>
    <row r="55" spans="1:11" x14ac:dyDescent="0.3">
      <c r="A55" s="256">
        <v>48</v>
      </c>
      <c r="B55" s="257" t="s">
        <v>1418</v>
      </c>
      <c r="C55" s="276">
        <v>44561</v>
      </c>
      <c r="D55" s="257" t="s">
        <v>1259</v>
      </c>
      <c r="E55" s="256" t="s">
        <v>1788</v>
      </c>
      <c r="F55" s="256" t="s">
        <v>1878</v>
      </c>
      <c r="G55" s="258">
        <v>4194000000</v>
      </c>
      <c r="H55" s="265">
        <v>0.1</v>
      </c>
      <c r="I55" s="258">
        <v>419400000</v>
      </c>
      <c r="J55" s="258">
        <v>4613400000</v>
      </c>
      <c r="K55" s="256" t="s">
        <v>1346</v>
      </c>
    </row>
    <row r="56" spans="1:11" x14ac:dyDescent="0.3">
      <c r="A56" s="256">
        <v>49</v>
      </c>
      <c r="B56" s="257" t="s">
        <v>1406</v>
      </c>
      <c r="C56" s="276">
        <v>44561</v>
      </c>
      <c r="D56" s="257" t="s">
        <v>1266</v>
      </c>
      <c r="E56" s="256" t="s">
        <v>1824</v>
      </c>
      <c r="F56" s="256" t="s">
        <v>1609</v>
      </c>
      <c r="G56" s="258">
        <v>4127000000</v>
      </c>
      <c r="H56" s="265">
        <v>0.1</v>
      </c>
      <c r="I56" s="258">
        <v>412700000</v>
      </c>
      <c r="J56" s="258">
        <v>4539700000</v>
      </c>
      <c r="K56" s="256" t="s">
        <v>1346</v>
      </c>
    </row>
    <row r="57" spans="1:11" x14ac:dyDescent="0.3">
      <c r="A57" s="256">
        <v>50</v>
      </c>
      <c r="B57" s="257" t="s">
        <v>1206</v>
      </c>
      <c r="C57" s="276">
        <v>44561</v>
      </c>
      <c r="D57" s="257" t="s">
        <v>1262</v>
      </c>
      <c r="E57" s="256" t="s">
        <v>1816</v>
      </c>
      <c r="F57" s="256" t="s">
        <v>1877</v>
      </c>
      <c r="G57" s="258">
        <v>8153000000</v>
      </c>
      <c r="H57" s="265">
        <v>0.1</v>
      </c>
      <c r="I57" s="258">
        <v>815300000</v>
      </c>
      <c r="J57" s="258">
        <v>8968300000</v>
      </c>
      <c r="K57" s="256" t="s">
        <v>1348</v>
      </c>
    </row>
    <row r="58" spans="1:11" x14ac:dyDescent="0.3">
      <c r="A58" s="266" t="s">
        <v>1351</v>
      </c>
      <c r="B58" s="266"/>
      <c r="C58" s="266"/>
      <c r="D58" s="266"/>
      <c r="E58" s="266"/>
      <c r="F58" s="266"/>
      <c r="G58" s="267">
        <f>SUM(G8:G57)</f>
        <v>431121000000</v>
      </c>
      <c r="H58" s="266"/>
      <c r="I58" s="267">
        <f>SUM(I8:I57)</f>
        <v>40427800000</v>
      </c>
      <c r="J58" s="267">
        <f>SUM(J8:J57)</f>
        <v>471548800000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1270</v>
      </c>
      <c r="E62" s="256" t="s">
        <v>1782</v>
      </c>
      <c r="F62" s="256" t="s">
        <v>1882</v>
      </c>
      <c r="G62" s="258">
        <v>13363000000</v>
      </c>
      <c r="H62" s="265">
        <v>0.1</v>
      </c>
      <c r="I62" s="258">
        <v>1336300000</v>
      </c>
      <c r="J62" s="258">
        <v>14699300000</v>
      </c>
      <c r="K62" s="256" t="s">
        <v>1346</v>
      </c>
    </row>
    <row r="63" spans="1:11" x14ac:dyDescent="0.3">
      <c r="A63" s="256">
        <v>2</v>
      </c>
      <c r="B63" s="257" t="s">
        <v>1201</v>
      </c>
      <c r="C63" s="276">
        <v>44318</v>
      </c>
      <c r="D63" s="257" t="s">
        <v>1280</v>
      </c>
      <c r="E63" s="256" t="s">
        <v>1777</v>
      </c>
      <c r="F63" s="256" t="s">
        <v>1881</v>
      </c>
      <c r="G63" s="258">
        <v>15403000000</v>
      </c>
      <c r="H63" s="265">
        <v>0.1</v>
      </c>
      <c r="I63" s="258">
        <v>1540300000</v>
      </c>
      <c r="J63" s="258">
        <v>16943300000</v>
      </c>
      <c r="K63" s="256" t="s">
        <v>1346</v>
      </c>
    </row>
    <row r="64" spans="1:11" x14ac:dyDescent="0.3">
      <c r="A64" s="256">
        <v>3</v>
      </c>
      <c r="B64" s="257" t="s">
        <v>1202</v>
      </c>
      <c r="C64" s="276">
        <v>44472</v>
      </c>
      <c r="D64" s="257" t="s">
        <v>1277</v>
      </c>
      <c r="E64" s="256" t="s">
        <v>1783</v>
      </c>
      <c r="F64" s="256" t="s">
        <v>1882</v>
      </c>
      <c r="G64" s="258">
        <v>12434000000</v>
      </c>
      <c r="H64" s="265">
        <v>0.1</v>
      </c>
      <c r="I64" s="258">
        <v>1243400000</v>
      </c>
      <c r="J64" s="258">
        <v>13677400000</v>
      </c>
      <c r="K64" s="256" t="s">
        <v>1346</v>
      </c>
    </row>
    <row r="65" spans="1:11" x14ac:dyDescent="0.3">
      <c r="A65" s="256">
        <v>4</v>
      </c>
      <c r="B65" s="257" t="s">
        <v>1355</v>
      </c>
      <c r="C65" s="276">
        <v>44473</v>
      </c>
      <c r="D65" s="257" t="s">
        <v>1277</v>
      </c>
      <c r="E65" s="256" t="s">
        <v>1783</v>
      </c>
      <c r="F65" s="256" t="s">
        <v>1881</v>
      </c>
      <c r="G65" s="258">
        <v>11223000000</v>
      </c>
      <c r="H65" s="265">
        <v>0.1</v>
      </c>
      <c r="I65" s="258">
        <v>1122300000</v>
      </c>
      <c r="J65" s="258">
        <v>12345300000</v>
      </c>
      <c r="K65" s="256" t="s">
        <v>1346</v>
      </c>
    </row>
    <row r="66" spans="1:11" x14ac:dyDescent="0.3">
      <c r="A66" s="256">
        <v>5</v>
      </c>
      <c r="B66" s="257" t="s">
        <v>1356</v>
      </c>
      <c r="C66" s="276">
        <v>44474</v>
      </c>
      <c r="D66" s="257" t="s">
        <v>1303</v>
      </c>
      <c r="E66" s="256" t="s">
        <v>1817</v>
      </c>
      <c r="F66" s="256" t="s">
        <v>1884</v>
      </c>
      <c r="G66" s="258">
        <v>6630000000</v>
      </c>
      <c r="H66" s="265">
        <v>0.1</v>
      </c>
      <c r="I66" s="258">
        <v>663000000</v>
      </c>
      <c r="J66" s="258">
        <v>7293000000</v>
      </c>
      <c r="K66" s="256" t="s">
        <v>1346</v>
      </c>
    </row>
    <row r="67" spans="1:11" x14ac:dyDescent="0.3">
      <c r="A67" s="256">
        <v>6</v>
      </c>
      <c r="B67" s="257" t="s">
        <v>1358</v>
      </c>
      <c r="C67" s="276">
        <v>44475</v>
      </c>
      <c r="D67" s="257" t="s">
        <v>1284</v>
      </c>
      <c r="E67" s="256" t="s">
        <v>1786</v>
      </c>
      <c r="F67" s="256" t="s">
        <v>1883</v>
      </c>
      <c r="G67" s="258">
        <v>10627000000</v>
      </c>
      <c r="H67" s="265">
        <v>0.1</v>
      </c>
      <c r="I67" s="258">
        <v>1062700000</v>
      </c>
      <c r="J67" s="258">
        <v>11689700000</v>
      </c>
      <c r="K67" s="256" t="s">
        <v>1346</v>
      </c>
    </row>
    <row r="68" spans="1:11" x14ac:dyDescent="0.3">
      <c r="A68" s="256">
        <v>7</v>
      </c>
      <c r="B68" s="257" t="s">
        <v>1360</v>
      </c>
      <c r="C68" s="276">
        <v>44476</v>
      </c>
      <c r="D68" s="257" t="s">
        <v>1263</v>
      </c>
      <c r="E68" s="256" t="s">
        <v>1790</v>
      </c>
      <c r="F68" s="256" t="s">
        <v>1881</v>
      </c>
      <c r="G68" s="258">
        <v>9908000000</v>
      </c>
      <c r="H68" s="265">
        <v>0.1</v>
      </c>
      <c r="I68" s="258">
        <v>990800000</v>
      </c>
      <c r="J68" s="258">
        <v>10898800000</v>
      </c>
      <c r="K68" s="256" t="s">
        <v>1346</v>
      </c>
    </row>
    <row r="69" spans="1:11" x14ac:dyDescent="0.3">
      <c r="A69" s="256">
        <v>8</v>
      </c>
      <c r="B69" s="257" t="s">
        <v>1362</v>
      </c>
      <c r="C69" s="276">
        <v>44477</v>
      </c>
      <c r="D69" s="257" t="s">
        <v>1259</v>
      </c>
      <c r="E69" s="256" t="s">
        <v>1788</v>
      </c>
      <c r="F69" s="256" t="s">
        <v>1884</v>
      </c>
      <c r="G69" s="258">
        <v>4689000000</v>
      </c>
      <c r="H69" s="265">
        <v>0.1</v>
      </c>
      <c r="I69" s="258">
        <v>468900000</v>
      </c>
      <c r="J69" s="258">
        <v>5157900000</v>
      </c>
      <c r="K69" s="256" t="s">
        <v>1346</v>
      </c>
    </row>
    <row r="70" spans="1:11" x14ac:dyDescent="0.3">
      <c r="A70" s="256">
        <v>9</v>
      </c>
      <c r="B70" s="257" t="s">
        <v>1364</v>
      </c>
      <c r="C70" s="276">
        <v>44478</v>
      </c>
      <c r="D70" s="257" t="s">
        <v>1255</v>
      </c>
      <c r="E70" s="273">
        <v>46152</v>
      </c>
      <c r="F70" s="256" t="s">
        <v>1884</v>
      </c>
      <c r="G70" s="258">
        <v>16811000000</v>
      </c>
      <c r="H70" s="265">
        <v>0.1</v>
      </c>
      <c r="I70" s="258">
        <v>1681100000</v>
      </c>
      <c r="J70" s="258">
        <v>18492100000</v>
      </c>
      <c r="K70" s="256" t="s">
        <v>1348</v>
      </c>
    </row>
    <row r="71" spans="1:11" x14ac:dyDescent="0.3">
      <c r="A71" s="256">
        <v>10</v>
      </c>
      <c r="B71" s="257" t="s">
        <v>1366</v>
      </c>
      <c r="C71" s="276">
        <v>44479</v>
      </c>
      <c r="D71" s="257" t="s">
        <v>1260</v>
      </c>
      <c r="E71" s="256" t="s">
        <v>1804</v>
      </c>
      <c r="F71" s="256" t="s">
        <v>1884</v>
      </c>
      <c r="G71" s="258">
        <v>17211000000</v>
      </c>
      <c r="H71" s="265">
        <v>0.1</v>
      </c>
      <c r="I71" s="258">
        <v>1721100000</v>
      </c>
      <c r="J71" s="258">
        <v>18932100000</v>
      </c>
      <c r="K71" s="256" t="s">
        <v>1346</v>
      </c>
    </row>
    <row r="72" spans="1:11" x14ac:dyDescent="0.3">
      <c r="A72" s="256">
        <v>11</v>
      </c>
      <c r="B72" s="257" t="s">
        <v>1368</v>
      </c>
      <c r="C72" s="276">
        <v>44480</v>
      </c>
      <c r="D72" s="257" t="s">
        <v>1292</v>
      </c>
      <c r="E72" s="256" t="s">
        <v>1792</v>
      </c>
      <c r="F72" s="256" t="s">
        <v>1884</v>
      </c>
      <c r="G72" s="258">
        <v>16747000000</v>
      </c>
      <c r="H72" s="265">
        <v>0.1</v>
      </c>
      <c r="I72" s="258">
        <v>1674700000</v>
      </c>
      <c r="J72" s="258">
        <v>18421700000</v>
      </c>
      <c r="K72" s="256" t="s">
        <v>1346</v>
      </c>
    </row>
    <row r="73" spans="1:11" x14ac:dyDescent="0.3">
      <c r="A73" s="256">
        <v>12</v>
      </c>
      <c r="B73" s="257" t="s">
        <v>1371</v>
      </c>
      <c r="C73" s="276">
        <v>44481</v>
      </c>
      <c r="D73" s="257" t="s">
        <v>1276</v>
      </c>
      <c r="E73" s="256" t="s">
        <v>1822</v>
      </c>
      <c r="F73" s="256" t="s">
        <v>1882</v>
      </c>
      <c r="G73" s="258">
        <v>18121000000</v>
      </c>
      <c r="H73" s="265">
        <v>0.1</v>
      </c>
      <c r="I73" s="258">
        <v>1812100000</v>
      </c>
      <c r="J73" s="258">
        <v>19933100000</v>
      </c>
      <c r="K73" s="256" t="s">
        <v>1346</v>
      </c>
    </row>
    <row r="74" spans="1:11" x14ac:dyDescent="0.3">
      <c r="A74" s="256">
        <v>13</v>
      </c>
      <c r="B74" s="257" t="s">
        <v>1373</v>
      </c>
      <c r="C74" s="276">
        <v>44211</v>
      </c>
      <c r="D74" s="257" t="s">
        <v>1302</v>
      </c>
      <c r="E74" s="256" t="s">
        <v>1784</v>
      </c>
      <c r="F74" s="256" t="s">
        <v>1882</v>
      </c>
      <c r="G74" s="258">
        <v>12606000000</v>
      </c>
      <c r="H74" s="265">
        <v>0.1</v>
      </c>
      <c r="I74" s="258">
        <v>1260600000</v>
      </c>
      <c r="J74" s="258">
        <v>13866600000</v>
      </c>
      <c r="K74" s="256" t="s">
        <v>1346</v>
      </c>
    </row>
    <row r="75" spans="1:11" x14ac:dyDescent="0.3">
      <c r="A75" s="256">
        <v>14</v>
      </c>
      <c r="B75" s="257" t="s">
        <v>1374</v>
      </c>
      <c r="C75" s="276">
        <v>44242</v>
      </c>
      <c r="D75" s="257" t="s">
        <v>1255</v>
      </c>
      <c r="E75" s="273">
        <v>46152</v>
      </c>
      <c r="F75" s="256" t="s">
        <v>1883</v>
      </c>
      <c r="G75" s="258">
        <v>6688000000</v>
      </c>
      <c r="H75" s="265">
        <v>0.1</v>
      </c>
      <c r="I75" s="258">
        <v>668800000</v>
      </c>
      <c r="J75" s="258">
        <v>7356800000</v>
      </c>
      <c r="K75" s="256" t="s">
        <v>1346</v>
      </c>
    </row>
    <row r="76" spans="1:11" x14ac:dyDescent="0.3">
      <c r="A76" s="256">
        <v>15</v>
      </c>
      <c r="B76" s="257" t="s">
        <v>1376</v>
      </c>
      <c r="C76" s="276">
        <v>44275</v>
      </c>
      <c r="D76" s="257" t="s">
        <v>1259</v>
      </c>
      <c r="E76" s="256" t="s">
        <v>1788</v>
      </c>
      <c r="F76" s="256" t="s">
        <v>1883</v>
      </c>
      <c r="G76" s="258">
        <v>15389000000</v>
      </c>
      <c r="H76" s="265">
        <v>0.1</v>
      </c>
      <c r="I76" s="258">
        <v>1538900000</v>
      </c>
      <c r="J76" s="258">
        <v>16927900000</v>
      </c>
      <c r="K76" s="256" t="s">
        <v>1346</v>
      </c>
    </row>
    <row r="77" spans="1:11" x14ac:dyDescent="0.3">
      <c r="A77" s="256">
        <v>16</v>
      </c>
      <c r="B77" s="257" t="s">
        <v>1378</v>
      </c>
      <c r="C77" s="276">
        <v>44306</v>
      </c>
      <c r="D77" s="257" t="s">
        <v>1295</v>
      </c>
      <c r="E77" s="256" t="s">
        <v>1825</v>
      </c>
      <c r="F77" s="256" t="s">
        <v>1884</v>
      </c>
      <c r="G77" s="258">
        <v>6700000000</v>
      </c>
      <c r="H77" s="265">
        <v>0.1</v>
      </c>
      <c r="I77" s="258">
        <v>670000000</v>
      </c>
      <c r="J77" s="258">
        <v>7370000000</v>
      </c>
      <c r="K77" s="256" t="s">
        <v>1346</v>
      </c>
    </row>
    <row r="78" spans="1:11" x14ac:dyDescent="0.3">
      <c r="A78" s="256">
        <v>17</v>
      </c>
      <c r="B78" s="257" t="s">
        <v>1379</v>
      </c>
      <c r="C78" s="276">
        <v>44336</v>
      </c>
      <c r="D78" s="257" t="s">
        <v>1288</v>
      </c>
      <c r="E78" s="256" t="s">
        <v>1797</v>
      </c>
      <c r="F78" s="256" t="s">
        <v>1883</v>
      </c>
      <c r="G78" s="258">
        <v>18214000000</v>
      </c>
      <c r="H78" s="265">
        <v>0.1</v>
      </c>
      <c r="I78" s="258">
        <v>1821400000</v>
      </c>
      <c r="J78" s="258">
        <v>20035400000</v>
      </c>
      <c r="K78" s="256" t="s">
        <v>1346</v>
      </c>
    </row>
    <row r="79" spans="1:11" x14ac:dyDescent="0.3">
      <c r="A79" s="256">
        <v>18</v>
      </c>
      <c r="B79" s="257" t="s">
        <v>1381</v>
      </c>
      <c r="C79" s="276">
        <v>44367</v>
      </c>
      <c r="D79" s="257" t="s">
        <v>1302</v>
      </c>
      <c r="E79" s="256" t="s">
        <v>1784</v>
      </c>
      <c r="F79" s="256" t="s">
        <v>1884</v>
      </c>
      <c r="G79" s="258">
        <v>9292000000</v>
      </c>
      <c r="H79" s="265">
        <v>0</v>
      </c>
      <c r="I79" s="258">
        <v>0</v>
      </c>
      <c r="J79" s="258">
        <v>9292000000</v>
      </c>
      <c r="K79" s="256" t="s">
        <v>1346</v>
      </c>
    </row>
    <row r="80" spans="1:11" x14ac:dyDescent="0.3">
      <c r="A80" s="256">
        <v>19</v>
      </c>
      <c r="B80" s="257" t="s">
        <v>1382</v>
      </c>
      <c r="C80" s="276">
        <v>44397</v>
      </c>
      <c r="D80" s="257" t="s">
        <v>1256</v>
      </c>
      <c r="E80" s="256" t="s">
        <v>1802</v>
      </c>
      <c r="F80" s="256" t="s">
        <v>1881</v>
      </c>
      <c r="G80" s="258">
        <v>16213000000</v>
      </c>
      <c r="H80" s="265">
        <v>0.1</v>
      </c>
      <c r="I80" s="258">
        <v>1621300000</v>
      </c>
      <c r="J80" s="258">
        <v>17834300000</v>
      </c>
      <c r="K80" s="256" t="s">
        <v>1346</v>
      </c>
    </row>
    <row r="81" spans="1:11" x14ac:dyDescent="0.3">
      <c r="A81" s="256">
        <v>20</v>
      </c>
      <c r="B81" s="257" t="s">
        <v>1383</v>
      </c>
      <c r="C81" s="276">
        <v>44428</v>
      </c>
      <c r="D81" s="257" t="s">
        <v>1283</v>
      </c>
      <c r="E81" s="256" t="s">
        <v>1798</v>
      </c>
      <c r="F81" s="256" t="s">
        <v>1881</v>
      </c>
      <c r="G81" s="258">
        <v>6971000000</v>
      </c>
      <c r="H81" s="265">
        <v>0.1</v>
      </c>
      <c r="I81" s="258">
        <v>697100000</v>
      </c>
      <c r="J81" s="258">
        <v>7668100000</v>
      </c>
      <c r="K81" s="256" t="s">
        <v>1346</v>
      </c>
    </row>
    <row r="82" spans="1:11" x14ac:dyDescent="0.3">
      <c r="A82" s="256">
        <v>21</v>
      </c>
      <c r="B82" s="257" t="s">
        <v>1203</v>
      </c>
      <c r="C82" s="276">
        <v>44459</v>
      </c>
      <c r="D82" s="257" t="s">
        <v>1295</v>
      </c>
      <c r="E82" s="256" t="s">
        <v>1825</v>
      </c>
      <c r="F82" s="256" t="s">
        <v>1881</v>
      </c>
      <c r="G82" s="258">
        <v>16425000000</v>
      </c>
      <c r="H82" s="265">
        <v>0.1</v>
      </c>
      <c r="I82" s="258">
        <v>1642500000</v>
      </c>
      <c r="J82" s="258">
        <v>18067500000</v>
      </c>
      <c r="K82" s="256" t="s">
        <v>1346</v>
      </c>
    </row>
    <row r="83" spans="1:11" x14ac:dyDescent="0.3">
      <c r="A83" s="256">
        <v>22</v>
      </c>
      <c r="B83" s="257" t="s">
        <v>1204</v>
      </c>
      <c r="C83" s="276">
        <v>44489</v>
      </c>
      <c r="D83" s="257" t="s">
        <v>1286</v>
      </c>
      <c r="E83" s="256" t="s">
        <v>1828</v>
      </c>
      <c r="F83" s="256" t="s">
        <v>1881</v>
      </c>
      <c r="G83" s="258">
        <v>6076000000</v>
      </c>
      <c r="H83" s="265">
        <v>0.1</v>
      </c>
      <c r="I83" s="258">
        <v>607600000</v>
      </c>
      <c r="J83" s="258">
        <v>6683600000</v>
      </c>
      <c r="K83" s="256" t="s">
        <v>1346</v>
      </c>
    </row>
    <row r="84" spans="1:11" x14ac:dyDescent="0.3">
      <c r="A84" s="256">
        <v>23</v>
      </c>
      <c r="B84" s="257" t="s">
        <v>1205</v>
      </c>
      <c r="C84" s="276">
        <v>44520</v>
      </c>
      <c r="D84" s="257" t="s">
        <v>1283</v>
      </c>
      <c r="E84" s="256" t="s">
        <v>1798</v>
      </c>
      <c r="F84" s="256" t="s">
        <v>1884</v>
      </c>
      <c r="G84" s="258">
        <v>14149000000</v>
      </c>
      <c r="H84" s="265">
        <v>0.1</v>
      </c>
      <c r="I84" s="258">
        <v>1414900000</v>
      </c>
      <c r="J84" s="258">
        <v>15563900000</v>
      </c>
      <c r="K84" s="256" t="s">
        <v>1346</v>
      </c>
    </row>
    <row r="85" spans="1:11" x14ac:dyDescent="0.3">
      <c r="A85" s="256">
        <v>24</v>
      </c>
      <c r="B85" s="257" t="s">
        <v>1385</v>
      </c>
      <c r="C85" s="276">
        <v>44550</v>
      </c>
      <c r="D85" s="257" t="s">
        <v>1276</v>
      </c>
      <c r="E85" s="256" t="s">
        <v>1822</v>
      </c>
      <c r="F85" s="256" t="s">
        <v>1882</v>
      </c>
      <c r="G85" s="258">
        <v>4785000000</v>
      </c>
      <c r="H85" s="265">
        <v>0.1</v>
      </c>
      <c r="I85" s="258">
        <v>478500000</v>
      </c>
      <c r="J85" s="258">
        <v>5263500000</v>
      </c>
      <c r="K85" s="256" t="s">
        <v>1346</v>
      </c>
    </row>
    <row r="86" spans="1:11" x14ac:dyDescent="0.3">
      <c r="A86" s="256">
        <v>25</v>
      </c>
      <c r="B86" s="257" t="s">
        <v>1387</v>
      </c>
      <c r="C86" s="276">
        <v>44221</v>
      </c>
      <c r="D86" s="257" t="s">
        <v>1298</v>
      </c>
      <c r="E86" s="256" t="s">
        <v>1819</v>
      </c>
      <c r="F86" s="256" t="s">
        <v>1884</v>
      </c>
      <c r="G86" s="258">
        <v>16552000000</v>
      </c>
      <c r="H86" s="265">
        <v>0.1</v>
      </c>
      <c r="I86" s="258">
        <v>1655200000</v>
      </c>
      <c r="J86" s="258">
        <v>18207200000</v>
      </c>
      <c r="K86" s="256" t="s">
        <v>1346</v>
      </c>
    </row>
    <row r="87" spans="1:11" x14ac:dyDescent="0.3">
      <c r="A87" s="256">
        <v>26</v>
      </c>
      <c r="B87" s="257" t="s">
        <v>1388</v>
      </c>
      <c r="C87" s="276">
        <v>44255</v>
      </c>
      <c r="D87" s="257" t="s">
        <v>1302</v>
      </c>
      <c r="E87" s="256" t="s">
        <v>1784</v>
      </c>
      <c r="F87" s="256" t="s">
        <v>1881</v>
      </c>
      <c r="G87" s="258">
        <v>6483000000</v>
      </c>
      <c r="H87" s="265">
        <v>0.1</v>
      </c>
      <c r="I87" s="258">
        <v>648300000</v>
      </c>
      <c r="J87" s="258">
        <v>7131300000</v>
      </c>
      <c r="K87" s="256" t="s">
        <v>1346</v>
      </c>
    </row>
    <row r="88" spans="1:11" x14ac:dyDescent="0.3">
      <c r="A88" s="256">
        <v>27</v>
      </c>
      <c r="B88" s="257" t="s">
        <v>1391</v>
      </c>
      <c r="C88" s="276">
        <v>44316</v>
      </c>
      <c r="D88" s="257" t="s">
        <v>1276</v>
      </c>
      <c r="E88" s="256" t="s">
        <v>1822</v>
      </c>
      <c r="F88" s="256" t="s">
        <v>1882</v>
      </c>
      <c r="G88" s="258">
        <v>4651000000</v>
      </c>
      <c r="H88" s="265">
        <v>0.1</v>
      </c>
      <c r="I88" s="258">
        <v>465100000</v>
      </c>
      <c r="J88" s="258">
        <v>5116100000</v>
      </c>
      <c r="K88" s="256" t="s">
        <v>1346</v>
      </c>
    </row>
    <row r="89" spans="1:11" x14ac:dyDescent="0.3">
      <c r="A89" s="256">
        <v>28</v>
      </c>
      <c r="B89" s="257" t="s">
        <v>1392</v>
      </c>
      <c r="C89" s="276">
        <v>44377</v>
      </c>
      <c r="D89" s="257" t="s">
        <v>1283</v>
      </c>
      <c r="E89" s="256" t="s">
        <v>1798</v>
      </c>
      <c r="F89" s="256" t="s">
        <v>1881</v>
      </c>
      <c r="G89" s="258">
        <v>13701000000</v>
      </c>
      <c r="H89" s="265">
        <v>0.1</v>
      </c>
      <c r="I89" s="258">
        <v>1370100000</v>
      </c>
      <c r="J89" s="258">
        <v>15071100000</v>
      </c>
      <c r="K89" s="256" t="s">
        <v>1346</v>
      </c>
    </row>
    <row r="90" spans="1:11" x14ac:dyDescent="0.3">
      <c r="A90" s="256">
        <v>29</v>
      </c>
      <c r="B90" s="257" t="s">
        <v>1394</v>
      </c>
      <c r="C90" s="276">
        <v>44469</v>
      </c>
      <c r="D90" s="257" t="s">
        <v>1304</v>
      </c>
      <c r="E90" s="256" t="s">
        <v>1831</v>
      </c>
      <c r="F90" s="256" t="s">
        <v>1882</v>
      </c>
      <c r="G90" s="258">
        <v>13704000000</v>
      </c>
      <c r="H90" s="265">
        <v>0.1</v>
      </c>
      <c r="I90" s="258">
        <v>1370400000</v>
      </c>
      <c r="J90" s="258">
        <v>15074400000</v>
      </c>
      <c r="K90" s="256" t="s">
        <v>1346</v>
      </c>
    </row>
    <row r="91" spans="1:11" x14ac:dyDescent="0.3">
      <c r="A91" s="256">
        <v>30</v>
      </c>
      <c r="B91" s="257" t="s">
        <v>1396</v>
      </c>
      <c r="C91" s="276">
        <v>44530</v>
      </c>
      <c r="D91" s="257" t="s">
        <v>1273</v>
      </c>
      <c r="E91" s="256" t="s">
        <v>1829</v>
      </c>
      <c r="F91" s="256" t="s">
        <v>1882</v>
      </c>
      <c r="G91" s="258">
        <v>7815000000</v>
      </c>
      <c r="H91" s="265">
        <v>0</v>
      </c>
      <c r="I91" s="258">
        <v>0</v>
      </c>
      <c r="J91" s="258">
        <v>7815000000</v>
      </c>
      <c r="K91" s="256" t="s">
        <v>1346</v>
      </c>
    </row>
    <row r="92" spans="1:11" x14ac:dyDescent="0.3">
      <c r="A92" s="256">
        <v>31</v>
      </c>
      <c r="B92" s="257" t="s">
        <v>1397</v>
      </c>
      <c r="C92" s="276">
        <v>44286</v>
      </c>
      <c r="D92" s="257" t="s">
        <v>1302</v>
      </c>
      <c r="E92" s="256" t="s">
        <v>1784</v>
      </c>
      <c r="F92" s="256" t="s">
        <v>1883</v>
      </c>
      <c r="G92" s="258">
        <v>10021000000</v>
      </c>
      <c r="H92" s="265">
        <v>0.1</v>
      </c>
      <c r="I92" s="258">
        <v>1002100000</v>
      </c>
      <c r="J92" s="258">
        <v>11023100000</v>
      </c>
      <c r="K92" s="256" t="s">
        <v>1346</v>
      </c>
    </row>
    <row r="93" spans="1:11" x14ac:dyDescent="0.3">
      <c r="A93" s="256">
        <v>32</v>
      </c>
      <c r="B93" s="257" t="s">
        <v>1398</v>
      </c>
      <c r="C93" s="276">
        <v>44347</v>
      </c>
      <c r="D93" s="257" t="s">
        <v>1283</v>
      </c>
      <c r="E93" s="256" t="s">
        <v>1798</v>
      </c>
      <c r="F93" s="256" t="s">
        <v>1881</v>
      </c>
      <c r="G93" s="258">
        <v>9753000000</v>
      </c>
      <c r="H93" s="265">
        <v>0.1</v>
      </c>
      <c r="I93" s="258">
        <v>975300000</v>
      </c>
      <c r="J93" s="258">
        <v>10728300000</v>
      </c>
      <c r="K93" s="256" t="s">
        <v>1346</v>
      </c>
    </row>
    <row r="94" spans="1:11" x14ac:dyDescent="0.3">
      <c r="A94" s="256">
        <v>33</v>
      </c>
      <c r="B94" s="257" t="s">
        <v>1399</v>
      </c>
      <c r="C94" s="276">
        <v>44408</v>
      </c>
      <c r="D94" s="257" t="s">
        <v>1300</v>
      </c>
      <c r="E94" s="256" t="s">
        <v>1818</v>
      </c>
      <c r="F94" s="256" t="s">
        <v>1883</v>
      </c>
      <c r="G94" s="258">
        <v>6957000000</v>
      </c>
      <c r="H94" s="265">
        <v>0.1</v>
      </c>
      <c r="I94" s="258">
        <v>695700000</v>
      </c>
      <c r="J94" s="258">
        <v>7652700000</v>
      </c>
      <c r="K94" s="256" t="s">
        <v>1346</v>
      </c>
    </row>
    <row r="95" spans="1:11" x14ac:dyDescent="0.3">
      <c r="A95" s="256">
        <v>34</v>
      </c>
      <c r="B95" s="257" t="s">
        <v>1401</v>
      </c>
      <c r="C95" s="276">
        <v>44439</v>
      </c>
      <c r="D95" s="257" t="s">
        <v>1286</v>
      </c>
      <c r="E95" s="256" t="s">
        <v>1828</v>
      </c>
      <c r="F95" s="256" t="s">
        <v>1883</v>
      </c>
      <c r="G95" s="258">
        <v>12322000000</v>
      </c>
      <c r="H95" s="265">
        <v>0.1</v>
      </c>
      <c r="I95" s="258">
        <v>1232200000</v>
      </c>
      <c r="J95" s="258">
        <v>13554200000</v>
      </c>
      <c r="K95" s="256" t="s">
        <v>1346</v>
      </c>
    </row>
    <row r="96" spans="1:11" x14ac:dyDescent="0.3">
      <c r="A96" s="256">
        <v>35</v>
      </c>
      <c r="B96" s="257" t="s">
        <v>1402</v>
      </c>
      <c r="C96" s="276">
        <v>44500</v>
      </c>
      <c r="D96" s="257" t="s">
        <v>1275</v>
      </c>
      <c r="E96" s="256" t="s">
        <v>1808</v>
      </c>
      <c r="F96" s="256" t="s">
        <v>1884</v>
      </c>
      <c r="G96" s="258">
        <v>9576000000</v>
      </c>
      <c r="H96" s="265">
        <v>0.1</v>
      </c>
      <c r="I96" s="258">
        <v>957600000</v>
      </c>
      <c r="J96" s="258">
        <v>10533600000</v>
      </c>
      <c r="K96" s="256" t="s">
        <v>1346</v>
      </c>
    </row>
    <row r="97" spans="1:11" x14ac:dyDescent="0.3">
      <c r="A97" s="256">
        <v>36</v>
      </c>
      <c r="B97" s="257" t="s">
        <v>1403</v>
      </c>
      <c r="C97" s="276">
        <v>44561</v>
      </c>
      <c r="D97" s="257" t="s">
        <v>1284</v>
      </c>
      <c r="E97" s="256" t="s">
        <v>1786</v>
      </c>
      <c r="F97" s="256" t="s">
        <v>1884</v>
      </c>
      <c r="G97" s="258">
        <v>5616000000</v>
      </c>
      <c r="H97" s="265">
        <v>0.1</v>
      </c>
      <c r="I97" s="258">
        <v>561600000</v>
      </c>
      <c r="J97" s="258">
        <v>6177600000</v>
      </c>
      <c r="K97" s="256" t="s">
        <v>1346</v>
      </c>
    </row>
    <row r="98" spans="1:11" x14ac:dyDescent="0.3">
      <c r="A98" s="256">
        <v>37</v>
      </c>
      <c r="B98" s="257" t="s">
        <v>1404</v>
      </c>
      <c r="C98" s="276">
        <v>44561</v>
      </c>
      <c r="D98" s="257" t="s">
        <v>1293</v>
      </c>
      <c r="E98" s="256" t="s">
        <v>1826</v>
      </c>
      <c r="F98" s="256" t="s">
        <v>1882</v>
      </c>
      <c r="G98" s="258">
        <v>6707000000</v>
      </c>
      <c r="H98" s="265">
        <v>0.1</v>
      </c>
      <c r="I98" s="258">
        <v>670700000</v>
      </c>
      <c r="J98" s="258">
        <v>7377700000</v>
      </c>
      <c r="K98" s="256" t="s">
        <v>1348</v>
      </c>
    </row>
    <row r="99" spans="1:11" x14ac:dyDescent="0.3">
      <c r="A99" s="256">
        <v>38</v>
      </c>
      <c r="B99" s="257" t="s">
        <v>1405</v>
      </c>
      <c r="C99" s="276">
        <v>44561</v>
      </c>
      <c r="D99" s="257" t="s">
        <v>1285</v>
      </c>
      <c r="E99" s="256" t="s">
        <v>1793</v>
      </c>
      <c r="F99" s="256" t="s">
        <v>1881</v>
      </c>
      <c r="G99" s="258">
        <v>7581000000</v>
      </c>
      <c r="H99" s="265">
        <v>0.1</v>
      </c>
      <c r="I99" s="258">
        <v>758100000</v>
      </c>
      <c r="J99" s="258">
        <v>8339100000</v>
      </c>
      <c r="K99" s="256" t="s">
        <v>1346</v>
      </c>
    </row>
    <row r="100" spans="1:11" x14ac:dyDescent="0.3">
      <c r="A100" s="256">
        <v>39</v>
      </c>
      <c r="B100" s="257" t="s">
        <v>1406</v>
      </c>
      <c r="C100" s="276">
        <v>44561</v>
      </c>
      <c r="D100" s="257" t="s">
        <v>1276</v>
      </c>
      <c r="E100" s="256" t="s">
        <v>1822</v>
      </c>
      <c r="F100" s="256" t="s">
        <v>1883</v>
      </c>
      <c r="G100" s="258">
        <v>13939000000</v>
      </c>
      <c r="H100" s="265">
        <v>0.1</v>
      </c>
      <c r="I100" s="258">
        <v>1393900000</v>
      </c>
      <c r="J100" s="258">
        <v>15332900000</v>
      </c>
      <c r="K100" s="256" t="s">
        <v>1346</v>
      </c>
    </row>
    <row r="101" spans="1:11" x14ac:dyDescent="0.3">
      <c r="A101" s="256">
        <v>40</v>
      </c>
      <c r="B101" s="257" t="s">
        <v>1408</v>
      </c>
      <c r="C101" s="276">
        <v>44561</v>
      </c>
      <c r="D101" s="257" t="s">
        <v>1283</v>
      </c>
      <c r="E101" s="256" t="s">
        <v>1798</v>
      </c>
      <c r="F101" s="256" t="s">
        <v>1881</v>
      </c>
      <c r="G101" s="258">
        <v>10770000000</v>
      </c>
      <c r="H101" s="265">
        <v>0.1</v>
      </c>
      <c r="I101" s="258">
        <v>1077000000</v>
      </c>
      <c r="J101" s="258">
        <v>11847000000</v>
      </c>
      <c r="K101" s="256" t="s">
        <v>1346</v>
      </c>
    </row>
    <row r="102" spans="1:11" x14ac:dyDescent="0.3">
      <c r="A102" s="256">
        <v>41</v>
      </c>
      <c r="B102" s="257" t="s">
        <v>1409</v>
      </c>
      <c r="C102" s="276">
        <v>44561</v>
      </c>
      <c r="D102" s="257" t="s">
        <v>1272</v>
      </c>
      <c r="E102" s="256" t="s">
        <v>1805</v>
      </c>
      <c r="F102" s="256" t="s">
        <v>1884</v>
      </c>
      <c r="G102" s="258">
        <v>17369000000</v>
      </c>
      <c r="H102" s="265">
        <v>0.1</v>
      </c>
      <c r="I102" s="258">
        <v>1736900000</v>
      </c>
      <c r="J102" s="258">
        <v>19105900000</v>
      </c>
      <c r="K102" s="256" t="s">
        <v>1346</v>
      </c>
    </row>
    <row r="103" spans="1:11" x14ac:dyDescent="0.3">
      <c r="A103" s="256">
        <v>42</v>
      </c>
      <c r="B103" s="257" t="s">
        <v>1411</v>
      </c>
      <c r="C103" s="276">
        <v>44561</v>
      </c>
      <c r="D103" s="257" t="s">
        <v>1273</v>
      </c>
      <c r="E103" s="256" t="s">
        <v>1829</v>
      </c>
      <c r="F103" s="256" t="s">
        <v>1881</v>
      </c>
      <c r="G103" s="258">
        <v>13008000000</v>
      </c>
      <c r="H103" s="265">
        <v>0.1</v>
      </c>
      <c r="I103" s="258">
        <v>1300800000</v>
      </c>
      <c r="J103" s="258">
        <v>14308800000</v>
      </c>
      <c r="K103" s="256" t="s">
        <v>1346</v>
      </c>
    </row>
    <row r="104" spans="1:11" x14ac:dyDescent="0.3">
      <c r="A104" s="256">
        <v>43</v>
      </c>
      <c r="B104" s="257" t="s">
        <v>1414</v>
      </c>
      <c r="C104" s="276">
        <v>44561</v>
      </c>
      <c r="D104" s="257" t="s">
        <v>1259</v>
      </c>
      <c r="E104" s="256" t="s">
        <v>1788</v>
      </c>
      <c r="F104" s="256" t="s">
        <v>1883</v>
      </c>
      <c r="G104" s="258">
        <v>12458000000</v>
      </c>
      <c r="H104" s="265">
        <v>0.1</v>
      </c>
      <c r="I104" s="258">
        <v>1245800000</v>
      </c>
      <c r="J104" s="258">
        <v>13703800000</v>
      </c>
      <c r="K104" s="256" t="s">
        <v>1346</v>
      </c>
    </row>
    <row r="105" spans="1:11" x14ac:dyDescent="0.3">
      <c r="A105" s="256">
        <v>44</v>
      </c>
      <c r="B105" s="257" t="s">
        <v>1415</v>
      </c>
      <c r="C105" s="276">
        <v>44561</v>
      </c>
      <c r="D105" s="257" t="s">
        <v>1287</v>
      </c>
      <c r="E105" s="256" t="s">
        <v>1801</v>
      </c>
      <c r="F105" s="256" t="s">
        <v>1881</v>
      </c>
      <c r="G105" s="258">
        <v>12071000000</v>
      </c>
      <c r="H105" s="265">
        <v>0.1</v>
      </c>
      <c r="I105" s="258">
        <v>1207100000</v>
      </c>
      <c r="J105" s="258">
        <v>13278100000</v>
      </c>
      <c r="K105" s="256" t="s">
        <v>1348</v>
      </c>
    </row>
    <row r="106" spans="1:11" x14ac:dyDescent="0.3">
      <c r="A106" s="256">
        <v>45</v>
      </c>
      <c r="B106" s="257" t="s">
        <v>1206</v>
      </c>
      <c r="C106" s="276">
        <v>44561</v>
      </c>
      <c r="D106" s="257" t="s">
        <v>1288</v>
      </c>
      <c r="E106" s="256" t="s">
        <v>1797</v>
      </c>
      <c r="F106" s="256" t="s">
        <v>1882</v>
      </c>
      <c r="G106" s="258">
        <v>5309000000</v>
      </c>
      <c r="H106" s="265">
        <v>0.1</v>
      </c>
      <c r="I106" s="258">
        <v>530900000</v>
      </c>
      <c r="J106" s="258">
        <v>5839900000</v>
      </c>
      <c r="K106" s="256" t="s">
        <v>1346</v>
      </c>
    </row>
    <row r="107" spans="1:11" x14ac:dyDescent="0.3">
      <c r="A107" s="256">
        <v>46</v>
      </c>
      <c r="B107" s="257" t="s">
        <v>1207</v>
      </c>
      <c r="C107" s="276">
        <v>44561</v>
      </c>
      <c r="D107" s="257" t="s">
        <v>1255</v>
      </c>
      <c r="E107" s="273">
        <v>46152</v>
      </c>
      <c r="F107" s="256" t="s">
        <v>1883</v>
      </c>
      <c r="G107" s="258">
        <v>15917000000</v>
      </c>
      <c r="H107" s="265">
        <v>0.1</v>
      </c>
      <c r="I107" s="258">
        <v>1591700000</v>
      </c>
      <c r="J107" s="258">
        <v>17508700000</v>
      </c>
      <c r="K107" s="256" t="s">
        <v>1346</v>
      </c>
    </row>
    <row r="108" spans="1:11" x14ac:dyDescent="0.3">
      <c r="A108" s="256">
        <v>47</v>
      </c>
      <c r="B108" s="257" t="s">
        <v>1208</v>
      </c>
      <c r="C108" s="276">
        <v>44561</v>
      </c>
      <c r="D108" s="257" t="s">
        <v>1256</v>
      </c>
      <c r="E108" s="256" t="s">
        <v>1802</v>
      </c>
      <c r="F108" s="256" t="s">
        <v>1884</v>
      </c>
      <c r="G108" s="258">
        <v>13233000000</v>
      </c>
      <c r="H108" s="265">
        <v>0.1</v>
      </c>
      <c r="I108" s="258">
        <v>1323300000</v>
      </c>
      <c r="J108" s="258">
        <v>14556300000</v>
      </c>
      <c r="K108" s="256" t="s">
        <v>1346</v>
      </c>
    </row>
    <row r="109" spans="1:11" x14ac:dyDescent="0.3">
      <c r="A109" s="256">
        <v>48</v>
      </c>
      <c r="B109" s="257" t="s">
        <v>1209</v>
      </c>
      <c r="C109" s="276">
        <v>44561</v>
      </c>
      <c r="D109" s="257" t="s">
        <v>1258</v>
      </c>
      <c r="E109" s="256" t="s">
        <v>1833</v>
      </c>
      <c r="F109" s="256" t="s">
        <v>1884</v>
      </c>
      <c r="G109" s="258">
        <v>6971000000</v>
      </c>
      <c r="H109" s="265">
        <v>0.1</v>
      </c>
      <c r="I109" s="258">
        <v>697100000</v>
      </c>
      <c r="J109" s="258">
        <v>7668100000</v>
      </c>
      <c r="K109" s="256" t="s">
        <v>1346</v>
      </c>
    </row>
    <row r="110" spans="1:11" x14ac:dyDescent="0.3">
      <c r="A110" s="256">
        <v>49</v>
      </c>
      <c r="B110" s="257" t="s">
        <v>1418</v>
      </c>
      <c r="C110" s="276">
        <v>44561</v>
      </c>
      <c r="D110" s="257" t="s">
        <v>1286</v>
      </c>
      <c r="E110" s="256" t="s">
        <v>1828</v>
      </c>
      <c r="F110" s="256" t="s">
        <v>1883</v>
      </c>
      <c r="G110" s="258">
        <v>6746000000</v>
      </c>
      <c r="H110" s="265">
        <v>0.1</v>
      </c>
      <c r="I110" s="258">
        <v>674600000</v>
      </c>
      <c r="J110" s="258">
        <v>7420600000</v>
      </c>
      <c r="K110" s="256" t="s">
        <v>1346</v>
      </c>
    </row>
    <row r="111" spans="1:11" x14ac:dyDescent="0.3">
      <c r="A111" s="256">
        <v>50</v>
      </c>
      <c r="B111" s="257" t="s">
        <v>1419</v>
      </c>
      <c r="C111" s="276">
        <v>44561</v>
      </c>
      <c r="D111" s="257" t="s">
        <v>1257</v>
      </c>
      <c r="E111" s="256" t="s">
        <v>1815</v>
      </c>
      <c r="F111" s="256" t="s">
        <v>1884</v>
      </c>
      <c r="G111" s="258">
        <v>12618000000</v>
      </c>
      <c r="H111" s="265">
        <v>0.1</v>
      </c>
      <c r="I111" s="258">
        <v>1261800000</v>
      </c>
      <c r="J111" s="258">
        <v>13879800000</v>
      </c>
      <c r="K111" s="256" t="s">
        <v>1346</v>
      </c>
    </row>
    <row r="112" spans="1:11" x14ac:dyDescent="0.3">
      <c r="A112" s="266" t="s">
        <v>1351</v>
      </c>
      <c r="B112" s="266"/>
      <c r="C112" s="266"/>
      <c r="D112" s="266"/>
      <c r="E112" s="266"/>
      <c r="F112" s="266"/>
      <c r="G112" s="267">
        <f>SUM(G62:G111)</f>
        <v>558523000000</v>
      </c>
      <c r="H112" s="266"/>
      <c r="I112" s="267">
        <f>SUM(I62:I111)</f>
        <v>54141600000</v>
      </c>
      <c r="J112" s="267">
        <f>SUM(J62:J111)</f>
        <v>612664600000</v>
      </c>
      <c r="K112" s="266"/>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706</v>
      </c>
      <c r="C1" s="256"/>
      <c r="D1" s="256"/>
      <c r="E1" s="256"/>
      <c r="F1" s="256"/>
      <c r="G1" s="256"/>
      <c r="H1" s="256"/>
      <c r="I1" s="256"/>
      <c r="J1" s="256"/>
      <c r="K1" s="256"/>
    </row>
    <row r="2" spans="1:11" x14ac:dyDescent="0.3">
      <c r="A2" s="256" t="s">
        <v>1339</v>
      </c>
      <c r="B2" s="257">
        <v>104976614</v>
      </c>
      <c r="C2" s="256"/>
      <c r="D2" s="256"/>
      <c r="E2" s="256"/>
      <c r="F2" s="256"/>
      <c r="G2" s="256"/>
      <c r="H2" s="256"/>
      <c r="I2" s="256"/>
      <c r="J2" s="256"/>
      <c r="K2" s="256"/>
    </row>
    <row r="3" spans="1:11" x14ac:dyDescent="0.3">
      <c r="A3" s="256" t="s">
        <v>1343</v>
      </c>
      <c r="B3" s="258">
        <v>494205167532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1205</v>
      </c>
      <c r="C8" s="276">
        <v>44317</v>
      </c>
      <c r="D8" s="257" t="s">
        <v>1301</v>
      </c>
      <c r="E8" s="256" t="s">
        <v>1781</v>
      </c>
      <c r="F8" s="256" t="s">
        <v>1876</v>
      </c>
      <c r="G8" s="258">
        <v>5932000000</v>
      </c>
      <c r="H8" s="265">
        <v>0</v>
      </c>
      <c r="I8" s="258">
        <v>0</v>
      </c>
      <c r="J8" s="258">
        <v>5932000000</v>
      </c>
      <c r="K8" s="256" t="s">
        <v>1346</v>
      </c>
    </row>
    <row r="9" spans="1:11" x14ac:dyDescent="0.3">
      <c r="A9" s="256">
        <v>2</v>
      </c>
      <c r="B9" s="257" t="s">
        <v>1404</v>
      </c>
      <c r="C9" s="276">
        <v>44318</v>
      </c>
      <c r="D9" s="257" t="s">
        <v>1257</v>
      </c>
      <c r="E9" s="256" t="s">
        <v>1815</v>
      </c>
      <c r="F9" s="256" t="s">
        <v>1877</v>
      </c>
      <c r="G9" s="258">
        <v>7908000000</v>
      </c>
      <c r="H9" s="265">
        <v>0.1</v>
      </c>
      <c r="I9" s="258">
        <v>790800000</v>
      </c>
      <c r="J9" s="258">
        <v>8698800000</v>
      </c>
      <c r="K9" s="256" t="s">
        <v>1348</v>
      </c>
    </row>
    <row r="10" spans="1:11" x14ac:dyDescent="0.3">
      <c r="A10" s="256">
        <v>3</v>
      </c>
      <c r="B10" s="257" t="s">
        <v>1418</v>
      </c>
      <c r="C10" s="276">
        <v>44472</v>
      </c>
      <c r="D10" s="257" t="s">
        <v>1263</v>
      </c>
      <c r="E10" s="256" t="s">
        <v>1790</v>
      </c>
      <c r="F10" s="256" t="s">
        <v>1878</v>
      </c>
      <c r="G10" s="258">
        <v>8006000000</v>
      </c>
      <c r="H10" s="265">
        <v>0.1</v>
      </c>
      <c r="I10" s="258">
        <v>800600000</v>
      </c>
      <c r="J10" s="258">
        <v>8806600000</v>
      </c>
      <c r="K10" s="256" t="s">
        <v>1346</v>
      </c>
    </row>
    <row r="11" spans="1:11" x14ac:dyDescent="0.3">
      <c r="A11" s="256">
        <v>4</v>
      </c>
      <c r="B11" s="257" t="s">
        <v>1409</v>
      </c>
      <c r="C11" s="276">
        <v>44473</v>
      </c>
      <c r="D11" s="257" t="s">
        <v>1256</v>
      </c>
      <c r="E11" s="256" t="s">
        <v>1802</v>
      </c>
      <c r="F11" s="256" t="s">
        <v>1609</v>
      </c>
      <c r="G11" s="258">
        <v>8163000000</v>
      </c>
      <c r="H11" s="265">
        <v>0.1</v>
      </c>
      <c r="I11" s="258">
        <v>816300000</v>
      </c>
      <c r="J11" s="258">
        <v>8979300000</v>
      </c>
      <c r="K11" s="256" t="s">
        <v>1348</v>
      </c>
    </row>
    <row r="12" spans="1:11" x14ac:dyDescent="0.3">
      <c r="A12" s="256">
        <v>5</v>
      </c>
      <c r="B12" s="257" t="s">
        <v>1387</v>
      </c>
      <c r="C12" s="276">
        <v>44474</v>
      </c>
      <c r="D12" s="257" t="s">
        <v>1293</v>
      </c>
      <c r="E12" s="256" t="s">
        <v>1826</v>
      </c>
      <c r="F12" s="256" t="s">
        <v>1876</v>
      </c>
      <c r="G12" s="258">
        <v>9019000000</v>
      </c>
      <c r="H12" s="265">
        <v>0.1</v>
      </c>
      <c r="I12" s="258">
        <v>901900000</v>
      </c>
      <c r="J12" s="258">
        <v>9920900000</v>
      </c>
      <c r="K12" s="256" t="s">
        <v>1346</v>
      </c>
    </row>
    <row r="13" spans="1:11" x14ac:dyDescent="0.3">
      <c r="A13" s="256">
        <v>6</v>
      </c>
      <c r="B13" s="257" t="s">
        <v>1398</v>
      </c>
      <c r="C13" s="276">
        <v>44475</v>
      </c>
      <c r="D13" s="257" t="s">
        <v>1265</v>
      </c>
      <c r="E13" s="256" t="s">
        <v>1830</v>
      </c>
      <c r="F13" s="256" t="s">
        <v>1877</v>
      </c>
      <c r="G13" s="258">
        <v>3719000000</v>
      </c>
      <c r="H13" s="265">
        <v>0.1</v>
      </c>
      <c r="I13" s="258">
        <v>371900000</v>
      </c>
      <c r="J13" s="258">
        <v>4090900000</v>
      </c>
      <c r="K13" s="256" t="s">
        <v>1346</v>
      </c>
    </row>
    <row r="14" spans="1:11" x14ac:dyDescent="0.3">
      <c r="A14" s="256">
        <v>7</v>
      </c>
      <c r="B14" s="257" t="s">
        <v>1383</v>
      </c>
      <c r="C14" s="276">
        <v>44476</v>
      </c>
      <c r="D14" s="257" t="s">
        <v>1302</v>
      </c>
      <c r="E14" s="256" t="s">
        <v>1784</v>
      </c>
      <c r="F14" s="256" t="s">
        <v>1879</v>
      </c>
      <c r="G14" s="258">
        <v>3932000000</v>
      </c>
      <c r="H14" s="265">
        <v>0.1</v>
      </c>
      <c r="I14" s="258">
        <v>393200000</v>
      </c>
      <c r="J14" s="258">
        <v>4325200000</v>
      </c>
      <c r="K14" s="256" t="s">
        <v>1346</v>
      </c>
    </row>
    <row r="15" spans="1:11" x14ac:dyDescent="0.3">
      <c r="A15" s="256">
        <v>8</v>
      </c>
      <c r="B15" s="257" t="s">
        <v>1404</v>
      </c>
      <c r="C15" s="276">
        <v>44477</v>
      </c>
      <c r="D15" s="257" t="s">
        <v>1267</v>
      </c>
      <c r="E15" s="256" t="s">
        <v>1810</v>
      </c>
      <c r="F15" s="256" t="s">
        <v>1878</v>
      </c>
      <c r="G15" s="258">
        <v>6547000000</v>
      </c>
      <c r="H15" s="265">
        <v>0.1</v>
      </c>
      <c r="I15" s="258">
        <v>654700000</v>
      </c>
      <c r="J15" s="258">
        <v>7201700000</v>
      </c>
      <c r="K15" s="256" t="s">
        <v>1348</v>
      </c>
    </row>
    <row r="16" spans="1:11" x14ac:dyDescent="0.3">
      <c r="A16" s="256">
        <v>9</v>
      </c>
      <c r="B16" s="257" t="s">
        <v>1419</v>
      </c>
      <c r="C16" s="276">
        <v>44478</v>
      </c>
      <c r="D16" s="257" t="s">
        <v>1263</v>
      </c>
      <c r="E16" s="256" t="s">
        <v>1790</v>
      </c>
      <c r="F16" s="256" t="s">
        <v>1609</v>
      </c>
      <c r="G16" s="258">
        <v>6694000000</v>
      </c>
      <c r="H16" s="265">
        <v>0.1</v>
      </c>
      <c r="I16" s="258">
        <v>669400000</v>
      </c>
      <c r="J16" s="258">
        <v>7363400000</v>
      </c>
      <c r="K16" s="256" t="s">
        <v>1346</v>
      </c>
    </row>
    <row r="17" spans="1:11" x14ac:dyDescent="0.3">
      <c r="A17" s="256">
        <v>10</v>
      </c>
      <c r="B17" s="257" t="s">
        <v>1207</v>
      </c>
      <c r="C17" s="276">
        <v>44479</v>
      </c>
      <c r="D17" s="257" t="s">
        <v>1262</v>
      </c>
      <c r="E17" s="256" t="s">
        <v>1816</v>
      </c>
      <c r="F17" s="256" t="s">
        <v>1879</v>
      </c>
      <c r="G17" s="258">
        <v>7181000000</v>
      </c>
      <c r="H17" s="265">
        <v>0.1</v>
      </c>
      <c r="I17" s="258">
        <v>718100000</v>
      </c>
      <c r="J17" s="258">
        <v>7899100000</v>
      </c>
      <c r="K17" s="256" t="s">
        <v>1346</v>
      </c>
    </row>
    <row r="18" spans="1:11" x14ac:dyDescent="0.3">
      <c r="A18" s="256">
        <v>11</v>
      </c>
      <c r="B18" s="257" t="s">
        <v>1397</v>
      </c>
      <c r="C18" s="276">
        <v>44480</v>
      </c>
      <c r="D18" s="257" t="s">
        <v>1288</v>
      </c>
      <c r="E18" s="256" t="s">
        <v>1797</v>
      </c>
      <c r="F18" s="256" t="s">
        <v>1609</v>
      </c>
      <c r="G18" s="258">
        <v>5938000000</v>
      </c>
      <c r="H18" s="265">
        <v>0.1</v>
      </c>
      <c r="I18" s="258">
        <v>593800000</v>
      </c>
      <c r="J18" s="258">
        <v>6531800000</v>
      </c>
      <c r="K18" s="256" t="s">
        <v>1346</v>
      </c>
    </row>
    <row r="19" spans="1:11" x14ac:dyDescent="0.3">
      <c r="A19" s="256">
        <v>12</v>
      </c>
      <c r="B19" s="257" t="s">
        <v>1419</v>
      </c>
      <c r="C19" s="276">
        <v>44481</v>
      </c>
      <c r="D19" s="257" t="s">
        <v>1279</v>
      </c>
      <c r="E19" s="256" t="s">
        <v>1827</v>
      </c>
      <c r="F19" s="256" t="s">
        <v>1877</v>
      </c>
      <c r="G19" s="258">
        <v>10510000000</v>
      </c>
      <c r="H19" s="265">
        <v>0.1</v>
      </c>
      <c r="I19" s="258">
        <v>1051000000</v>
      </c>
      <c r="J19" s="258">
        <v>11561000000</v>
      </c>
      <c r="K19" s="256" t="s">
        <v>1348</v>
      </c>
    </row>
    <row r="20" spans="1:11" x14ac:dyDescent="0.3">
      <c r="A20" s="256">
        <v>13</v>
      </c>
      <c r="B20" s="257" t="s">
        <v>1378</v>
      </c>
      <c r="C20" s="276">
        <v>44211</v>
      </c>
      <c r="D20" s="257" t="s">
        <v>1303</v>
      </c>
      <c r="E20" s="256" t="s">
        <v>1817</v>
      </c>
      <c r="F20" s="256" t="s">
        <v>1877</v>
      </c>
      <c r="G20" s="258">
        <v>10816000000</v>
      </c>
      <c r="H20" s="265">
        <v>0.1</v>
      </c>
      <c r="I20" s="258">
        <v>1081600000</v>
      </c>
      <c r="J20" s="258">
        <v>11897600000</v>
      </c>
      <c r="K20" s="256" t="s">
        <v>1346</v>
      </c>
    </row>
    <row r="21" spans="1:11" x14ac:dyDescent="0.3">
      <c r="A21" s="256">
        <v>14</v>
      </c>
      <c r="B21" s="257" t="s">
        <v>1457</v>
      </c>
      <c r="C21" s="276">
        <v>44242</v>
      </c>
      <c r="D21" s="257" t="s">
        <v>1281</v>
      </c>
      <c r="E21" s="256" t="s">
        <v>1806</v>
      </c>
      <c r="F21" s="256" t="s">
        <v>1609</v>
      </c>
      <c r="G21" s="258">
        <v>11179000000</v>
      </c>
      <c r="H21" s="265">
        <v>0.1</v>
      </c>
      <c r="I21" s="258">
        <v>1117900000</v>
      </c>
      <c r="J21" s="258">
        <v>12296900000</v>
      </c>
      <c r="K21" s="256" t="s">
        <v>1346</v>
      </c>
    </row>
    <row r="22" spans="1:11" x14ac:dyDescent="0.3">
      <c r="A22" s="256">
        <v>15</v>
      </c>
      <c r="B22" s="257" t="s">
        <v>1415</v>
      </c>
      <c r="C22" s="276">
        <v>44275</v>
      </c>
      <c r="D22" s="257" t="s">
        <v>1274</v>
      </c>
      <c r="E22" s="256" t="s">
        <v>1794</v>
      </c>
      <c r="F22" s="256" t="s">
        <v>1876</v>
      </c>
      <c r="G22" s="258">
        <v>10611000000</v>
      </c>
      <c r="H22" s="265">
        <v>0.1</v>
      </c>
      <c r="I22" s="258">
        <v>1061100000</v>
      </c>
      <c r="J22" s="258">
        <v>11672100000</v>
      </c>
      <c r="K22" s="256" t="s">
        <v>1346</v>
      </c>
    </row>
    <row r="23" spans="1:11" x14ac:dyDescent="0.3">
      <c r="A23" s="256">
        <v>16</v>
      </c>
      <c r="B23" s="257" t="s">
        <v>1203</v>
      </c>
      <c r="C23" s="276">
        <v>44306</v>
      </c>
      <c r="D23" s="257" t="s">
        <v>1302</v>
      </c>
      <c r="E23" s="256" t="s">
        <v>1784</v>
      </c>
      <c r="F23" s="256" t="s">
        <v>1876</v>
      </c>
      <c r="G23" s="258">
        <v>9789000000</v>
      </c>
      <c r="H23" s="265">
        <v>0.1</v>
      </c>
      <c r="I23" s="258">
        <v>978900000</v>
      </c>
      <c r="J23" s="258">
        <v>10767900000</v>
      </c>
      <c r="K23" s="256" t="s">
        <v>1346</v>
      </c>
    </row>
    <row r="24" spans="1:11" x14ac:dyDescent="0.3">
      <c r="A24" s="256">
        <v>17</v>
      </c>
      <c r="B24" s="257" t="s">
        <v>1419</v>
      </c>
      <c r="C24" s="276">
        <v>44336</v>
      </c>
      <c r="D24" s="257" t="s">
        <v>1259</v>
      </c>
      <c r="E24" s="256" t="s">
        <v>1788</v>
      </c>
      <c r="F24" s="256" t="s">
        <v>1609</v>
      </c>
      <c r="G24" s="258">
        <v>5548000000</v>
      </c>
      <c r="H24" s="265">
        <v>0.1</v>
      </c>
      <c r="I24" s="258">
        <v>554800000</v>
      </c>
      <c r="J24" s="258">
        <v>6102800000</v>
      </c>
      <c r="K24" s="256" t="s">
        <v>1346</v>
      </c>
    </row>
    <row r="25" spans="1:11" x14ac:dyDescent="0.3">
      <c r="A25" s="256">
        <v>18</v>
      </c>
      <c r="B25" s="257" t="s">
        <v>1399</v>
      </c>
      <c r="C25" s="276">
        <v>44367</v>
      </c>
      <c r="D25" s="257" t="s">
        <v>1304</v>
      </c>
      <c r="E25" s="256" t="s">
        <v>1831</v>
      </c>
      <c r="F25" s="256" t="s">
        <v>1609</v>
      </c>
      <c r="G25" s="258">
        <v>9907000000</v>
      </c>
      <c r="H25" s="265">
        <v>0.1</v>
      </c>
      <c r="I25" s="258">
        <v>990700000</v>
      </c>
      <c r="J25" s="258">
        <v>10897700000</v>
      </c>
      <c r="K25" s="256" t="s">
        <v>1346</v>
      </c>
    </row>
    <row r="26" spans="1:11" x14ac:dyDescent="0.3">
      <c r="A26" s="256">
        <v>19</v>
      </c>
      <c r="B26" s="257" t="s">
        <v>1376</v>
      </c>
      <c r="C26" s="276">
        <v>44397</v>
      </c>
      <c r="D26" s="257" t="s">
        <v>1296</v>
      </c>
      <c r="E26" s="256" t="s">
        <v>1807</v>
      </c>
      <c r="F26" s="256" t="s">
        <v>1879</v>
      </c>
      <c r="G26" s="258">
        <v>7745000000</v>
      </c>
      <c r="H26" s="265">
        <v>0.1</v>
      </c>
      <c r="I26" s="258">
        <v>774500000</v>
      </c>
      <c r="J26" s="258">
        <v>8519500000</v>
      </c>
      <c r="K26" s="256" t="s">
        <v>1346</v>
      </c>
    </row>
    <row r="27" spans="1:11" x14ac:dyDescent="0.3">
      <c r="A27" s="256">
        <v>20</v>
      </c>
      <c r="B27" s="257" t="s">
        <v>1203</v>
      </c>
      <c r="C27" s="276">
        <v>44428</v>
      </c>
      <c r="D27" s="257" t="s">
        <v>1292</v>
      </c>
      <c r="E27" s="256" t="s">
        <v>1792</v>
      </c>
      <c r="F27" s="256" t="s">
        <v>1876</v>
      </c>
      <c r="G27" s="258">
        <v>3259000000</v>
      </c>
      <c r="H27" s="265">
        <v>0</v>
      </c>
      <c r="I27" s="258">
        <v>0</v>
      </c>
      <c r="J27" s="258">
        <v>3259000000</v>
      </c>
      <c r="K27" s="256" t="s">
        <v>1346</v>
      </c>
    </row>
    <row r="28" spans="1:11" x14ac:dyDescent="0.3">
      <c r="A28" s="256">
        <v>21</v>
      </c>
      <c r="B28" s="257" t="s">
        <v>1402</v>
      </c>
      <c r="C28" s="276">
        <v>44459</v>
      </c>
      <c r="D28" s="257" t="s">
        <v>1255</v>
      </c>
      <c r="E28" s="273">
        <v>46152</v>
      </c>
      <c r="F28" s="256" t="s">
        <v>1880</v>
      </c>
      <c r="G28" s="258">
        <v>3761000000</v>
      </c>
      <c r="H28" s="265">
        <v>0.1</v>
      </c>
      <c r="I28" s="258">
        <v>376100000</v>
      </c>
      <c r="J28" s="258">
        <v>4137100000</v>
      </c>
      <c r="K28" s="256" t="s">
        <v>1346</v>
      </c>
    </row>
    <row r="29" spans="1:11" x14ac:dyDescent="0.3">
      <c r="A29" s="256">
        <v>22</v>
      </c>
      <c r="B29" s="257" t="s">
        <v>1403</v>
      </c>
      <c r="C29" s="276">
        <v>44489</v>
      </c>
      <c r="D29" s="257" t="s">
        <v>1255</v>
      </c>
      <c r="E29" s="273">
        <v>46152</v>
      </c>
      <c r="F29" s="256" t="s">
        <v>1609</v>
      </c>
      <c r="G29" s="258">
        <v>11449000000</v>
      </c>
      <c r="H29" s="265">
        <v>0.1</v>
      </c>
      <c r="I29" s="258">
        <v>1144900000</v>
      </c>
      <c r="J29" s="258">
        <v>12593900000</v>
      </c>
      <c r="K29" s="256" t="s">
        <v>1346</v>
      </c>
    </row>
    <row r="30" spans="1:11" x14ac:dyDescent="0.3">
      <c r="A30" s="256">
        <v>23</v>
      </c>
      <c r="B30" s="257" t="s">
        <v>1396</v>
      </c>
      <c r="C30" s="276">
        <v>44520</v>
      </c>
      <c r="D30" s="257" t="s">
        <v>1269</v>
      </c>
      <c r="E30" s="256" t="s">
        <v>1823</v>
      </c>
      <c r="F30" s="256" t="s">
        <v>1877</v>
      </c>
      <c r="G30" s="258">
        <v>3900000000</v>
      </c>
      <c r="H30" s="265">
        <v>0.1</v>
      </c>
      <c r="I30" s="258">
        <v>390000000</v>
      </c>
      <c r="J30" s="258">
        <v>4290000000</v>
      </c>
      <c r="K30" s="256" t="s">
        <v>1346</v>
      </c>
    </row>
    <row r="31" spans="1:11" x14ac:dyDescent="0.3">
      <c r="A31" s="256">
        <v>24</v>
      </c>
      <c r="B31" s="257" t="s">
        <v>1399</v>
      </c>
      <c r="C31" s="276">
        <v>44550</v>
      </c>
      <c r="D31" s="257" t="s">
        <v>1265</v>
      </c>
      <c r="E31" s="256" t="s">
        <v>1830</v>
      </c>
      <c r="F31" s="256" t="s">
        <v>1876</v>
      </c>
      <c r="G31" s="258">
        <v>3267000000</v>
      </c>
      <c r="H31" s="265">
        <v>0.1</v>
      </c>
      <c r="I31" s="258">
        <v>326700000</v>
      </c>
      <c r="J31" s="258">
        <v>3593700000</v>
      </c>
      <c r="K31" s="256" t="s">
        <v>1346</v>
      </c>
    </row>
    <row r="32" spans="1:11" x14ac:dyDescent="0.3">
      <c r="A32" s="256">
        <v>25</v>
      </c>
      <c r="B32" s="257" t="s">
        <v>1456</v>
      </c>
      <c r="C32" s="276">
        <v>44221</v>
      </c>
      <c r="D32" s="257" t="s">
        <v>1263</v>
      </c>
      <c r="E32" s="256" t="s">
        <v>1790</v>
      </c>
      <c r="F32" s="256" t="s">
        <v>1879</v>
      </c>
      <c r="G32" s="258">
        <v>8723000000</v>
      </c>
      <c r="H32" s="265">
        <v>0.1</v>
      </c>
      <c r="I32" s="258">
        <v>872300000</v>
      </c>
      <c r="J32" s="258">
        <v>9595300000</v>
      </c>
      <c r="K32" s="256" t="s">
        <v>1346</v>
      </c>
    </row>
    <row r="33" spans="1:11" x14ac:dyDescent="0.3">
      <c r="A33" s="256">
        <v>26</v>
      </c>
      <c r="B33" s="257" t="s">
        <v>1204</v>
      </c>
      <c r="C33" s="276">
        <v>44255</v>
      </c>
      <c r="D33" s="257" t="s">
        <v>1302</v>
      </c>
      <c r="E33" s="256" t="s">
        <v>1784</v>
      </c>
      <c r="F33" s="256" t="s">
        <v>1877</v>
      </c>
      <c r="G33" s="258">
        <v>5172000000</v>
      </c>
      <c r="H33" s="265">
        <v>0.1</v>
      </c>
      <c r="I33" s="258">
        <v>517200000</v>
      </c>
      <c r="J33" s="258">
        <v>5689200000</v>
      </c>
      <c r="K33" s="256" t="s">
        <v>1348</v>
      </c>
    </row>
    <row r="34" spans="1:11" x14ac:dyDescent="0.3">
      <c r="A34" s="256">
        <v>27</v>
      </c>
      <c r="B34" s="257" t="s">
        <v>1206</v>
      </c>
      <c r="C34" s="276">
        <v>44316</v>
      </c>
      <c r="D34" s="257" t="s">
        <v>1274</v>
      </c>
      <c r="E34" s="256" t="s">
        <v>1794</v>
      </c>
      <c r="F34" s="256" t="s">
        <v>1877</v>
      </c>
      <c r="G34" s="258">
        <v>9390000000</v>
      </c>
      <c r="H34" s="265">
        <v>0.1</v>
      </c>
      <c r="I34" s="258">
        <v>939000000</v>
      </c>
      <c r="J34" s="258">
        <v>10329000000</v>
      </c>
      <c r="K34" s="256" t="s">
        <v>1346</v>
      </c>
    </row>
    <row r="35" spans="1:11" x14ac:dyDescent="0.3">
      <c r="A35" s="256">
        <v>28</v>
      </c>
      <c r="B35" s="257" t="s">
        <v>1207</v>
      </c>
      <c r="C35" s="276">
        <v>44377</v>
      </c>
      <c r="D35" s="257" t="s">
        <v>1274</v>
      </c>
      <c r="E35" s="256" t="s">
        <v>1794</v>
      </c>
      <c r="F35" s="256" t="s">
        <v>1609</v>
      </c>
      <c r="G35" s="258">
        <v>7173000000</v>
      </c>
      <c r="H35" s="265">
        <v>0.1</v>
      </c>
      <c r="I35" s="258">
        <v>717300000</v>
      </c>
      <c r="J35" s="258">
        <v>7890300000</v>
      </c>
      <c r="K35" s="256" t="s">
        <v>1346</v>
      </c>
    </row>
    <row r="36" spans="1:11" x14ac:dyDescent="0.3">
      <c r="A36" s="256">
        <v>29</v>
      </c>
      <c r="B36" s="257" t="s">
        <v>1408</v>
      </c>
      <c r="C36" s="276">
        <v>44469</v>
      </c>
      <c r="D36" s="257" t="s">
        <v>1285</v>
      </c>
      <c r="E36" s="256" t="s">
        <v>1793</v>
      </c>
      <c r="F36" s="256" t="s">
        <v>1609</v>
      </c>
      <c r="G36" s="258">
        <v>11411000000</v>
      </c>
      <c r="H36" s="265">
        <v>0.1</v>
      </c>
      <c r="I36" s="258">
        <v>1141100000</v>
      </c>
      <c r="J36" s="258">
        <v>12552100000</v>
      </c>
      <c r="K36" s="256" t="s">
        <v>1346</v>
      </c>
    </row>
    <row r="37" spans="1:11" x14ac:dyDescent="0.3">
      <c r="A37" s="256">
        <v>30</v>
      </c>
      <c r="B37" s="257" t="s">
        <v>1414</v>
      </c>
      <c r="C37" s="276">
        <v>44530</v>
      </c>
      <c r="D37" s="257" t="s">
        <v>1273</v>
      </c>
      <c r="E37" s="256" t="s">
        <v>1829</v>
      </c>
      <c r="F37" s="256" t="s">
        <v>1879</v>
      </c>
      <c r="G37" s="258">
        <v>10685000000</v>
      </c>
      <c r="H37" s="265">
        <v>0.1</v>
      </c>
      <c r="I37" s="258">
        <v>1068500000</v>
      </c>
      <c r="J37" s="258">
        <v>11753500000</v>
      </c>
      <c r="K37" s="256" t="s">
        <v>1346</v>
      </c>
    </row>
    <row r="38" spans="1:11" x14ac:dyDescent="0.3">
      <c r="A38" s="256">
        <v>31</v>
      </c>
      <c r="B38" s="257" t="s">
        <v>1383</v>
      </c>
      <c r="C38" s="276">
        <v>44286</v>
      </c>
      <c r="D38" s="257" t="s">
        <v>1300</v>
      </c>
      <c r="E38" s="256" t="s">
        <v>1818</v>
      </c>
      <c r="F38" s="256" t="s">
        <v>1878</v>
      </c>
      <c r="G38" s="258">
        <v>9419000000</v>
      </c>
      <c r="H38" s="265">
        <v>0.1</v>
      </c>
      <c r="I38" s="258">
        <v>941900000</v>
      </c>
      <c r="J38" s="258">
        <v>10360900000</v>
      </c>
      <c r="K38" s="256" t="s">
        <v>1346</v>
      </c>
    </row>
    <row r="39" spans="1:11" x14ac:dyDescent="0.3">
      <c r="A39" s="256">
        <v>32</v>
      </c>
      <c r="B39" s="257" t="s">
        <v>1203</v>
      </c>
      <c r="C39" s="276">
        <v>44347</v>
      </c>
      <c r="D39" s="257" t="s">
        <v>1300</v>
      </c>
      <c r="E39" s="256" t="s">
        <v>1818</v>
      </c>
      <c r="F39" s="256" t="s">
        <v>1609</v>
      </c>
      <c r="G39" s="258">
        <v>11512000000</v>
      </c>
      <c r="H39" s="265">
        <v>0.1</v>
      </c>
      <c r="I39" s="258">
        <v>1151200000</v>
      </c>
      <c r="J39" s="258">
        <v>12663200000</v>
      </c>
      <c r="K39" s="256" t="s">
        <v>1346</v>
      </c>
    </row>
    <row r="40" spans="1:11" x14ac:dyDescent="0.3">
      <c r="A40" s="256">
        <v>33</v>
      </c>
      <c r="B40" s="257" t="s">
        <v>1415</v>
      </c>
      <c r="C40" s="276">
        <v>44408</v>
      </c>
      <c r="D40" s="257" t="s">
        <v>1268</v>
      </c>
      <c r="E40" s="256" t="s">
        <v>1821</v>
      </c>
      <c r="F40" s="256" t="s">
        <v>1879</v>
      </c>
      <c r="G40" s="258">
        <v>4351000000</v>
      </c>
      <c r="H40" s="265">
        <v>0.1</v>
      </c>
      <c r="I40" s="258">
        <v>435100000</v>
      </c>
      <c r="J40" s="258">
        <v>4786100000</v>
      </c>
      <c r="K40" s="256" t="s">
        <v>1346</v>
      </c>
    </row>
    <row r="41" spans="1:11" x14ac:dyDescent="0.3">
      <c r="A41" s="256">
        <v>34</v>
      </c>
      <c r="B41" s="257" t="s">
        <v>1461</v>
      </c>
      <c r="C41" s="276">
        <v>44439</v>
      </c>
      <c r="D41" s="257" t="s">
        <v>1277</v>
      </c>
      <c r="E41" s="256" t="s">
        <v>1783</v>
      </c>
      <c r="F41" s="256" t="s">
        <v>1879</v>
      </c>
      <c r="G41" s="258">
        <v>8095000000</v>
      </c>
      <c r="H41" s="265">
        <v>0</v>
      </c>
      <c r="I41" s="258">
        <v>0</v>
      </c>
      <c r="J41" s="258">
        <v>8095000000</v>
      </c>
      <c r="K41" s="256" t="s">
        <v>1346</v>
      </c>
    </row>
    <row r="42" spans="1:11" x14ac:dyDescent="0.3">
      <c r="A42" s="256">
        <v>35</v>
      </c>
      <c r="B42" s="257" t="s">
        <v>1401</v>
      </c>
      <c r="C42" s="276">
        <v>44500</v>
      </c>
      <c r="D42" s="257" t="s">
        <v>1304</v>
      </c>
      <c r="E42" s="256" t="s">
        <v>1831</v>
      </c>
      <c r="F42" s="256" t="s">
        <v>1609</v>
      </c>
      <c r="G42" s="258">
        <v>7766000000</v>
      </c>
      <c r="H42" s="265">
        <v>0.1</v>
      </c>
      <c r="I42" s="258">
        <v>776600000</v>
      </c>
      <c r="J42" s="258">
        <v>8542600000</v>
      </c>
      <c r="K42" s="256" t="s">
        <v>1346</v>
      </c>
    </row>
    <row r="43" spans="1:11" x14ac:dyDescent="0.3">
      <c r="A43" s="256">
        <v>36</v>
      </c>
      <c r="B43" s="257" t="s">
        <v>1382</v>
      </c>
      <c r="C43" s="276">
        <v>44561</v>
      </c>
      <c r="D43" s="257" t="s">
        <v>1291</v>
      </c>
      <c r="E43" s="256" t="s">
        <v>1800</v>
      </c>
      <c r="F43" s="256" t="s">
        <v>1877</v>
      </c>
      <c r="G43" s="258">
        <v>5511000000</v>
      </c>
      <c r="H43" s="265">
        <v>0.1</v>
      </c>
      <c r="I43" s="258">
        <v>551100000</v>
      </c>
      <c r="J43" s="258">
        <v>6062100000</v>
      </c>
      <c r="K43" s="256" t="s">
        <v>1346</v>
      </c>
    </row>
    <row r="44" spans="1:11" x14ac:dyDescent="0.3">
      <c r="A44" s="256">
        <v>37</v>
      </c>
      <c r="B44" s="257" t="s">
        <v>1208</v>
      </c>
      <c r="C44" s="276">
        <v>44561</v>
      </c>
      <c r="D44" s="257" t="s">
        <v>1274</v>
      </c>
      <c r="E44" s="256" t="s">
        <v>1794</v>
      </c>
      <c r="F44" s="256" t="s">
        <v>1609</v>
      </c>
      <c r="G44" s="258">
        <v>11186000000</v>
      </c>
      <c r="H44" s="265">
        <v>0.1</v>
      </c>
      <c r="I44" s="258">
        <v>1118600000</v>
      </c>
      <c r="J44" s="258">
        <v>12304600000</v>
      </c>
      <c r="K44" s="256" t="s">
        <v>1346</v>
      </c>
    </row>
    <row r="45" spans="1:11" x14ac:dyDescent="0.3">
      <c r="A45" s="256">
        <v>38</v>
      </c>
      <c r="B45" s="257" t="s">
        <v>1385</v>
      </c>
      <c r="C45" s="276">
        <v>44561</v>
      </c>
      <c r="D45" s="257" t="s">
        <v>1290</v>
      </c>
      <c r="E45" s="256" t="s">
        <v>1796</v>
      </c>
      <c r="F45" s="256" t="s">
        <v>1877</v>
      </c>
      <c r="G45" s="258">
        <v>4190000000</v>
      </c>
      <c r="H45" s="265">
        <v>0.1</v>
      </c>
      <c r="I45" s="258">
        <v>419000000</v>
      </c>
      <c r="J45" s="258">
        <v>4609000000</v>
      </c>
      <c r="K45" s="256" t="s">
        <v>1346</v>
      </c>
    </row>
    <row r="46" spans="1:11" x14ac:dyDescent="0.3">
      <c r="A46" s="256">
        <v>39</v>
      </c>
      <c r="B46" s="257" t="s">
        <v>1411</v>
      </c>
      <c r="C46" s="276">
        <v>44561</v>
      </c>
      <c r="D46" s="257" t="s">
        <v>1256</v>
      </c>
      <c r="E46" s="256" t="s">
        <v>1802</v>
      </c>
      <c r="F46" s="256" t="s">
        <v>1878</v>
      </c>
      <c r="G46" s="258">
        <v>3956000000</v>
      </c>
      <c r="H46" s="265">
        <v>0.1</v>
      </c>
      <c r="I46" s="258">
        <v>395600000</v>
      </c>
      <c r="J46" s="258">
        <v>4351600000</v>
      </c>
      <c r="K46" s="256" t="s">
        <v>1346</v>
      </c>
    </row>
    <row r="47" spans="1:11" x14ac:dyDescent="0.3">
      <c r="A47" s="256">
        <v>40</v>
      </c>
      <c r="B47" s="257" t="s">
        <v>1378</v>
      </c>
      <c r="C47" s="276">
        <v>44561</v>
      </c>
      <c r="D47" s="257" t="s">
        <v>1286</v>
      </c>
      <c r="E47" s="256" t="s">
        <v>1828</v>
      </c>
      <c r="F47" s="256" t="s">
        <v>1876</v>
      </c>
      <c r="G47" s="258">
        <v>3897000000</v>
      </c>
      <c r="H47" s="265">
        <v>0.1</v>
      </c>
      <c r="I47" s="258">
        <v>389700000</v>
      </c>
      <c r="J47" s="258">
        <v>4286700000</v>
      </c>
      <c r="K47" s="256" t="s">
        <v>1346</v>
      </c>
    </row>
    <row r="48" spans="1:11" x14ac:dyDescent="0.3">
      <c r="A48" s="256">
        <v>41</v>
      </c>
      <c r="B48" s="257" t="s">
        <v>1458</v>
      </c>
      <c r="C48" s="276">
        <v>44561</v>
      </c>
      <c r="D48" s="257" t="s">
        <v>1281</v>
      </c>
      <c r="E48" s="256" t="s">
        <v>1806</v>
      </c>
      <c r="F48" s="256" t="s">
        <v>1877</v>
      </c>
      <c r="G48" s="258">
        <v>11088000000</v>
      </c>
      <c r="H48" s="265">
        <v>0.1</v>
      </c>
      <c r="I48" s="258">
        <v>1108800000</v>
      </c>
      <c r="J48" s="258">
        <v>12196800000</v>
      </c>
      <c r="K48" s="256" t="s">
        <v>1346</v>
      </c>
    </row>
    <row r="49" spans="1:11" x14ac:dyDescent="0.3">
      <c r="A49" s="256">
        <v>42</v>
      </c>
      <c r="B49" s="257" t="s">
        <v>1379</v>
      </c>
      <c r="C49" s="276">
        <v>44561</v>
      </c>
      <c r="D49" s="257" t="s">
        <v>1303</v>
      </c>
      <c r="E49" s="256" t="s">
        <v>1817</v>
      </c>
      <c r="F49" s="256" t="s">
        <v>1878</v>
      </c>
      <c r="G49" s="258">
        <v>9105000000</v>
      </c>
      <c r="H49" s="265">
        <v>0.1</v>
      </c>
      <c r="I49" s="258">
        <v>910500000</v>
      </c>
      <c r="J49" s="258">
        <v>10015500000</v>
      </c>
      <c r="K49" s="256" t="s">
        <v>1346</v>
      </c>
    </row>
    <row r="50" spans="1:11" x14ac:dyDescent="0.3">
      <c r="A50" s="256">
        <v>43</v>
      </c>
      <c r="B50" s="257" t="s">
        <v>1458</v>
      </c>
      <c r="C50" s="276">
        <v>44561</v>
      </c>
      <c r="D50" s="257" t="s">
        <v>1276</v>
      </c>
      <c r="E50" s="256" t="s">
        <v>1822</v>
      </c>
      <c r="F50" s="256" t="s">
        <v>1877</v>
      </c>
      <c r="G50" s="258">
        <v>3759000000</v>
      </c>
      <c r="H50" s="265">
        <v>0.1</v>
      </c>
      <c r="I50" s="258">
        <v>375900000</v>
      </c>
      <c r="J50" s="258">
        <v>4134900000</v>
      </c>
      <c r="K50" s="256" t="s">
        <v>1348</v>
      </c>
    </row>
    <row r="51" spans="1:11" x14ac:dyDescent="0.3">
      <c r="A51" s="256">
        <v>44</v>
      </c>
      <c r="B51" s="257" t="s">
        <v>1385</v>
      </c>
      <c r="C51" s="276">
        <v>44561</v>
      </c>
      <c r="D51" s="257" t="s">
        <v>1258</v>
      </c>
      <c r="E51" s="256" t="s">
        <v>1833</v>
      </c>
      <c r="F51" s="256" t="s">
        <v>1877</v>
      </c>
      <c r="G51" s="258">
        <v>7805000000</v>
      </c>
      <c r="H51" s="265">
        <v>0.1</v>
      </c>
      <c r="I51" s="258">
        <v>780500000</v>
      </c>
      <c r="J51" s="258">
        <v>8585500000</v>
      </c>
      <c r="K51" s="256" t="s">
        <v>1346</v>
      </c>
    </row>
    <row r="52" spans="1:11" x14ac:dyDescent="0.3">
      <c r="A52" s="256">
        <v>45</v>
      </c>
      <c r="B52" s="257" t="s">
        <v>1383</v>
      </c>
      <c r="C52" s="276">
        <v>44561</v>
      </c>
      <c r="D52" s="257" t="s">
        <v>1291</v>
      </c>
      <c r="E52" s="256" t="s">
        <v>1800</v>
      </c>
      <c r="F52" s="256" t="s">
        <v>1877</v>
      </c>
      <c r="G52" s="258">
        <v>7856000000</v>
      </c>
      <c r="H52" s="265">
        <v>0.1</v>
      </c>
      <c r="I52" s="258">
        <v>785600000</v>
      </c>
      <c r="J52" s="258">
        <v>8641600000</v>
      </c>
      <c r="K52" s="256" t="s">
        <v>1346</v>
      </c>
    </row>
    <row r="53" spans="1:11" x14ac:dyDescent="0.3">
      <c r="A53" s="256">
        <v>46</v>
      </c>
      <c r="B53" s="257" t="s">
        <v>1209</v>
      </c>
      <c r="C53" s="276">
        <v>44561</v>
      </c>
      <c r="D53" s="257" t="s">
        <v>1274</v>
      </c>
      <c r="E53" s="256" t="s">
        <v>1794</v>
      </c>
      <c r="F53" s="256" t="s">
        <v>1609</v>
      </c>
      <c r="G53" s="258">
        <v>5444000000</v>
      </c>
      <c r="H53" s="265">
        <v>0.1</v>
      </c>
      <c r="I53" s="258">
        <v>544400000</v>
      </c>
      <c r="J53" s="258">
        <v>5988400000</v>
      </c>
      <c r="K53" s="256" t="s">
        <v>1346</v>
      </c>
    </row>
    <row r="54" spans="1:11" x14ac:dyDescent="0.3">
      <c r="A54" s="256">
        <v>47</v>
      </c>
      <c r="B54" s="257" t="s">
        <v>1203</v>
      </c>
      <c r="C54" s="276">
        <v>44561</v>
      </c>
      <c r="D54" s="257" t="s">
        <v>1299</v>
      </c>
      <c r="E54" s="256" t="s">
        <v>1776</v>
      </c>
      <c r="F54" s="256" t="s">
        <v>1876</v>
      </c>
      <c r="G54" s="258">
        <v>10492000000</v>
      </c>
      <c r="H54" s="265">
        <v>0.1</v>
      </c>
      <c r="I54" s="258">
        <v>1049200000</v>
      </c>
      <c r="J54" s="258">
        <v>11541200000</v>
      </c>
      <c r="K54" s="256" t="s">
        <v>1346</v>
      </c>
    </row>
    <row r="55" spans="1:11" x14ac:dyDescent="0.3">
      <c r="A55" s="256">
        <v>48</v>
      </c>
      <c r="B55" s="257" t="s">
        <v>1409</v>
      </c>
      <c r="C55" s="276">
        <v>44561</v>
      </c>
      <c r="D55" s="257" t="s">
        <v>1283</v>
      </c>
      <c r="E55" s="256" t="s">
        <v>1798</v>
      </c>
      <c r="F55" s="256" t="s">
        <v>1876</v>
      </c>
      <c r="G55" s="258">
        <v>10038000000</v>
      </c>
      <c r="H55" s="265">
        <v>0.1</v>
      </c>
      <c r="I55" s="258">
        <v>1003800000</v>
      </c>
      <c r="J55" s="258">
        <v>11041800000</v>
      </c>
      <c r="K55" s="256" t="s">
        <v>1346</v>
      </c>
    </row>
    <row r="56" spans="1:11" x14ac:dyDescent="0.3">
      <c r="A56" s="256">
        <v>49</v>
      </c>
      <c r="B56" s="257" t="s">
        <v>1378</v>
      </c>
      <c r="C56" s="276">
        <v>44561</v>
      </c>
      <c r="D56" s="257" t="s">
        <v>1296</v>
      </c>
      <c r="E56" s="256" t="s">
        <v>1807</v>
      </c>
      <c r="F56" s="256" t="s">
        <v>1609</v>
      </c>
      <c r="G56" s="258">
        <v>3728000000</v>
      </c>
      <c r="H56" s="265">
        <v>0.1</v>
      </c>
      <c r="I56" s="258">
        <v>372800000</v>
      </c>
      <c r="J56" s="258">
        <v>4100800000</v>
      </c>
      <c r="K56" s="256" t="s">
        <v>1348</v>
      </c>
    </row>
    <row r="57" spans="1:11" x14ac:dyDescent="0.3">
      <c r="A57" s="256">
        <v>50</v>
      </c>
      <c r="B57" s="257" t="s">
        <v>1405</v>
      </c>
      <c r="C57" s="276">
        <v>44561</v>
      </c>
      <c r="D57" s="257" t="s">
        <v>1257</v>
      </c>
      <c r="E57" s="256" t="s">
        <v>1815</v>
      </c>
      <c r="F57" s="256" t="s">
        <v>1609</v>
      </c>
      <c r="G57" s="258">
        <v>10894000000</v>
      </c>
      <c r="H57" s="265">
        <v>0.1</v>
      </c>
      <c r="I57" s="258">
        <v>1089400000</v>
      </c>
      <c r="J57" s="258">
        <v>11983400000</v>
      </c>
      <c r="K57" s="256" t="s">
        <v>1346</v>
      </c>
    </row>
    <row r="58" spans="1:11" x14ac:dyDescent="0.3">
      <c r="A58" s="266" t="s">
        <v>1351</v>
      </c>
      <c r="B58" s="266"/>
      <c r="C58" s="266"/>
      <c r="D58" s="266"/>
      <c r="E58" s="266"/>
      <c r="F58" s="266"/>
      <c r="G58" s="267">
        <f>SUM(G8:G57)</f>
        <v>377426000000</v>
      </c>
      <c r="H58" s="266"/>
      <c r="I58" s="267">
        <f>SUM(I8:I57)</f>
        <v>36014000000</v>
      </c>
      <c r="J58" s="267">
        <f>SUM(J8:J57)</f>
        <v>413440000000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1881</v>
      </c>
      <c r="G62" s="258">
        <v>11236000000</v>
      </c>
      <c r="H62" s="265">
        <v>0</v>
      </c>
      <c r="I62" s="258">
        <v>0</v>
      </c>
      <c r="J62" s="258">
        <v>11236000000</v>
      </c>
      <c r="K62" s="256" t="s">
        <v>1346</v>
      </c>
    </row>
    <row r="63" spans="1:11" x14ac:dyDescent="0.3">
      <c r="A63" s="256">
        <v>2</v>
      </c>
      <c r="B63" s="257" t="s">
        <v>1201</v>
      </c>
      <c r="C63" s="276">
        <v>44318</v>
      </c>
      <c r="D63" s="257" t="s">
        <v>1275</v>
      </c>
      <c r="E63" s="256" t="s">
        <v>1808</v>
      </c>
      <c r="F63" s="256" t="s">
        <v>1882</v>
      </c>
      <c r="G63" s="258">
        <v>11464000000</v>
      </c>
      <c r="H63" s="265">
        <v>0.1</v>
      </c>
      <c r="I63" s="258">
        <v>1146400000</v>
      </c>
      <c r="J63" s="258">
        <v>12610400000</v>
      </c>
      <c r="K63" s="256" t="s">
        <v>1348</v>
      </c>
    </row>
    <row r="64" spans="1:11" x14ac:dyDescent="0.3">
      <c r="A64" s="256">
        <v>3</v>
      </c>
      <c r="B64" s="257" t="s">
        <v>1202</v>
      </c>
      <c r="C64" s="276">
        <v>44472</v>
      </c>
      <c r="D64" s="257" t="s">
        <v>1262</v>
      </c>
      <c r="E64" s="256" t="s">
        <v>1816</v>
      </c>
      <c r="F64" s="256" t="s">
        <v>1882</v>
      </c>
      <c r="G64" s="258">
        <v>4207000000</v>
      </c>
      <c r="H64" s="265">
        <v>0.1</v>
      </c>
      <c r="I64" s="258">
        <v>420700000</v>
      </c>
      <c r="J64" s="258">
        <v>4627700000</v>
      </c>
      <c r="K64" s="256" t="s">
        <v>1346</v>
      </c>
    </row>
    <row r="65" spans="1:11" x14ac:dyDescent="0.3">
      <c r="A65" s="256">
        <v>4</v>
      </c>
      <c r="B65" s="257" t="s">
        <v>1355</v>
      </c>
      <c r="C65" s="276">
        <v>44473</v>
      </c>
      <c r="D65" s="257" t="s">
        <v>1274</v>
      </c>
      <c r="E65" s="256" t="s">
        <v>1794</v>
      </c>
      <c r="F65" s="256" t="s">
        <v>1881</v>
      </c>
      <c r="G65" s="258">
        <v>12096000000</v>
      </c>
      <c r="H65" s="265">
        <v>0.1</v>
      </c>
      <c r="I65" s="258">
        <v>1209600000</v>
      </c>
      <c r="J65" s="258">
        <v>13305600000</v>
      </c>
      <c r="K65" s="256" t="s">
        <v>1346</v>
      </c>
    </row>
    <row r="66" spans="1:11" x14ac:dyDescent="0.3">
      <c r="A66" s="256">
        <v>5</v>
      </c>
      <c r="B66" s="257" t="s">
        <v>1356</v>
      </c>
      <c r="C66" s="276">
        <v>44474</v>
      </c>
      <c r="D66" s="257" t="s">
        <v>1276</v>
      </c>
      <c r="E66" s="256" t="s">
        <v>1822</v>
      </c>
      <c r="F66" s="256" t="s">
        <v>1882</v>
      </c>
      <c r="G66" s="258">
        <v>15065000000</v>
      </c>
      <c r="H66" s="265">
        <v>0.1</v>
      </c>
      <c r="I66" s="258">
        <v>1506500000</v>
      </c>
      <c r="J66" s="258">
        <v>16571500000</v>
      </c>
      <c r="K66" s="256" t="s">
        <v>1346</v>
      </c>
    </row>
    <row r="67" spans="1:11" x14ac:dyDescent="0.3">
      <c r="A67" s="256">
        <v>6</v>
      </c>
      <c r="B67" s="257" t="s">
        <v>1358</v>
      </c>
      <c r="C67" s="276">
        <v>44475</v>
      </c>
      <c r="D67" s="257" t="s">
        <v>1255</v>
      </c>
      <c r="E67" s="273">
        <v>46152</v>
      </c>
      <c r="F67" s="256" t="s">
        <v>1883</v>
      </c>
      <c r="G67" s="258">
        <v>9100000000</v>
      </c>
      <c r="H67" s="265">
        <v>0</v>
      </c>
      <c r="I67" s="258">
        <v>0</v>
      </c>
      <c r="J67" s="258">
        <v>9100000000</v>
      </c>
      <c r="K67" s="256" t="s">
        <v>1346</v>
      </c>
    </row>
    <row r="68" spans="1:11" x14ac:dyDescent="0.3">
      <c r="A68" s="256">
        <v>7</v>
      </c>
      <c r="B68" s="257" t="s">
        <v>1360</v>
      </c>
      <c r="C68" s="276">
        <v>44476</v>
      </c>
      <c r="D68" s="257" t="s">
        <v>1272</v>
      </c>
      <c r="E68" s="256" t="s">
        <v>1805</v>
      </c>
      <c r="F68" s="256" t="s">
        <v>1882</v>
      </c>
      <c r="G68" s="258">
        <v>6048000000</v>
      </c>
      <c r="H68" s="265">
        <v>0.1</v>
      </c>
      <c r="I68" s="258">
        <v>604800000</v>
      </c>
      <c r="J68" s="258">
        <v>6652800000</v>
      </c>
      <c r="K68" s="256" t="s">
        <v>1348</v>
      </c>
    </row>
    <row r="69" spans="1:11" x14ac:dyDescent="0.3">
      <c r="A69" s="256">
        <v>8</v>
      </c>
      <c r="B69" s="257" t="s">
        <v>1362</v>
      </c>
      <c r="C69" s="276">
        <v>44477</v>
      </c>
      <c r="D69" s="257" t="s">
        <v>1284</v>
      </c>
      <c r="E69" s="256" t="s">
        <v>1786</v>
      </c>
      <c r="F69" s="256" t="s">
        <v>1882</v>
      </c>
      <c r="G69" s="258">
        <v>10898000000</v>
      </c>
      <c r="H69" s="265">
        <v>0.1</v>
      </c>
      <c r="I69" s="258">
        <v>1089800000</v>
      </c>
      <c r="J69" s="258">
        <v>11987800000</v>
      </c>
      <c r="K69" s="256" t="s">
        <v>1346</v>
      </c>
    </row>
    <row r="70" spans="1:11" x14ac:dyDescent="0.3">
      <c r="A70" s="256">
        <v>9</v>
      </c>
      <c r="B70" s="257" t="s">
        <v>1364</v>
      </c>
      <c r="C70" s="276">
        <v>44478</v>
      </c>
      <c r="D70" s="257" t="s">
        <v>1284</v>
      </c>
      <c r="E70" s="256" t="s">
        <v>1786</v>
      </c>
      <c r="F70" s="256" t="s">
        <v>1881</v>
      </c>
      <c r="G70" s="258">
        <v>12595000000</v>
      </c>
      <c r="H70" s="265">
        <v>0.1</v>
      </c>
      <c r="I70" s="258">
        <v>1259500000</v>
      </c>
      <c r="J70" s="258">
        <v>13854500000</v>
      </c>
      <c r="K70" s="256" t="s">
        <v>1346</v>
      </c>
    </row>
    <row r="71" spans="1:11" x14ac:dyDescent="0.3">
      <c r="A71" s="256">
        <v>10</v>
      </c>
      <c r="B71" s="257" t="s">
        <v>1366</v>
      </c>
      <c r="C71" s="276">
        <v>44479</v>
      </c>
      <c r="D71" s="257" t="s">
        <v>1298</v>
      </c>
      <c r="E71" s="256" t="s">
        <v>1819</v>
      </c>
      <c r="F71" s="256" t="s">
        <v>1881</v>
      </c>
      <c r="G71" s="258">
        <v>4145000000</v>
      </c>
      <c r="H71" s="265">
        <v>0.1</v>
      </c>
      <c r="I71" s="258">
        <v>414500000</v>
      </c>
      <c r="J71" s="258">
        <v>4559500000</v>
      </c>
      <c r="K71" s="256" t="s">
        <v>1346</v>
      </c>
    </row>
    <row r="72" spans="1:11" x14ac:dyDescent="0.3">
      <c r="A72" s="256">
        <v>11</v>
      </c>
      <c r="B72" s="257" t="s">
        <v>1368</v>
      </c>
      <c r="C72" s="276">
        <v>44480</v>
      </c>
      <c r="D72" s="257" t="s">
        <v>1303</v>
      </c>
      <c r="E72" s="256" t="s">
        <v>1817</v>
      </c>
      <c r="F72" s="256" t="s">
        <v>1884</v>
      </c>
      <c r="G72" s="258">
        <v>13769000000</v>
      </c>
      <c r="H72" s="265">
        <v>0.1</v>
      </c>
      <c r="I72" s="258">
        <v>1376900000</v>
      </c>
      <c r="J72" s="258">
        <v>15145900000</v>
      </c>
      <c r="K72" s="256" t="s">
        <v>1346</v>
      </c>
    </row>
    <row r="73" spans="1:11" x14ac:dyDescent="0.3">
      <c r="A73" s="256">
        <v>12</v>
      </c>
      <c r="B73" s="257" t="s">
        <v>1371</v>
      </c>
      <c r="C73" s="276">
        <v>44481</v>
      </c>
      <c r="D73" s="257" t="s">
        <v>1299</v>
      </c>
      <c r="E73" s="256" t="s">
        <v>1776</v>
      </c>
      <c r="F73" s="256" t="s">
        <v>1883</v>
      </c>
      <c r="G73" s="258">
        <v>14373000000</v>
      </c>
      <c r="H73" s="265">
        <v>0.1</v>
      </c>
      <c r="I73" s="258">
        <v>1437300000</v>
      </c>
      <c r="J73" s="258">
        <v>15810300000</v>
      </c>
      <c r="K73" s="256" t="s">
        <v>1346</v>
      </c>
    </row>
    <row r="74" spans="1:11" x14ac:dyDescent="0.3">
      <c r="A74" s="256">
        <v>13</v>
      </c>
      <c r="B74" s="257" t="s">
        <v>1373</v>
      </c>
      <c r="C74" s="276">
        <v>44211</v>
      </c>
      <c r="D74" s="257" t="s">
        <v>1271</v>
      </c>
      <c r="E74" s="256" t="s">
        <v>1799</v>
      </c>
      <c r="F74" s="256" t="s">
        <v>1883</v>
      </c>
      <c r="G74" s="258">
        <v>5419000000</v>
      </c>
      <c r="H74" s="265">
        <v>0.1</v>
      </c>
      <c r="I74" s="258">
        <v>541900000</v>
      </c>
      <c r="J74" s="258">
        <v>5960900000</v>
      </c>
      <c r="K74" s="256" t="s">
        <v>1346</v>
      </c>
    </row>
    <row r="75" spans="1:11" x14ac:dyDescent="0.3">
      <c r="A75" s="256">
        <v>14</v>
      </c>
      <c r="B75" s="257" t="s">
        <v>1374</v>
      </c>
      <c r="C75" s="276">
        <v>44242</v>
      </c>
      <c r="D75" s="257" t="s">
        <v>1268</v>
      </c>
      <c r="E75" s="256" t="s">
        <v>1821</v>
      </c>
      <c r="F75" s="256" t="s">
        <v>1881</v>
      </c>
      <c r="G75" s="258">
        <v>14394000000</v>
      </c>
      <c r="H75" s="265">
        <v>0.1</v>
      </c>
      <c r="I75" s="258">
        <v>1439400000</v>
      </c>
      <c r="J75" s="258">
        <v>15833400000</v>
      </c>
      <c r="K75" s="256" t="s">
        <v>1346</v>
      </c>
    </row>
    <row r="76" spans="1:11" x14ac:dyDescent="0.3">
      <c r="A76" s="256">
        <v>15</v>
      </c>
      <c r="B76" s="257" t="s">
        <v>1376</v>
      </c>
      <c r="C76" s="276">
        <v>44275</v>
      </c>
      <c r="D76" s="257" t="s">
        <v>1289</v>
      </c>
      <c r="E76" s="256" t="s">
        <v>1803</v>
      </c>
      <c r="F76" s="256" t="s">
        <v>1884</v>
      </c>
      <c r="G76" s="258">
        <v>14680000000</v>
      </c>
      <c r="H76" s="265">
        <v>0.1</v>
      </c>
      <c r="I76" s="258">
        <v>1468000000</v>
      </c>
      <c r="J76" s="258">
        <v>16148000000</v>
      </c>
      <c r="K76" s="256" t="s">
        <v>1346</v>
      </c>
    </row>
    <row r="77" spans="1:11" x14ac:dyDescent="0.3">
      <c r="A77" s="256">
        <v>16</v>
      </c>
      <c r="B77" s="257" t="s">
        <v>1378</v>
      </c>
      <c r="C77" s="276">
        <v>44306</v>
      </c>
      <c r="D77" s="257" t="s">
        <v>1264</v>
      </c>
      <c r="E77" s="256" t="s">
        <v>1779</v>
      </c>
      <c r="F77" s="256" t="s">
        <v>1881</v>
      </c>
      <c r="G77" s="258">
        <v>8706000000</v>
      </c>
      <c r="H77" s="265">
        <v>0.1</v>
      </c>
      <c r="I77" s="258">
        <v>870600000</v>
      </c>
      <c r="J77" s="258">
        <v>9576600000</v>
      </c>
      <c r="K77" s="256" t="s">
        <v>1346</v>
      </c>
    </row>
    <row r="78" spans="1:11" x14ac:dyDescent="0.3">
      <c r="A78" s="256">
        <v>17</v>
      </c>
      <c r="B78" s="257" t="s">
        <v>1379</v>
      </c>
      <c r="C78" s="276">
        <v>44336</v>
      </c>
      <c r="D78" s="257" t="s">
        <v>1297</v>
      </c>
      <c r="E78" s="256" t="s">
        <v>1820</v>
      </c>
      <c r="F78" s="256" t="s">
        <v>1882</v>
      </c>
      <c r="G78" s="258">
        <v>15047000000</v>
      </c>
      <c r="H78" s="265">
        <v>0.1</v>
      </c>
      <c r="I78" s="258">
        <v>1504700000</v>
      </c>
      <c r="J78" s="258">
        <v>16551700000</v>
      </c>
      <c r="K78" s="256" t="s">
        <v>1346</v>
      </c>
    </row>
    <row r="79" spans="1:11" x14ac:dyDescent="0.3">
      <c r="A79" s="256">
        <v>18</v>
      </c>
      <c r="B79" s="257" t="s">
        <v>1381</v>
      </c>
      <c r="C79" s="276">
        <v>44367</v>
      </c>
      <c r="D79" s="257" t="s">
        <v>1297</v>
      </c>
      <c r="E79" s="256" t="s">
        <v>1820</v>
      </c>
      <c r="F79" s="256" t="s">
        <v>1882</v>
      </c>
      <c r="G79" s="258">
        <v>6522000000</v>
      </c>
      <c r="H79" s="265">
        <v>0.1</v>
      </c>
      <c r="I79" s="258">
        <v>652200000</v>
      </c>
      <c r="J79" s="258">
        <v>7174200000</v>
      </c>
      <c r="K79" s="256" t="s">
        <v>1346</v>
      </c>
    </row>
    <row r="80" spans="1:11" x14ac:dyDescent="0.3">
      <c r="A80" s="256">
        <v>19</v>
      </c>
      <c r="B80" s="257" t="s">
        <v>1382</v>
      </c>
      <c r="C80" s="276">
        <v>44397</v>
      </c>
      <c r="D80" s="257" t="s">
        <v>1270</v>
      </c>
      <c r="E80" s="256" t="s">
        <v>1782</v>
      </c>
      <c r="F80" s="256" t="s">
        <v>1882</v>
      </c>
      <c r="G80" s="258">
        <v>8238000000</v>
      </c>
      <c r="H80" s="265">
        <v>0.1</v>
      </c>
      <c r="I80" s="258">
        <v>823800000</v>
      </c>
      <c r="J80" s="258">
        <v>9061800000</v>
      </c>
      <c r="K80" s="256" t="s">
        <v>1346</v>
      </c>
    </row>
    <row r="81" spans="1:11" x14ac:dyDescent="0.3">
      <c r="A81" s="256">
        <v>20</v>
      </c>
      <c r="B81" s="257" t="s">
        <v>1383</v>
      </c>
      <c r="C81" s="276">
        <v>44428</v>
      </c>
      <c r="D81" s="257" t="s">
        <v>1267</v>
      </c>
      <c r="E81" s="256" t="s">
        <v>1810</v>
      </c>
      <c r="F81" s="256" t="s">
        <v>1883</v>
      </c>
      <c r="G81" s="258">
        <v>9690000000</v>
      </c>
      <c r="H81" s="265">
        <v>0.1</v>
      </c>
      <c r="I81" s="258">
        <v>969000000</v>
      </c>
      <c r="J81" s="258">
        <v>10659000000</v>
      </c>
      <c r="K81" s="256" t="s">
        <v>1346</v>
      </c>
    </row>
    <row r="82" spans="1:11" x14ac:dyDescent="0.3">
      <c r="A82" s="256">
        <v>21</v>
      </c>
      <c r="B82" s="257" t="s">
        <v>1203</v>
      </c>
      <c r="C82" s="276">
        <v>44459</v>
      </c>
      <c r="D82" s="257" t="s">
        <v>1267</v>
      </c>
      <c r="E82" s="256" t="s">
        <v>1810</v>
      </c>
      <c r="F82" s="256" t="s">
        <v>1882</v>
      </c>
      <c r="G82" s="258">
        <v>5927000000</v>
      </c>
      <c r="H82" s="265">
        <v>0.1</v>
      </c>
      <c r="I82" s="258">
        <v>592700000</v>
      </c>
      <c r="J82" s="258">
        <v>6519700000</v>
      </c>
      <c r="K82" s="256" t="s">
        <v>1346</v>
      </c>
    </row>
    <row r="83" spans="1:11" x14ac:dyDescent="0.3">
      <c r="A83" s="256">
        <v>22</v>
      </c>
      <c r="B83" s="257" t="s">
        <v>1204</v>
      </c>
      <c r="C83" s="276">
        <v>44489</v>
      </c>
      <c r="D83" s="257" t="s">
        <v>1297</v>
      </c>
      <c r="E83" s="256" t="s">
        <v>1820</v>
      </c>
      <c r="F83" s="256" t="s">
        <v>1882</v>
      </c>
      <c r="G83" s="258">
        <v>12005000000</v>
      </c>
      <c r="H83" s="265">
        <v>0.1</v>
      </c>
      <c r="I83" s="258">
        <v>1200500000</v>
      </c>
      <c r="J83" s="258">
        <v>13205500000</v>
      </c>
      <c r="K83" s="256" t="s">
        <v>1346</v>
      </c>
    </row>
    <row r="84" spans="1:11" x14ac:dyDescent="0.3">
      <c r="A84" s="256">
        <v>23</v>
      </c>
      <c r="B84" s="257" t="s">
        <v>1205</v>
      </c>
      <c r="C84" s="276">
        <v>44520</v>
      </c>
      <c r="D84" s="257" t="s">
        <v>1275</v>
      </c>
      <c r="E84" s="256" t="s">
        <v>1808</v>
      </c>
      <c r="F84" s="256" t="s">
        <v>1881</v>
      </c>
      <c r="G84" s="258">
        <v>14215000000</v>
      </c>
      <c r="H84" s="265">
        <v>0</v>
      </c>
      <c r="I84" s="258">
        <v>0</v>
      </c>
      <c r="J84" s="258">
        <v>14215000000</v>
      </c>
      <c r="K84" s="256" t="s">
        <v>1346</v>
      </c>
    </row>
    <row r="85" spans="1:11" x14ac:dyDescent="0.3">
      <c r="A85" s="256">
        <v>24</v>
      </c>
      <c r="B85" s="257" t="s">
        <v>1385</v>
      </c>
      <c r="C85" s="276">
        <v>44550</v>
      </c>
      <c r="D85" s="257" t="s">
        <v>1293</v>
      </c>
      <c r="E85" s="256" t="s">
        <v>1826</v>
      </c>
      <c r="F85" s="256" t="s">
        <v>1884</v>
      </c>
      <c r="G85" s="258">
        <v>12836000000</v>
      </c>
      <c r="H85" s="265">
        <v>0.1</v>
      </c>
      <c r="I85" s="258">
        <v>1283600000</v>
      </c>
      <c r="J85" s="258">
        <v>14119600000</v>
      </c>
      <c r="K85" s="256" t="s">
        <v>1346</v>
      </c>
    </row>
    <row r="86" spans="1:11" x14ac:dyDescent="0.3">
      <c r="A86" s="256">
        <v>25</v>
      </c>
      <c r="B86" s="257" t="s">
        <v>1387</v>
      </c>
      <c r="C86" s="276">
        <v>44221</v>
      </c>
      <c r="D86" s="257" t="s">
        <v>1265</v>
      </c>
      <c r="E86" s="256" t="s">
        <v>1830</v>
      </c>
      <c r="F86" s="256" t="s">
        <v>1882</v>
      </c>
      <c r="G86" s="258">
        <v>13592000000</v>
      </c>
      <c r="H86" s="265">
        <v>0.1</v>
      </c>
      <c r="I86" s="258">
        <v>1359200000</v>
      </c>
      <c r="J86" s="258">
        <v>14951200000</v>
      </c>
      <c r="K86" s="256" t="s">
        <v>1346</v>
      </c>
    </row>
    <row r="87" spans="1:11" x14ac:dyDescent="0.3">
      <c r="A87" s="256">
        <v>26</v>
      </c>
      <c r="B87" s="257" t="s">
        <v>1388</v>
      </c>
      <c r="C87" s="276">
        <v>44255</v>
      </c>
      <c r="D87" s="257" t="s">
        <v>1297</v>
      </c>
      <c r="E87" s="256" t="s">
        <v>1820</v>
      </c>
      <c r="F87" s="256" t="s">
        <v>1883</v>
      </c>
      <c r="G87" s="258">
        <v>7398000000</v>
      </c>
      <c r="H87" s="265">
        <v>0.1</v>
      </c>
      <c r="I87" s="258">
        <v>739800000</v>
      </c>
      <c r="J87" s="258">
        <v>8137800000</v>
      </c>
      <c r="K87" s="256" t="s">
        <v>1346</v>
      </c>
    </row>
    <row r="88" spans="1:11" x14ac:dyDescent="0.3">
      <c r="A88" s="256">
        <v>27</v>
      </c>
      <c r="B88" s="257" t="s">
        <v>1391</v>
      </c>
      <c r="C88" s="276">
        <v>44316</v>
      </c>
      <c r="D88" s="257" t="s">
        <v>1274</v>
      </c>
      <c r="E88" s="256" t="s">
        <v>1794</v>
      </c>
      <c r="F88" s="256" t="s">
        <v>1882</v>
      </c>
      <c r="G88" s="258">
        <v>4352000000</v>
      </c>
      <c r="H88" s="265">
        <v>0.1</v>
      </c>
      <c r="I88" s="258">
        <v>435200000</v>
      </c>
      <c r="J88" s="258">
        <v>4787200000</v>
      </c>
      <c r="K88" s="256" t="s">
        <v>1348</v>
      </c>
    </row>
    <row r="89" spans="1:11" x14ac:dyDescent="0.3">
      <c r="A89" s="256">
        <v>28</v>
      </c>
      <c r="B89" s="257" t="s">
        <v>1392</v>
      </c>
      <c r="C89" s="276">
        <v>44377</v>
      </c>
      <c r="D89" s="257" t="s">
        <v>1257</v>
      </c>
      <c r="E89" s="256" t="s">
        <v>1815</v>
      </c>
      <c r="F89" s="256" t="s">
        <v>1882</v>
      </c>
      <c r="G89" s="258">
        <v>4940000000</v>
      </c>
      <c r="H89" s="265">
        <v>0.1</v>
      </c>
      <c r="I89" s="258">
        <v>494000000</v>
      </c>
      <c r="J89" s="258">
        <v>5434000000</v>
      </c>
      <c r="K89" s="256" t="s">
        <v>1346</v>
      </c>
    </row>
    <row r="90" spans="1:11" x14ac:dyDescent="0.3">
      <c r="A90" s="256">
        <v>29</v>
      </c>
      <c r="B90" s="257" t="s">
        <v>1394</v>
      </c>
      <c r="C90" s="276">
        <v>44469</v>
      </c>
      <c r="D90" s="257" t="s">
        <v>1296</v>
      </c>
      <c r="E90" s="256" t="s">
        <v>1807</v>
      </c>
      <c r="F90" s="256" t="s">
        <v>1883</v>
      </c>
      <c r="G90" s="258">
        <v>10912000000</v>
      </c>
      <c r="H90" s="265">
        <v>0.1</v>
      </c>
      <c r="I90" s="258">
        <v>1091200000</v>
      </c>
      <c r="J90" s="258">
        <v>12003200000</v>
      </c>
      <c r="K90" s="256" t="s">
        <v>1346</v>
      </c>
    </row>
    <row r="91" spans="1:11" x14ac:dyDescent="0.3">
      <c r="A91" s="256">
        <v>30</v>
      </c>
      <c r="B91" s="257" t="s">
        <v>1396</v>
      </c>
      <c r="C91" s="276">
        <v>44530</v>
      </c>
      <c r="D91" s="257" t="s">
        <v>1257</v>
      </c>
      <c r="E91" s="256" t="s">
        <v>1815</v>
      </c>
      <c r="F91" s="256" t="s">
        <v>1883</v>
      </c>
      <c r="G91" s="258">
        <v>6695000000</v>
      </c>
      <c r="H91" s="265">
        <v>0.1</v>
      </c>
      <c r="I91" s="258">
        <v>669500000</v>
      </c>
      <c r="J91" s="258">
        <v>7364500000</v>
      </c>
      <c r="K91" s="256" t="s">
        <v>1346</v>
      </c>
    </row>
    <row r="92" spans="1:11" x14ac:dyDescent="0.3">
      <c r="A92" s="256">
        <v>31</v>
      </c>
      <c r="B92" s="257" t="s">
        <v>1397</v>
      </c>
      <c r="C92" s="276">
        <v>44286</v>
      </c>
      <c r="D92" s="257" t="s">
        <v>1286</v>
      </c>
      <c r="E92" s="256" t="s">
        <v>1828</v>
      </c>
      <c r="F92" s="256" t="s">
        <v>1883</v>
      </c>
      <c r="G92" s="258">
        <v>5219000000</v>
      </c>
      <c r="H92" s="265">
        <v>0</v>
      </c>
      <c r="I92" s="258">
        <v>0</v>
      </c>
      <c r="J92" s="258">
        <v>5219000000</v>
      </c>
      <c r="K92" s="256" t="s">
        <v>1346</v>
      </c>
    </row>
    <row r="93" spans="1:11" x14ac:dyDescent="0.3">
      <c r="A93" s="256">
        <v>32</v>
      </c>
      <c r="B93" s="257" t="s">
        <v>1398</v>
      </c>
      <c r="C93" s="276">
        <v>44347</v>
      </c>
      <c r="D93" s="257" t="s">
        <v>1301</v>
      </c>
      <c r="E93" s="256" t="s">
        <v>1781</v>
      </c>
      <c r="F93" s="256" t="s">
        <v>1883</v>
      </c>
      <c r="G93" s="258">
        <v>4651000000</v>
      </c>
      <c r="H93" s="265">
        <v>0.1</v>
      </c>
      <c r="I93" s="258">
        <v>465100000</v>
      </c>
      <c r="J93" s="258">
        <v>5116100000</v>
      </c>
      <c r="K93" s="256" t="s">
        <v>1348</v>
      </c>
    </row>
    <row r="94" spans="1:11" x14ac:dyDescent="0.3">
      <c r="A94" s="256">
        <v>33</v>
      </c>
      <c r="B94" s="257" t="s">
        <v>1399</v>
      </c>
      <c r="C94" s="276">
        <v>44408</v>
      </c>
      <c r="D94" s="257" t="s">
        <v>1261</v>
      </c>
      <c r="E94" s="256" t="s">
        <v>1813</v>
      </c>
      <c r="F94" s="256" t="s">
        <v>1883</v>
      </c>
      <c r="G94" s="258">
        <v>13479000000</v>
      </c>
      <c r="H94" s="265">
        <v>0.1</v>
      </c>
      <c r="I94" s="258">
        <v>1347900000</v>
      </c>
      <c r="J94" s="258">
        <v>14826900000</v>
      </c>
      <c r="K94" s="256" t="s">
        <v>1346</v>
      </c>
    </row>
    <row r="95" spans="1:11" x14ac:dyDescent="0.3">
      <c r="A95" s="256">
        <v>34</v>
      </c>
      <c r="B95" s="257" t="s">
        <v>1401</v>
      </c>
      <c r="C95" s="276">
        <v>44439</v>
      </c>
      <c r="D95" s="257" t="s">
        <v>1268</v>
      </c>
      <c r="E95" s="256" t="s">
        <v>1821</v>
      </c>
      <c r="F95" s="256" t="s">
        <v>1884</v>
      </c>
      <c r="G95" s="258">
        <v>12786000000</v>
      </c>
      <c r="H95" s="265">
        <v>0.1</v>
      </c>
      <c r="I95" s="258">
        <v>1278600000</v>
      </c>
      <c r="J95" s="258">
        <v>14064600000</v>
      </c>
      <c r="K95" s="256" t="s">
        <v>1346</v>
      </c>
    </row>
    <row r="96" spans="1:11" x14ac:dyDescent="0.3">
      <c r="A96" s="256">
        <v>35</v>
      </c>
      <c r="B96" s="257" t="s">
        <v>1402</v>
      </c>
      <c r="C96" s="276">
        <v>44500</v>
      </c>
      <c r="D96" s="257" t="s">
        <v>1284</v>
      </c>
      <c r="E96" s="256" t="s">
        <v>1786</v>
      </c>
      <c r="F96" s="256" t="s">
        <v>1882</v>
      </c>
      <c r="G96" s="258">
        <v>5880000000</v>
      </c>
      <c r="H96" s="265">
        <v>0.1</v>
      </c>
      <c r="I96" s="258">
        <v>588000000</v>
      </c>
      <c r="J96" s="258">
        <v>6468000000</v>
      </c>
      <c r="K96" s="256" t="s">
        <v>1346</v>
      </c>
    </row>
    <row r="97" spans="1:11" x14ac:dyDescent="0.3">
      <c r="A97" s="256">
        <v>36</v>
      </c>
      <c r="B97" s="257" t="s">
        <v>1403</v>
      </c>
      <c r="C97" s="276">
        <v>44561</v>
      </c>
      <c r="D97" s="257" t="s">
        <v>1257</v>
      </c>
      <c r="E97" s="256" t="s">
        <v>1815</v>
      </c>
      <c r="F97" s="256" t="s">
        <v>1882</v>
      </c>
      <c r="G97" s="258">
        <v>7234000000</v>
      </c>
      <c r="H97" s="265">
        <v>0.1</v>
      </c>
      <c r="I97" s="258">
        <v>723400000</v>
      </c>
      <c r="J97" s="258">
        <v>7957400000</v>
      </c>
      <c r="K97" s="256" t="s">
        <v>1346</v>
      </c>
    </row>
    <row r="98" spans="1:11" x14ac:dyDescent="0.3">
      <c r="A98" s="256">
        <v>37</v>
      </c>
      <c r="B98" s="257" t="s">
        <v>1404</v>
      </c>
      <c r="C98" s="276">
        <v>44561</v>
      </c>
      <c r="D98" s="257" t="s">
        <v>1301</v>
      </c>
      <c r="E98" s="256" t="s">
        <v>1781</v>
      </c>
      <c r="F98" s="256" t="s">
        <v>1884</v>
      </c>
      <c r="G98" s="258">
        <v>4823000000</v>
      </c>
      <c r="H98" s="265">
        <v>0.1</v>
      </c>
      <c r="I98" s="258">
        <v>482300000</v>
      </c>
      <c r="J98" s="258">
        <v>5305300000</v>
      </c>
      <c r="K98" s="256" t="s">
        <v>1346</v>
      </c>
    </row>
    <row r="99" spans="1:11" x14ac:dyDescent="0.3">
      <c r="A99" s="256">
        <v>38</v>
      </c>
      <c r="B99" s="257" t="s">
        <v>1405</v>
      </c>
      <c r="C99" s="276">
        <v>44561</v>
      </c>
      <c r="D99" s="257" t="s">
        <v>1256</v>
      </c>
      <c r="E99" s="256" t="s">
        <v>1802</v>
      </c>
      <c r="F99" s="256" t="s">
        <v>1883</v>
      </c>
      <c r="G99" s="258">
        <v>4616000000</v>
      </c>
      <c r="H99" s="265">
        <v>0</v>
      </c>
      <c r="I99" s="258">
        <v>0</v>
      </c>
      <c r="J99" s="258">
        <v>4616000000</v>
      </c>
      <c r="K99" s="256" t="s">
        <v>1348</v>
      </c>
    </row>
    <row r="100" spans="1:11" x14ac:dyDescent="0.3">
      <c r="A100" s="256">
        <v>39</v>
      </c>
      <c r="B100" s="257" t="s">
        <v>1406</v>
      </c>
      <c r="C100" s="276">
        <v>44561</v>
      </c>
      <c r="D100" s="257" t="s">
        <v>1294</v>
      </c>
      <c r="E100" s="256" t="s">
        <v>1795</v>
      </c>
      <c r="F100" s="256" t="s">
        <v>1884</v>
      </c>
      <c r="G100" s="258">
        <v>8023000000</v>
      </c>
      <c r="H100" s="265">
        <v>0.1</v>
      </c>
      <c r="I100" s="258">
        <v>802300000</v>
      </c>
      <c r="J100" s="258">
        <v>8825300000</v>
      </c>
      <c r="K100" s="256" t="s">
        <v>1346</v>
      </c>
    </row>
    <row r="101" spans="1:11" x14ac:dyDescent="0.3">
      <c r="A101" s="256">
        <v>40</v>
      </c>
      <c r="B101" s="257" t="s">
        <v>1408</v>
      </c>
      <c r="C101" s="276">
        <v>44561</v>
      </c>
      <c r="D101" s="257" t="s">
        <v>1289</v>
      </c>
      <c r="E101" s="256" t="s">
        <v>1803</v>
      </c>
      <c r="F101" s="256" t="s">
        <v>1882</v>
      </c>
      <c r="G101" s="258">
        <v>11020000000</v>
      </c>
      <c r="H101" s="265">
        <v>0.1</v>
      </c>
      <c r="I101" s="258">
        <v>1102000000</v>
      </c>
      <c r="J101" s="258">
        <v>12122000000</v>
      </c>
      <c r="K101" s="256" t="s">
        <v>1346</v>
      </c>
    </row>
    <row r="102" spans="1:11" x14ac:dyDescent="0.3">
      <c r="A102" s="256">
        <v>41</v>
      </c>
      <c r="B102" s="257" t="s">
        <v>1409</v>
      </c>
      <c r="C102" s="276">
        <v>44561</v>
      </c>
      <c r="D102" s="257" t="s">
        <v>1282</v>
      </c>
      <c r="E102" s="256" t="s">
        <v>1789</v>
      </c>
      <c r="F102" s="256" t="s">
        <v>1884</v>
      </c>
      <c r="G102" s="258">
        <v>6292000000</v>
      </c>
      <c r="H102" s="265">
        <v>0.1</v>
      </c>
      <c r="I102" s="258">
        <v>629200000</v>
      </c>
      <c r="J102" s="258">
        <v>6921200000</v>
      </c>
      <c r="K102" s="256" t="s">
        <v>1348</v>
      </c>
    </row>
    <row r="103" spans="1:11" x14ac:dyDescent="0.3">
      <c r="A103" s="256">
        <v>42</v>
      </c>
      <c r="B103" s="257" t="s">
        <v>1411</v>
      </c>
      <c r="C103" s="276">
        <v>44561</v>
      </c>
      <c r="D103" s="257" t="s">
        <v>1291</v>
      </c>
      <c r="E103" s="256" t="s">
        <v>1800</v>
      </c>
      <c r="F103" s="256" t="s">
        <v>1884</v>
      </c>
      <c r="G103" s="258">
        <v>8134000000</v>
      </c>
      <c r="H103" s="265">
        <v>0.1</v>
      </c>
      <c r="I103" s="258">
        <v>813400000</v>
      </c>
      <c r="J103" s="258">
        <v>8947400000</v>
      </c>
      <c r="K103" s="256" t="s">
        <v>1346</v>
      </c>
    </row>
    <row r="104" spans="1:11" x14ac:dyDescent="0.3">
      <c r="A104" s="256">
        <v>43</v>
      </c>
      <c r="B104" s="257" t="s">
        <v>1414</v>
      </c>
      <c r="C104" s="276">
        <v>44561</v>
      </c>
      <c r="D104" s="257" t="s">
        <v>1268</v>
      </c>
      <c r="E104" s="256" t="s">
        <v>1821</v>
      </c>
      <c r="F104" s="256" t="s">
        <v>1881</v>
      </c>
      <c r="G104" s="258">
        <v>10481000000</v>
      </c>
      <c r="H104" s="265">
        <v>0</v>
      </c>
      <c r="I104" s="258">
        <v>0</v>
      </c>
      <c r="J104" s="258">
        <v>10481000000</v>
      </c>
      <c r="K104" s="256" t="s">
        <v>1346</v>
      </c>
    </row>
    <row r="105" spans="1:11" x14ac:dyDescent="0.3">
      <c r="A105" s="256">
        <v>44</v>
      </c>
      <c r="B105" s="257" t="s">
        <v>1415</v>
      </c>
      <c r="C105" s="276">
        <v>44561</v>
      </c>
      <c r="D105" s="257" t="s">
        <v>1258</v>
      </c>
      <c r="E105" s="256" t="s">
        <v>1833</v>
      </c>
      <c r="F105" s="256" t="s">
        <v>1884</v>
      </c>
      <c r="G105" s="258">
        <v>12746000000</v>
      </c>
      <c r="H105" s="265">
        <v>0.1</v>
      </c>
      <c r="I105" s="258">
        <v>1274600000</v>
      </c>
      <c r="J105" s="258">
        <v>14020600000</v>
      </c>
      <c r="K105" s="256" t="s">
        <v>1346</v>
      </c>
    </row>
    <row r="106" spans="1:11" x14ac:dyDescent="0.3">
      <c r="A106" s="256">
        <v>45</v>
      </c>
      <c r="B106" s="257" t="s">
        <v>1206</v>
      </c>
      <c r="C106" s="276">
        <v>44561</v>
      </c>
      <c r="D106" s="257" t="s">
        <v>1285</v>
      </c>
      <c r="E106" s="256" t="s">
        <v>1793</v>
      </c>
      <c r="F106" s="256" t="s">
        <v>1883</v>
      </c>
      <c r="G106" s="258">
        <v>8503000000</v>
      </c>
      <c r="H106" s="265">
        <v>0</v>
      </c>
      <c r="I106" s="258">
        <v>0</v>
      </c>
      <c r="J106" s="258">
        <v>8503000000</v>
      </c>
      <c r="K106" s="256" t="s">
        <v>1346</v>
      </c>
    </row>
    <row r="107" spans="1:11" x14ac:dyDescent="0.3">
      <c r="A107" s="256">
        <v>46</v>
      </c>
      <c r="B107" s="257" t="s">
        <v>1207</v>
      </c>
      <c r="C107" s="276">
        <v>44561</v>
      </c>
      <c r="D107" s="257" t="s">
        <v>1255</v>
      </c>
      <c r="E107" s="273">
        <v>46152</v>
      </c>
      <c r="F107" s="256" t="s">
        <v>1882</v>
      </c>
      <c r="G107" s="258">
        <v>13297000000</v>
      </c>
      <c r="H107" s="265">
        <v>0.1</v>
      </c>
      <c r="I107" s="258">
        <v>1329700000</v>
      </c>
      <c r="J107" s="258">
        <v>14626700000</v>
      </c>
      <c r="K107" s="256" t="s">
        <v>1348</v>
      </c>
    </row>
    <row r="108" spans="1:11" x14ac:dyDescent="0.3">
      <c r="A108" s="256">
        <v>47</v>
      </c>
      <c r="B108" s="257" t="s">
        <v>1208</v>
      </c>
      <c r="C108" s="276">
        <v>44561</v>
      </c>
      <c r="D108" s="257" t="s">
        <v>1259</v>
      </c>
      <c r="E108" s="256" t="s">
        <v>1788</v>
      </c>
      <c r="F108" s="256" t="s">
        <v>1884</v>
      </c>
      <c r="G108" s="258">
        <v>4905000000</v>
      </c>
      <c r="H108" s="265">
        <v>0.1</v>
      </c>
      <c r="I108" s="258">
        <v>490500000</v>
      </c>
      <c r="J108" s="258">
        <v>5395500000</v>
      </c>
      <c r="K108" s="256" t="s">
        <v>1346</v>
      </c>
    </row>
    <row r="109" spans="1:11" x14ac:dyDescent="0.3">
      <c r="A109" s="256">
        <v>48</v>
      </c>
      <c r="B109" s="257" t="s">
        <v>1209</v>
      </c>
      <c r="C109" s="276">
        <v>44561</v>
      </c>
      <c r="D109" s="257" t="s">
        <v>1262</v>
      </c>
      <c r="E109" s="256" t="s">
        <v>1816</v>
      </c>
      <c r="F109" s="256" t="s">
        <v>1882</v>
      </c>
      <c r="G109" s="258">
        <v>5697000000</v>
      </c>
      <c r="H109" s="265">
        <v>0.1</v>
      </c>
      <c r="I109" s="258">
        <v>569700000</v>
      </c>
      <c r="J109" s="258">
        <v>6266700000</v>
      </c>
      <c r="K109" s="256" t="s">
        <v>1346</v>
      </c>
    </row>
    <row r="110" spans="1:11" x14ac:dyDescent="0.3">
      <c r="A110" s="256">
        <v>49</v>
      </c>
      <c r="B110" s="257" t="s">
        <v>1418</v>
      </c>
      <c r="C110" s="276">
        <v>44561</v>
      </c>
      <c r="D110" s="257" t="s">
        <v>1255</v>
      </c>
      <c r="E110" s="273">
        <v>46152</v>
      </c>
      <c r="F110" s="256" t="s">
        <v>1883</v>
      </c>
      <c r="G110" s="258">
        <v>14299000000</v>
      </c>
      <c r="H110" s="265">
        <v>0.1</v>
      </c>
      <c r="I110" s="258">
        <v>1429900000</v>
      </c>
      <c r="J110" s="258">
        <v>15728900000</v>
      </c>
      <c r="K110" s="256" t="s">
        <v>1346</v>
      </c>
    </row>
    <row r="111" spans="1:11" x14ac:dyDescent="0.3">
      <c r="A111" s="256">
        <v>50</v>
      </c>
      <c r="B111" s="257" t="s">
        <v>1419</v>
      </c>
      <c r="C111" s="276">
        <v>44561</v>
      </c>
      <c r="D111" s="257" t="s">
        <v>1256</v>
      </c>
      <c r="E111" s="256" t="s">
        <v>1802</v>
      </c>
      <c r="F111" s="256" t="s">
        <v>1882</v>
      </c>
      <c r="G111" s="258">
        <v>11930000000</v>
      </c>
      <c r="H111" s="265">
        <v>0.1</v>
      </c>
      <c r="I111" s="258">
        <v>1193000000</v>
      </c>
      <c r="J111" s="258">
        <v>13123000000</v>
      </c>
      <c r="K111" s="256" t="s">
        <v>1346</v>
      </c>
    </row>
    <row r="112" spans="1:11" x14ac:dyDescent="0.3">
      <c r="A112" s="266" t="s">
        <v>1351</v>
      </c>
      <c r="B112" s="266"/>
      <c r="C112" s="266"/>
      <c r="D112" s="266"/>
      <c r="E112" s="266"/>
      <c r="F112" s="266"/>
      <c r="G112" s="267">
        <f>SUM(G62:G111)</f>
        <v>474579000000</v>
      </c>
      <c r="H112" s="266"/>
      <c r="I112" s="267">
        <f>SUM(I62:I111)</f>
        <v>41120900000</v>
      </c>
      <c r="J112" s="267">
        <f>SUM(J62:J111)</f>
        <v>515699900000</v>
      </c>
      <c r="K112" s="266"/>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715</v>
      </c>
      <c r="C1" s="256"/>
      <c r="D1" s="256"/>
      <c r="E1" s="256"/>
      <c r="F1" s="256"/>
      <c r="G1" s="256"/>
      <c r="H1" s="256"/>
      <c r="I1" s="256"/>
      <c r="J1" s="256"/>
      <c r="K1" s="256"/>
    </row>
    <row r="2" spans="1:11" x14ac:dyDescent="0.3">
      <c r="A2" s="256" t="s">
        <v>1339</v>
      </c>
      <c r="B2" s="257">
        <v>105189320</v>
      </c>
      <c r="C2" s="256"/>
      <c r="D2" s="256"/>
      <c r="E2" s="256"/>
      <c r="F2" s="256"/>
      <c r="G2" s="256"/>
      <c r="H2" s="256"/>
      <c r="I2" s="256"/>
      <c r="J2" s="256"/>
      <c r="K2" s="256"/>
    </row>
    <row r="3" spans="1:11" x14ac:dyDescent="0.3">
      <c r="A3" s="256" t="s">
        <v>1343</v>
      </c>
      <c r="B3" s="258">
        <v>1632212762920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1397</v>
      </c>
      <c r="C8" s="276">
        <v>44317</v>
      </c>
      <c r="D8" s="257" t="s">
        <v>1269</v>
      </c>
      <c r="E8" s="256" t="s">
        <v>1823</v>
      </c>
      <c r="F8" s="256" t="s">
        <v>1731</v>
      </c>
      <c r="G8" s="258">
        <v>21206000000</v>
      </c>
      <c r="H8" s="265">
        <v>0</v>
      </c>
      <c r="I8" s="258">
        <v>0</v>
      </c>
      <c r="J8" s="258">
        <v>21206000000</v>
      </c>
      <c r="K8" s="256" t="s">
        <v>1346</v>
      </c>
    </row>
    <row r="9" spans="1:11" x14ac:dyDescent="0.3">
      <c r="A9" s="256">
        <v>2</v>
      </c>
      <c r="B9" s="257" t="s">
        <v>1398</v>
      </c>
      <c r="C9" s="276">
        <v>44318</v>
      </c>
      <c r="D9" s="257" t="s">
        <v>1288</v>
      </c>
      <c r="E9" s="256" t="s">
        <v>1797</v>
      </c>
      <c r="F9" s="256" t="s">
        <v>1868</v>
      </c>
      <c r="G9" s="258">
        <v>24019000000</v>
      </c>
      <c r="H9" s="265">
        <v>0.1</v>
      </c>
      <c r="I9" s="258">
        <v>2401900000</v>
      </c>
      <c r="J9" s="258">
        <v>26420900000</v>
      </c>
      <c r="K9" s="256" t="s">
        <v>1346</v>
      </c>
    </row>
    <row r="10" spans="1:11" x14ac:dyDescent="0.3">
      <c r="A10" s="256">
        <v>3</v>
      </c>
      <c r="B10" s="257" t="s">
        <v>1459</v>
      </c>
      <c r="C10" s="276">
        <v>44472</v>
      </c>
      <c r="D10" s="257" t="s">
        <v>1276</v>
      </c>
      <c r="E10" s="256" t="s">
        <v>1822</v>
      </c>
      <c r="F10" s="256" t="s">
        <v>1868</v>
      </c>
      <c r="G10" s="258">
        <v>12725000000</v>
      </c>
      <c r="H10" s="265">
        <v>0.1</v>
      </c>
      <c r="I10" s="258">
        <v>1272500000</v>
      </c>
      <c r="J10" s="258">
        <v>13997500000</v>
      </c>
      <c r="K10" s="256" t="s">
        <v>1346</v>
      </c>
    </row>
    <row r="11" spans="1:11" x14ac:dyDescent="0.3">
      <c r="A11" s="256">
        <v>4</v>
      </c>
      <c r="B11" s="257" t="s">
        <v>1408</v>
      </c>
      <c r="C11" s="276">
        <v>44473</v>
      </c>
      <c r="D11" s="257" t="s">
        <v>1266</v>
      </c>
      <c r="E11" s="256" t="s">
        <v>1824</v>
      </c>
      <c r="F11" s="256" t="s">
        <v>1731</v>
      </c>
      <c r="G11" s="258">
        <v>19395000000</v>
      </c>
      <c r="H11" s="265">
        <v>0.1</v>
      </c>
      <c r="I11" s="258">
        <v>1939500000</v>
      </c>
      <c r="J11" s="258">
        <v>21334500000</v>
      </c>
      <c r="K11" s="256" t="s">
        <v>1346</v>
      </c>
    </row>
    <row r="12" spans="1:11" x14ac:dyDescent="0.3">
      <c r="A12" s="256">
        <v>5</v>
      </c>
      <c r="B12" s="257" t="s">
        <v>1204</v>
      </c>
      <c r="C12" s="276">
        <v>44474</v>
      </c>
      <c r="D12" s="257" t="s">
        <v>1299</v>
      </c>
      <c r="E12" s="256" t="s">
        <v>1776</v>
      </c>
      <c r="F12" s="256" t="s">
        <v>1730</v>
      </c>
      <c r="G12" s="258">
        <v>33962000000</v>
      </c>
      <c r="H12" s="265">
        <v>0.1</v>
      </c>
      <c r="I12" s="258">
        <v>3396200000</v>
      </c>
      <c r="J12" s="258">
        <v>37358200000</v>
      </c>
      <c r="K12" s="256" t="s">
        <v>1346</v>
      </c>
    </row>
    <row r="13" spans="1:11" x14ac:dyDescent="0.3">
      <c r="A13" s="256">
        <v>6</v>
      </c>
      <c r="B13" s="257" t="s">
        <v>1409</v>
      </c>
      <c r="C13" s="276">
        <v>44475</v>
      </c>
      <c r="D13" s="257" t="s">
        <v>1280</v>
      </c>
      <c r="E13" s="256" t="s">
        <v>1777</v>
      </c>
      <c r="F13" s="256" t="s">
        <v>1871</v>
      </c>
      <c r="G13" s="258">
        <v>16411000000</v>
      </c>
      <c r="H13" s="265">
        <v>0</v>
      </c>
      <c r="I13" s="258">
        <v>0</v>
      </c>
      <c r="J13" s="258">
        <v>16411000000</v>
      </c>
      <c r="K13" s="256" t="s">
        <v>1346</v>
      </c>
    </row>
    <row r="14" spans="1:11" x14ac:dyDescent="0.3">
      <c r="A14" s="256">
        <v>7</v>
      </c>
      <c r="B14" s="257" t="s">
        <v>1398</v>
      </c>
      <c r="C14" s="276">
        <v>44476</v>
      </c>
      <c r="D14" s="257" t="s">
        <v>1264</v>
      </c>
      <c r="E14" s="256" t="s">
        <v>1779</v>
      </c>
      <c r="F14" s="256" t="s">
        <v>1868</v>
      </c>
      <c r="G14" s="258">
        <v>10458000000</v>
      </c>
      <c r="H14" s="265">
        <v>0.1</v>
      </c>
      <c r="I14" s="258">
        <v>1045800000</v>
      </c>
      <c r="J14" s="258">
        <v>11503800000</v>
      </c>
      <c r="K14" s="256" t="s">
        <v>1346</v>
      </c>
    </row>
    <row r="15" spans="1:11" x14ac:dyDescent="0.3">
      <c r="A15" s="256">
        <v>8</v>
      </c>
      <c r="B15" s="257" t="s">
        <v>1385</v>
      </c>
      <c r="C15" s="276">
        <v>44477</v>
      </c>
      <c r="D15" s="257" t="s">
        <v>1301</v>
      </c>
      <c r="E15" s="256" t="s">
        <v>1781</v>
      </c>
      <c r="F15" s="256" t="s">
        <v>1734</v>
      </c>
      <c r="G15" s="258">
        <v>34818000000</v>
      </c>
      <c r="H15" s="265">
        <v>0</v>
      </c>
      <c r="I15" s="258">
        <v>0</v>
      </c>
      <c r="J15" s="258">
        <v>34818000000</v>
      </c>
      <c r="K15" s="256" t="s">
        <v>1346</v>
      </c>
    </row>
    <row r="16" spans="1:11" x14ac:dyDescent="0.3">
      <c r="A16" s="256">
        <v>9</v>
      </c>
      <c r="B16" s="257" t="s">
        <v>1415</v>
      </c>
      <c r="C16" s="276">
        <v>44478</v>
      </c>
      <c r="D16" s="257" t="s">
        <v>1270</v>
      </c>
      <c r="E16" s="256" t="s">
        <v>1782</v>
      </c>
      <c r="F16" s="256" t="s">
        <v>1869</v>
      </c>
      <c r="G16" s="258">
        <v>22722000000</v>
      </c>
      <c r="H16" s="265">
        <v>0.1</v>
      </c>
      <c r="I16" s="258">
        <v>2272200000</v>
      </c>
      <c r="J16" s="258">
        <v>24994200000</v>
      </c>
      <c r="K16" s="256" t="s">
        <v>1346</v>
      </c>
    </row>
    <row r="17" spans="1:11" x14ac:dyDescent="0.3">
      <c r="A17" s="256">
        <v>10</v>
      </c>
      <c r="B17" s="257" t="s">
        <v>1411</v>
      </c>
      <c r="C17" s="276">
        <v>44479</v>
      </c>
      <c r="D17" s="257" t="s">
        <v>1280</v>
      </c>
      <c r="E17" s="256" t="s">
        <v>1777</v>
      </c>
      <c r="F17" s="256" t="s">
        <v>1730</v>
      </c>
      <c r="G17" s="258">
        <v>9575000000</v>
      </c>
      <c r="H17" s="265">
        <v>0.1</v>
      </c>
      <c r="I17" s="258">
        <v>957500000</v>
      </c>
      <c r="J17" s="258">
        <v>10532500000</v>
      </c>
      <c r="K17" s="256" t="s">
        <v>1348</v>
      </c>
    </row>
    <row r="18" spans="1:11" x14ac:dyDescent="0.3">
      <c r="A18" s="256">
        <v>11</v>
      </c>
      <c r="B18" s="257" t="s">
        <v>1462</v>
      </c>
      <c r="C18" s="276">
        <v>44480</v>
      </c>
      <c r="D18" s="257" t="s">
        <v>1277</v>
      </c>
      <c r="E18" s="256" t="s">
        <v>1783</v>
      </c>
      <c r="F18" s="256" t="s">
        <v>1869</v>
      </c>
      <c r="G18" s="258">
        <v>20534000000</v>
      </c>
      <c r="H18" s="265">
        <v>0.1</v>
      </c>
      <c r="I18" s="258">
        <v>2053400000</v>
      </c>
      <c r="J18" s="258">
        <v>22587400000</v>
      </c>
      <c r="K18" s="256" t="s">
        <v>1346</v>
      </c>
    </row>
    <row r="19" spans="1:11" x14ac:dyDescent="0.3">
      <c r="A19" s="256">
        <v>12</v>
      </c>
      <c r="B19" s="257" t="s">
        <v>1205</v>
      </c>
      <c r="C19" s="276">
        <v>44481</v>
      </c>
      <c r="D19" s="257" t="s">
        <v>1302</v>
      </c>
      <c r="E19" s="256" t="s">
        <v>1784</v>
      </c>
      <c r="F19" s="256" t="s">
        <v>1871</v>
      </c>
      <c r="G19" s="258">
        <v>13740000000</v>
      </c>
      <c r="H19" s="265">
        <v>0.1</v>
      </c>
      <c r="I19" s="258">
        <v>1374000000</v>
      </c>
      <c r="J19" s="258">
        <v>15114000000</v>
      </c>
      <c r="K19" s="256" t="s">
        <v>1346</v>
      </c>
    </row>
    <row r="20" spans="1:11" x14ac:dyDescent="0.3">
      <c r="A20" s="256">
        <v>13</v>
      </c>
      <c r="B20" s="257" t="s">
        <v>1206</v>
      </c>
      <c r="C20" s="276">
        <v>44211</v>
      </c>
      <c r="D20" s="257" t="s">
        <v>1278</v>
      </c>
      <c r="E20" s="256" t="s">
        <v>1785</v>
      </c>
      <c r="F20" s="256" t="s">
        <v>1734</v>
      </c>
      <c r="G20" s="258">
        <v>30954000000</v>
      </c>
      <c r="H20" s="265">
        <v>0.1</v>
      </c>
      <c r="I20" s="258">
        <v>3095400000</v>
      </c>
      <c r="J20" s="258">
        <v>34049400000</v>
      </c>
      <c r="K20" s="256" t="s">
        <v>1346</v>
      </c>
    </row>
    <row r="21" spans="1:11" x14ac:dyDescent="0.3">
      <c r="A21" s="256">
        <v>14</v>
      </c>
      <c r="B21" s="257" t="s">
        <v>1464</v>
      </c>
      <c r="C21" s="276">
        <v>44242</v>
      </c>
      <c r="D21" s="257" t="s">
        <v>1284</v>
      </c>
      <c r="E21" s="256" t="s">
        <v>1786</v>
      </c>
      <c r="F21" s="256" t="s">
        <v>1869</v>
      </c>
      <c r="G21" s="258">
        <v>36314000000</v>
      </c>
      <c r="H21" s="265">
        <v>0.1</v>
      </c>
      <c r="I21" s="258">
        <v>3631400000</v>
      </c>
      <c r="J21" s="258">
        <v>39945400000</v>
      </c>
      <c r="K21" s="256" t="s">
        <v>1346</v>
      </c>
    </row>
    <row r="22" spans="1:11" x14ac:dyDescent="0.3">
      <c r="A22" s="256">
        <v>15</v>
      </c>
      <c r="B22" s="257" t="s">
        <v>1385</v>
      </c>
      <c r="C22" s="276">
        <v>44275</v>
      </c>
      <c r="D22" s="257" t="s">
        <v>1302</v>
      </c>
      <c r="E22" s="256" t="s">
        <v>1784</v>
      </c>
      <c r="F22" s="256" t="s">
        <v>1870</v>
      </c>
      <c r="G22" s="258">
        <v>28451000000</v>
      </c>
      <c r="H22" s="265">
        <v>0.1</v>
      </c>
      <c r="I22" s="258">
        <v>2845100000</v>
      </c>
      <c r="J22" s="258">
        <v>31296100000</v>
      </c>
      <c r="K22" s="256" t="s">
        <v>1346</v>
      </c>
    </row>
    <row r="23" spans="1:11" x14ac:dyDescent="0.3">
      <c r="A23" s="256">
        <v>16</v>
      </c>
      <c r="B23" s="257" t="s">
        <v>1456</v>
      </c>
      <c r="C23" s="276">
        <v>44306</v>
      </c>
      <c r="D23" s="257" t="s">
        <v>1259</v>
      </c>
      <c r="E23" s="256" t="s">
        <v>1788</v>
      </c>
      <c r="F23" s="256" t="s">
        <v>1871</v>
      </c>
      <c r="G23" s="258">
        <v>21055000000</v>
      </c>
      <c r="H23" s="265">
        <v>0.1</v>
      </c>
      <c r="I23" s="258">
        <v>2105500000</v>
      </c>
      <c r="J23" s="258">
        <v>23160500000</v>
      </c>
      <c r="K23" s="256" t="s">
        <v>1346</v>
      </c>
    </row>
    <row r="24" spans="1:11" x14ac:dyDescent="0.3">
      <c r="A24" s="256">
        <v>17</v>
      </c>
      <c r="B24" s="257" t="s">
        <v>1392</v>
      </c>
      <c r="C24" s="276">
        <v>44336</v>
      </c>
      <c r="D24" s="257" t="s">
        <v>1282</v>
      </c>
      <c r="E24" s="256" t="s">
        <v>1789</v>
      </c>
      <c r="F24" s="256" t="s">
        <v>1870</v>
      </c>
      <c r="G24" s="258">
        <v>37757000000</v>
      </c>
      <c r="H24" s="265">
        <v>0.1</v>
      </c>
      <c r="I24" s="258">
        <v>3775700000</v>
      </c>
      <c r="J24" s="258">
        <v>41532700000</v>
      </c>
      <c r="K24" s="256" t="s">
        <v>1346</v>
      </c>
    </row>
    <row r="25" spans="1:11" x14ac:dyDescent="0.3">
      <c r="A25" s="256">
        <v>18</v>
      </c>
      <c r="B25" s="257" t="s">
        <v>1457</v>
      </c>
      <c r="C25" s="276">
        <v>44367</v>
      </c>
      <c r="D25" s="257" t="s">
        <v>1263</v>
      </c>
      <c r="E25" s="256" t="s">
        <v>1790</v>
      </c>
      <c r="F25" s="256" t="s">
        <v>1868</v>
      </c>
      <c r="G25" s="258">
        <v>13635000000</v>
      </c>
      <c r="H25" s="265">
        <v>0.1</v>
      </c>
      <c r="I25" s="258">
        <v>1363500000</v>
      </c>
      <c r="J25" s="258">
        <v>14998500000</v>
      </c>
      <c r="K25" s="256" t="s">
        <v>1346</v>
      </c>
    </row>
    <row r="26" spans="1:11" x14ac:dyDescent="0.3">
      <c r="A26" s="256">
        <v>19</v>
      </c>
      <c r="B26" s="257" t="s">
        <v>1205</v>
      </c>
      <c r="C26" s="276">
        <v>44397</v>
      </c>
      <c r="D26" s="257" t="s">
        <v>1299</v>
      </c>
      <c r="E26" s="256" t="s">
        <v>1776</v>
      </c>
      <c r="F26" s="256" t="s">
        <v>1741</v>
      </c>
      <c r="G26" s="258">
        <v>37430000000</v>
      </c>
      <c r="H26" s="265">
        <v>0.1</v>
      </c>
      <c r="I26" s="258">
        <v>3743000000</v>
      </c>
      <c r="J26" s="258">
        <v>41173000000</v>
      </c>
      <c r="K26" s="256" t="s">
        <v>1346</v>
      </c>
    </row>
    <row r="27" spans="1:11" x14ac:dyDescent="0.3">
      <c r="A27" s="256">
        <v>20</v>
      </c>
      <c r="B27" s="257" t="s">
        <v>1204</v>
      </c>
      <c r="C27" s="276">
        <v>44428</v>
      </c>
      <c r="D27" s="257" t="s">
        <v>1292</v>
      </c>
      <c r="E27" s="256" t="s">
        <v>1792</v>
      </c>
      <c r="F27" s="256" t="s">
        <v>1730</v>
      </c>
      <c r="G27" s="258">
        <v>32572000000</v>
      </c>
      <c r="H27" s="265">
        <v>0.1</v>
      </c>
      <c r="I27" s="258">
        <v>3257200000</v>
      </c>
      <c r="J27" s="258">
        <v>35829200000</v>
      </c>
      <c r="K27" s="256" t="s">
        <v>1346</v>
      </c>
    </row>
    <row r="28" spans="1:11" x14ac:dyDescent="0.3">
      <c r="A28" s="256">
        <v>21</v>
      </c>
      <c r="B28" s="257" t="s">
        <v>1206</v>
      </c>
      <c r="C28" s="276">
        <v>44459</v>
      </c>
      <c r="D28" s="257" t="s">
        <v>1270</v>
      </c>
      <c r="E28" s="256" t="s">
        <v>1782</v>
      </c>
      <c r="F28" s="256" t="s">
        <v>1870</v>
      </c>
      <c r="G28" s="258">
        <v>17357000000</v>
      </c>
      <c r="H28" s="265">
        <v>0.1</v>
      </c>
      <c r="I28" s="258">
        <v>1735700000</v>
      </c>
      <c r="J28" s="258">
        <v>19092700000</v>
      </c>
      <c r="K28" s="256" t="s">
        <v>1346</v>
      </c>
    </row>
    <row r="29" spans="1:11" x14ac:dyDescent="0.3">
      <c r="A29" s="256">
        <v>22</v>
      </c>
      <c r="B29" s="257" t="s">
        <v>1205</v>
      </c>
      <c r="C29" s="276">
        <v>44489</v>
      </c>
      <c r="D29" s="257" t="s">
        <v>1292</v>
      </c>
      <c r="E29" s="256" t="s">
        <v>1792</v>
      </c>
      <c r="F29" s="256" t="s">
        <v>1730</v>
      </c>
      <c r="G29" s="258">
        <v>24203000000</v>
      </c>
      <c r="H29" s="265">
        <v>0.1</v>
      </c>
      <c r="I29" s="258">
        <v>2420300000</v>
      </c>
      <c r="J29" s="258">
        <v>26623300000</v>
      </c>
      <c r="K29" s="256" t="s">
        <v>1346</v>
      </c>
    </row>
    <row r="30" spans="1:11" x14ac:dyDescent="0.3">
      <c r="A30" s="256">
        <v>23</v>
      </c>
      <c r="B30" s="257" t="s">
        <v>1409</v>
      </c>
      <c r="C30" s="276">
        <v>44520</v>
      </c>
      <c r="D30" s="257" t="s">
        <v>1285</v>
      </c>
      <c r="E30" s="256" t="s">
        <v>1793</v>
      </c>
      <c r="F30" s="256" t="s">
        <v>1870</v>
      </c>
      <c r="G30" s="258">
        <v>11950000000</v>
      </c>
      <c r="H30" s="265">
        <v>0.1</v>
      </c>
      <c r="I30" s="258">
        <v>1195000000</v>
      </c>
      <c r="J30" s="258">
        <v>13145000000</v>
      </c>
      <c r="K30" s="256" t="s">
        <v>1346</v>
      </c>
    </row>
    <row r="31" spans="1:11" x14ac:dyDescent="0.3">
      <c r="A31" s="256">
        <v>24</v>
      </c>
      <c r="B31" s="257" t="s">
        <v>1394</v>
      </c>
      <c r="C31" s="276">
        <v>44550</v>
      </c>
      <c r="D31" s="257" t="s">
        <v>1282</v>
      </c>
      <c r="E31" s="256" t="s">
        <v>1789</v>
      </c>
      <c r="F31" s="256" t="s">
        <v>1734</v>
      </c>
      <c r="G31" s="258">
        <v>20282000000</v>
      </c>
      <c r="H31" s="265">
        <v>0.1</v>
      </c>
      <c r="I31" s="258">
        <v>2028200000</v>
      </c>
      <c r="J31" s="258">
        <v>22310200000</v>
      </c>
      <c r="K31" s="256" t="s">
        <v>1348</v>
      </c>
    </row>
    <row r="32" spans="1:11" x14ac:dyDescent="0.3">
      <c r="A32" s="256">
        <v>25</v>
      </c>
      <c r="B32" s="257" t="s">
        <v>1418</v>
      </c>
      <c r="C32" s="276">
        <v>44221</v>
      </c>
      <c r="D32" s="257" t="s">
        <v>1274</v>
      </c>
      <c r="E32" s="256" t="s">
        <v>1794</v>
      </c>
      <c r="F32" s="256" t="s">
        <v>1730</v>
      </c>
      <c r="G32" s="258">
        <v>22176000000</v>
      </c>
      <c r="H32" s="265">
        <v>0</v>
      </c>
      <c r="I32" s="258">
        <v>0</v>
      </c>
      <c r="J32" s="258">
        <v>22176000000</v>
      </c>
      <c r="K32" s="256" t="s">
        <v>1348</v>
      </c>
    </row>
    <row r="33" spans="1:11" x14ac:dyDescent="0.3">
      <c r="A33" s="256">
        <v>26</v>
      </c>
      <c r="B33" s="257" t="s">
        <v>1371</v>
      </c>
      <c r="C33" s="276">
        <v>44255</v>
      </c>
      <c r="D33" s="257" t="s">
        <v>1294</v>
      </c>
      <c r="E33" s="256" t="s">
        <v>1795</v>
      </c>
      <c r="F33" s="256" t="s">
        <v>1869</v>
      </c>
      <c r="G33" s="258">
        <v>9743000000</v>
      </c>
      <c r="H33" s="265">
        <v>0</v>
      </c>
      <c r="I33" s="258">
        <v>0</v>
      </c>
      <c r="J33" s="258">
        <v>9743000000</v>
      </c>
      <c r="K33" s="256" t="s">
        <v>1346</v>
      </c>
    </row>
    <row r="34" spans="1:11" x14ac:dyDescent="0.3">
      <c r="A34" s="256">
        <v>27</v>
      </c>
      <c r="B34" s="257" t="s">
        <v>1387</v>
      </c>
      <c r="C34" s="276">
        <v>44316</v>
      </c>
      <c r="D34" s="257" t="s">
        <v>1290</v>
      </c>
      <c r="E34" s="256" t="s">
        <v>1796</v>
      </c>
      <c r="F34" s="256" t="s">
        <v>1731</v>
      </c>
      <c r="G34" s="258">
        <v>28296000000</v>
      </c>
      <c r="H34" s="265">
        <v>0.1</v>
      </c>
      <c r="I34" s="258">
        <v>2829600000</v>
      </c>
      <c r="J34" s="258">
        <v>31125600000</v>
      </c>
      <c r="K34" s="256" t="s">
        <v>1348</v>
      </c>
    </row>
    <row r="35" spans="1:11" x14ac:dyDescent="0.3">
      <c r="A35" s="256">
        <v>28</v>
      </c>
      <c r="B35" s="257" t="s">
        <v>1399</v>
      </c>
      <c r="C35" s="276">
        <v>44377</v>
      </c>
      <c r="D35" s="257" t="s">
        <v>1288</v>
      </c>
      <c r="E35" s="256" t="s">
        <v>1797</v>
      </c>
      <c r="F35" s="256" t="s">
        <v>1868</v>
      </c>
      <c r="G35" s="258">
        <v>12533000000</v>
      </c>
      <c r="H35" s="265">
        <v>0.1</v>
      </c>
      <c r="I35" s="258">
        <v>1253300000</v>
      </c>
      <c r="J35" s="258">
        <v>13786300000</v>
      </c>
      <c r="K35" s="256" t="s">
        <v>1348</v>
      </c>
    </row>
    <row r="36" spans="1:11" x14ac:dyDescent="0.3">
      <c r="A36" s="256">
        <v>29</v>
      </c>
      <c r="B36" s="257" t="s">
        <v>1411</v>
      </c>
      <c r="C36" s="276">
        <v>44469</v>
      </c>
      <c r="D36" s="257" t="s">
        <v>1283</v>
      </c>
      <c r="E36" s="256" t="s">
        <v>1798</v>
      </c>
      <c r="F36" s="256" t="s">
        <v>1741</v>
      </c>
      <c r="G36" s="258">
        <v>13091000000</v>
      </c>
      <c r="H36" s="265">
        <v>0.1</v>
      </c>
      <c r="I36" s="258">
        <v>1309100000</v>
      </c>
      <c r="J36" s="258">
        <v>14400100000</v>
      </c>
      <c r="K36" s="256" t="s">
        <v>1346</v>
      </c>
    </row>
    <row r="37" spans="1:11" x14ac:dyDescent="0.3">
      <c r="A37" s="256">
        <v>30</v>
      </c>
      <c r="B37" s="257" t="s">
        <v>1396</v>
      </c>
      <c r="C37" s="276">
        <v>44530</v>
      </c>
      <c r="D37" s="257" t="s">
        <v>1282</v>
      </c>
      <c r="E37" s="256" t="s">
        <v>1789</v>
      </c>
      <c r="F37" s="256" t="s">
        <v>1730</v>
      </c>
      <c r="G37" s="258">
        <v>21307000000</v>
      </c>
      <c r="H37" s="265">
        <v>0.1</v>
      </c>
      <c r="I37" s="258">
        <v>2130700000</v>
      </c>
      <c r="J37" s="258">
        <v>23437700000</v>
      </c>
      <c r="K37" s="256" t="s">
        <v>1346</v>
      </c>
    </row>
    <row r="38" spans="1:11" x14ac:dyDescent="0.3">
      <c r="A38" s="256">
        <v>31</v>
      </c>
      <c r="B38" s="257" t="s">
        <v>1406</v>
      </c>
      <c r="C38" s="276">
        <v>44286</v>
      </c>
      <c r="D38" s="257" t="s">
        <v>1271</v>
      </c>
      <c r="E38" s="256" t="s">
        <v>1799</v>
      </c>
      <c r="F38" s="256" t="s">
        <v>1741</v>
      </c>
      <c r="G38" s="258">
        <v>13936000000</v>
      </c>
      <c r="H38" s="265">
        <v>0.1</v>
      </c>
      <c r="I38" s="258">
        <v>1393600000</v>
      </c>
      <c r="J38" s="258">
        <v>15329600000</v>
      </c>
      <c r="K38" s="256" t="s">
        <v>1346</v>
      </c>
    </row>
    <row r="39" spans="1:11" x14ac:dyDescent="0.3">
      <c r="A39" s="256">
        <v>32</v>
      </c>
      <c r="B39" s="257" t="s">
        <v>1414</v>
      </c>
      <c r="C39" s="276">
        <v>44347</v>
      </c>
      <c r="D39" s="257" t="s">
        <v>1280</v>
      </c>
      <c r="E39" s="256" t="s">
        <v>1777</v>
      </c>
      <c r="F39" s="256" t="s">
        <v>1731</v>
      </c>
      <c r="G39" s="258">
        <v>29971000000</v>
      </c>
      <c r="H39" s="265">
        <v>0.1</v>
      </c>
      <c r="I39" s="258">
        <v>2997100000</v>
      </c>
      <c r="J39" s="258">
        <v>32968100000</v>
      </c>
      <c r="K39" s="256" t="s">
        <v>1346</v>
      </c>
    </row>
    <row r="40" spans="1:11" x14ac:dyDescent="0.3">
      <c r="A40" s="256">
        <v>33</v>
      </c>
      <c r="B40" s="257" t="s">
        <v>1408</v>
      </c>
      <c r="C40" s="276">
        <v>44408</v>
      </c>
      <c r="D40" s="257" t="s">
        <v>1271</v>
      </c>
      <c r="E40" s="256" t="s">
        <v>1799</v>
      </c>
      <c r="F40" s="256" t="s">
        <v>1869</v>
      </c>
      <c r="G40" s="258">
        <v>26583000000</v>
      </c>
      <c r="H40" s="265">
        <v>0.1</v>
      </c>
      <c r="I40" s="258">
        <v>2658300000</v>
      </c>
      <c r="J40" s="258">
        <v>29241300000</v>
      </c>
      <c r="K40" s="256" t="s">
        <v>1346</v>
      </c>
    </row>
    <row r="41" spans="1:11" x14ac:dyDescent="0.3">
      <c r="A41" s="256">
        <v>34</v>
      </c>
      <c r="B41" s="257" t="s">
        <v>1203</v>
      </c>
      <c r="C41" s="276">
        <v>44439</v>
      </c>
      <c r="D41" s="257" t="s">
        <v>1291</v>
      </c>
      <c r="E41" s="256" t="s">
        <v>1800</v>
      </c>
      <c r="F41" s="256" t="s">
        <v>1869</v>
      </c>
      <c r="G41" s="258">
        <v>36232000000</v>
      </c>
      <c r="H41" s="265">
        <v>0.1</v>
      </c>
      <c r="I41" s="258">
        <v>3623200000</v>
      </c>
      <c r="J41" s="258">
        <v>39855200000</v>
      </c>
      <c r="K41" s="256" t="s">
        <v>1346</v>
      </c>
    </row>
    <row r="42" spans="1:11" x14ac:dyDescent="0.3">
      <c r="A42" s="256">
        <v>35</v>
      </c>
      <c r="B42" s="257" t="s">
        <v>1385</v>
      </c>
      <c r="C42" s="276">
        <v>44500</v>
      </c>
      <c r="D42" s="257" t="s">
        <v>1287</v>
      </c>
      <c r="E42" s="256" t="s">
        <v>1801</v>
      </c>
      <c r="F42" s="256" t="s">
        <v>1741</v>
      </c>
      <c r="G42" s="258">
        <v>37618000000</v>
      </c>
      <c r="H42" s="265">
        <v>0.1</v>
      </c>
      <c r="I42" s="258">
        <v>3761800000</v>
      </c>
      <c r="J42" s="258">
        <v>41379800000</v>
      </c>
      <c r="K42" s="256" t="s">
        <v>1346</v>
      </c>
    </row>
    <row r="43" spans="1:11" x14ac:dyDescent="0.3">
      <c r="A43" s="256">
        <v>36</v>
      </c>
      <c r="B43" s="257" t="s">
        <v>1414</v>
      </c>
      <c r="C43" s="276">
        <v>44561</v>
      </c>
      <c r="D43" s="257" t="s">
        <v>1256</v>
      </c>
      <c r="E43" s="256" t="s">
        <v>1802</v>
      </c>
      <c r="F43" s="256" t="s">
        <v>1871</v>
      </c>
      <c r="G43" s="258">
        <v>35698000000</v>
      </c>
      <c r="H43" s="265">
        <v>0.1</v>
      </c>
      <c r="I43" s="258">
        <v>3569800000</v>
      </c>
      <c r="J43" s="258">
        <v>39267800000</v>
      </c>
      <c r="K43" s="256" t="s">
        <v>1346</v>
      </c>
    </row>
    <row r="44" spans="1:11" x14ac:dyDescent="0.3">
      <c r="A44" s="256">
        <v>37</v>
      </c>
      <c r="B44" s="257" t="s">
        <v>1419</v>
      </c>
      <c r="C44" s="276">
        <v>44561</v>
      </c>
      <c r="D44" s="257" t="s">
        <v>1274</v>
      </c>
      <c r="E44" s="256" t="s">
        <v>1794</v>
      </c>
      <c r="F44" s="256" t="s">
        <v>1869</v>
      </c>
      <c r="G44" s="258">
        <v>35004000000</v>
      </c>
      <c r="H44" s="265">
        <v>0.1</v>
      </c>
      <c r="I44" s="258">
        <v>3500400000</v>
      </c>
      <c r="J44" s="258">
        <v>38504400000</v>
      </c>
      <c r="K44" s="256" t="s">
        <v>1346</v>
      </c>
    </row>
    <row r="45" spans="1:11" x14ac:dyDescent="0.3">
      <c r="A45" s="256">
        <v>38</v>
      </c>
      <c r="B45" s="257" t="s">
        <v>1456</v>
      </c>
      <c r="C45" s="276">
        <v>44561</v>
      </c>
      <c r="D45" s="257" t="s">
        <v>1274</v>
      </c>
      <c r="E45" s="256" t="s">
        <v>1794</v>
      </c>
      <c r="F45" s="256" t="s">
        <v>1868</v>
      </c>
      <c r="G45" s="258">
        <v>26913000000</v>
      </c>
      <c r="H45" s="265">
        <v>0.1</v>
      </c>
      <c r="I45" s="258">
        <v>2691300000</v>
      </c>
      <c r="J45" s="258">
        <v>29604300000</v>
      </c>
      <c r="K45" s="256" t="s">
        <v>1346</v>
      </c>
    </row>
    <row r="46" spans="1:11" x14ac:dyDescent="0.3">
      <c r="A46" s="256">
        <v>39</v>
      </c>
      <c r="B46" s="257" t="s">
        <v>1385</v>
      </c>
      <c r="C46" s="276">
        <v>44561</v>
      </c>
      <c r="D46" s="257" t="s">
        <v>1299</v>
      </c>
      <c r="E46" s="256" t="s">
        <v>1776</v>
      </c>
      <c r="F46" s="256" t="s">
        <v>1734</v>
      </c>
      <c r="G46" s="258">
        <v>18279000000</v>
      </c>
      <c r="H46" s="265">
        <v>0.1</v>
      </c>
      <c r="I46" s="258">
        <v>1827900000</v>
      </c>
      <c r="J46" s="258">
        <v>20106900000</v>
      </c>
      <c r="K46" s="256" t="s">
        <v>1346</v>
      </c>
    </row>
    <row r="47" spans="1:11" x14ac:dyDescent="0.3">
      <c r="A47" s="256">
        <v>40</v>
      </c>
      <c r="B47" s="257" t="s">
        <v>1397</v>
      </c>
      <c r="C47" s="276">
        <v>44561</v>
      </c>
      <c r="D47" s="257" t="s">
        <v>1282</v>
      </c>
      <c r="E47" s="256" t="s">
        <v>1789</v>
      </c>
      <c r="F47" s="256" t="s">
        <v>1869</v>
      </c>
      <c r="G47" s="258">
        <v>10748000000</v>
      </c>
      <c r="H47" s="265">
        <v>0.1</v>
      </c>
      <c r="I47" s="258">
        <v>1074800000</v>
      </c>
      <c r="J47" s="258">
        <v>11822800000</v>
      </c>
      <c r="K47" s="256" t="s">
        <v>1346</v>
      </c>
    </row>
    <row r="48" spans="1:11" x14ac:dyDescent="0.3">
      <c r="A48" s="256">
        <v>41</v>
      </c>
      <c r="B48" s="257" t="s">
        <v>1457</v>
      </c>
      <c r="C48" s="276">
        <v>44561</v>
      </c>
      <c r="D48" s="257" t="s">
        <v>1259</v>
      </c>
      <c r="E48" s="256" t="s">
        <v>1788</v>
      </c>
      <c r="F48" s="256" t="s">
        <v>1741</v>
      </c>
      <c r="G48" s="258">
        <v>13207000000</v>
      </c>
      <c r="H48" s="265">
        <v>0.1</v>
      </c>
      <c r="I48" s="258">
        <v>1320700000</v>
      </c>
      <c r="J48" s="258">
        <v>14527700000</v>
      </c>
      <c r="K48" s="256" t="s">
        <v>1346</v>
      </c>
    </row>
    <row r="49" spans="1:11" x14ac:dyDescent="0.3">
      <c r="A49" s="256">
        <v>42</v>
      </c>
      <c r="B49" s="257" t="s">
        <v>1398</v>
      </c>
      <c r="C49" s="276">
        <v>44561</v>
      </c>
      <c r="D49" s="257" t="s">
        <v>1282</v>
      </c>
      <c r="E49" s="256" t="s">
        <v>1789</v>
      </c>
      <c r="F49" s="256" t="s">
        <v>1734</v>
      </c>
      <c r="G49" s="258">
        <v>10805000000</v>
      </c>
      <c r="H49" s="265">
        <v>0.1</v>
      </c>
      <c r="I49" s="258">
        <v>1080500000</v>
      </c>
      <c r="J49" s="258">
        <v>11885500000</v>
      </c>
      <c r="K49" s="256" t="s">
        <v>1346</v>
      </c>
    </row>
    <row r="50" spans="1:11" x14ac:dyDescent="0.3">
      <c r="A50" s="256">
        <v>43</v>
      </c>
      <c r="B50" s="257" t="s">
        <v>1401</v>
      </c>
      <c r="C50" s="276">
        <v>44561</v>
      </c>
      <c r="D50" s="257" t="s">
        <v>1289</v>
      </c>
      <c r="E50" s="256" t="s">
        <v>1803</v>
      </c>
      <c r="F50" s="256" t="s">
        <v>1731</v>
      </c>
      <c r="G50" s="258">
        <v>22372000000</v>
      </c>
      <c r="H50" s="265">
        <v>0</v>
      </c>
      <c r="I50" s="258">
        <v>0</v>
      </c>
      <c r="J50" s="258">
        <v>22372000000</v>
      </c>
      <c r="K50" s="256" t="s">
        <v>1346</v>
      </c>
    </row>
    <row r="51" spans="1:11" x14ac:dyDescent="0.3">
      <c r="A51" s="256">
        <v>44</v>
      </c>
      <c r="B51" s="257" t="s">
        <v>1208</v>
      </c>
      <c r="C51" s="276">
        <v>44561</v>
      </c>
      <c r="D51" s="257" t="s">
        <v>1260</v>
      </c>
      <c r="E51" s="256" t="s">
        <v>1804</v>
      </c>
      <c r="F51" s="256" t="s">
        <v>1741</v>
      </c>
      <c r="G51" s="258">
        <v>16130000000</v>
      </c>
      <c r="H51" s="265">
        <v>0.1</v>
      </c>
      <c r="I51" s="258">
        <v>1613000000</v>
      </c>
      <c r="J51" s="258">
        <v>17743000000</v>
      </c>
      <c r="K51" s="256" t="s">
        <v>1348</v>
      </c>
    </row>
    <row r="52" spans="1:11" x14ac:dyDescent="0.3">
      <c r="A52" s="256">
        <v>45</v>
      </c>
      <c r="B52" s="257" t="s">
        <v>1463</v>
      </c>
      <c r="C52" s="276">
        <v>44561</v>
      </c>
      <c r="D52" s="257" t="s">
        <v>1277</v>
      </c>
      <c r="E52" s="256" t="s">
        <v>1783</v>
      </c>
      <c r="F52" s="256" t="s">
        <v>1741</v>
      </c>
      <c r="G52" s="258">
        <v>27752000000</v>
      </c>
      <c r="H52" s="265">
        <v>0.1</v>
      </c>
      <c r="I52" s="258">
        <v>2775200000</v>
      </c>
      <c r="J52" s="258">
        <v>30527200000</v>
      </c>
      <c r="K52" s="256" t="s">
        <v>1346</v>
      </c>
    </row>
    <row r="53" spans="1:11" x14ac:dyDescent="0.3">
      <c r="A53" s="256">
        <v>46</v>
      </c>
      <c r="B53" s="257" t="s">
        <v>1206</v>
      </c>
      <c r="C53" s="276">
        <v>44561</v>
      </c>
      <c r="D53" s="257" t="s">
        <v>1272</v>
      </c>
      <c r="E53" s="256" t="s">
        <v>1805</v>
      </c>
      <c r="F53" s="256" t="s">
        <v>1731</v>
      </c>
      <c r="G53" s="258">
        <v>17684000000</v>
      </c>
      <c r="H53" s="265">
        <v>0.1</v>
      </c>
      <c r="I53" s="258">
        <v>1768400000</v>
      </c>
      <c r="J53" s="258">
        <v>19452400000</v>
      </c>
      <c r="K53" s="256" t="s">
        <v>1346</v>
      </c>
    </row>
    <row r="54" spans="1:11" x14ac:dyDescent="0.3">
      <c r="A54" s="256">
        <v>47</v>
      </c>
      <c r="B54" s="257" t="s">
        <v>1458</v>
      </c>
      <c r="C54" s="276">
        <v>44561</v>
      </c>
      <c r="D54" s="257" t="s">
        <v>1263</v>
      </c>
      <c r="E54" s="256" t="s">
        <v>1790</v>
      </c>
      <c r="F54" s="256" t="s">
        <v>1869</v>
      </c>
      <c r="G54" s="258">
        <v>14361000000</v>
      </c>
      <c r="H54" s="265">
        <v>0.1</v>
      </c>
      <c r="I54" s="258">
        <v>1436100000</v>
      </c>
      <c r="J54" s="258">
        <v>15797100000</v>
      </c>
      <c r="K54" s="256" t="s">
        <v>1348</v>
      </c>
    </row>
    <row r="55" spans="1:11" x14ac:dyDescent="0.3">
      <c r="A55" s="256">
        <v>48</v>
      </c>
      <c r="B55" s="257" t="s">
        <v>1459</v>
      </c>
      <c r="C55" s="276">
        <v>44561</v>
      </c>
      <c r="D55" s="257" t="s">
        <v>1281</v>
      </c>
      <c r="E55" s="256" t="s">
        <v>1806</v>
      </c>
      <c r="F55" s="256" t="s">
        <v>1730</v>
      </c>
      <c r="G55" s="258">
        <v>10124000000</v>
      </c>
      <c r="H55" s="265">
        <v>0</v>
      </c>
      <c r="I55" s="258">
        <v>0</v>
      </c>
      <c r="J55" s="258">
        <v>10124000000</v>
      </c>
      <c r="K55" s="256" t="s">
        <v>1346</v>
      </c>
    </row>
    <row r="56" spans="1:11" x14ac:dyDescent="0.3">
      <c r="A56" s="256">
        <v>49</v>
      </c>
      <c r="B56" s="257" t="s">
        <v>1414</v>
      </c>
      <c r="C56" s="276">
        <v>44561</v>
      </c>
      <c r="D56" s="257" t="s">
        <v>1283</v>
      </c>
      <c r="E56" s="256" t="s">
        <v>1798</v>
      </c>
      <c r="F56" s="256" t="s">
        <v>1868</v>
      </c>
      <c r="G56" s="258">
        <v>17139000000</v>
      </c>
      <c r="H56" s="265">
        <v>0.1</v>
      </c>
      <c r="I56" s="258">
        <v>1713900000</v>
      </c>
      <c r="J56" s="258">
        <v>18852900000</v>
      </c>
      <c r="K56" s="256" t="s">
        <v>1346</v>
      </c>
    </row>
    <row r="57" spans="1:11" x14ac:dyDescent="0.3">
      <c r="A57" s="256">
        <v>50</v>
      </c>
      <c r="B57" s="257" t="s">
        <v>1415</v>
      </c>
      <c r="C57" s="276">
        <v>44561</v>
      </c>
      <c r="D57" s="257" t="s">
        <v>1280</v>
      </c>
      <c r="E57" s="256" t="s">
        <v>1777</v>
      </c>
      <c r="F57" s="256" t="s">
        <v>1870</v>
      </c>
      <c r="G57" s="258">
        <v>17269000000</v>
      </c>
      <c r="H57" s="265">
        <v>0.1</v>
      </c>
      <c r="I57" s="258">
        <v>1726900000</v>
      </c>
      <c r="J57" s="258">
        <v>18995900000</v>
      </c>
      <c r="K57" s="256" t="s">
        <v>1346</v>
      </c>
    </row>
    <row r="58" spans="1:11" x14ac:dyDescent="0.3">
      <c r="A58" s="266" t="s">
        <v>1351</v>
      </c>
      <c r="B58" s="266"/>
      <c r="C58" s="266"/>
      <c r="D58" s="266"/>
      <c r="E58" s="266"/>
      <c r="F58" s="266"/>
      <c r="G58" s="267">
        <f>SUM(G8:G57)</f>
        <v>1096496000000</v>
      </c>
      <c r="H58" s="266"/>
      <c r="I58" s="267">
        <f>SUM(I8:I57)</f>
        <v>95964600000</v>
      </c>
      <c r="J58" s="267">
        <f>SUM(J8:J57)</f>
        <v>1192460600000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1277</v>
      </c>
      <c r="E62" s="256" t="s">
        <v>1783</v>
      </c>
      <c r="F62" s="256" t="s">
        <v>1875</v>
      </c>
      <c r="G62" s="258">
        <v>35568000000</v>
      </c>
      <c r="H62" s="265">
        <v>0.1</v>
      </c>
      <c r="I62" s="258">
        <v>3556800000</v>
      </c>
      <c r="J62" s="258">
        <v>39124800000</v>
      </c>
      <c r="K62" s="256" t="s">
        <v>1346</v>
      </c>
    </row>
    <row r="63" spans="1:11" x14ac:dyDescent="0.3">
      <c r="A63" s="256">
        <v>2</v>
      </c>
      <c r="B63" s="257" t="s">
        <v>1201</v>
      </c>
      <c r="C63" s="276">
        <v>44318</v>
      </c>
      <c r="D63" s="257" t="s">
        <v>1277</v>
      </c>
      <c r="E63" s="256" t="s">
        <v>1783</v>
      </c>
      <c r="F63" s="256" t="s">
        <v>1872</v>
      </c>
      <c r="G63" s="258">
        <v>32102000000</v>
      </c>
      <c r="H63" s="265">
        <v>0.1</v>
      </c>
      <c r="I63" s="258">
        <v>3210200000</v>
      </c>
      <c r="J63" s="258">
        <v>35312200000</v>
      </c>
      <c r="K63" s="256" t="s">
        <v>1346</v>
      </c>
    </row>
    <row r="64" spans="1:11" x14ac:dyDescent="0.3">
      <c r="A64" s="256">
        <v>3</v>
      </c>
      <c r="B64" s="257" t="s">
        <v>1202</v>
      </c>
      <c r="C64" s="276">
        <v>44472</v>
      </c>
      <c r="D64" s="257" t="s">
        <v>1303</v>
      </c>
      <c r="E64" s="256" t="s">
        <v>1817</v>
      </c>
      <c r="F64" s="256" t="s">
        <v>1873</v>
      </c>
      <c r="G64" s="258">
        <v>18966000000</v>
      </c>
      <c r="H64" s="265">
        <v>0.1</v>
      </c>
      <c r="I64" s="258">
        <v>1896600000</v>
      </c>
      <c r="J64" s="258">
        <v>20862600000</v>
      </c>
      <c r="K64" s="256" t="s">
        <v>1346</v>
      </c>
    </row>
    <row r="65" spans="1:11" x14ac:dyDescent="0.3">
      <c r="A65" s="256">
        <v>4</v>
      </c>
      <c r="B65" s="257" t="s">
        <v>1355</v>
      </c>
      <c r="C65" s="276">
        <v>44473</v>
      </c>
      <c r="D65" s="257" t="s">
        <v>1284</v>
      </c>
      <c r="E65" s="256" t="s">
        <v>1786</v>
      </c>
      <c r="F65" s="256" t="s">
        <v>1874</v>
      </c>
      <c r="G65" s="258">
        <v>30399000000</v>
      </c>
      <c r="H65" s="265">
        <v>0.1</v>
      </c>
      <c r="I65" s="258">
        <v>3039900000</v>
      </c>
      <c r="J65" s="258">
        <v>33438900000</v>
      </c>
      <c r="K65" s="256" t="s">
        <v>1346</v>
      </c>
    </row>
    <row r="66" spans="1:11" x14ac:dyDescent="0.3">
      <c r="A66" s="256">
        <v>5</v>
      </c>
      <c r="B66" s="257" t="s">
        <v>1356</v>
      </c>
      <c r="C66" s="276">
        <v>44474</v>
      </c>
      <c r="D66" s="257" t="s">
        <v>1263</v>
      </c>
      <c r="E66" s="256" t="s">
        <v>1790</v>
      </c>
      <c r="F66" s="256" t="s">
        <v>1872</v>
      </c>
      <c r="G66" s="258">
        <v>28342000000</v>
      </c>
      <c r="H66" s="265">
        <v>0.1</v>
      </c>
      <c r="I66" s="258">
        <v>2834200000</v>
      </c>
      <c r="J66" s="258">
        <v>31176200000</v>
      </c>
      <c r="K66" s="256" t="s">
        <v>1346</v>
      </c>
    </row>
    <row r="67" spans="1:11" x14ac:dyDescent="0.3">
      <c r="A67" s="256">
        <v>6</v>
      </c>
      <c r="B67" s="257" t="s">
        <v>1358</v>
      </c>
      <c r="C67" s="276">
        <v>44475</v>
      </c>
      <c r="D67" s="257" t="s">
        <v>1259</v>
      </c>
      <c r="E67" s="256" t="s">
        <v>1788</v>
      </c>
      <c r="F67" s="256" t="s">
        <v>1873</v>
      </c>
      <c r="G67" s="258">
        <v>13412000000</v>
      </c>
      <c r="H67" s="265">
        <v>0.1</v>
      </c>
      <c r="I67" s="258">
        <v>1341200000</v>
      </c>
      <c r="J67" s="258">
        <v>14753200000</v>
      </c>
      <c r="K67" s="256" t="s">
        <v>1346</v>
      </c>
    </row>
    <row r="68" spans="1:11" x14ac:dyDescent="0.3">
      <c r="A68" s="256">
        <v>7</v>
      </c>
      <c r="B68" s="257" t="s">
        <v>1360</v>
      </c>
      <c r="C68" s="276">
        <v>44476</v>
      </c>
      <c r="D68" s="257" t="s">
        <v>1255</v>
      </c>
      <c r="E68" s="273">
        <v>46152</v>
      </c>
      <c r="F68" s="256" t="s">
        <v>1873</v>
      </c>
      <c r="G68" s="258">
        <v>48088000000</v>
      </c>
      <c r="H68" s="265">
        <v>0.1</v>
      </c>
      <c r="I68" s="258">
        <v>4808800000</v>
      </c>
      <c r="J68" s="258">
        <v>52896800000</v>
      </c>
      <c r="K68" s="256" t="s">
        <v>1348</v>
      </c>
    </row>
    <row r="69" spans="1:11" x14ac:dyDescent="0.3">
      <c r="A69" s="256">
        <v>8</v>
      </c>
      <c r="B69" s="257" t="s">
        <v>1362</v>
      </c>
      <c r="C69" s="276">
        <v>44477</v>
      </c>
      <c r="D69" s="257" t="s">
        <v>1260</v>
      </c>
      <c r="E69" s="256" t="s">
        <v>1804</v>
      </c>
      <c r="F69" s="256" t="s">
        <v>1873</v>
      </c>
      <c r="G69" s="258">
        <v>49232000000</v>
      </c>
      <c r="H69" s="265">
        <v>0.1</v>
      </c>
      <c r="I69" s="258">
        <v>4923200000</v>
      </c>
      <c r="J69" s="258">
        <v>54155200000</v>
      </c>
      <c r="K69" s="256" t="s">
        <v>1346</v>
      </c>
    </row>
    <row r="70" spans="1:11" x14ac:dyDescent="0.3">
      <c r="A70" s="256">
        <v>9</v>
      </c>
      <c r="B70" s="257" t="s">
        <v>1364</v>
      </c>
      <c r="C70" s="276">
        <v>44478</v>
      </c>
      <c r="D70" s="257" t="s">
        <v>1292</v>
      </c>
      <c r="E70" s="256" t="s">
        <v>1792</v>
      </c>
      <c r="F70" s="256" t="s">
        <v>1873</v>
      </c>
      <c r="G70" s="258">
        <v>47906000000</v>
      </c>
      <c r="H70" s="265">
        <v>0.1</v>
      </c>
      <c r="I70" s="258">
        <v>4790600000</v>
      </c>
      <c r="J70" s="258">
        <v>52696600000</v>
      </c>
      <c r="K70" s="256" t="s">
        <v>1346</v>
      </c>
    </row>
    <row r="71" spans="1:11" x14ac:dyDescent="0.3">
      <c r="A71" s="256">
        <v>10</v>
      </c>
      <c r="B71" s="257" t="s">
        <v>1366</v>
      </c>
      <c r="C71" s="276">
        <v>44479</v>
      </c>
      <c r="D71" s="257" t="s">
        <v>1276</v>
      </c>
      <c r="E71" s="256" t="s">
        <v>1822</v>
      </c>
      <c r="F71" s="256" t="s">
        <v>1875</v>
      </c>
      <c r="G71" s="258">
        <v>51834000000</v>
      </c>
      <c r="H71" s="265">
        <v>0.1</v>
      </c>
      <c r="I71" s="258">
        <v>5183400000</v>
      </c>
      <c r="J71" s="258">
        <v>57017400000</v>
      </c>
      <c r="K71" s="256" t="s">
        <v>1346</v>
      </c>
    </row>
    <row r="72" spans="1:11" x14ac:dyDescent="0.3">
      <c r="A72" s="256">
        <v>11</v>
      </c>
      <c r="B72" s="257" t="s">
        <v>1368</v>
      </c>
      <c r="C72" s="276">
        <v>44480</v>
      </c>
      <c r="D72" s="257" t="s">
        <v>1302</v>
      </c>
      <c r="E72" s="256" t="s">
        <v>1784</v>
      </c>
      <c r="F72" s="256" t="s">
        <v>1875</v>
      </c>
      <c r="G72" s="258">
        <v>36061000000</v>
      </c>
      <c r="H72" s="265">
        <v>0.1</v>
      </c>
      <c r="I72" s="258">
        <v>3606100000</v>
      </c>
      <c r="J72" s="258">
        <v>39667100000</v>
      </c>
      <c r="K72" s="256" t="s">
        <v>1346</v>
      </c>
    </row>
    <row r="73" spans="1:11" x14ac:dyDescent="0.3">
      <c r="A73" s="256">
        <v>12</v>
      </c>
      <c r="B73" s="257" t="s">
        <v>1371</v>
      </c>
      <c r="C73" s="276">
        <v>44481</v>
      </c>
      <c r="D73" s="257" t="s">
        <v>1255</v>
      </c>
      <c r="E73" s="273">
        <v>46152</v>
      </c>
      <c r="F73" s="256" t="s">
        <v>1874</v>
      </c>
      <c r="G73" s="258">
        <v>19132000000</v>
      </c>
      <c r="H73" s="265">
        <v>0.1</v>
      </c>
      <c r="I73" s="258">
        <v>1913200000</v>
      </c>
      <c r="J73" s="258">
        <v>21045200000</v>
      </c>
      <c r="K73" s="256" t="s">
        <v>1346</v>
      </c>
    </row>
    <row r="74" spans="1:11" x14ac:dyDescent="0.3">
      <c r="A74" s="256">
        <v>13</v>
      </c>
      <c r="B74" s="257" t="s">
        <v>1373</v>
      </c>
      <c r="C74" s="276">
        <v>44211</v>
      </c>
      <c r="D74" s="257" t="s">
        <v>1259</v>
      </c>
      <c r="E74" s="256" t="s">
        <v>1788</v>
      </c>
      <c r="F74" s="256" t="s">
        <v>1874</v>
      </c>
      <c r="G74" s="258">
        <v>44020000000</v>
      </c>
      <c r="H74" s="265">
        <v>0.1</v>
      </c>
      <c r="I74" s="258">
        <v>4402000000</v>
      </c>
      <c r="J74" s="258">
        <v>48422000000</v>
      </c>
      <c r="K74" s="256" t="s">
        <v>1346</v>
      </c>
    </row>
    <row r="75" spans="1:11" x14ac:dyDescent="0.3">
      <c r="A75" s="256">
        <v>14</v>
      </c>
      <c r="B75" s="257" t="s">
        <v>1374</v>
      </c>
      <c r="C75" s="276">
        <v>44242</v>
      </c>
      <c r="D75" s="257" t="s">
        <v>1295</v>
      </c>
      <c r="E75" s="256" t="s">
        <v>1825</v>
      </c>
      <c r="F75" s="256" t="s">
        <v>1873</v>
      </c>
      <c r="G75" s="258">
        <v>19167000000</v>
      </c>
      <c r="H75" s="265">
        <v>0.1</v>
      </c>
      <c r="I75" s="258">
        <v>1916700000</v>
      </c>
      <c r="J75" s="258">
        <v>21083700000</v>
      </c>
      <c r="K75" s="256" t="s">
        <v>1346</v>
      </c>
    </row>
    <row r="76" spans="1:11" x14ac:dyDescent="0.3">
      <c r="A76" s="256">
        <v>15</v>
      </c>
      <c r="B76" s="257" t="s">
        <v>1376</v>
      </c>
      <c r="C76" s="276">
        <v>44275</v>
      </c>
      <c r="D76" s="257" t="s">
        <v>1288</v>
      </c>
      <c r="E76" s="256" t="s">
        <v>1797</v>
      </c>
      <c r="F76" s="256" t="s">
        <v>1874</v>
      </c>
      <c r="G76" s="258">
        <v>52102000000</v>
      </c>
      <c r="H76" s="265">
        <v>0.1</v>
      </c>
      <c r="I76" s="258">
        <v>5210200000</v>
      </c>
      <c r="J76" s="258">
        <v>57312200000</v>
      </c>
      <c r="K76" s="256" t="s">
        <v>1346</v>
      </c>
    </row>
    <row r="77" spans="1:11" x14ac:dyDescent="0.3">
      <c r="A77" s="256">
        <v>16</v>
      </c>
      <c r="B77" s="257" t="s">
        <v>1378</v>
      </c>
      <c r="C77" s="276">
        <v>44306</v>
      </c>
      <c r="D77" s="257" t="s">
        <v>1302</v>
      </c>
      <c r="E77" s="256" t="s">
        <v>1784</v>
      </c>
      <c r="F77" s="256" t="s">
        <v>1873</v>
      </c>
      <c r="G77" s="258">
        <v>26579000000</v>
      </c>
      <c r="H77" s="265">
        <v>0</v>
      </c>
      <c r="I77" s="258">
        <v>0</v>
      </c>
      <c r="J77" s="258">
        <v>26579000000</v>
      </c>
      <c r="K77" s="256" t="s">
        <v>1346</v>
      </c>
    </row>
    <row r="78" spans="1:11" x14ac:dyDescent="0.3">
      <c r="A78" s="256">
        <v>17</v>
      </c>
      <c r="B78" s="257" t="s">
        <v>1379</v>
      </c>
      <c r="C78" s="276">
        <v>44336</v>
      </c>
      <c r="D78" s="257" t="s">
        <v>1256</v>
      </c>
      <c r="E78" s="256" t="s">
        <v>1802</v>
      </c>
      <c r="F78" s="256" t="s">
        <v>1872</v>
      </c>
      <c r="G78" s="258">
        <v>46378000000</v>
      </c>
      <c r="H78" s="265">
        <v>0.1</v>
      </c>
      <c r="I78" s="258">
        <v>4637800000</v>
      </c>
      <c r="J78" s="258">
        <v>51015800000</v>
      </c>
      <c r="K78" s="256" t="s">
        <v>1346</v>
      </c>
    </row>
    <row r="79" spans="1:11" x14ac:dyDescent="0.3">
      <c r="A79" s="256">
        <v>18</v>
      </c>
      <c r="B79" s="257" t="s">
        <v>1381</v>
      </c>
      <c r="C79" s="276">
        <v>44367</v>
      </c>
      <c r="D79" s="257" t="s">
        <v>1283</v>
      </c>
      <c r="E79" s="256" t="s">
        <v>1798</v>
      </c>
      <c r="F79" s="256" t="s">
        <v>1872</v>
      </c>
      <c r="G79" s="258">
        <v>19941000000</v>
      </c>
      <c r="H79" s="265">
        <v>0.1</v>
      </c>
      <c r="I79" s="258">
        <v>1994100000</v>
      </c>
      <c r="J79" s="258">
        <v>21935100000</v>
      </c>
      <c r="K79" s="256" t="s">
        <v>1346</v>
      </c>
    </row>
    <row r="80" spans="1:11" x14ac:dyDescent="0.3">
      <c r="A80" s="256">
        <v>19</v>
      </c>
      <c r="B80" s="257" t="s">
        <v>1382</v>
      </c>
      <c r="C80" s="276">
        <v>44397</v>
      </c>
      <c r="D80" s="257" t="s">
        <v>1295</v>
      </c>
      <c r="E80" s="256" t="s">
        <v>1825</v>
      </c>
      <c r="F80" s="256" t="s">
        <v>1872</v>
      </c>
      <c r="G80" s="258">
        <v>46984000000</v>
      </c>
      <c r="H80" s="265">
        <v>0.1</v>
      </c>
      <c r="I80" s="258">
        <v>4698400000</v>
      </c>
      <c r="J80" s="258">
        <v>51682400000</v>
      </c>
      <c r="K80" s="256" t="s">
        <v>1346</v>
      </c>
    </row>
    <row r="81" spans="1:11" x14ac:dyDescent="0.3">
      <c r="A81" s="256">
        <v>20</v>
      </c>
      <c r="B81" s="257" t="s">
        <v>1383</v>
      </c>
      <c r="C81" s="276">
        <v>44428</v>
      </c>
      <c r="D81" s="257" t="s">
        <v>1286</v>
      </c>
      <c r="E81" s="256" t="s">
        <v>1828</v>
      </c>
      <c r="F81" s="256" t="s">
        <v>1872</v>
      </c>
      <c r="G81" s="258">
        <v>17381000000</v>
      </c>
      <c r="H81" s="265">
        <v>0.1</v>
      </c>
      <c r="I81" s="258">
        <v>1738100000</v>
      </c>
      <c r="J81" s="258">
        <v>19119100000</v>
      </c>
      <c r="K81" s="256" t="s">
        <v>1346</v>
      </c>
    </row>
    <row r="82" spans="1:11" x14ac:dyDescent="0.3">
      <c r="A82" s="256">
        <v>21</v>
      </c>
      <c r="B82" s="257" t="s">
        <v>1203</v>
      </c>
      <c r="C82" s="276">
        <v>44459</v>
      </c>
      <c r="D82" s="257" t="s">
        <v>1283</v>
      </c>
      <c r="E82" s="256" t="s">
        <v>1798</v>
      </c>
      <c r="F82" s="256" t="s">
        <v>1873</v>
      </c>
      <c r="G82" s="258">
        <v>40473000000</v>
      </c>
      <c r="H82" s="265">
        <v>0.1</v>
      </c>
      <c r="I82" s="258">
        <v>4047300000</v>
      </c>
      <c r="J82" s="258">
        <v>44520300000</v>
      </c>
      <c r="K82" s="256" t="s">
        <v>1346</v>
      </c>
    </row>
    <row r="83" spans="1:11" x14ac:dyDescent="0.3">
      <c r="A83" s="256">
        <v>22</v>
      </c>
      <c r="B83" s="257" t="s">
        <v>1204</v>
      </c>
      <c r="C83" s="276">
        <v>44489</v>
      </c>
      <c r="D83" s="257" t="s">
        <v>1276</v>
      </c>
      <c r="E83" s="256" t="s">
        <v>1822</v>
      </c>
      <c r="F83" s="256" t="s">
        <v>1875</v>
      </c>
      <c r="G83" s="258">
        <v>13689000000</v>
      </c>
      <c r="H83" s="265">
        <v>0.1</v>
      </c>
      <c r="I83" s="258">
        <v>1368900000</v>
      </c>
      <c r="J83" s="258">
        <v>15057900000</v>
      </c>
      <c r="K83" s="256" t="s">
        <v>1346</v>
      </c>
    </row>
    <row r="84" spans="1:11" x14ac:dyDescent="0.3">
      <c r="A84" s="256">
        <v>23</v>
      </c>
      <c r="B84" s="257" t="s">
        <v>1205</v>
      </c>
      <c r="C84" s="276">
        <v>44520</v>
      </c>
      <c r="D84" s="257" t="s">
        <v>1298</v>
      </c>
      <c r="E84" s="256" t="s">
        <v>1819</v>
      </c>
      <c r="F84" s="256" t="s">
        <v>1873</v>
      </c>
      <c r="G84" s="258">
        <v>47348000000</v>
      </c>
      <c r="H84" s="265">
        <v>0.1</v>
      </c>
      <c r="I84" s="258">
        <v>4734800000</v>
      </c>
      <c r="J84" s="258">
        <v>52082800000</v>
      </c>
      <c r="K84" s="256" t="s">
        <v>1346</v>
      </c>
    </row>
    <row r="85" spans="1:11" x14ac:dyDescent="0.3">
      <c r="A85" s="256">
        <v>24</v>
      </c>
      <c r="B85" s="257" t="s">
        <v>1385</v>
      </c>
      <c r="C85" s="276">
        <v>44550</v>
      </c>
      <c r="D85" s="257" t="s">
        <v>1302</v>
      </c>
      <c r="E85" s="256" t="s">
        <v>1784</v>
      </c>
      <c r="F85" s="256" t="s">
        <v>1872</v>
      </c>
      <c r="G85" s="258">
        <v>18544000000</v>
      </c>
      <c r="H85" s="265">
        <v>0.1</v>
      </c>
      <c r="I85" s="258">
        <v>1854400000</v>
      </c>
      <c r="J85" s="258">
        <v>20398400000</v>
      </c>
      <c r="K85" s="256" t="s">
        <v>1346</v>
      </c>
    </row>
    <row r="86" spans="1:11" x14ac:dyDescent="0.3">
      <c r="A86" s="256">
        <v>25</v>
      </c>
      <c r="B86" s="257" t="s">
        <v>1387</v>
      </c>
      <c r="C86" s="276">
        <v>44221</v>
      </c>
      <c r="D86" s="257" t="s">
        <v>1276</v>
      </c>
      <c r="E86" s="256" t="s">
        <v>1822</v>
      </c>
      <c r="F86" s="256" t="s">
        <v>1875</v>
      </c>
      <c r="G86" s="258">
        <v>13304000000</v>
      </c>
      <c r="H86" s="265">
        <v>0.1</v>
      </c>
      <c r="I86" s="258">
        <v>1330400000</v>
      </c>
      <c r="J86" s="258">
        <v>14634400000</v>
      </c>
      <c r="K86" s="256" t="s">
        <v>1346</v>
      </c>
    </row>
    <row r="87" spans="1:11" x14ac:dyDescent="0.3">
      <c r="A87" s="256">
        <v>26</v>
      </c>
      <c r="B87" s="257" t="s">
        <v>1388</v>
      </c>
      <c r="C87" s="276">
        <v>44255</v>
      </c>
      <c r="D87" s="257" t="s">
        <v>1283</v>
      </c>
      <c r="E87" s="256" t="s">
        <v>1798</v>
      </c>
      <c r="F87" s="256" t="s">
        <v>1872</v>
      </c>
      <c r="G87" s="258">
        <v>39193000000</v>
      </c>
      <c r="H87" s="265">
        <v>0.1</v>
      </c>
      <c r="I87" s="258">
        <v>3919300000</v>
      </c>
      <c r="J87" s="258">
        <v>43112300000</v>
      </c>
      <c r="K87" s="256" t="s">
        <v>1346</v>
      </c>
    </row>
    <row r="88" spans="1:11" x14ac:dyDescent="0.3">
      <c r="A88" s="256">
        <v>27</v>
      </c>
      <c r="B88" s="257" t="s">
        <v>1391</v>
      </c>
      <c r="C88" s="276">
        <v>44316</v>
      </c>
      <c r="D88" s="257" t="s">
        <v>1304</v>
      </c>
      <c r="E88" s="256" t="s">
        <v>1831</v>
      </c>
      <c r="F88" s="256" t="s">
        <v>1875</v>
      </c>
      <c r="G88" s="258">
        <v>39200000000</v>
      </c>
      <c r="H88" s="265">
        <v>0.1</v>
      </c>
      <c r="I88" s="258">
        <v>3920000000</v>
      </c>
      <c r="J88" s="258">
        <v>43120000000</v>
      </c>
      <c r="K88" s="256" t="s">
        <v>1346</v>
      </c>
    </row>
    <row r="89" spans="1:11" x14ac:dyDescent="0.3">
      <c r="A89" s="256">
        <v>28</v>
      </c>
      <c r="B89" s="257" t="s">
        <v>1392</v>
      </c>
      <c r="C89" s="276">
        <v>44377</v>
      </c>
      <c r="D89" s="257" t="s">
        <v>1273</v>
      </c>
      <c r="E89" s="256" t="s">
        <v>1829</v>
      </c>
      <c r="F89" s="256" t="s">
        <v>1875</v>
      </c>
      <c r="G89" s="258">
        <v>22355000000</v>
      </c>
      <c r="H89" s="265">
        <v>0</v>
      </c>
      <c r="I89" s="258">
        <v>0</v>
      </c>
      <c r="J89" s="258">
        <v>22355000000</v>
      </c>
      <c r="K89" s="256" t="s">
        <v>1346</v>
      </c>
    </row>
    <row r="90" spans="1:11" x14ac:dyDescent="0.3">
      <c r="A90" s="256">
        <v>29</v>
      </c>
      <c r="B90" s="257" t="s">
        <v>1394</v>
      </c>
      <c r="C90" s="276">
        <v>44469</v>
      </c>
      <c r="D90" s="257" t="s">
        <v>1302</v>
      </c>
      <c r="E90" s="256" t="s">
        <v>1784</v>
      </c>
      <c r="F90" s="256" t="s">
        <v>1874</v>
      </c>
      <c r="G90" s="258">
        <v>28664000000</v>
      </c>
      <c r="H90" s="265">
        <v>0.1</v>
      </c>
      <c r="I90" s="258">
        <v>2866400000</v>
      </c>
      <c r="J90" s="258">
        <v>31530400000</v>
      </c>
      <c r="K90" s="256" t="s">
        <v>1346</v>
      </c>
    </row>
    <row r="91" spans="1:11" x14ac:dyDescent="0.3">
      <c r="A91" s="256">
        <v>30</v>
      </c>
      <c r="B91" s="257" t="s">
        <v>1396</v>
      </c>
      <c r="C91" s="276">
        <v>44530</v>
      </c>
      <c r="D91" s="257" t="s">
        <v>1283</v>
      </c>
      <c r="E91" s="256" t="s">
        <v>1798</v>
      </c>
      <c r="F91" s="256" t="s">
        <v>1872</v>
      </c>
      <c r="G91" s="258">
        <v>27898000000</v>
      </c>
      <c r="H91" s="265">
        <v>0.1</v>
      </c>
      <c r="I91" s="258">
        <v>2789800000</v>
      </c>
      <c r="J91" s="258">
        <v>30687800000</v>
      </c>
      <c r="K91" s="256" t="s">
        <v>1346</v>
      </c>
    </row>
    <row r="92" spans="1:11" x14ac:dyDescent="0.3">
      <c r="A92" s="256">
        <v>31</v>
      </c>
      <c r="B92" s="257" t="s">
        <v>1397</v>
      </c>
      <c r="C92" s="276">
        <v>44286</v>
      </c>
      <c r="D92" s="257" t="s">
        <v>1300</v>
      </c>
      <c r="E92" s="256" t="s">
        <v>1818</v>
      </c>
      <c r="F92" s="256" t="s">
        <v>1874</v>
      </c>
      <c r="G92" s="258">
        <v>19899000000</v>
      </c>
      <c r="H92" s="265">
        <v>0.1</v>
      </c>
      <c r="I92" s="258">
        <v>1989900000</v>
      </c>
      <c r="J92" s="258">
        <v>21888900000</v>
      </c>
      <c r="K92" s="256" t="s">
        <v>1346</v>
      </c>
    </row>
    <row r="93" spans="1:11" x14ac:dyDescent="0.3">
      <c r="A93" s="256">
        <v>32</v>
      </c>
      <c r="B93" s="257" t="s">
        <v>1398</v>
      </c>
      <c r="C93" s="276">
        <v>44347</v>
      </c>
      <c r="D93" s="257" t="s">
        <v>1286</v>
      </c>
      <c r="E93" s="256" t="s">
        <v>1828</v>
      </c>
      <c r="F93" s="256" t="s">
        <v>1874</v>
      </c>
      <c r="G93" s="258">
        <v>35246000000</v>
      </c>
      <c r="H93" s="265">
        <v>0.1</v>
      </c>
      <c r="I93" s="258">
        <v>3524600000</v>
      </c>
      <c r="J93" s="258">
        <v>38770600000</v>
      </c>
      <c r="K93" s="256" t="s">
        <v>1346</v>
      </c>
    </row>
    <row r="94" spans="1:11" x14ac:dyDescent="0.3">
      <c r="A94" s="256">
        <v>33</v>
      </c>
      <c r="B94" s="257" t="s">
        <v>1399</v>
      </c>
      <c r="C94" s="276">
        <v>44408</v>
      </c>
      <c r="D94" s="257" t="s">
        <v>1275</v>
      </c>
      <c r="E94" s="256" t="s">
        <v>1808</v>
      </c>
      <c r="F94" s="256" t="s">
        <v>1873</v>
      </c>
      <c r="G94" s="258">
        <v>27391000000</v>
      </c>
      <c r="H94" s="265">
        <v>0.1</v>
      </c>
      <c r="I94" s="258">
        <v>2739100000</v>
      </c>
      <c r="J94" s="258">
        <v>30130100000</v>
      </c>
      <c r="K94" s="256" t="s">
        <v>1346</v>
      </c>
    </row>
    <row r="95" spans="1:11" x14ac:dyDescent="0.3">
      <c r="A95" s="256">
        <v>34</v>
      </c>
      <c r="B95" s="257" t="s">
        <v>1401</v>
      </c>
      <c r="C95" s="276">
        <v>44439</v>
      </c>
      <c r="D95" s="257" t="s">
        <v>1284</v>
      </c>
      <c r="E95" s="256" t="s">
        <v>1786</v>
      </c>
      <c r="F95" s="256" t="s">
        <v>1873</v>
      </c>
      <c r="G95" s="258">
        <v>16064000000</v>
      </c>
      <c r="H95" s="265">
        <v>0.1</v>
      </c>
      <c r="I95" s="258">
        <v>1606400000</v>
      </c>
      <c r="J95" s="258">
        <v>17670400000</v>
      </c>
      <c r="K95" s="256" t="s">
        <v>1346</v>
      </c>
    </row>
    <row r="96" spans="1:11" x14ac:dyDescent="0.3">
      <c r="A96" s="256">
        <v>35</v>
      </c>
      <c r="B96" s="257" t="s">
        <v>1402</v>
      </c>
      <c r="C96" s="276">
        <v>44500</v>
      </c>
      <c r="D96" s="257" t="s">
        <v>1293</v>
      </c>
      <c r="E96" s="256" t="s">
        <v>1826</v>
      </c>
      <c r="F96" s="256" t="s">
        <v>1875</v>
      </c>
      <c r="G96" s="258">
        <v>19187000000</v>
      </c>
      <c r="H96" s="265">
        <v>0.1</v>
      </c>
      <c r="I96" s="258">
        <v>1918700000</v>
      </c>
      <c r="J96" s="258">
        <v>21105700000</v>
      </c>
      <c r="K96" s="256" t="s">
        <v>1348</v>
      </c>
    </row>
    <row r="97" spans="1:11" x14ac:dyDescent="0.3">
      <c r="A97" s="256">
        <v>36</v>
      </c>
      <c r="B97" s="257" t="s">
        <v>1403</v>
      </c>
      <c r="C97" s="276">
        <v>44561</v>
      </c>
      <c r="D97" s="257" t="s">
        <v>1285</v>
      </c>
      <c r="E97" s="256" t="s">
        <v>1793</v>
      </c>
      <c r="F97" s="256" t="s">
        <v>1872</v>
      </c>
      <c r="G97" s="258">
        <v>21684000000</v>
      </c>
      <c r="H97" s="265">
        <v>0.1</v>
      </c>
      <c r="I97" s="258">
        <v>2168400000</v>
      </c>
      <c r="J97" s="258">
        <v>23852400000</v>
      </c>
      <c r="K97" s="256" t="s">
        <v>1346</v>
      </c>
    </row>
    <row r="98" spans="1:11" x14ac:dyDescent="0.3">
      <c r="A98" s="256">
        <v>37</v>
      </c>
      <c r="B98" s="257" t="s">
        <v>1404</v>
      </c>
      <c r="C98" s="276">
        <v>44561</v>
      </c>
      <c r="D98" s="257" t="s">
        <v>1276</v>
      </c>
      <c r="E98" s="256" t="s">
        <v>1822</v>
      </c>
      <c r="F98" s="256" t="s">
        <v>1874</v>
      </c>
      <c r="G98" s="258">
        <v>39873000000</v>
      </c>
      <c r="H98" s="265">
        <v>0.1</v>
      </c>
      <c r="I98" s="258">
        <v>3987300000</v>
      </c>
      <c r="J98" s="258">
        <v>43860300000</v>
      </c>
      <c r="K98" s="256" t="s">
        <v>1346</v>
      </c>
    </row>
    <row r="99" spans="1:11" x14ac:dyDescent="0.3">
      <c r="A99" s="256">
        <v>38</v>
      </c>
      <c r="B99" s="257" t="s">
        <v>1405</v>
      </c>
      <c r="C99" s="276">
        <v>44561</v>
      </c>
      <c r="D99" s="257" t="s">
        <v>1283</v>
      </c>
      <c r="E99" s="256" t="s">
        <v>1798</v>
      </c>
      <c r="F99" s="256" t="s">
        <v>1872</v>
      </c>
      <c r="G99" s="258">
        <v>30806000000</v>
      </c>
      <c r="H99" s="265">
        <v>0.1</v>
      </c>
      <c r="I99" s="258">
        <v>3080600000</v>
      </c>
      <c r="J99" s="258">
        <v>33886600000</v>
      </c>
      <c r="K99" s="256" t="s">
        <v>1346</v>
      </c>
    </row>
    <row r="100" spans="1:11" x14ac:dyDescent="0.3">
      <c r="A100" s="256">
        <v>39</v>
      </c>
      <c r="B100" s="257" t="s">
        <v>1406</v>
      </c>
      <c r="C100" s="276">
        <v>44561</v>
      </c>
      <c r="D100" s="257" t="s">
        <v>1272</v>
      </c>
      <c r="E100" s="256" t="s">
        <v>1805</v>
      </c>
      <c r="F100" s="256" t="s">
        <v>1873</v>
      </c>
      <c r="G100" s="258">
        <v>49684000000</v>
      </c>
      <c r="H100" s="265">
        <v>0.1</v>
      </c>
      <c r="I100" s="258">
        <v>4968400000</v>
      </c>
      <c r="J100" s="258">
        <v>54652400000</v>
      </c>
      <c r="K100" s="256" t="s">
        <v>1346</v>
      </c>
    </row>
    <row r="101" spans="1:11" x14ac:dyDescent="0.3">
      <c r="A101" s="256">
        <v>40</v>
      </c>
      <c r="B101" s="257" t="s">
        <v>1408</v>
      </c>
      <c r="C101" s="276">
        <v>44561</v>
      </c>
      <c r="D101" s="257" t="s">
        <v>1273</v>
      </c>
      <c r="E101" s="256" t="s">
        <v>1829</v>
      </c>
      <c r="F101" s="256" t="s">
        <v>1872</v>
      </c>
      <c r="G101" s="258">
        <v>37209000000</v>
      </c>
      <c r="H101" s="265">
        <v>0.1</v>
      </c>
      <c r="I101" s="258">
        <v>3720900000</v>
      </c>
      <c r="J101" s="258">
        <v>40929900000</v>
      </c>
      <c r="K101" s="256" t="s">
        <v>1346</v>
      </c>
    </row>
    <row r="102" spans="1:11" x14ac:dyDescent="0.3">
      <c r="A102" s="256">
        <v>41</v>
      </c>
      <c r="B102" s="257" t="s">
        <v>1409</v>
      </c>
      <c r="C102" s="276">
        <v>44561</v>
      </c>
      <c r="D102" s="257" t="s">
        <v>1259</v>
      </c>
      <c r="E102" s="256" t="s">
        <v>1788</v>
      </c>
      <c r="F102" s="256" t="s">
        <v>1874</v>
      </c>
      <c r="G102" s="258">
        <v>35635000000</v>
      </c>
      <c r="H102" s="265">
        <v>0.1</v>
      </c>
      <c r="I102" s="258">
        <v>3563500000</v>
      </c>
      <c r="J102" s="258">
        <v>39198500000</v>
      </c>
      <c r="K102" s="256" t="s">
        <v>1346</v>
      </c>
    </row>
    <row r="103" spans="1:11" x14ac:dyDescent="0.3">
      <c r="A103" s="256">
        <v>42</v>
      </c>
      <c r="B103" s="257" t="s">
        <v>1411</v>
      </c>
      <c r="C103" s="276">
        <v>44561</v>
      </c>
      <c r="D103" s="257" t="s">
        <v>1287</v>
      </c>
      <c r="E103" s="256" t="s">
        <v>1801</v>
      </c>
      <c r="F103" s="256" t="s">
        <v>1872</v>
      </c>
      <c r="G103" s="258">
        <v>34528000000</v>
      </c>
      <c r="H103" s="265">
        <v>0.1</v>
      </c>
      <c r="I103" s="258">
        <v>3452800000</v>
      </c>
      <c r="J103" s="258">
        <v>37980800000</v>
      </c>
      <c r="K103" s="256" t="s">
        <v>1348</v>
      </c>
    </row>
    <row r="104" spans="1:11" x14ac:dyDescent="0.3">
      <c r="A104" s="256">
        <v>43</v>
      </c>
      <c r="B104" s="257" t="s">
        <v>1414</v>
      </c>
      <c r="C104" s="276">
        <v>44561</v>
      </c>
      <c r="D104" s="257" t="s">
        <v>1288</v>
      </c>
      <c r="E104" s="256" t="s">
        <v>1797</v>
      </c>
      <c r="F104" s="256" t="s">
        <v>1875</v>
      </c>
      <c r="G104" s="258">
        <v>15186000000</v>
      </c>
      <c r="H104" s="265">
        <v>0.1</v>
      </c>
      <c r="I104" s="258">
        <v>1518600000</v>
      </c>
      <c r="J104" s="258">
        <v>16704600000</v>
      </c>
      <c r="K104" s="256" t="s">
        <v>1346</v>
      </c>
    </row>
    <row r="105" spans="1:11" x14ac:dyDescent="0.3">
      <c r="A105" s="256">
        <v>44</v>
      </c>
      <c r="B105" s="257" t="s">
        <v>1415</v>
      </c>
      <c r="C105" s="276">
        <v>44561</v>
      </c>
      <c r="D105" s="257" t="s">
        <v>1255</v>
      </c>
      <c r="E105" s="273">
        <v>46152</v>
      </c>
      <c r="F105" s="256" t="s">
        <v>1874</v>
      </c>
      <c r="G105" s="258">
        <v>45531000000</v>
      </c>
      <c r="H105" s="265">
        <v>0.1</v>
      </c>
      <c r="I105" s="258">
        <v>4553100000</v>
      </c>
      <c r="J105" s="258">
        <v>50084100000</v>
      </c>
      <c r="K105" s="256" t="s">
        <v>1346</v>
      </c>
    </row>
    <row r="106" spans="1:11" x14ac:dyDescent="0.3">
      <c r="A106" s="256">
        <v>45</v>
      </c>
      <c r="B106" s="257" t="s">
        <v>1206</v>
      </c>
      <c r="C106" s="276">
        <v>44561</v>
      </c>
      <c r="D106" s="257" t="s">
        <v>1256</v>
      </c>
      <c r="E106" s="256" t="s">
        <v>1802</v>
      </c>
      <c r="F106" s="256" t="s">
        <v>1873</v>
      </c>
      <c r="G106" s="258">
        <v>37852000000</v>
      </c>
      <c r="H106" s="265">
        <v>0.1</v>
      </c>
      <c r="I106" s="258">
        <v>3785200000</v>
      </c>
      <c r="J106" s="258">
        <v>41637200000</v>
      </c>
      <c r="K106" s="256" t="s">
        <v>1346</v>
      </c>
    </row>
    <row r="107" spans="1:11" x14ac:dyDescent="0.3">
      <c r="A107" s="256">
        <v>46</v>
      </c>
      <c r="B107" s="257" t="s">
        <v>1207</v>
      </c>
      <c r="C107" s="276">
        <v>44561</v>
      </c>
      <c r="D107" s="257" t="s">
        <v>1258</v>
      </c>
      <c r="E107" s="256" t="s">
        <v>1833</v>
      </c>
      <c r="F107" s="256" t="s">
        <v>1873</v>
      </c>
      <c r="G107" s="258">
        <v>19941000000</v>
      </c>
      <c r="H107" s="265">
        <v>0.1</v>
      </c>
      <c r="I107" s="258">
        <v>1994100000</v>
      </c>
      <c r="J107" s="258">
        <v>21935100000</v>
      </c>
      <c r="K107" s="256" t="s">
        <v>1346</v>
      </c>
    </row>
    <row r="108" spans="1:11" x14ac:dyDescent="0.3">
      <c r="A108" s="256">
        <v>47</v>
      </c>
      <c r="B108" s="257" t="s">
        <v>1208</v>
      </c>
      <c r="C108" s="276">
        <v>44561</v>
      </c>
      <c r="D108" s="257" t="s">
        <v>1286</v>
      </c>
      <c r="E108" s="256" t="s">
        <v>1828</v>
      </c>
      <c r="F108" s="256" t="s">
        <v>1874</v>
      </c>
      <c r="G108" s="258">
        <v>19296000000</v>
      </c>
      <c r="H108" s="265">
        <v>0.1</v>
      </c>
      <c r="I108" s="258">
        <v>1929600000</v>
      </c>
      <c r="J108" s="258">
        <v>21225600000</v>
      </c>
      <c r="K108" s="256" t="s">
        <v>1346</v>
      </c>
    </row>
    <row r="109" spans="1:11" x14ac:dyDescent="0.3">
      <c r="A109" s="256">
        <v>48</v>
      </c>
      <c r="B109" s="257" t="s">
        <v>1209</v>
      </c>
      <c r="C109" s="276">
        <v>44561</v>
      </c>
      <c r="D109" s="257" t="s">
        <v>1257</v>
      </c>
      <c r="E109" s="256" t="s">
        <v>1815</v>
      </c>
      <c r="F109" s="256" t="s">
        <v>1873</v>
      </c>
      <c r="G109" s="258">
        <v>36094000000</v>
      </c>
      <c r="H109" s="265">
        <v>0.1</v>
      </c>
      <c r="I109" s="258">
        <v>3609400000</v>
      </c>
      <c r="J109" s="258">
        <v>39703400000</v>
      </c>
      <c r="K109" s="256" t="s">
        <v>1346</v>
      </c>
    </row>
    <row r="110" spans="1:11" x14ac:dyDescent="0.3">
      <c r="A110" s="256">
        <v>49</v>
      </c>
      <c r="B110" s="257" t="s">
        <v>1418</v>
      </c>
      <c r="C110" s="276">
        <v>44561</v>
      </c>
      <c r="D110" s="257" t="s">
        <v>1257</v>
      </c>
      <c r="E110" s="256" t="s">
        <v>1815</v>
      </c>
      <c r="F110" s="256" t="s">
        <v>1874</v>
      </c>
      <c r="G110" s="258">
        <v>43266000000</v>
      </c>
      <c r="H110" s="265">
        <v>0.1</v>
      </c>
      <c r="I110" s="258">
        <v>4326600000</v>
      </c>
      <c r="J110" s="258">
        <v>47592600000</v>
      </c>
      <c r="K110" s="256" t="s">
        <v>1346</v>
      </c>
    </row>
    <row r="111" spans="1:11" x14ac:dyDescent="0.3">
      <c r="A111" s="256">
        <v>50</v>
      </c>
      <c r="B111" s="257" t="s">
        <v>1419</v>
      </c>
      <c r="C111" s="276">
        <v>44561</v>
      </c>
      <c r="D111" s="257" t="s">
        <v>1263</v>
      </c>
      <c r="E111" s="256" t="s">
        <v>1790</v>
      </c>
      <c r="F111" s="256" t="s">
        <v>1872</v>
      </c>
      <c r="G111" s="258">
        <v>51684000000</v>
      </c>
      <c r="H111" s="265">
        <v>0.1</v>
      </c>
      <c r="I111" s="258">
        <v>5168400000</v>
      </c>
      <c r="J111" s="258">
        <v>56852400000</v>
      </c>
      <c r="K111" s="256" t="s">
        <v>1346</v>
      </c>
    </row>
    <row r="112" spans="1:11" x14ac:dyDescent="0.3">
      <c r="A112" s="266" t="s">
        <v>1351</v>
      </c>
      <c r="B112" s="266"/>
      <c r="C112" s="266"/>
      <c r="D112" s="266"/>
      <c r="E112" s="266"/>
      <c r="F112" s="266"/>
      <c r="G112" s="267">
        <f>SUM(G62:G111)</f>
        <v>1610318000000</v>
      </c>
      <c r="H112" s="266"/>
      <c r="I112" s="267">
        <f>SUM(I62:I111)</f>
        <v>156138400000</v>
      </c>
      <c r="J112" s="267">
        <f>SUM(J62:J111)</f>
        <v>1766456400000</v>
      </c>
      <c r="K112" s="266"/>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723</v>
      </c>
      <c r="C1" s="256"/>
      <c r="D1" s="256"/>
      <c r="E1" s="256"/>
      <c r="F1" s="256"/>
      <c r="G1" s="256"/>
      <c r="H1" s="256"/>
      <c r="I1" s="256"/>
      <c r="J1" s="256"/>
      <c r="K1" s="256"/>
    </row>
    <row r="2" spans="1:11" x14ac:dyDescent="0.3">
      <c r="A2" s="256" t="s">
        <v>1339</v>
      </c>
      <c r="B2" s="257">
        <v>105294741</v>
      </c>
      <c r="C2" s="256"/>
      <c r="D2" s="256"/>
      <c r="E2" s="256"/>
      <c r="F2" s="256"/>
      <c r="G2" s="256"/>
      <c r="H2" s="256"/>
      <c r="I2" s="256"/>
      <c r="J2" s="256"/>
      <c r="K2" s="256"/>
    </row>
    <row r="3" spans="1:11" x14ac:dyDescent="0.3">
      <c r="A3" s="256" t="s">
        <v>1343</v>
      </c>
      <c r="B3" s="258">
        <v>3091602023791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1415</v>
      </c>
      <c r="C8" s="276">
        <v>44317</v>
      </c>
      <c r="D8" s="257" t="s">
        <v>1283</v>
      </c>
      <c r="E8" s="256" t="s">
        <v>1798</v>
      </c>
      <c r="F8" s="256" t="s">
        <v>1857</v>
      </c>
      <c r="G8" s="258">
        <v>59778000000</v>
      </c>
      <c r="H8" s="265">
        <v>0</v>
      </c>
      <c r="I8" s="258">
        <v>0</v>
      </c>
      <c r="J8" s="258">
        <v>59778000000</v>
      </c>
      <c r="K8" s="256" t="s">
        <v>1346</v>
      </c>
    </row>
    <row r="9" spans="1:11" x14ac:dyDescent="0.3">
      <c r="A9" s="256">
        <v>2</v>
      </c>
      <c r="B9" s="257" t="s">
        <v>1207</v>
      </c>
      <c r="C9" s="276">
        <v>44318</v>
      </c>
      <c r="D9" s="257" t="s">
        <v>1272</v>
      </c>
      <c r="E9" s="256" t="s">
        <v>1805</v>
      </c>
      <c r="F9" s="256" t="s">
        <v>1860</v>
      </c>
      <c r="G9" s="258">
        <v>39055000000</v>
      </c>
      <c r="H9" s="265">
        <v>0.1</v>
      </c>
      <c r="I9" s="258">
        <v>3905500000</v>
      </c>
      <c r="J9" s="258">
        <v>42960500000</v>
      </c>
      <c r="K9" s="256" t="s">
        <v>1348</v>
      </c>
    </row>
    <row r="10" spans="1:11" x14ac:dyDescent="0.3">
      <c r="A10" s="256">
        <v>3</v>
      </c>
      <c r="B10" s="257" t="s">
        <v>1409</v>
      </c>
      <c r="C10" s="276">
        <v>44472</v>
      </c>
      <c r="D10" s="257" t="s">
        <v>1271</v>
      </c>
      <c r="E10" s="256" t="s">
        <v>1799</v>
      </c>
      <c r="F10" s="256" t="s">
        <v>1859</v>
      </c>
      <c r="G10" s="258">
        <v>41091000000</v>
      </c>
      <c r="H10" s="265">
        <v>0.1</v>
      </c>
      <c r="I10" s="258">
        <v>4109100000</v>
      </c>
      <c r="J10" s="258">
        <v>45200100000</v>
      </c>
      <c r="K10" s="256" t="s">
        <v>1346</v>
      </c>
    </row>
    <row r="11" spans="1:11" x14ac:dyDescent="0.3">
      <c r="A11" s="256">
        <v>4</v>
      </c>
      <c r="B11" s="257" t="s">
        <v>1411</v>
      </c>
      <c r="C11" s="276">
        <v>44473</v>
      </c>
      <c r="D11" s="257" t="s">
        <v>1285</v>
      </c>
      <c r="E11" s="256" t="s">
        <v>1793</v>
      </c>
      <c r="F11" s="256" t="s">
        <v>1863</v>
      </c>
      <c r="G11" s="258">
        <v>62781000000</v>
      </c>
      <c r="H11" s="265">
        <v>0</v>
      </c>
      <c r="I11" s="258">
        <v>0</v>
      </c>
      <c r="J11" s="258">
        <v>62781000000</v>
      </c>
      <c r="K11" s="256" t="s">
        <v>1346</v>
      </c>
    </row>
    <row r="12" spans="1:11" x14ac:dyDescent="0.3">
      <c r="A12" s="256">
        <v>5</v>
      </c>
      <c r="B12" s="257" t="s">
        <v>1373</v>
      </c>
      <c r="C12" s="276">
        <v>44474</v>
      </c>
      <c r="D12" s="257" t="s">
        <v>1294</v>
      </c>
      <c r="E12" s="256" t="s">
        <v>1795</v>
      </c>
      <c r="F12" s="256" t="s">
        <v>1858</v>
      </c>
      <c r="G12" s="258">
        <v>53892000000</v>
      </c>
      <c r="H12" s="265">
        <v>0.1</v>
      </c>
      <c r="I12" s="258">
        <v>5389200000</v>
      </c>
      <c r="J12" s="258">
        <v>59281200000</v>
      </c>
      <c r="K12" s="256" t="s">
        <v>1346</v>
      </c>
    </row>
    <row r="13" spans="1:11" x14ac:dyDescent="0.3">
      <c r="A13" s="256">
        <v>6</v>
      </c>
      <c r="B13" s="257" t="s">
        <v>1401</v>
      </c>
      <c r="C13" s="276">
        <v>44475</v>
      </c>
      <c r="D13" s="257" t="s">
        <v>1288</v>
      </c>
      <c r="E13" s="256" t="s">
        <v>1797</v>
      </c>
      <c r="F13" s="256" t="s">
        <v>1863</v>
      </c>
      <c r="G13" s="258">
        <v>31653000000</v>
      </c>
      <c r="H13" s="265">
        <v>0.1</v>
      </c>
      <c r="I13" s="258">
        <v>3165300000</v>
      </c>
      <c r="J13" s="258">
        <v>34818300000</v>
      </c>
      <c r="K13" s="256" t="s">
        <v>1346</v>
      </c>
    </row>
    <row r="14" spans="1:11" x14ac:dyDescent="0.3">
      <c r="A14" s="256">
        <v>7</v>
      </c>
      <c r="B14" s="257" t="s">
        <v>1465</v>
      </c>
      <c r="C14" s="276">
        <v>44476</v>
      </c>
      <c r="D14" s="257" t="s">
        <v>1284</v>
      </c>
      <c r="E14" s="256" t="s">
        <v>1786</v>
      </c>
      <c r="F14" s="256" t="s">
        <v>1863</v>
      </c>
      <c r="G14" s="258">
        <v>29358000000</v>
      </c>
      <c r="H14" s="265">
        <v>0.1</v>
      </c>
      <c r="I14" s="258">
        <v>2935800000</v>
      </c>
      <c r="J14" s="258">
        <v>32293800000</v>
      </c>
      <c r="K14" s="256" t="s">
        <v>1346</v>
      </c>
    </row>
    <row r="15" spans="1:11" x14ac:dyDescent="0.3">
      <c r="A15" s="256">
        <v>8</v>
      </c>
      <c r="B15" s="257" t="s">
        <v>1411</v>
      </c>
      <c r="C15" s="276">
        <v>44477</v>
      </c>
      <c r="D15" s="257" t="s">
        <v>1271</v>
      </c>
      <c r="E15" s="256" t="s">
        <v>1799</v>
      </c>
      <c r="F15" s="256" t="s">
        <v>1861</v>
      </c>
      <c r="G15" s="258">
        <v>45585000000</v>
      </c>
      <c r="H15" s="265">
        <v>0.1</v>
      </c>
      <c r="I15" s="258">
        <v>4558500000</v>
      </c>
      <c r="J15" s="258">
        <v>50143500000</v>
      </c>
      <c r="K15" s="256" t="s">
        <v>1346</v>
      </c>
    </row>
    <row r="16" spans="1:11" x14ac:dyDescent="0.3">
      <c r="A16" s="256">
        <v>9</v>
      </c>
      <c r="B16" s="257" t="s">
        <v>1402</v>
      </c>
      <c r="C16" s="276">
        <v>44478</v>
      </c>
      <c r="D16" s="257" t="s">
        <v>1304</v>
      </c>
      <c r="E16" s="256" t="s">
        <v>1831</v>
      </c>
      <c r="F16" s="256" t="s">
        <v>1858</v>
      </c>
      <c r="G16" s="258">
        <v>30013000000</v>
      </c>
      <c r="H16" s="265">
        <v>0.1</v>
      </c>
      <c r="I16" s="258">
        <v>3001300000</v>
      </c>
      <c r="J16" s="258">
        <v>33014300000</v>
      </c>
      <c r="K16" s="256" t="s">
        <v>1348</v>
      </c>
    </row>
    <row r="17" spans="1:11" x14ac:dyDescent="0.3">
      <c r="A17" s="256">
        <v>10</v>
      </c>
      <c r="B17" s="257" t="s">
        <v>1401</v>
      </c>
      <c r="C17" s="276">
        <v>44479</v>
      </c>
      <c r="D17" s="257" t="s">
        <v>1265</v>
      </c>
      <c r="E17" s="256" t="s">
        <v>1830</v>
      </c>
      <c r="F17" s="256" t="s">
        <v>1863</v>
      </c>
      <c r="G17" s="258">
        <v>27797000000</v>
      </c>
      <c r="H17" s="265">
        <v>0.1</v>
      </c>
      <c r="I17" s="258">
        <v>2779700000</v>
      </c>
      <c r="J17" s="258">
        <v>30576700000</v>
      </c>
      <c r="K17" s="256" t="s">
        <v>1346</v>
      </c>
    </row>
    <row r="18" spans="1:11" x14ac:dyDescent="0.3">
      <c r="A18" s="256">
        <v>11</v>
      </c>
      <c r="B18" s="257" t="s">
        <v>1387</v>
      </c>
      <c r="C18" s="276">
        <v>44480</v>
      </c>
      <c r="D18" s="257" t="s">
        <v>1299</v>
      </c>
      <c r="E18" s="256" t="s">
        <v>1776</v>
      </c>
      <c r="F18" s="256" t="s">
        <v>1863</v>
      </c>
      <c r="G18" s="258">
        <v>28599000000</v>
      </c>
      <c r="H18" s="265">
        <v>0.1</v>
      </c>
      <c r="I18" s="258">
        <v>2859900000</v>
      </c>
      <c r="J18" s="258">
        <v>31458900000</v>
      </c>
      <c r="K18" s="256" t="s">
        <v>1346</v>
      </c>
    </row>
    <row r="19" spans="1:11" x14ac:dyDescent="0.3">
      <c r="A19" s="256">
        <v>12</v>
      </c>
      <c r="B19" s="257" t="s">
        <v>1457</v>
      </c>
      <c r="C19" s="276">
        <v>44481</v>
      </c>
      <c r="D19" s="257" t="s">
        <v>1274</v>
      </c>
      <c r="E19" s="256" t="s">
        <v>1794</v>
      </c>
      <c r="F19" s="256" t="s">
        <v>1858</v>
      </c>
      <c r="G19" s="258">
        <v>44194000000</v>
      </c>
      <c r="H19" s="265">
        <v>0.1</v>
      </c>
      <c r="I19" s="258">
        <v>4419400000</v>
      </c>
      <c r="J19" s="258">
        <v>48613400000</v>
      </c>
      <c r="K19" s="256" t="s">
        <v>1348</v>
      </c>
    </row>
    <row r="20" spans="1:11" x14ac:dyDescent="0.3">
      <c r="A20" s="256">
        <v>13</v>
      </c>
      <c r="B20" s="257" t="s">
        <v>1409</v>
      </c>
      <c r="C20" s="276">
        <v>44211</v>
      </c>
      <c r="D20" s="257" t="s">
        <v>1266</v>
      </c>
      <c r="E20" s="256" t="s">
        <v>1824</v>
      </c>
      <c r="F20" s="256" t="s">
        <v>1857</v>
      </c>
      <c r="G20" s="258">
        <v>59912000000</v>
      </c>
      <c r="H20" s="265">
        <v>0.1</v>
      </c>
      <c r="I20" s="258">
        <v>5991200000</v>
      </c>
      <c r="J20" s="258">
        <v>65903200000</v>
      </c>
      <c r="K20" s="256" t="s">
        <v>1346</v>
      </c>
    </row>
    <row r="21" spans="1:11" x14ac:dyDescent="0.3">
      <c r="A21" s="256">
        <v>14</v>
      </c>
      <c r="B21" s="257" t="s">
        <v>1403</v>
      </c>
      <c r="C21" s="276">
        <v>44242</v>
      </c>
      <c r="D21" s="257" t="s">
        <v>1304</v>
      </c>
      <c r="E21" s="256" t="s">
        <v>1831</v>
      </c>
      <c r="F21" s="256" t="s">
        <v>1858</v>
      </c>
      <c r="G21" s="258">
        <v>47624000000</v>
      </c>
      <c r="H21" s="265">
        <v>0.1</v>
      </c>
      <c r="I21" s="258">
        <v>4762400000</v>
      </c>
      <c r="J21" s="258">
        <v>52386400000</v>
      </c>
      <c r="K21" s="256" t="s">
        <v>1346</v>
      </c>
    </row>
    <row r="22" spans="1:11" x14ac:dyDescent="0.3">
      <c r="A22" s="256">
        <v>15</v>
      </c>
      <c r="B22" s="257" t="s">
        <v>1460</v>
      </c>
      <c r="C22" s="276">
        <v>44275</v>
      </c>
      <c r="D22" s="257" t="s">
        <v>1281</v>
      </c>
      <c r="E22" s="256" t="s">
        <v>1806</v>
      </c>
      <c r="F22" s="256" t="s">
        <v>1857</v>
      </c>
      <c r="G22" s="258">
        <v>60432000000</v>
      </c>
      <c r="H22" s="265">
        <v>0.1</v>
      </c>
      <c r="I22" s="258">
        <v>6043200000</v>
      </c>
      <c r="J22" s="258">
        <v>66475200000</v>
      </c>
      <c r="K22" s="256" t="s">
        <v>1346</v>
      </c>
    </row>
    <row r="23" spans="1:11" x14ac:dyDescent="0.3">
      <c r="A23" s="256">
        <v>16</v>
      </c>
      <c r="B23" s="257" t="s">
        <v>1461</v>
      </c>
      <c r="C23" s="276">
        <v>44306</v>
      </c>
      <c r="D23" s="257" t="s">
        <v>1281</v>
      </c>
      <c r="E23" s="256" t="s">
        <v>1806</v>
      </c>
      <c r="F23" s="256" t="s">
        <v>1863</v>
      </c>
      <c r="G23" s="258">
        <v>27331000000</v>
      </c>
      <c r="H23" s="265">
        <v>0.1</v>
      </c>
      <c r="I23" s="258">
        <v>2733100000</v>
      </c>
      <c r="J23" s="258">
        <v>30064100000</v>
      </c>
      <c r="K23" s="256" t="s">
        <v>1346</v>
      </c>
    </row>
    <row r="24" spans="1:11" x14ac:dyDescent="0.3">
      <c r="A24" s="256">
        <v>17</v>
      </c>
      <c r="B24" s="257" t="s">
        <v>1415</v>
      </c>
      <c r="C24" s="276">
        <v>44336</v>
      </c>
      <c r="D24" s="257" t="s">
        <v>1273</v>
      </c>
      <c r="E24" s="256" t="s">
        <v>1829</v>
      </c>
      <c r="F24" s="256" t="s">
        <v>1861</v>
      </c>
      <c r="G24" s="258">
        <v>43951000000</v>
      </c>
      <c r="H24" s="265">
        <v>0.1</v>
      </c>
      <c r="I24" s="258">
        <v>4395100000</v>
      </c>
      <c r="J24" s="258">
        <v>48346100000</v>
      </c>
      <c r="K24" s="256" t="s">
        <v>1346</v>
      </c>
    </row>
    <row r="25" spans="1:11" x14ac:dyDescent="0.3">
      <c r="A25" s="256">
        <v>18</v>
      </c>
      <c r="B25" s="257" t="s">
        <v>1466</v>
      </c>
      <c r="C25" s="276">
        <v>44367</v>
      </c>
      <c r="D25" s="257" t="s">
        <v>1284</v>
      </c>
      <c r="E25" s="256" t="s">
        <v>1786</v>
      </c>
      <c r="F25" s="256" t="s">
        <v>1858</v>
      </c>
      <c r="G25" s="258">
        <v>25108000000</v>
      </c>
      <c r="H25" s="265">
        <v>0.1</v>
      </c>
      <c r="I25" s="258">
        <v>2510800000</v>
      </c>
      <c r="J25" s="258">
        <v>27618800000</v>
      </c>
      <c r="K25" s="256" t="s">
        <v>1346</v>
      </c>
    </row>
    <row r="26" spans="1:11" x14ac:dyDescent="0.3">
      <c r="A26" s="256">
        <v>19</v>
      </c>
      <c r="B26" s="257" t="s">
        <v>1467</v>
      </c>
      <c r="C26" s="276">
        <v>44397</v>
      </c>
      <c r="D26" s="257" t="s">
        <v>1284</v>
      </c>
      <c r="E26" s="256" t="s">
        <v>1786</v>
      </c>
      <c r="F26" s="256" t="s">
        <v>1859</v>
      </c>
      <c r="G26" s="258">
        <v>57091000000</v>
      </c>
      <c r="H26" s="265">
        <v>0.1</v>
      </c>
      <c r="I26" s="258">
        <v>5709100000</v>
      </c>
      <c r="J26" s="258">
        <v>62800100000</v>
      </c>
      <c r="K26" s="256" t="s">
        <v>1346</v>
      </c>
    </row>
    <row r="27" spans="1:11" x14ac:dyDescent="0.3">
      <c r="A27" s="256">
        <v>20</v>
      </c>
      <c r="B27" s="257" t="s">
        <v>1388</v>
      </c>
      <c r="C27" s="276">
        <v>44428</v>
      </c>
      <c r="D27" s="257" t="s">
        <v>1290</v>
      </c>
      <c r="E27" s="256" t="s">
        <v>1796</v>
      </c>
      <c r="F27" s="256" t="s">
        <v>1858</v>
      </c>
      <c r="G27" s="258">
        <v>49590000000</v>
      </c>
      <c r="H27" s="265">
        <v>0.1</v>
      </c>
      <c r="I27" s="258">
        <v>4959000000</v>
      </c>
      <c r="J27" s="258">
        <v>54549000000</v>
      </c>
      <c r="K27" s="256" t="s">
        <v>1346</v>
      </c>
    </row>
    <row r="28" spans="1:11" x14ac:dyDescent="0.3">
      <c r="A28" s="256">
        <v>21</v>
      </c>
      <c r="B28" s="257" t="s">
        <v>1204</v>
      </c>
      <c r="C28" s="276">
        <v>44459</v>
      </c>
      <c r="D28" s="257" t="s">
        <v>1300</v>
      </c>
      <c r="E28" s="256" t="s">
        <v>1818</v>
      </c>
      <c r="F28" s="256" t="s">
        <v>1860</v>
      </c>
      <c r="G28" s="258">
        <v>63590000000</v>
      </c>
      <c r="H28" s="265">
        <v>0.1</v>
      </c>
      <c r="I28" s="258">
        <v>6359000000</v>
      </c>
      <c r="J28" s="258">
        <v>69949000000</v>
      </c>
      <c r="K28" s="256" t="s">
        <v>1348</v>
      </c>
    </row>
    <row r="29" spans="1:11" x14ac:dyDescent="0.3">
      <c r="A29" s="256">
        <v>22</v>
      </c>
      <c r="B29" s="257" t="s">
        <v>1398</v>
      </c>
      <c r="C29" s="276">
        <v>44489</v>
      </c>
      <c r="D29" s="257" t="s">
        <v>1269</v>
      </c>
      <c r="E29" s="256" t="s">
        <v>1823</v>
      </c>
      <c r="F29" s="256" t="s">
        <v>1858</v>
      </c>
      <c r="G29" s="258">
        <v>62060000000</v>
      </c>
      <c r="H29" s="265">
        <v>0.1</v>
      </c>
      <c r="I29" s="258">
        <v>6206000000</v>
      </c>
      <c r="J29" s="258">
        <v>68266000000</v>
      </c>
      <c r="K29" s="256" t="s">
        <v>1346</v>
      </c>
    </row>
    <row r="30" spans="1:11" x14ac:dyDescent="0.3">
      <c r="A30" s="256">
        <v>23</v>
      </c>
      <c r="B30" s="257" t="s">
        <v>1402</v>
      </c>
      <c r="C30" s="276">
        <v>44520</v>
      </c>
      <c r="D30" s="257" t="s">
        <v>1265</v>
      </c>
      <c r="E30" s="256" t="s">
        <v>1830</v>
      </c>
      <c r="F30" s="256" t="s">
        <v>1860</v>
      </c>
      <c r="G30" s="258">
        <v>22257000000</v>
      </c>
      <c r="H30" s="265">
        <v>0.1</v>
      </c>
      <c r="I30" s="258">
        <v>2225700000</v>
      </c>
      <c r="J30" s="258">
        <v>24482700000</v>
      </c>
      <c r="K30" s="256" t="s">
        <v>1346</v>
      </c>
    </row>
    <row r="31" spans="1:11" x14ac:dyDescent="0.3">
      <c r="A31" s="256">
        <v>24</v>
      </c>
      <c r="B31" s="257" t="s">
        <v>1404</v>
      </c>
      <c r="C31" s="276">
        <v>44550</v>
      </c>
      <c r="D31" s="257" t="s">
        <v>1304</v>
      </c>
      <c r="E31" s="256" t="s">
        <v>1831</v>
      </c>
      <c r="F31" s="256" t="s">
        <v>1863</v>
      </c>
      <c r="G31" s="258">
        <v>60373000000</v>
      </c>
      <c r="H31" s="265">
        <v>0.1</v>
      </c>
      <c r="I31" s="258">
        <v>6037300000</v>
      </c>
      <c r="J31" s="258">
        <v>66410300000</v>
      </c>
      <c r="K31" s="256" t="s">
        <v>1346</v>
      </c>
    </row>
    <row r="32" spans="1:11" x14ac:dyDescent="0.3">
      <c r="A32" s="256">
        <v>25</v>
      </c>
      <c r="B32" s="257" t="s">
        <v>1388</v>
      </c>
      <c r="C32" s="276">
        <v>44221</v>
      </c>
      <c r="D32" s="257" t="s">
        <v>1293</v>
      </c>
      <c r="E32" s="256" t="s">
        <v>1826</v>
      </c>
      <c r="F32" s="256" t="s">
        <v>1863</v>
      </c>
      <c r="G32" s="258">
        <v>60096000000</v>
      </c>
      <c r="H32" s="265">
        <v>0.1</v>
      </c>
      <c r="I32" s="258">
        <v>6009600000</v>
      </c>
      <c r="J32" s="258">
        <v>66105600000</v>
      </c>
      <c r="K32" s="256" t="s">
        <v>1346</v>
      </c>
    </row>
    <row r="33" spans="1:11" x14ac:dyDescent="0.3">
      <c r="A33" s="256">
        <v>26</v>
      </c>
      <c r="B33" s="257" t="s">
        <v>1208</v>
      </c>
      <c r="C33" s="276">
        <v>44255</v>
      </c>
      <c r="D33" s="257" t="s">
        <v>1262</v>
      </c>
      <c r="E33" s="256" t="s">
        <v>1816</v>
      </c>
      <c r="F33" s="256" t="s">
        <v>1858</v>
      </c>
      <c r="G33" s="258">
        <v>65452000000</v>
      </c>
      <c r="H33" s="265">
        <v>0.1</v>
      </c>
      <c r="I33" s="258">
        <v>6545200000</v>
      </c>
      <c r="J33" s="258">
        <v>71997200000</v>
      </c>
      <c r="K33" s="256" t="s">
        <v>1346</v>
      </c>
    </row>
    <row r="34" spans="1:11" x14ac:dyDescent="0.3">
      <c r="A34" s="256">
        <v>27</v>
      </c>
      <c r="B34" s="257" t="s">
        <v>1379</v>
      </c>
      <c r="C34" s="276">
        <v>44316</v>
      </c>
      <c r="D34" s="257" t="s">
        <v>1286</v>
      </c>
      <c r="E34" s="256" t="s">
        <v>1828</v>
      </c>
      <c r="F34" s="256" t="s">
        <v>1858</v>
      </c>
      <c r="G34" s="258">
        <v>19028000000</v>
      </c>
      <c r="H34" s="265">
        <v>0.1</v>
      </c>
      <c r="I34" s="258">
        <v>1902800000</v>
      </c>
      <c r="J34" s="258">
        <v>20930800000</v>
      </c>
      <c r="K34" s="256" t="s">
        <v>1348</v>
      </c>
    </row>
    <row r="35" spans="1:11" x14ac:dyDescent="0.3">
      <c r="A35" s="256">
        <v>28</v>
      </c>
      <c r="B35" s="257" t="s">
        <v>1405</v>
      </c>
      <c r="C35" s="276">
        <v>44377</v>
      </c>
      <c r="D35" s="257" t="s">
        <v>1304</v>
      </c>
      <c r="E35" s="256" t="s">
        <v>1831</v>
      </c>
      <c r="F35" s="256" t="s">
        <v>1862</v>
      </c>
      <c r="G35" s="258">
        <v>60056000000</v>
      </c>
      <c r="H35" s="265">
        <v>0.1</v>
      </c>
      <c r="I35" s="258">
        <v>6005600000</v>
      </c>
      <c r="J35" s="258">
        <v>66061600000</v>
      </c>
      <c r="K35" s="256" t="s">
        <v>1346</v>
      </c>
    </row>
    <row r="36" spans="1:11" x14ac:dyDescent="0.3">
      <c r="A36" s="256">
        <v>29</v>
      </c>
      <c r="B36" s="257" t="s">
        <v>1402</v>
      </c>
      <c r="C36" s="276">
        <v>44469</v>
      </c>
      <c r="D36" s="257" t="s">
        <v>1289</v>
      </c>
      <c r="E36" s="256" t="s">
        <v>1803</v>
      </c>
      <c r="F36" s="256" t="s">
        <v>1857</v>
      </c>
      <c r="G36" s="258">
        <v>33003000000</v>
      </c>
      <c r="H36" s="265">
        <v>0.1</v>
      </c>
      <c r="I36" s="258">
        <v>3300300000</v>
      </c>
      <c r="J36" s="258">
        <v>36303300000</v>
      </c>
      <c r="K36" s="256" t="s">
        <v>1346</v>
      </c>
    </row>
    <row r="37" spans="1:11" x14ac:dyDescent="0.3">
      <c r="A37" s="256">
        <v>30</v>
      </c>
      <c r="B37" s="257" t="s">
        <v>1403</v>
      </c>
      <c r="C37" s="276">
        <v>44530</v>
      </c>
      <c r="D37" s="257" t="s">
        <v>1289</v>
      </c>
      <c r="E37" s="256" t="s">
        <v>1803</v>
      </c>
      <c r="F37" s="256" t="s">
        <v>1860</v>
      </c>
      <c r="G37" s="258">
        <v>66567000000</v>
      </c>
      <c r="H37" s="265">
        <v>0.1</v>
      </c>
      <c r="I37" s="258">
        <v>6656700000</v>
      </c>
      <c r="J37" s="258">
        <v>73223700000</v>
      </c>
      <c r="K37" s="256" t="s">
        <v>1346</v>
      </c>
    </row>
    <row r="38" spans="1:11" x14ac:dyDescent="0.3">
      <c r="A38" s="256">
        <v>31</v>
      </c>
      <c r="B38" s="257" t="s">
        <v>1391</v>
      </c>
      <c r="C38" s="276">
        <v>44286</v>
      </c>
      <c r="D38" s="257" t="s">
        <v>1293</v>
      </c>
      <c r="E38" s="256" t="s">
        <v>1826</v>
      </c>
      <c r="F38" s="256" t="s">
        <v>1863</v>
      </c>
      <c r="G38" s="258">
        <v>45850000000</v>
      </c>
      <c r="H38" s="265">
        <v>0</v>
      </c>
      <c r="I38" s="258">
        <v>0</v>
      </c>
      <c r="J38" s="258">
        <v>45850000000</v>
      </c>
      <c r="K38" s="256" t="s">
        <v>1348</v>
      </c>
    </row>
    <row r="39" spans="1:11" x14ac:dyDescent="0.3">
      <c r="A39" s="256">
        <v>32</v>
      </c>
      <c r="B39" s="257" t="s">
        <v>1379</v>
      </c>
      <c r="C39" s="276">
        <v>44347</v>
      </c>
      <c r="D39" s="257" t="s">
        <v>1296</v>
      </c>
      <c r="E39" s="256" t="s">
        <v>1807</v>
      </c>
      <c r="F39" s="256" t="s">
        <v>1861</v>
      </c>
      <c r="G39" s="258">
        <v>31568000000</v>
      </c>
      <c r="H39" s="265">
        <v>0.1</v>
      </c>
      <c r="I39" s="258">
        <v>3156800000</v>
      </c>
      <c r="J39" s="258">
        <v>34724800000</v>
      </c>
      <c r="K39" s="256" t="s">
        <v>1346</v>
      </c>
    </row>
    <row r="40" spans="1:11" x14ac:dyDescent="0.3">
      <c r="A40" s="256">
        <v>33</v>
      </c>
      <c r="B40" s="257" t="s">
        <v>1208</v>
      </c>
      <c r="C40" s="276">
        <v>44408</v>
      </c>
      <c r="D40" s="257" t="s">
        <v>1272</v>
      </c>
      <c r="E40" s="256" t="s">
        <v>1805</v>
      </c>
      <c r="F40" s="256" t="s">
        <v>1857</v>
      </c>
      <c r="G40" s="258">
        <v>46570000000</v>
      </c>
      <c r="H40" s="265">
        <v>0.1</v>
      </c>
      <c r="I40" s="258">
        <v>4657000000</v>
      </c>
      <c r="J40" s="258">
        <v>51227000000</v>
      </c>
      <c r="K40" s="256" t="s">
        <v>1346</v>
      </c>
    </row>
    <row r="41" spans="1:11" x14ac:dyDescent="0.3">
      <c r="A41" s="256">
        <v>34</v>
      </c>
      <c r="B41" s="257" t="s">
        <v>1205</v>
      </c>
      <c r="C41" s="276">
        <v>44439</v>
      </c>
      <c r="D41" s="257" t="s">
        <v>1300</v>
      </c>
      <c r="E41" s="256" t="s">
        <v>1818</v>
      </c>
      <c r="F41" s="256" t="s">
        <v>1860</v>
      </c>
      <c r="G41" s="258">
        <v>65602000000</v>
      </c>
      <c r="H41" s="265">
        <v>0.1</v>
      </c>
      <c r="I41" s="258">
        <v>6560200000</v>
      </c>
      <c r="J41" s="258">
        <v>72162200000</v>
      </c>
      <c r="K41" s="256" t="s">
        <v>1346</v>
      </c>
    </row>
    <row r="42" spans="1:11" x14ac:dyDescent="0.3">
      <c r="A42" s="256">
        <v>35</v>
      </c>
      <c r="B42" s="257" t="s">
        <v>1458</v>
      </c>
      <c r="C42" s="276">
        <v>44500</v>
      </c>
      <c r="D42" s="257" t="s">
        <v>1259</v>
      </c>
      <c r="E42" s="256" t="s">
        <v>1788</v>
      </c>
      <c r="F42" s="256" t="s">
        <v>1863</v>
      </c>
      <c r="G42" s="258">
        <v>63812000000</v>
      </c>
      <c r="H42" s="265">
        <v>0.1</v>
      </c>
      <c r="I42" s="258">
        <v>6381200000</v>
      </c>
      <c r="J42" s="258">
        <v>70193200000</v>
      </c>
      <c r="K42" s="256" t="s">
        <v>1346</v>
      </c>
    </row>
    <row r="43" spans="1:11" x14ac:dyDescent="0.3">
      <c r="A43" s="256">
        <v>36</v>
      </c>
      <c r="B43" s="257" t="s">
        <v>1387</v>
      </c>
      <c r="C43" s="276">
        <v>44561</v>
      </c>
      <c r="D43" s="257" t="s">
        <v>1287</v>
      </c>
      <c r="E43" s="256" t="s">
        <v>1801</v>
      </c>
      <c r="F43" s="256" t="s">
        <v>1860</v>
      </c>
      <c r="G43" s="258">
        <v>72135000000</v>
      </c>
      <c r="H43" s="265">
        <v>0.1</v>
      </c>
      <c r="I43" s="258">
        <v>7213500000</v>
      </c>
      <c r="J43" s="258">
        <v>79348500000</v>
      </c>
      <c r="K43" s="256" t="s">
        <v>1346</v>
      </c>
    </row>
    <row r="44" spans="1:11" x14ac:dyDescent="0.3">
      <c r="A44" s="256">
        <v>37</v>
      </c>
      <c r="B44" s="257" t="s">
        <v>1206</v>
      </c>
      <c r="C44" s="276">
        <v>44561</v>
      </c>
      <c r="D44" s="257" t="s">
        <v>1268</v>
      </c>
      <c r="E44" s="256" t="s">
        <v>1821</v>
      </c>
      <c r="F44" s="256" t="s">
        <v>1858</v>
      </c>
      <c r="G44" s="258">
        <v>57253000000</v>
      </c>
      <c r="H44" s="265">
        <v>0.1</v>
      </c>
      <c r="I44" s="258">
        <v>5725300000</v>
      </c>
      <c r="J44" s="258">
        <v>62978300000</v>
      </c>
      <c r="K44" s="256" t="s">
        <v>1346</v>
      </c>
    </row>
    <row r="45" spans="1:11" x14ac:dyDescent="0.3">
      <c r="A45" s="256">
        <v>38</v>
      </c>
      <c r="B45" s="257" t="s">
        <v>1207</v>
      </c>
      <c r="C45" s="276">
        <v>44561</v>
      </c>
      <c r="D45" s="257" t="s">
        <v>1270</v>
      </c>
      <c r="E45" s="256" t="s">
        <v>1782</v>
      </c>
      <c r="F45" s="256" t="s">
        <v>1857</v>
      </c>
      <c r="G45" s="258">
        <v>47567000000</v>
      </c>
      <c r="H45" s="265">
        <v>0.1</v>
      </c>
      <c r="I45" s="258">
        <v>4756700000</v>
      </c>
      <c r="J45" s="258">
        <v>52323700000</v>
      </c>
      <c r="K45" s="256" t="s">
        <v>1346</v>
      </c>
    </row>
    <row r="46" spans="1:11" x14ac:dyDescent="0.3">
      <c r="A46" s="256">
        <v>39</v>
      </c>
      <c r="B46" s="257" t="s">
        <v>1391</v>
      </c>
      <c r="C46" s="276">
        <v>44561</v>
      </c>
      <c r="D46" s="257" t="s">
        <v>1290</v>
      </c>
      <c r="E46" s="256" t="s">
        <v>1796</v>
      </c>
      <c r="F46" s="256" t="s">
        <v>1859</v>
      </c>
      <c r="G46" s="258">
        <v>53558000000</v>
      </c>
      <c r="H46" s="265">
        <v>0.1</v>
      </c>
      <c r="I46" s="258">
        <v>5355800000</v>
      </c>
      <c r="J46" s="258">
        <v>58913800000</v>
      </c>
      <c r="K46" s="256" t="s">
        <v>1346</v>
      </c>
    </row>
    <row r="47" spans="1:11" x14ac:dyDescent="0.3">
      <c r="A47" s="256">
        <v>40</v>
      </c>
      <c r="B47" s="257" t="s">
        <v>1402</v>
      </c>
      <c r="C47" s="276">
        <v>44561</v>
      </c>
      <c r="D47" s="257" t="s">
        <v>1288</v>
      </c>
      <c r="E47" s="256" t="s">
        <v>1797</v>
      </c>
      <c r="F47" s="256" t="s">
        <v>1863</v>
      </c>
      <c r="G47" s="258">
        <v>38848000000</v>
      </c>
      <c r="H47" s="265">
        <v>0.1</v>
      </c>
      <c r="I47" s="258">
        <v>3884800000</v>
      </c>
      <c r="J47" s="258">
        <v>42732800000</v>
      </c>
      <c r="K47" s="256" t="s">
        <v>1346</v>
      </c>
    </row>
    <row r="48" spans="1:11" x14ac:dyDescent="0.3">
      <c r="A48" s="256">
        <v>41</v>
      </c>
      <c r="B48" s="257" t="s">
        <v>1399</v>
      </c>
      <c r="C48" s="276">
        <v>44561</v>
      </c>
      <c r="D48" s="257" t="s">
        <v>1282</v>
      </c>
      <c r="E48" s="256" t="s">
        <v>1789</v>
      </c>
      <c r="F48" s="256" t="s">
        <v>1859</v>
      </c>
      <c r="G48" s="258">
        <v>70669000000</v>
      </c>
      <c r="H48" s="265">
        <v>0.1</v>
      </c>
      <c r="I48" s="258">
        <v>7066900000</v>
      </c>
      <c r="J48" s="258">
        <v>77735900000</v>
      </c>
      <c r="K48" s="256" t="s">
        <v>1346</v>
      </c>
    </row>
    <row r="49" spans="1:11" x14ac:dyDescent="0.3">
      <c r="A49" s="256">
        <v>42</v>
      </c>
      <c r="B49" s="257" t="s">
        <v>1403</v>
      </c>
      <c r="C49" s="276">
        <v>44561</v>
      </c>
      <c r="D49" s="257" t="s">
        <v>1265</v>
      </c>
      <c r="E49" s="256" t="s">
        <v>1830</v>
      </c>
      <c r="F49" s="256" t="s">
        <v>1860</v>
      </c>
      <c r="G49" s="258">
        <v>18306000000</v>
      </c>
      <c r="H49" s="265">
        <v>0.1</v>
      </c>
      <c r="I49" s="258">
        <v>1830600000</v>
      </c>
      <c r="J49" s="258">
        <v>20136600000</v>
      </c>
      <c r="K49" s="256" t="s">
        <v>1346</v>
      </c>
    </row>
    <row r="50" spans="1:11" x14ac:dyDescent="0.3">
      <c r="A50" s="256">
        <v>43</v>
      </c>
      <c r="B50" s="257" t="s">
        <v>1459</v>
      </c>
      <c r="C50" s="276">
        <v>44561</v>
      </c>
      <c r="D50" s="257" t="s">
        <v>1259</v>
      </c>
      <c r="E50" s="256" t="s">
        <v>1788</v>
      </c>
      <c r="F50" s="256" t="s">
        <v>1857</v>
      </c>
      <c r="G50" s="258">
        <v>51792000000</v>
      </c>
      <c r="H50" s="265">
        <v>0.1</v>
      </c>
      <c r="I50" s="258">
        <v>5179200000</v>
      </c>
      <c r="J50" s="258">
        <v>56971200000</v>
      </c>
      <c r="K50" s="256" t="s">
        <v>1346</v>
      </c>
    </row>
    <row r="51" spans="1:11" x14ac:dyDescent="0.3">
      <c r="A51" s="256">
        <v>44</v>
      </c>
      <c r="B51" s="257" t="s">
        <v>1387</v>
      </c>
      <c r="C51" s="276">
        <v>44561</v>
      </c>
      <c r="D51" s="257" t="s">
        <v>1258</v>
      </c>
      <c r="E51" s="256" t="s">
        <v>1833</v>
      </c>
      <c r="F51" s="256" t="s">
        <v>1863</v>
      </c>
      <c r="G51" s="258">
        <v>61078000000</v>
      </c>
      <c r="H51" s="265">
        <v>0.1</v>
      </c>
      <c r="I51" s="258">
        <v>6107800000</v>
      </c>
      <c r="J51" s="258">
        <v>67185800000</v>
      </c>
      <c r="K51" s="256" t="s">
        <v>1346</v>
      </c>
    </row>
    <row r="52" spans="1:11" x14ac:dyDescent="0.3">
      <c r="A52" s="256">
        <v>45</v>
      </c>
      <c r="B52" s="257" t="s">
        <v>1456</v>
      </c>
      <c r="C52" s="276">
        <v>44561</v>
      </c>
      <c r="D52" s="257" t="s">
        <v>1279</v>
      </c>
      <c r="E52" s="256" t="s">
        <v>1827</v>
      </c>
      <c r="F52" s="256" t="s">
        <v>1863</v>
      </c>
      <c r="G52" s="258">
        <v>27568000000</v>
      </c>
      <c r="H52" s="265">
        <v>0</v>
      </c>
      <c r="I52" s="258">
        <v>0</v>
      </c>
      <c r="J52" s="258">
        <v>27568000000</v>
      </c>
      <c r="K52" s="256" t="s">
        <v>1346</v>
      </c>
    </row>
    <row r="53" spans="1:11" x14ac:dyDescent="0.3">
      <c r="A53" s="256">
        <v>46</v>
      </c>
      <c r="B53" s="257" t="s">
        <v>1460</v>
      </c>
      <c r="C53" s="276">
        <v>44561</v>
      </c>
      <c r="D53" s="257" t="s">
        <v>1259</v>
      </c>
      <c r="E53" s="256" t="s">
        <v>1788</v>
      </c>
      <c r="F53" s="256" t="s">
        <v>1859</v>
      </c>
      <c r="G53" s="258">
        <v>50460000000</v>
      </c>
      <c r="H53" s="265">
        <v>0.1</v>
      </c>
      <c r="I53" s="258">
        <v>5046000000</v>
      </c>
      <c r="J53" s="258">
        <v>55506000000</v>
      </c>
      <c r="K53" s="256" t="s">
        <v>1346</v>
      </c>
    </row>
    <row r="54" spans="1:11" x14ac:dyDescent="0.3">
      <c r="A54" s="256">
        <v>47</v>
      </c>
      <c r="B54" s="257" t="s">
        <v>1206</v>
      </c>
      <c r="C54" s="276">
        <v>44561</v>
      </c>
      <c r="D54" s="257" t="s">
        <v>1273</v>
      </c>
      <c r="E54" s="256" t="s">
        <v>1829</v>
      </c>
      <c r="F54" s="256" t="s">
        <v>1857</v>
      </c>
      <c r="G54" s="258">
        <v>46103000000</v>
      </c>
      <c r="H54" s="265">
        <v>0.1</v>
      </c>
      <c r="I54" s="258">
        <v>4610300000</v>
      </c>
      <c r="J54" s="258">
        <v>50713300000</v>
      </c>
      <c r="K54" s="256" t="s">
        <v>1346</v>
      </c>
    </row>
    <row r="55" spans="1:11" x14ac:dyDescent="0.3">
      <c r="A55" s="256">
        <v>48</v>
      </c>
      <c r="B55" s="257" t="s">
        <v>1387</v>
      </c>
      <c r="C55" s="276">
        <v>44561</v>
      </c>
      <c r="D55" s="257" t="s">
        <v>1301</v>
      </c>
      <c r="E55" s="256" t="s">
        <v>1781</v>
      </c>
      <c r="F55" s="256" t="s">
        <v>1863</v>
      </c>
      <c r="G55" s="258">
        <v>35250000000</v>
      </c>
      <c r="H55" s="265">
        <v>0.1</v>
      </c>
      <c r="I55" s="258">
        <v>3525000000</v>
      </c>
      <c r="J55" s="258">
        <v>38775000000</v>
      </c>
      <c r="K55" s="256" t="s">
        <v>1346</v>
      </c>
    </row>
    <row r="56" spans="1:11" x14ac:dyDescent="0.3">
      <c r="A56" s="256">
        <v>49</v>
      </c>
      <c r="B56" s="257" t="s">
        <v>1388</v>
      </c>
      <c r="C56" s="276">
        <v>44561</v>
      </c>
      <c r="D56" s="257" t="s">
        <v>1299</v>
      </c>
      <c r="E56" s="256" t="s">
        <v>1776</v>
      </c>
      <c r="F56" s="256" t="s">
        <v>1860</v>
      </c>
      <c r="G56" s="258">
        <v>34025000000</v>
      </c>
      <c r="H56" s="265">
        <v>0.1</v>
      </c>
      <c r="I56" s="258">
        <v>3402500000</v>
      </c>
      <c r="J56" s="258">
        <v>37427500000</v>
      </c>
      <c r="K56" s="256" t="s">
        <v>1346</v>
      </c>
    </row>
    <row r="57" spans="1:11" x14ac:dyDescent="0.3">
      <c r="A57" s="256">
        <v>50</v>
      </c>
      <c r="B57" s="257" t="s">
        <v>1388</v>
      </c>
      <c r="C57" s="276">
        <v>44561</v>
      </c>
      <c r="D57" s="257" t="s">
        <v>1287</v>
      </c>
      <c r="E57" s="256" t="s">
        <v>1801</v>
      </c>
      <c r="F57" s="256" t="s">
        <v>1858</v>
      </c>
      <c r="G57" s="258">
        <v>52486000000</v>
      </c>
      <c r="H57" s="265">
        <v>0.1</v>
      </c>
      <c r="I57" s="258">
        <v>5248600000</v>
      </c>
      <c r="J57" s="258">
        <v>57734600000</v>
      </c>
      <c r="K57" s="256" t="s">
        <v>1346</v>
      </c>
    </row>
    <row r="58" spans="1:11" x14ac:dyDescent="0.3">
      <c r="A58" s="266" t="s">
        <v>1351</v>
      </c>
      <c r="B58" s="266"/>
      <c r="C58" s="266"/>
      <c r="D58" s="266"/>
      <c r="E58" s="266"/>
      <c r="F58" s="266"/>
      <c r="G58" s="267">
        <f>SUM(G8:G57)</f>
        <v>2347817000000</v>
      </c>
      <c r="H58" s="266"/>
      <c r="I58" s="267">
        <f>SUM(I8:I57)</f>
        <v>215184000000</v>
      </c>
      <c r="J58" s="267">
        <f>SUM(J8:J57)</f>
        <v>2563001000000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1269</v>
      </c>
      <c r="E62" s="256" t="s">
        <v>1823</v>
      </c>
      <c r="F62" s="256" t="s">
        <v>1865</v>
      </c>
      <c r="G62" s="258">
        <v>63060000000</v>
      </c>
      <c r="H62" s="265">
        <v>0.1</v>
      </c>
      <c r="I62" s="258">
        <v>6306000000</v>
      </c>
      <c r="J62" s="258">
        <v>69366000000</v>
      </c>
      <c r="K62" s="256" t="s">
        <v>1346</v>
      </c>
    </row>
    <row r="63" spans="1:11" x14ac:dyDescent="0.3">
      <c r="A63" s="256">
        <v>2</v>
      </c>
      <c r="B63" s="257" t="s">
        <v>1201</v>
      </c>
      <c r="C63" s="276">
        <v>44318</v>
      </c>
      <c r="D63" s="257" t="s">
        <v>1294</v>
      </c>
      <c r="E63" s="256" t="s">
        <v>1795</v>
      </c>
      <c r="F63" s="256" t="s">
        <v>1867</v>
      </c>
      <c r="G63" s="258">
        <v>91944000000</v>
      </c>
      <c r="H63" s="265">
        <v>0</v>
      </c>
      <c r="I63" s="258">
        <v>0</v>
      </c>
      <c r="J63" s="258">
        <v>91944000000</v>
      </c>
      <c r="K63" s="256" t="s">
        <v>1346</v>
      </c>
    </row>
    <row r="64" spans="1:11" x14ac:dyDescent="0.3">
      <c r="A64" s="256">
        <v>3</v>
      </c>
      <c r="B64" s="257" t="s">
        <v>1202</v>
      </c>
      <c r="C64" s="276">
        <v>44472</v>
      </c>
      <c r="D64" s="257" t="s">
        <v>1268</v>
      </c>
      <c r="E64" s="256" t="s">
        <v>1821</v>
      </c>
      <c r="F64" s="256" t="s">
        <v>1867</v>
      </c>
      <c r="G64" s="258">
        <v>30112000000</v>
      </c>
      <c r="H64" s="265">
        <v>0.1</v>
      </c>
      <c r="I64" s="258">
        <v>3011200000</v>
      </c>
      <c r="J64" s="258">
        <v>33123200000</v>
      </c>
      <c r="K64" s="256" t="s">
        <v>1348</v>
      </c>
    </row>
    <row r="65" spans="1:11" x14ac:dyDescent="0.3">
      <c r="A65" s="256">
        <v>4</v>
      </c>
      <c r="B65" s="257" t="s">
        <v>1355</v>
      </c>
      <c r="C65" s="276">
        <v>44473</v>
      </c>
      <c r="D65" s="257" t="s">
        <v>1268</v>
      </c>
      <c r="E65" s="256" t="s">
        <v>1821</v>
      </c>
      <c r="F65" s="256" t="s">
        <v>1867</v>
      </c>
      <c r="G65" s="258">
        <v>26801000000</v>
      </c>
      <c r="H65" s="265">
        <v>0.1</v>
      </c>
      <c r="I65" s="258">
        <v>2680100000</v>
      </c>
      <c r="J65" s="258">
        <v>29481100000</v>
      </c>
      <c r="K65" s="256" t="s">
        <v>1346</v>
      </c>
    </row>
    <row r="66" spans="1:11" x14ac:dyDescent="0.3">
      <c r="A66" s="256">
        <v>5</v>
      </c>
      <c r="B66" s="257" t="s">
        <v>1356</v>
      </c>
      <c r="C66" s="276">
        <v>44474</v>
      </c>
      <c r="D66" s="257" t="s">
        <v>1258</v>
      </c>
      <c r="E66" s="256" t="s">
        <v>1833</v>
      </c>
      <c r="F66" s="256" t="s">
        <v>1867</v>
      </c>
      <c r="G66" s="258">
        <v>39089000000</v>
      </c>
      <c r="H66" s="265">
        <v>0.1</v>
      </c>
      <c r="I66" s="258">
        <v>3908900000</v>
      </c>
      <c r="J66" s="258">
        <v>42997900000</v>
      </c>
      <c r="K66" s="256" t="s">
        <v>1346</v>
      </c>
    </row>
    <row r="67" spans="1:11" x14ac:dyDescent="0.3">
      <c r="A67" s="256">
        <v>6</v>
      </c>
      <c r="B67" s="257" t="s">
        <v>1358</v>
      </c>
      <c r="C67" s="276">
        <v>44475</v>
      </c>
      <c r="D67" s="257" t="s">
        <v>1263</v>
      </c>
      <c r="E67" s="256" t="s">
        <v>1790</v>
      </c>
      <c r="F67" s="256" t="s">
        <v>1865</v>
      </c>
      <c r="G67" s="258">
        <v>26744000000</v>
      </c>
      <c r="H67" s="265">
        <v>0.1</v>
      </c>
      <c r="I67" s="258">
        <v>2674400000</v>
      </c>
      <c r="J67" s="258">
        <v>29418400000</v>
      </c>
      <c r="K67" s="256" t="s">
        <v>1346</v>
      </c>
    </row>
    <row r="68" spans="1:11" x14ac:dyDescent="0.3">
      <c r="A68" s="256">
        <v>7</v>
      </c>
      <c r="B68" s="257" t="s">
        <v>1360</v>
      </c>
      <c r="C68" s="276">
        <v>44476</v>
      </c>
      <c r="D68" s="257" t="s">
        <v>1276</v>
      </c>
      <c r="E68" s="256" t="s">
        <v>1822</v>
      </c>
      <c r="F68" s="256" t="s">
        <v>1864</v>
      </c>
      <c r="G68" s="258">
        <v>45066000000</v>
      </c>
      <c r="H68" s="265">
        <v>0.1</v>
      </c>
      <c r="I68" s="258">
        <v>4506600000</v>
      </c>
      <c r="J68" s="258">
        <v>49572600000</v>
      </c>
      <c r="K68" s="256" t="s">
        <v>1346</v>
      </c>
    </row>
    <row r="69" spans="1:11" x14ac:dyDescent="0.3">
      <c r="A69" s="256">
        <v>8</v>
      </c>
      <c r="B69" s="257" t="s">
        <v>1362</v>
      </c>
      <c r="C69" s="276">
        <v>44477</v>
      </c>
      <c r="D69" s="257" t="s">
        <v>1264</v>
      </c>
      <c r="E69" s="256" t="s">
        <v>1779</v>
      </c>
      <c r="F69" s="256" t="s">
        <v>1866</v>
      </c>
      <c r="G69" s="258">
        <v>55148000000</v>
      </c>
      <c r="H69" s="265">
        <v>0.1</v>
      </c>
      <c r="I69" s="258">
        <v>5514800000</v>
      </c>
      <c r="J69" s="258">
        <v>60662800000</v>
      </c>
      <c r="K69" s="256" t="s">
        <v>1346</v>
      </c>
    </row>
    <row r="70" spans="1:11" x14ac:dyDescent="0.3">
      <c r="A70" s="256">
        <v>9</v>
      </c>
      <c r="B70" s="257" t="s">
        <v>1364</v>
      </c>
      <c r="C70" s="276">
        <v>44478</v>
      </c>
      <c r="D70" s="257" t="s">
        <v>1284</v>
      </c>
      <c r="E70" s="256" t="s">
        <v>1786</v>
      </c>
      <c r="F70" s="256" t="s">
        <v>1867</v>
      </c>
      <c r="G70" s="258">
        <v>72374000000</v>
      </c>
      <c r="H70" s="265">
        <v>0.1</v>
      </c>
      <c r="I70" s="258">
        <v>7237400000</v>
      </c>
      <c r="J70" s="258">
        <v>79611400000</v>
      </c>
      <c r="K70" s="256" t="s">
        <v>1346</v>
      </c>
    </row>
    <row r="71" spans="1:11" x14ac:dyDescent="0.3">
      <c r="A71" s="256">
        <v>10</v>
      </c>
      <c r="B71" s="257" t="s">
        <v>1366</v>
      </c>
      <c r="C71" s="276">
        <v>44479</v>
      </c>
      <c r="D71" s="257" t="s">
        <v>1257</v>
      </c>
      <c r="E71" s="256" t="s">
        <v>1815</v>
      </c>
      <c r="F71" s="256" t="s">
        <v>1867</v>
      </c>
      <c r="G71" s="258">
        <v>64654000000</v>
      </c>
      <c r="H71" s="265">
        <v>0.1</v>
      </c>
      <c r="I71" s="258">
        <v>6465400000</v>
      </c>
      <c r="J71" s="258">
        <v>71119400000</v>
      </c>
      <c r="K71" s="256" t="s">
        <v>1348</v>
      </c>
    </row>
    <row r="72" spans="1:11" x14ac:dyDescent="0.3">
      <c r="A72" s="256">
        <v>11</v>
      </c>
      <c r="B72" s="257" t="s">
        <v>1368</v>
      </c>
      <c r="C72" s="276">
        <v>44480</v>
      </c>
      <c r="D72" s="257" t="s">
        <v>1299</v>
      </c>
      <c r="E72" s="256" t="s">
        <v>1776</v>
      </c>
      <c r="F72" s="256" t="s">
        <v>1866</v>
      </c>
      <c r="G72" s="258">
        <v>27364000000</v>
      </c>
      <c r="H72" s="265">
        <v>0.1</v>
      </c>
      <c r="I72" s="258">
        <v>2736400000</v>
      </c>
      <c r="J72" s="258">
        <v>30100400000</v>
      </c>
      <c r="K72" s="256" t="s">
        <v>1348</v>
      </c>
    </row>
    <row r="73" spans="1:11" x14ac:dyDescent="0.3">
      <c r="A73" s="256">
        <v>12</v>
      </c>
      <c r="B73" s="257" t="s">
        <v>1371</v>
      </c>
      <c r="C73" s="276">
        <v>44481</v>
      </c>
      <c r="D73" s="257" t="s">
        <v>1274</v>
      </c>
      <c r="E73" s="256" t="s">
        <v>1794</v>
      </c>
      <c r="F73" s="256" t="s">
        <v>1865</v>
      </c>
      <c r="G73" s="258">
        <v>64087000000</v>
      </c>
      <c r="H73" s="265">
        <v>0.1</v>
      </c>
      <c r="I73" s="258">
        <v>6408700000</v>
      </c>
      <c r="J73" s="258">
        <v>70495700000</v>
      </c>
      <c r="K73" s="256" t="s">
        <v>1346</v>
      </c>
    </row>
    <row r="74" spans="1:11" x14ac:dyDescent="0.3">
      <c r="A74" s="256">
        <v>13</v>
      </c>
      <c r="B74" s="257" t="s">
        <v>1373</v>
      </c>
      <c r="C74" s="276">
        <v>44211</v>
      </c>
      <c r="D74" s="257" t="s">
        <v>1299</v>
      </c>
      <c r="E74" s="256" t="s">
        <v>1776</v>
      </c>
      <c r="F74" s="256" t="s">
        <v>1866</v>
      </c>
      <c r="G74" s="258">
        <v>43022000000</v>
      </c>
      <c r="H74" s="265">
        <v>0.1</v>
      </c>
      <c r="I74" s="258">
        <v>4302200000</v>
      </c>
      <c r="J74" s="258">
        <v>47324200000</v>
      </c>
      <c r="K74" s="256" t="s">
        <v>1346</v>
      </c>
    </row>
    <row r="75" spans="1:11" x14ac:dyDescent="0.3">
      <c r="A75" s="256">
        <v>14</v>
      </c>
      <c r="B75" s="257" t="s">
        <v>1374</v>
      </c>
      <c r="C75" s="276">
        <v>44242</v>
      </c>
      <c r="D75" s="257" t="s">
        <v>1287</v>
      </c>
      <c r="E75" s="256" t="s">
        <v>1801</v>
      </c>
      <c r="F75" s="256" t="s">
        <v>1867</v>
      </c>
      <c r="G75" s="258">
        <v>94559000000</v>
      </c>
      <c r="H75" s="265">
        <v>0.1</v>
      </c>
      <c r="I75" s="258">
        <v>9455900000</v>
      </c>
      <c r="J75" s="258">
        <v>104014900000</v>
      </c>
      <c r="K75" s="256" t="s">
        <v>1348</v>
      </c>
    </row>
    <row r="76" spans="1:11" x14ac:dyDescent="0.3">
      <c r="A76" s="256">
        <v>15</v>
      </c>
      <c r="B76" s="257" t="s">
        <v>1376</v>
      </c>
      <c r="C76" s="276">
        <v>44275</v>
      </c>
      <c r="D76" s="257" t="s">
        <v>1282</v>
      </c>
      <c r="E76" s="256" t="s">
        <v>1789</v>
      </c>
      <c r="F76" s="256" t="s">
        <v>1865</v>
      </c>
      <c r="G76" s="258">
        <v>91757000000</v>
      </c>
      <c r="H76" s="265">
        <v>0.1</v>
      </c>
      <c r="I76" s="258">
        <v>9175700000</v>
      </c>
      <c r="J76" s="258">
        <v>100932700000</v>
      </c>
      <c r="K76" s="256" t="s">
        <v>1346</v>
      </c>
    </row>
    <row r="77" spans="1:11" x14ac:dyDescent="0.3">
      <c r="A77" s="256">
        <v>16</v>
      </c>
      <c r="B77" s="257" t="s">
        <v>1378</v>
      </c>
      <c r="C77" s="276">
        <v>44306</v>
      </c>
      <c r="D77" s="257" t="s">
        <v>1297</v>
      </c>
      <c r="E77" s="256" t="s">
        <v>1820</v>
      </c>
      <c r="F77" s="256" t="s">
        <v>1866</v>
      </c>
      <c r="G77" s="258">
        <v>87812000000</v>
      </c>
      <c r="H77" s="265">
        <v>0.1</v>
      </c>
      <c r="I77" s="258">
        <v>8781200000</v>
      </c>
      <c r="J77" s="258">
        <v>96593200000</v>
      </c>
      <c r="K77" s="256" t="s">
        <v>1346</v>
      </c>
    </row>
    <row r="78" spans="1:11" x14ac:dyDescent="0.3">
      <c r="A78" s="256">
        <v>17</v>
      </c>
      <c r="B78" s="257" t="s">
        <v>1379</v>
      </c>
      <c r="C78" s="276">
        <v>44336</v>
      </c>
      <c r="D78" s="257" t="s">
        <v>1264</v>
      </c>
      <c r="E78" s="256" t="s">
        <v>1779</v>
      </c>
      <c r="F78" s="256" t="s">
        <v>1865</v>
      </c>
      <c r="G78" s="258">
        <v>86106000000</v>
      </c>
      <c r="H78" s="265">
        <v>0</v>
      </c>
      <c r="I78" s="258">
        <v>0</v>
      </c>
      <c r="J78" s="258">
        <v>86106000000</v>
      </c>
      <c r="K78" s="256" t="s">
        <v>1346</v>
      </c>
    </row>
    <row r="79" spans="1:11" x14ac:dyDescent="0.3">
      <c r="A79" s="256">
        <v>18</v>
      </c>
      <c r="B79" s="257" t="s">
        <v>1381</v>
      </c>
      <c r="C79" s="276">
        <v>44367</v>
      </c>
      <c r="D79" s="257" t="s">
        <v>1282</v>
      </c>
      <c r="E79" s="256" t="s">
        <v>1789</v>
      </c>
      <c r="F79" s="256" t="s">
        <v>1865</v>
      </c>
      <c r="G79" s="258">
        <v>39345000000</v>
      </c>
      <c r="H79" s="265">
        <v>0.1</v>
      </c>
      <c r="I79" s="258">
        <v>3934500000</v>
      </c>
      <c r="J79" s="258">
        <v>43279500000</v>
      </c>
      <c r="K79" s="256" t="s">
        <v>1348</v>
      </c>
    </row>
    <row r="80" spans="1:11" x14ac:dyDescent="0.3">
      <c r="A80" s="256">
        <v>19</v>
      </c>
      <c r="B80" s="257" t="s">
        <v>1382</v>
      </c>
      <c r="C80" s="276">
        <v>44397</v>
      </c>
      <c r="D80" s="257" t="s">
        <v>1266</v>
      </c>
      <c r="E80" s="256" t="s">
        <v>1824</v>
      </c>
      <c r="F80" s="256" t="s">
        <v>1864</v>
      </c>
      <c r="G80" s="258">
        <v>46387000000</v>
      </c>
      <c r="H80" s="265">
        <v>0.1</v>
      </c>
      <c r="I80" s="258">
        <v>4638700000</v>
      </c>
      <c r="J80" s="258">
        <v>51025700000</v>
      </c>
      <c r="K80" s="256" t="s">
        <v>1346</v>
      </c>
    </row>
    <row r="81" spans="1:11" x14ac:dyDescent="0.3">
      <c r="A81" s="256">
        <v>20</v>
      </c>
      <c r="B81" s="257" t="s">
        <v>1383</v>
      </c>
      <c r="C81" s="276">
        <v>44428</v>
      </c>
      <c r="D81" s="257" t="s">
        <v>1299</v>
      </c>
      <c r="E81" s="256" t="s">
        <v>1776</v>
      </c>
      <c r="F81" s="256" t="s">
        <v>1866</v>
      </c>
      <c r="G81" s="258">
        <v>38297000000</v>
      </c>
      <c r="H81" s="265">
        <v>0.1</v>
      </c>
      <c r="I81" s="258">
        <v>3829700000</v>
      </c>
      <c r="J81" s="258">
        <v>42126700000</v>
      </c>
      <c r="K81" s="256" t="s">
        <v>1348</v>
      </c>
    </row>
    <row r="82" spans="1:11" x14ac:dyDescent="0.3">
      <c r="A82" s="256">
        <v>21</v>
      </c>
      <c r="B82" s="257" t="s">
        <v>1203</v>
      </c>
      <c r="C82" s="276">
        <v>44459</v>
      </c>
      <c r="D82" s="257" t="s">
        <v>1303</v>
      </c>
      <c r="E82" s="256" t="s">
        <v>1817</v>
      </c>
      <c r="F82" s="256" t="s">
        <v>1866</v>
      </c>
      <c r="G82" s="258">
        <v>87518000000</v>
      </c>
      <c r="H82" s="265">
        <v>0.1</v>
      </c>
      <c r="I82" s="258">
        <v>8751800000</v>
      </c>
      <c r="J82" s="258">
        <v>96269800000</v>
      </c>
      <c r="K82" s="256" t="s">
        <v>1346</v>
      </c>
    </row>
    <row r="83" spans="1:11" x14ac:dyDescent="0.3">
      <c r="A83" s="256">
        <v>22</v>
      </c>
      <c r="B83" s="257" t="s">
        <v>1204</v>
      </c>
      <c r="C83" s="276">
        <v>44489</v>
      </c>
      <c r="D83" s="257" t="s">
        <v>1297</v>
      </c>
      <c r="E83" s="256" t="s">
        <v>1820</v>
      </c>
      <c r="F83" s="256" t="s">
        <v>1864</v>
      </c>
      <c r="G83" s="258">
        <v>58415000000</v>
      </c>
      <c r="H83" s="265">
        <v>0.1</v>
      </c>
      <c r="I83" s="258">
        <v>5841500000</v>
      </c>
      <c r="J83" s="258">
        <v>64256500000</v>
      </c>
      <c r="K83" s="256" t="s">
        <v>1346</v>
      </c>
    </row>
    <row r="84" spans="1:11" x14ac:dyDescent="0.3">
      <c r="A84" s="256">
        <v>23</v>
      </c>
      <c r="B84" s="257" t="s">
        <v>1205</v>
      </c>
      <c r="C84" s="276">
        <v>44520</v>
      </c>
      <c r="D84" s="257" t="s">
        <v>1268</v>
      </c>
      <c r="E84" s="256" t="s">
        <v>1821</v>
      </c>
      <c r="F84" s="256" t="s">
        <v>1865</v>
      </c>
      <c r="G84" s="258">
        <v>92308000000</v>
      </c>
      <c r="H84" s="265">
        <v>0.1</v>
      </c>
      <c r="I84" s="258">
        <v>9230800000</v>
      </c>
      <c r="J84" s="258">
        <v>101538800000</v>
      </c>
      <c r="K84" s="256" t="s">
        <v>1346</v>
      </c>
    </row>
    <row r="85" spans="1:11" x14ac:dyDescent="0.3">
      <c r="A85" s="256">
        <v>24</v>
      </c>
      <c r="B85" s="257" t="s">
        <v>1385</v>
      </c>
      <c r="C85" s="276">
        <v>44550</v>
      </c>
      <c r="D85" s="257" t="s">
        <v>1289</v>
      </c>
      <c r="E85" s="256" t="s">
        <v>1803</v>
      </c>
      <c r="F85" s="256" t="s">
        <v>1866</v>
      </c>
      <c r="G85" s="258">
        <v>56001000000</v>
      </c>
      <c r="H85" s="265">
        <v>0.1</v>
      </c>
      <c r="I85" s="258">
        <v>5600100000</v>
      </c>
      <c r="J85" s="258">
        <v>61601100000</v>
      </c>
      <c r="K85" s="256" t="s">
        <v>1346</v>
      </c>
    </row>
    <row r="86" spans="1:11" x14ac:dyDescent="0.3">
      <c r="A86" s="256">
        <v>25</v>
      </c>
      <c r="B86" s="257" t="s">
        <v>1387</v>
      </c>
      <c r="C86" s="276">
        <v>44221</v>
      </c>
      <c r="D86" s="257" t="s">
        <v>1297</v>
      </c>
      <c r="E86" s="256" t="s">
        <v>1820</v>
      </c>
      <c r="F86" s="256" t="s">
        <v>1864</v>
      </c>
      <c r="G86" s="258">
        <v>56606000000</v>
      </c>
      <c r="H86" s="265">
        <v>0.1</v>
      </c>
      <c r="I86" s="258">
        <v>5660600000</v>
      </c>
      <c r="J86" s="258">
        <v>62266600000</v>
      </c>
      <c r="K86" s="256" t="s">
        <v>1346</v>
      </c>
    </row>
    <row r="87" spans="1:11" x14ac:dyDescent="0.3">
      <c r="A87" s="256">
        <v>26</v>
      </c>
      <c r="B87" s="257" t="s">
        <v>1388</v>
      </c>
      <c r="C87" s="276">
        <v>44255</v>
      </c>
      <c r="D87" s="257" t="s">
        <v>1287</v>
      </c>
      <c r="E87" s="256" t="s">
        <v>1801</v>
      </c>
      <c r="F87" s="256" t="s">
        <v>1866</v>
      </c>
      <c r="G87" s="258">
        <v>61937000000</v>
      </c>
      <c r="H87" s="265">
        <v>0.1</v>
      </c>
      <c r="I87" s="258">
        <v>6193700000</v>
      </c>
      <c r="J87" s="258">
        <v>68130700000</v>
      </c>
      <c r="K87" s="256" t="s">
        <v>1346</v>
      </c>
    </row>
    <row r="88" spans="1:11" x14ac:dyDescent="0.3">
      <c r="A88" s="256">
        <v>27</v>
      </c>
      <c r="B88" s="257" t="s">
        <v>1391</v>
      </c>
      <c r="C88" s="276">
        <v>44316</v>
      </c>
      <c r="D88" s="257" t="s">
        <v>1255</v>
      </c>
      <c r="E88" s="273">
        <v>46152</v>
      </c>
      <c r="F88" s="256" t="s">
        <v>1865</v>
      </c>
      <c r="G88" s="258">
        <v>83987000000</v>
      </c>
      <c r="H88" s="265">
        <v>0.1</v>
      </c>
      <c r="I88" s="258">
        <v>8398700000</v>
      </c>
      <c r="J88" s="258">
        <v>92385700000</v>
      </c>
      <c r="K88" s="256" t="s">
        <v>1346</v>
      </c>
    </row>
    <row r="89" spans="1:11" x14ac:dyDescent="0.3">
      <c r="A89" s="256">
        <v>28</v>
      </c>
      <c r="B89" s="257" t="s">
        <v>1392</v>
      </c>
      <c r="C89" s="276">
        <v>44377</v>
      </c>
      <c r="D89" s="257" t="s">
        <v>1297</v>
      </c>
      <c r="E89" s="256" t="s">
        <v>1820</v>
      </c>
      <c r="F89" s="256" t="s">
        <v>1866</v>
      </c>
      <c r="G89" s="258">
        <v>76776000000</v>
      </c>
      <c r="H89" s="265">
        <v>0.1</v>
      </c>
      <c r="I89" s="258">
        <v>7677600000</v>
      </c>
      <c r="J89" s="258">
        <v>84453600000</v>
      </c>
      <c r="K89" s="256" t="s">
        <v>1348</v>
      </c>
    </row>
    <row r="90" spans="1:11" x14ac:dyDescent="0.3">
      <c r="A90" s="256">
        <v>29</v>
      </c>
      <c r="B90" s="257" t="s">
        <v>1394</v>
      </c>
      <c r="C90" s="276">
        <v>44469</v>
      </c>
      <c r="D90" s="257" t="s">
        <v>1276</v>
      </c>
      <c r="E90" s="256" t="s">
        <v>1822</v>
      </c>
      <c r="F90" s="256" t="s">
        <v>1865</v>
      </c>
      <c r="G90" s="258">
        <v>63893000000</v>
      </c>
      <c r="H90" s="265">
        <v>0.1</v>
      </c>
      <c r="I90" s="258">
        <v>6389300000</v>
      </c>
      <c r="J90" s="258">
        <v>70282300000</v>
      </c>
      <c r="K90" s="256" t="s">
        <v>1346</v>
      </c>
    </row>
    <row r="91" spans="1:11" x14ac:dyDescent="0.3">
      <c r="A91" s="256">
        <v>30</v>
      </c>
      <c r="B91" s="257" t="s">
        <v>1396</v>
      </c>
      <c r="C91" s="276">
        <v>44530</v>
      </c>
      <c r="D91" s="257" t="s">
        <v>1259</v>
      </c>
      <c r="E91" s="256" t="s">
        <v>1788</v>
      </c>
      <c r="F91" s="256" t="s">
        <v>1864</v>
      </c>
      <c r="G91" s="258">
        <v>36984000000</v>
      </c>
      <c r="H91" s="265">
        <v>0.1</v>
      </c>
      <c r="I91" s="258">
        <v>3698400000</v>
      </c>
      <c r="J91" s="258">
        <v>40682400000</v>
      </c>
      <c r="K91" s="256" t="s">
        <v>1346</v>
      </c>
    </row>
    <row r="92" spans="1:11" x14ac:dyDescent="0.3">
      <c r="A92" s="256">
        <v>31</v>
      </c>
      <c r="B92" s="257" t="s">
        <v>1397</v>
      </c>
      <c r="C92" s="276">
        <v>44286</v>
      </c>
      <c r="D92" s="257" t="s">
        <v>1290</v>
      </c>
      <c r="E92" s="256" t="s">
        <v>1796</v>
      </c>
      <c r="F92" s="256" t="s">
        <v>1865</v>
      </c>
      <c r="G92" s="258">
        <v>31079000000</v>
      </c>
      <c r="H92" s="265">
        <v>0.1</v>
      </c>
      <c r="I92" s="258">
        <v>3107900000</v>
      </c>
      <c r="J92" s="258">
        <v>34186900000</v>
      </c>
      <c r="K92" s="256" t="s">
        <v>1346</v>
      </c>
    </row>
    <row r="93" spans="1:11" x14ac:dyDescent="0.3">
      <c r="A93" s="256">
        <v>32</v>
      </c>
      <c r="B93" s="257" t="s">
        <v>1398</v>
      </c>
      <c r="C93" s="276">
        <v>44347</v>
      </c>
      <c r="D93" s="257" t="s">
        <v>1304</v>
      </c>
      <c r="E93" s="256" t="s">
        <v>1831</v>
      </c>
      <c r="F93" s="256" t="s">
        <v>1866</v>
      </c>
      <c r="G93" s="258">
        <v>51983000000</v>
      </c>
      <c r="H93" s="265">
        <v>0.1</v>
      </c>
      <c r="I93" s="258">
        <v>5198300000</v>
      </c>
      <c r="J93" s="258">
        <v>57181300000</v>
      </c>
      <c r="K93" s="256" t="s">
        <v>1348</v>
      </c>
    </row>
    <row r="94" spans="1:11" x14ac:dyDescent="0.3">
      <c r="A94" s="256">
        <v>33</v>
      </c>
      <c r="B94" s="257" t="s">
        <v>1399</v>
      </c>
      <c r="C94" s="276">
        <v>44408</v>
      </c>
      <c r="D94" s="257" t="s">
        <v>1269</v>
      </c>
      <c r="E94" s="256" t="s">
        <v>1823</v>
      </c>
      <c r="F94" s="256" t="s">
        <v>1865</v>
      </c>
      <c r="G94" s="258">
        <v>95278000000</v>
      </c>
      <c r="H94" s="265">
        <v>0.1</v>
      </c>
      <c r="I94" s="258">
        <v>9527800000</v>
      </c>
      <c r="J94" s="258">
        <v>104805800000</v>
      </c>
      <c r="K94" s="256" t="s">
        <v>1346</v>
      </c>
    </row>
    <row r="95" spans="1:11" x14ac:dyDescent="0.3">
      <c r="A95" s="256">
        <v>34</v>
      </c>
      <c r="B95" s="257" t="s">
        <v>1401</v>
      </c>
      <c r="C95" s="276">
        <v>44439</v>
      </c>
      <c r="D95" s="257" t="s">
        <v>1291</v>
      </c>
      <c r="E95" s="256" t="s">
        <v>1800</v>
      </c>
      <c r="F95" s="256" t="s">
        <v>1864</v>
      </c>
      <c r="G95" s="258">
        <v>74416000000</v>
      </c>
      <c r="H95" s="265">
        <v>0.1</v>
      </c>
      <c r="I95" s="258">
        <v>7441600000</v>
      </c>
      <c r="J95" s="258">
        <v>81857600000</v>
      </c>
      <c r="K95" s="256" t="s">
        <v>1346</v>
      </c>
    </row>
    <row r="96" spans="1:11" x14ac:dyDescent="0.3">
      <c r="A96" s="256">
        <v>35</v>
      </c>
      <c r="B96" s="257" t="s">
        <v>1402</v>
      </c>
      <c r="C96" s="276">
        <v>44500</v>
      </c>
      <c r="D96" s="257" t="s">
        <v>1257</v>
      </c>
      <c r="E96" s="256" t="s">
        <v>1815</v>
      </c>
      <c r="F96" s="256" t="s">
        <v>1865</v>
      </c>
      <c r="G96" s="258">
        <v>95658000000</v>
      </c>
      <c r="H96" s="265">
        <v>0.1</v>
      </c>
      <c r="I96" s="258">
        <v>9565800000</v>
      </c>
      <c r="J96" s="258">
        <v>105223800000</v>
      </c>
      <c r="K96" s="256" t="s">
        <v>1346</v>
      </c>
    </row>
    <row r="97" spans="1:11" x14ac:dyDescent="0.3">
      <c r="A97" s="256">
        <v>36</v>
      </c>
      <c r="B97" s="257" t="s">
        <v>1403</v>
      </c>
      <c r="C97" s="276">
        <v>44561</v>
      </c>
      <c r="D97" s="257" t="s">
        <v>1265</v>
      </c>
      <c r="E97" s="256" t="s">
        <v>1830</v>
      </c>
      <c r="F97" s="256" t="s">
        <v>1864</v>
      </c>
      <c r="G97" s="258">
        <v>28261000000</v>
      </c>
      <c r="H97" s="265">
        <v>0.1</v>
      </c>
      <c r="I97" s="258">
        <v>2826100000</v>
      </c>
      <c r="J97" s="258">
        <v>31087100000</v>
      </c>
      <c r="K97" s="256" t="s">
        <v>1346</v>
      </c>
    </row>
    <row r="98" spans="1:11" x14ac:dyDescent="0.3">
      <c r="A98" s="256">
        <v>37</v>
      </c>
      <c r="B98" s="257" t="s">
        <v>1404</v>
      </c>
      <c r="C98" s="276">
        <v>44561</v>
      </c>
      <c r="D98" s="257" t="s">
        <v>1270</v>
      </c>
      <c r="E98" s="256" t="s">
        <v>1782</v>
      </c>
      <c r="F98" s="256" t="s">
        <v>1864</v>
      </c>
      <c r="G98" s="258">
        <v>88456000000</v>
      </c>
      <c r="H98" s="265">
        <v>0.1</v>
      </c>
      <c r="I98" s="258">
        <v>8845600000</v>
      </c>
      <c r="J98" s="258">
        <v>97301600000</v>
      </c>
      <c r="K98" s="256" t="s">
        <v>1346</v>
      </c>
    </row>
    <row r="99" spans="1:11" x14ac:dyDescent="0.3">
      <c r="A99" s="256">
        <v>38</v>
      </c>
      <c r="B99" s="257" t="s">
        <v>1405</v>
      </c>
      <c r="C99" s="276">
        <v>44561</v>
      </c>
      <c r="D99" s="257" t="s">
        <v>1286</v>
      </c>
      <c r="E99" s="256" t="s">
        <v>1828</v>
      </c>
      <c r="F99" s="256" t="s">
        <v>1867</v>
      </c>
      <c r="G99" s="258">
        <v>78860000000</v>
      </c>
      <c r="H99" s="265">
        <v>0.1</v>
      </c>
      <c r="I99" s="258">
        <v>7886000000</v>
      </c>
      <c r="J99" s="258">
        <v>86746000000</v>
      </c>
      <c r="K99" s="256" t="s">
        <v>1346</v>
      </c>
    </row>
    <row r="100" spans="1:11" x14ac:dyDescent="0.3">
      <c r="A100" s="256">
        <v>39</v>
      </c>
      <c r="B100" s="257" t="s">
        <v>1406</v>
      </c>
      <c r="C100" s="276">
        <v>44561</v>
      </c>
      <c r="D100" s="257" t="s">
        <v>1273</v>
      </c>
      <c r="E100" s="256" t="s">
        <v>1829</v>
      </c>
      <c r="F100" s="256" t="s">
        <v>1865</v>
      </c>
      <c r="G100" s="258">
        <v>97389000000</v>
      </c>
      <c r="H100" s="265">
        <v>0.1</v>
      </c>
      <c r="I100" s="258">
        <v>9738900000</v>
      </c>
      <c r="J100" s="258">
        <v>107127900000</v>
      </c>
      <c r="K100" s="256" t="s">
        <v>1346</v>
      </c>
    </row>
    <row r="101" spans="1:11" x14ac:dyDescent="0.3">
      <c r="A101" s="256">
        <v>40</v>
      </c>
      <c r="B101" s="257" t="s">
        <v>1408</v>
      </c>
      <c r="C101" s="276">
        <v>44561</v>
      </c>
      <c r="D101" s="257" t="s">
        <v>1283</v>
      </c>
      <c r="E101" s="256" t="s">
        <v>1798</v>
      </c>
      <c r="F101" s="256" t="s">
        <v>1865</v>
      </c>
      <c r="G101" s="258">
        <v>60239000000</v>
      </c>
      <c r="H101" s="265">
        <v>0.1</v>
      </c>
      <c r="I101" s="258">
        <v>6023900000</v>
      </c>
      <c r="J101" s="258">
        <v>66262900000</v>
      </c>
      <c r="K101" s="256" t="s">
        <v>1346</v>
      </c>
    </row>
    <row r="102" spans="1:11" x14ac:dyDescent="0.3">
      <c r="A102" s="256">
        <v>41</v>
      </c>
      <c r="B102" s="257" t="s">
        <v>1409</v>
      </c>
      <c r="C102" s="276">
        <v>44561</v>
      </c>
      <c r="D102" s="257" t="s">
        <v>1277</v>
      </c>
      <c r="E102" s="256" t="s">
        <v>1783</v>
      </c>
      <c r="F102" s="256" t="s">
        <v>1867</v>
      </c>
      <c r="G102" s="258">
        <v>67607000000</v>
      </c>
      <c r="H102" s="265">
        <v>0.1</v>
      </c>
      <c r="I102" s="258">
        <v>6760700000</v>
      </c>
      <c r="J102" s="258">
        <v>74367700000</v>
      </c>
      <c r="K102" s="256" t="s">
        <v>1348</v>
      </c>
    </row>
    <row r="103" spans="1:11" x14ac:dyDescent="0.3">
      <c r="A103" s="256">
        <v>42</v>
      </c>
      <c r="B103" s="257" t="s">
        <v>1411</v>
      </c>
      <c r="C103" s="276">
        <v>44561</v>
      </c>
      <c r="D103" s="257" t="s">
        <v>1257</v>
      </c>
      <c r="E103" s="256" t="s">
        <v>1815</v>
      </c>
      <c r="F103" s="256" t="s">
        <v>1867</v>
      </c>
      <c r="G103" s="258">
        <v>30631000000</v>
      </c>
      <c r="H103" s="265">
        <v>0.1</v>
      </c>
      <c r="I103" s="258">
        <v>3063100000</v>
      </c>
      <c r="J103" s="258">
        <v>33694100000</v>
      </c>
      <c r="K103" s="256" t="s">
        <v>1348</v>
      </c>
    </row>
    <row r="104" spans="1:11" x14ac:dyDescent="0.3">
      <c r="A104" s="256">
        <v>43</v>
      </c>
      <c r="B104" s="257" t="s">
        <v>1414</v>
      </c>
      <c r="C104" s="276">
        <v>44561</v>
      </c>
      <c r="D104" s="257" t="s">
        <v>1298</v>
      </c>
      <c r="E104" s="256" t="s">
        <v>1819</v>
      </c>
      <c r="F104" s="256" t="s">
        <v>1867</v>
      </c>
      <c r="G104" s="258">
        <v>41848000000</v>
      </c>
      <c r="H104" s="265">
        <v>0.1</v>
      </c>
      <c r="I104" s="258">
        <v>4184800000</v>
      </c>
      <c r="J104" s="258">
        <v>46032800000</v>
      </c>
      <c r="K104" s="256" t="s">
        <v>1346</v>
      </c>
    </row>
    <row r="105" spans="1:11" x14ac:dyDescent="0.3">
      <c r="A105" s="256">
        <v>44</v>
      </c>
      <c r="B105" s="257" t="s">
        <v>1415</v>
      </c>
      <c r="C105" s="276">
        <v>44561</v>
      </c>
      <c r="D105" s="257" t="s">
        <v>1297</v>
      </c>
      <c r="E105" s="256" t="s">
        <v>1820</v>
      </c>
      <c r="F105" s="256" t="s">
        <v>1865</v>
      </c>
      <c r="G105" s="258">
        <v>62195000000</v>
      </c>
      <c r="H105" s="265">
        <v>0.1</v>
      </c>
      <c r="I105" s="258">
        <v>6219500000</v>
      </c>
      <c r="J105" s="258">
        <v>68414500000</v>
      </c>
      <c r="K105" s="256" t="s">
        <v>1346</v>
      </c>
    </row>
    <row r="106" spans="1:11" x14ac:dyDescent="0.3">
      <c r="A106" s="256">
        <v>45</v>
      </c>
      <c r="B106" s="257" t="s">
        <v>1206</v>
      </c>
      <c r="C106" s="276">
        <v>44561</v>
      </c>
      <c r="D106" s="257" t="s">
        <v>1278</v>
      </c>
      <c r="E106" s="256" t="s">
        <v>1785</v>
      </c>
      <c r="F106" s="256" t="s">
        <v>1867</v>
      </c>
      <c r="G106" s="258">
        <v>29375000000</v>
      </c>
      <c r="H106" s="265">
        <v>0.1</v>
      </c>
      <c r="I106" s="258">
        <v>2937500000</v>
      </c>
      <c r="J106" s="258">
        <v>32312500000</v>
      </c>
      <c r="K106" s="256" t="s">
        <v>1346</v>
      </c>
    </row>
    <row r="107" spans="1:11" x14ac:dyDescent="0.3">
      <c r="A107" s="256">
        <v>46</v>
      </c>
      <c r="B107" s="257" t="s">
        <v>1207</v>
      </c>
      <c r="C107" s="276">
        <v>44561</v>
      </c>
      <c r="D107" s="257" t="s">
        <v>1280</v>
      </c>
      <c r="E107" s="256" t="s">
        <v>1777</v>
      </c>
      <c r="F107" s="256" t="s">
        <v>1867</v>
      </c>
      <c r="G107" s="258">
        <v>73381000000</v>
      </c>
      <c r="H107" s="265">
        <v>0.1</v>
      </c>
      <c r="I107" s="258">
        <v>7338100000</v>
      </c>
      <c r="J107" s="258">
        <v>80719100000</v>
      </c>
      <c r="K107" s="256" t="s">
        <v>1346</v>
      </c>
    </row>
    <row r="108" spans="1:11" x14ac:dyDescent="0.3">
      <c r="A108" s="256">
        <v>47</v>
      </c>
      <c r="B108" s="257" t="s">
        <v>1208</v>
      </c>
      <c r="C108" s="276">
        <v>44561</v>
      </c>
      <c r="D108" s="257" t="s">
        <v>1256</v>
      </c>
      <c r="E108" s="256" t="s">
        <v>1802</v>
      </c>
      <c r="F108" s="256" t="s">
        <v>1867</v>
      </c>
      <c r="G108" s="258">
        <v>80447000000</v>
      </c>
      <c r="H108" s="265">
        <v>0.1</v>
      </c>
      <c r="I108" s="258">
        <v>8044700000</v>
      </c>
      <c r="J108" s="258">
        <v>88491700000</v>
      </c>
      <c r="K108" s="256" t="s">
        <v>1348</v>
      </c>
    </row>
    <row r="109" spans="1:11" x14ac:dyDescent="0.3">
      <c r="A109" s="256">
        <v>48</v>
      </c>
      <c r="B109" s="257" t="s">
        <v>1209</v>
      </c>
      <c r="C109" s="276">
        <v>44561</v>
      </c>
      <c r="D109" s="257" t="s">
        <v>1289</v>
      </c>
      <c r="E109" s="256" t="s">
        <v>1803</v>
      </c>
      <c r="F109" s="256" t="s">
        <v>1864</v>
      </c>
      <c r="G109" s="258">
        <v>61125000000</v>
      </c>
      <c r="H109" s="265">
        <v>0.1</v>
      </c>
      <c r="I109" s="258">
        <v>6112500000</v>
      </c>
      <c r="J109" s="258">
        <v>67237500000</v>
      </c>
      <c r="K109" s="256" t="s">
        <v>1346</v>
      </c>
    </row>
    <row r="110" spans="1:11" x14ac:dyDescent="0.3">
      <c r="A110" s="256">
        <v>49</v>
      </c>
      <c r="B110" s="257" t="s">
        <v>1418</v>
      </c>
      <c r="C110" s="276">
        <v>44561</v>
      </c>
      <c r="D110" s="257" t="s">
        <v>1258</v>
      </c>
      <c r="E110" s="256" t="s">
        <v>1833</v>
      </c>
      <c r="F110" s="256" t="s">
        <v>1867</v>
      </c>
      <c r="G110" s="258">
        <v>36515000000</v>
      </c>
      <c r="H110" s="265">
        <v>0.1</v>
      </c>
      <c r="I110" s="258">
        <v>3651500000</v>
      </c>
      <c r="J110" s="258">
        <v>40166500000</v>
      </c>
      <c r="K110" s="256" t="s">
        <v>1348</v>
      </c>
    </row>
    <row r="111" spans="1:11" x14ac:dyDescent="0.3">
      <c r="A111" s="256">
        <v>50</v>
      </c>
      <c r="B111" s="257" t="s">
        <v>1419</v>
      </c>
      <c r="C111" s="276">
        <v>44561</v>
      </c>
      <c r="D111" s="257" t="s">
        <v>1276</v>
      </c>
      <c r="E111" s="256" t="s">
        <v>1822</v>
      </c>
      <c r="F111" s="256" t="s">
        <v>1867</v>
      </c>
      <c r="G111" s="258">
        <v>30218000000</v>
      </c>
      <c r="H111" s="265">
        <v>0.1</v>
      </c>
      <c r="I111" s="258">
        <v>3021800000</v>
      </c>
      <c r="J111" s="258">
        <v>33239800000</v>
      </c>
      <c r="K111" s="256" t="s">
        <v>1346</v>
      </c>
    </row>
    <row r="112" spans="1:11" x14ac:dyDescent="0.3">
      <c r="A112" s="266" t="s">
        <v>1351</v>
      </c>
      <c r="B112" s="266"/>
      <c r="C112" s="266"/>
      <c r="D112" s="266"/>
      <c r="E112" s="266"/>
      <c r="F112" s="266"/>
      <c r="G112" s="267">
        <f>SUM(G62:G111)</f>
        <v>3023114000000</v>
      </c>
      <c r="H112" s="266"/>
      <c r="I112" s="267">
        <f>SUM(I62:I111)</f>
        <v>284506400000</v>
      </c>
      <c r="J112" s="267">
        <f>SUM(J62:J111)</f>
        <v>3307620400000</v>
      </c>
      <c r="K112" s="266"/>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742</v>
      </c>
      <c r="C1" s="256"/>
      <c r="D1" s="256"/>
      <c r="E1" s="256"/>
      <c r="F1" s="256"/>
      <c r="G1" s="256"/>
      <c r="H1" s="256"/>
      <c r="I1" s="256"/>
      <c r="J1" s="256"/>
      <c r="K1" s="256"/>
    </row>
    <row r="2" spans="1:11" x14ac:dyDescent="0.3">
      <c r="A2" s="256" t="s">
        <v>1339</v>
      </c>
      <c r="B2" s="257">
        <v>105327316</v>
      </c>
      <c r="C2" s="256"/>
      <c r="D2" s="256"/>
      <c r="E2" s="256"/>
      <c r="F2" s="256"/>
      <c r="G2" s="256"/>
      <c r="H2" s="256"/>
      <c r="I2" s="256"/>
      <c r="J2" s="256"/>
      <c r="K2" s="256"/>
    </row>
    <row r="3" spans="1:11" x14ac:dyDescent="0.3">
      <c r="A3" s="256" t="s">
        <v>1343</v>
      </c>
      <c r="B3" s="258">
        <v>411445826760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1381</v>
      </c>
      <c r="C8" s="276">
        <v>44317</v>
      </c>
      <c r="D8" s="257" t="s">
        <v>1286</v>
      </c>
      <c r="E8" s="256" t="s">
        <v>1828</v>
      </c>
      <c r="F8" s="256" t="s">
        <v>1876</v>
      </c>
      <c r="G8" s="258">
        <v>3884000000</v>
      </c>
      <c r="H8" s="265">
        <v>0.1</v>
      </c>
      <c r="I8" s="258">
        <v>388400000</v>
      </c>
      <c r="J8" s="258">
        <v>4272400000</v>
      </c>
      <c r="K8" s="256" t="s">
        <v>1346</v>
      </c>
    </row>
    <row r="9" spans="1:11" x14ac:dyDescent="0.3">
      <c r="A9" s="256">
        <v>2</v>
      </c>
      <c r="B9" s="257" t="s">
        <v>1374</v>
      </c>
      <c r="C9" s="276">
        <v>44318</v>
      </c>
      <c r="D9" s="257" t="s">
        <v>1294</v>
      </c>
      <c r="E9" s="256" t="s">
        <v>1795</v>
      </c>
      <c r="F9" s="256" t="s">
        <v>1879</v>
      </c>
      <c r="G9" s="258">
        <v>5455000000</v>
      </c>
      <c r="H9" s="265">
        <v>0.1</v>
      </c>
      <c r="I9" s="258">
        <v>545500000</v>
      </c>
      <c r="J9" s="258">
        <v>6000500000</v>
      </c>
      <c r="K9" s="256" t="s">
        <v>1346</v>
      </c>
    </row>
    <row r="10" spans="1:11" x14ac:dyDescent="0.3">
      <c r="A10" s="256">
        <v>3</v>
      </c>
      <c r="B10" s="257" t="s">
        <v>1461</v>
      </c>
      <c r="C10" s="276">
        <v>44472</v>
      </c>
      <c r="D10" s="257" t="s">
        <v>1259</v>
      </c>
      <c r="E10" s="256" t="s">
        <v>1788</v>
      </c>
      <c r="F10" s="256" t="s">
        <v>1879</v>
      </c>
      <c r="G10" s="258">
        <v>3648000000</v>
      </c>
      <c r="H10" s="265">
        <v>0.1</v>
      </c>
      <c r="I10" s="258">
        <v>364800000</v>
      </c>
      <c r="J10" s="258">
        <v>4012800000</v>
      </c>
      <c r="K10" s="256" t="s">
        <v>1346</v>
      </c>
    </row>
    <row r="11" spans="1:11" x14ac:dyDescent="0.3">
      <c r="A11" s="256">
        <v>4</v>
      </c>
      <c r="B11" s="257" t="s">
        <v>1399</v>
      </c>
      <c r="C11" s="276">
        <v>44473</v>
      </c>
      <c r="D11" s="257" t="s">
        <v>1269</v>
      </c>
      <c r="E11" s="256" t="s">
        <v>1823</v>
      </c>
      <c r="F11" s="256" t="s">
        <v>1880</v>
      </c>
      <c r="G11" s="258">
        <v>4247000000</v>
      </c>
      <c r="H11" s="265">
        <v>0.1</v>
      </c>
      <c r="I11" s="258">
        <v>424700000</v>
      </c>
      <c r="J11" s="258">
        <v>4671700000</v>
      </c>
      <c r="K11" s="256" t="s">
        <v>1348</v>
      </c>
    </row>
    <row r="12" spans="1:11" x14ac:dyDescent="0.3">
      <c r="A12" s="256">
        <v>5</v>
      </c>
      <c r="B12" s="257" t="s">
        <v>1385</v>
      </c>
      <c r="C12" s="276">
        <v>44474</v>
      </c>
      <c r="D12" s="257" t="s">
        <v>1292</v>
      </c>
      <c r="E12" s="256" t="s">
        <v>1792</v>
      </c>
      <c r="F12" s="256" t="s">
        <v>1609</v>
      </c>
      <c r="G12" s="258">
        <v>4595000000</v>
      </c>
      <c r="H12" s="265">
        <v>0.1</v>
      </c>
      <c r="I12" s="258">
        <v>459500000</v>
      </c>
      <c r="J12" s="258">
        <v>5054500000</v>
      </c>
      <c r="K12" s="256" t="s">
        <v>1348</v>
      </c>
    </row>
    <row r="13" spans="1:11" x14ac:dyDescent="0.3">
      <c r="A13" s="256">
        <v>6</v>
      </c>
      <c r="B13" s="257" t="s">
        <v>1415</v>
      </c>
      <c r="C13" s="276">
        <v>44475</v>
      </c>
      <c r="D13" s="257" t="s">
        <v>1256</v>
      </c>
      <c r="E13" s="256" t="s">
        <v>1802</v>
      </c>
      <c r="F13" s="256" t="s">
        <v>1880</v>
      </c>
      <c r="G13" s="258">
        <v>7812000000</v>
      </c>
      <c r="H13" s="265">
        <v>0.1</v>
      </c>
      <c r="I13" s="258">
        <v>781200000</v>
      </c>
      <c r="J13" s="258">
        <v>8593200000</v>
      </c>
      <c r="K13" s="256" t="s">
        <v>1346</v>
      </c>
    </row>
    <row r="14" spans="1:11" x14ac:dyDescent="0.3">
      <c r="A14" s="256">
        <v>7</v>
      </c>
      <c r="B14" s="257" t="s">
        <v>1401</v>
      </c>
      <c r="C14" s="276">
        <v>44476</v>
      </c>
      <c r="D14" s="257" t="s">
        <v>1282</v>
      </c>
      <c r="E14" s="256" t="s">
        <v>1789</v>
      </c>
      <c r="F14" s="256" t="s">
        <v>1880</v>
      </c>
      <c r="G14" s="258">
        <v>8545000000</v>
      </c>
      <c r="H14" s="265">
        <v>0.1</v>
      </c>
      <c r="I14" s="258">
        <v>854500000</v>
      </c>
      <c r="J14" s="258">
        <v>9399500000</v>
      </c>
      <c r="K14" s="256" t="s">
        <v>1346</v>
      </c>
    </row>
    <row r="15" spans="1:11" x14ac:dyDescent="0.3">
      <c r="A15" s="256">
        <v>8</v>
      </c>
      <c r="B15" s="257" t="s">
        <v>1414</v>
      </c>
      <c r="C15" s="276">
        <v>44477</v>
      </c>
      <c r="D15" s="257" t="s">
        <v>1271</v>
      </c>
      <c r="E15" s="256" t="s">
        <v>1799</v>
      </c>
      <c r="F15" s="256" t="s">
        <v>1609</v>
      </c>
      <c r="G15" s="258">
        <v>3638000000</v>
      </c>
      <c r="H15" s="265">
        <v>0</v>
      </c>
      <c r="I15" s="258">
        <v>0</v>
      </c>
      <c r="J15" s="258">
        <v>3638000000</v>
      </c>
      <c r="K15" s="256" t="s">
        <v>1346</v>
      </c>
    </row>
    <row r="16" spans="1:11" x14ac:dyDescent="0.3">
      <c r="A16" s="256">
        <v>9</v>
      </c>
      <c r="B16" s="257" t="s">
        <v>1403</v>
      </c>
      <c r="C16" s="276">
        <v>44478</v>
      </c>
      <c r="D16" s="257" t="s">
        <v>1288</v>
      </c>
      <c r="E16" s="256" t="s">
        <v>1797</v>
      </c>
      <c r="F16" s="256" t="s">
        <v>1877</v>
      </c>
      <c r="G16" s="258">
        <v>5809000000</v>
      </c>
      <c r="H16" s="265">
        <v>0.1</v>
      </c>
      <c r="I16" s="258">
        <v>580900000</v>
      </c>
      <c r="J16" s="258">
        <v>6389900000</v>
      </c>
      <c r="K16" s="256" t="s">
        <v>1346</v>
      </c>
    </row>
    <row r="17" spans="1:11" x14ac:dyDescent="0.3">
      <c r="A17" s="256">
        <v>10</v>
      </c>
      <c r="B17" s="257" t="s">
        <v>1207</v>
      </c>
      <c r="C17" s="276">
        <v>44479</v>
      </c>
      <c r="D17" s="257" t="s">
        <v>1273</v>
      </c>
      <c r="E17" s="256" t="s">
        <v>1829</v>
      </c>
      <c r="F17" s="256" t="s">
        <v>1878</v>
      </c>
      <c r="G17" s="258">
        <v>8122000000</v>
      </c>
      <c r="H17" s="265">
        <v>0</v>
      </c>
      <c r="I17" s="258">
        <v>0</v>
      </c>
      <c r="J17" s="258">
        <v>8122000000</v>
      </c>
      <c r="K17" s="256" t="s">
        <v>1346</v>
      </c>
    </row>
    <row r="18" spans="1:11" x14ac:dyDescent="0.3">
      <c r="A18" s="256">
        <v>11</v>
      </c>
      <c r="B18" s="257" t="s">
        <v>1208</v>
      </c>
      <c r="C18" s="276">
        <v>44480</v>
      </c>
      <c r="D18" s="257" t="s">
        <v>1270</v>
      </c>
      <c r="E18" s="256" t="s">
        <v>1782</v>
      </c>
      <c r="F18" s="256" t="s">
        <v>1878</v>
      </c>
      <c r="G18" s="258">
        <v>7916000000</v>
      </c>
      <c r="H18" s="265">
        <v>0.1</v>
      </c>
      <c r="I18" s="258">
        <v>791600000</v>
      </c>
      <c r="J18" s="258">
        <v>8707600000</v>
      </c>
      <c r="K18" s="256" t="s">
        <v>1346</v>
      </c>
    </row>
    <row r="19" spans="1:11" x14ac:dyDescent="0.3">
      <c r="A19" s="256">
        <v>12</v>
      </c>
      <c r="B19" s="257" t="s">
        <v>1371</v>
      </c>
      <c r="C19" s="276">
        <v>44481</v>
      </c>
      <c r="D19" s="257" t="s">
        <v>1298</v>
      </c>
      <c r="E19" s="256" t="s">
        <v>1819</v>
      </c>
      <c r="F19" s="256" t="s">
        <v>1877</v>
      </c>
      <c r="G19" s="258">
        <v>6132000000</v>
      </c>
      <c r="H19" s="265">
        <v>0.1</v>
      </c>
      <c r="I19" s="258">
        <v>613200000</v>
      </c>
      <c r="J19" s="258">
        <v>6745200000</v>
      </c>
      <c r="K19" s="256" t="s">
        <v>1346</v>
      </c>
    </row>
    <row r="20" spans="1:11" x14ac:dyDescent="0.3">
      <c r="A20" s="256">
        <v>13</v>
      </c>
      <c r="B20" s="257" t="s">
        <v>1404</v>
      </c>
      <c r="C20" s="276">
        <v>44211</v>
      </c>
      <c r="D20" s="257" t="s">
        <v>1288</v>
      </c>
      <c r="E20" s="256" t="s">
        <v>1797</v>
      </c>
      <c r="F20" s="256" t="s">
        <v>1878</v>
      </c>
      <c r="G20" s="258">
        <v>6181000000</v>
      </c>
      <c r="H20" s="265">
        <v>0.1</v>
      </c>
      <c r="I20" s="258">
        <v>618100000</v>
      </c>
      <c r="J20" s="258">
        <v>6799100000</v>
      </c>
      <c r="K20" s="256" t="s">
        <v>1346</v>
      </c>
    </row>
    <row r="21" spans="1:11" x14ac:dyDescent="0.3">
      <c r="A21" s="256">
        <v>14</v>
      </c>
      <c r="B21" s="257" t="s">
        <v>1209</v>
      </c>
      <c r="C21" s="276">
        <v>44242</v>
      </c>
      <c r="D21" s="257" t="s">
        <v>1270</v>
      </c>
      <c r="E21" s="256" t="s">
        <v>1782</v>
      </c>
      <c r="F21" s="256" t="s">
        <v>1878</v>
      </c>
      <c r="G21" s="258">
        <v>8246000000</v>
      </c>
      <c r="H21" s="265">
        <v>0.1</v>
      </c>
      <c r="I21" s="258">
        <v>824600000</v>
      </c>
      <c r="J21" s="258">
        <v>9070600000</v>
      </c>
      <c r="K21" s="256" t="s">
        <v>1346</v>
      </c>
    </row>
    <row r="22" spans="1:11" x14ac:dyDescent="0.3">
      <c r="A22" s="256">
        <v>15</v>
      </c>
      <c r="B22" s="257" t="s">
        <v>1208</v>
      </c>
      <c r="C22" s="276">
        <v>44275</v>
      </c>
      <c r="D22" s="257" t="s">
        <v>1273</v>
      </c>
      <c r="E22" s="256" t="s">
        <v>1829</v>
      </c>
      <c r="F22" s="256" t="s">
        <v>1878</v>
      </c>
      <c r="G22" s="258">
        <v>3051000000</v>
      </c>
      <c r="H22" s="265">
        <v>0.1</v>
      </c>
      <c r="I22" s="258">
        <v>305100000</v>
      </c>
      <c r="J22" s="258">
        <v>3356100000</v>
      </c>
      <c r="K22" s="256" t="s">
        <v>1348</v>
      </c>
    </row>
    <row r="23" spans="1:11" x14ac:dyDescent="0.3">
      <c r="A23" s="256">
        <v>16</v>
      </c>
      <c r="B23" s="257" t="s">
        <v>1206</v>
      </c>
      <c r="C23" s="276">
        <v>44306</v>
      </c>
      <c r="D23" s="257" t="s">
        <v>1283</v>
      </c>
      <c r="E23" s="256" t="s">
        <v>1798</v>
      </c>
      <c r="F23" s="256" t="s">
        <v>1880</v>
      </c>
      <c r="G23" s="258">
        <v>6540000000</v>
      </c>
      <c r="H23" s="265">
        <v>0.1</v>
      </c>
      <c r="I23" s="258">
        <v>654000000</v>
      </c>
      <c r="J23" s="258">
        <v>7194000000</v>
      </c>
      <c r="K23" s="256" t="s">
        <v>1346</v>
      </c>
    </row>
    <row r="24" spans="1:11" x14ac:dyDescent="0.3">
      <c r="A24" s="256">
        <v>17</v>
      </c>
      <c r="B24" s="257" t="s">
        <v>1204</v>
      </c>
      <c r="C24" s="276">
        <v>44336</v>
      </c>
      <c r="D24" s="257" t="s">
        <v>1291</v>
      </c>
      <c r="E24" s="256" t="s">
        <v>1800</v>
      </c>
      <c r="F24" s="256" t="s">
        <v>1609</v>
      </c>
      <c r="G24" s="258">
        <v>3670000000</v>
      </c>
      <c r="H24" s="265">
        <v>0.1</v>
      </c>
      <c r="I24" s="258">
        <v>367000000</v>
      </c>
      <c r="J24" s="258">
        <v>4037000000</v>
      </c>
      <c r="K24" s="256" t="s">
        <v>1346</v>
      </c>
    </row>
    <row r="25" spans="1:11" x14ac:dyDescent="0.3">
      <c r="A25" s="256">
        <v>18</v>
      </c>
      <c r="B25" s="257" t="s">
        <v>1392</v>
      </c>
      <c r="C25" s="276">
        <v>44367</v>
      </c>
      <c r="D25" s="257" t="s">
        <v>1290</v>
      </c>
      <c r="E25" s="256" t="s">
        <v>1796</v>
      </c>
      <c r="F25" s="256" t="s">
        <v>1877</v>
      </c>
      <c r="G25" s="258">
        <v>4270000000</v>
      </c>
      <c r="H25" s="265">
        <v>0.1</v>
      </c>
      <c r="I25" s="258">
        <v>427000000</v>
      </c>
      <c r="J25" s="258">
        <v>4697000000</v>
      </c>
      <c r="K25" s="256" t="s">
        <v>1346</v>
      </c>
    </row>
    <row r="26" spans="1:11" x14ac:dyDescent="0.3">
      <c r="A26" s="256">
        <v>19</v>
      </c>
      <c r="B26" s="257" t="s">
        <v>1392</v>
      </c>
      <c r="C26" s="276">
        <v>44397</v>
      </c>
      <c r="D26" s="257" t="s">
        <v>1293</v>
      </c>
      <c r="E26" s="256" t="s">
        <v>1826</v>
      </c>
      <c r="F26" s="256" t="s">
        <v>1609</v>
      </c>
      <c r="G26" s="258">
        <v>7120000000</v>
      </c>
      <c r="H26" s="265">
        <v>0.1</v>
      </c>
      <c r="I26" s="258">
        <v>712000000</v>
      </c>
      <c r="J26" s="258">
        <v>7832000000</v>
      </c>
      <c r="K26" s="256" t="s">
        <v>1348</v>
      </c>
    </row>
    <row r="27" spans="1:11" x14ac:dyDescent="0.3">
      <c r="A27" s="256">
        <v>20</v>
      </c>
      <c r="B27" s="257" t="s">
        <v>1418</v>
      </c>
      <c r="C27" s="276">
        <v>44428</v>
      </c>
      <c r="D27" s="257" t="s">
        <v>1270</v>
      </c>
      <c r="E27" s="256" t="s">
        <v>1782</v>
      </c>
      <c r="F27" s="256" t="s">
        <v>1878</v>
      </c>
      <c r="G27" s="258">
        <v>9062000000</v>
      </c>
      <c r="H27" s="265">
        <v>0.1</v>
      </c>
      <c r="I27" s="258">
        <v>906200000</v>
      </c>
      <c r="J27" s="258">
        <v>9968200000</v>
      </c>
      <c r="K27" s="256" t="s">
        <v>1346</v>
      </c>
    </row>
    <row r="28" spans="1:11" x14ac:dyDescent="0.3">
      <c r="A28" s="256">
        <v>21</v>
      </c>
      <c r="B28" s="257" t="s">
        <v>1387</v>
      </c>
      <c r="C28" s="276">
        <v>44459</v>
      </c>
      <c r="D28" s="257" t="s">
        <v>1302</v>
      </c>
      <c r="E28" s="256" t="s">
        <v>1784</v>
      </c>
      <c r="F28" s="256" t="s">
        <v>1880</v>
      </c>
      <c r="G28" s="258">
        <v>9050000000</v>
      </c>
      <c r="H28" s="265">
        <v>0.1</v>
      </c>
      <c r="I28" s="258">
        <v>905000000</v>
      </c>
      <c r="J28" s="258">
        <v>9955000000</v>
      </c>
      <c r="K28" s="256" t="s">
        <v>1346</v>
      </c>
    </row>
    <row r="29" spans="1:11" x14ac:dyDescent="0.3">
      <c r="A29" s="256">
        <v>22</v>
      </c>
      <c r="B29" s="257" t="s">
        <v>1382</v>
      </c>
      <c r="C29" s="276">
        <v>44489</v>
      </c>
      <c r="D29" s="257" t="s">
        <v>1286</v>
      </c>
      <c r="E29" s="256" t="s">
        <v>1828</v>
      </c>
      <c r="F29" s="256" t="s">
        <v>1879</v>
      </c>
      <c r="G29" s="258">
        <v>5106000000</v>
      </c>
      <c r="H29" s="265">
        <v>0.1</v>
      </c>
      <c r="I29" s="258">
        <v>510600000</v>
      </c>
      <c r="J29" s="258">
        <v>5616600000</v>
      </c>
      <c r="K29" s="256" t="s">
        <v>1346</v>
      </c>
    </row>
    <row r="30" spans="1:11" x14ac:dyDescent="0.3">
      <c r="A30" s="256">
        <v>23</v>
      </c>
      <c r="B30" s="257" t="s">
        <v>1464</v>
      </c>
      <c r="C30" s="276">
        <v>44520</v>
      </c>
      <c r="D30" s="257" t="s">
        <v>1277</v>
      </c>
      <c r="E30" s="256" t="s">
        <v>1783</v>
      </c>
      <c r="F30" s="256" t="s">
        <v>1609</v>
      </c>
      <c r="G30" s="258">
        <v>9592000000</v>
      </c>
      <c r="H30" s="265">
        <v>0.1</v>
      </c>
      <c r="I30" s="258">
        <v>959200000</v>
      </c>
      <c r="J30" s="258">
        <v>10551200000</v>
      </c>
      <c r="K30" s="256" t="s">
        <v>1346</v>
      </c>
    </row>
    <row r="31" spans="1:11" x14ac:dyDescent="0.3">
      <c r="A31" s="256">
        <v>24</v>
      </c>
      <c r="B31" s="257" t="s">
        <v>1404</v>
      </c>
      <c r="C31" s="276">
        <v>44550</v>
      </c>
      <c r="D31" s="257" t="s">
        <v>1289</v>
      </c>
      <c r="E31" s="256" t="s">
        <v>1803</v>
      </c>
      <c r="F31" s="256" t="s">
        <v>1877</v>
      </c>
      <c r="G31" s="258">
        <v>4811000000</v>
      </c>
      <c r="H31" s="265">
        <v>0.1</v>
      </c>
      <c r="I31" s="258">
        <v>481100000</v>
      </c>
      <c r="J31" s="258">
        <v>5292100000</v>
      </c>
      <c r="K31" s="256" t="s">
        <v>1346</v>
      </c>
    </row>
    <row r="32" spans="1:11" x14ac:dyDescent="0.3">
      <c r="A32" s="256">
        <v>25</v>
      </c>
      <c r="B32" s="257" t="s">
        <v>1209</v>
      </c>
      <c r="C32" s="276">
        <v>44221</v>
      </c>
      <c r="D32" s="257" t="s">
        <v>1260</v>
      </c>
      <c r="E32" s="256" t="s">
        <v>1804</v>
      </c>
      <c r="F32" s="256" t="s">
        <v>1876</v>
      </c>
      <c r="G32" s="258">
        <v>3955000000</v>
      </c>
      <c r="H32" s="265">
        <v>0.1</v>
      </c>
      <c r="I32" s="258">
        <v>395500000</v>
      </c>
      <c r="J32" s="258">
        <v>4350500000</v>
      </c>
      <c r="K32" s="256" t="s">
        <v>1346</v>
      </c>
    </row>
    <row r="33" spans="1:11" x14ac:dyDescent="0.3">
      <c r="A33" s="256">
        <v>26</v>
      </c>
      <c r="B33" s="257" t="s">
        <v>1394</v>
      </c>
      <c r="C33" s="276">
        <v>44255</v>
      </c>
      <c r="D33" s="257" t="s">
        <v>1290</v>
      </c>
      <c r="E33" s="256" t="s">
        <v>1796</v>
      </c>
      <c r="F33" s="256" t="s">
        <v>1609</v>
      </c>
      <c r="G33" s="258">
        <v>8530000000</v>
      </c>
      <c r="H33" s="265">
        <v>0.1</v>
      </c>
      <c r="I33" s="258">
        <v>853000000</v>
      </c>
      <c r="J33" s="258">
        <v>9383000000</v>
      </c>
      <c r="K33" s="256" t="s">
        <v>1346</v>
      </c>
    </row>
    <row r="34" spans="1:11" x14ac:dyDescent="0.3">
      <c r="A34" s="256">
        <v>27</v>
      </c>
      <c r="B34" s="257" t="s">
        <v>1388</v>
      </c>
      <c r="C34" s="276">
        <v>44316</v>
      </c>
      <c r="D34" s="257" t="s">
        <v>1258</v>
      </c>
      <c r="E34" s="256" t="s">
        <v>1833</v>
      </c>
      <c r="F34" s="256" t="s">
        <v>1879</v>
      </c>
      <c r="G34" s="258">
        <v>5549000000</v>
      </c>
      <c r="H34" s="265">
        <v>0.1</v>
      </c>
      <c r="I34" s="258">
        <v>554900000</v>
      </c>
      <c r="J34" s="258">
        <v>6103900000</v>
      </c>
      <c r="K34" s="256" t="s">
        <v>1346</v>
      </c>
    </row>
    <row r="35" spans="1:11" x14ac:dyDescent="0.3">
      <c r="A35" s="256">
        <v>28</v>
      </c>
      <c r="B35" s="257" t="s">
        <v>1209</v>
      </c>
      <c r="C35" s="276">
        <v>44377</v>
      </c>
      <c r="D35" s="257" t="s">
        <v>1273</v>
      </c>
      <c r="E35" s="256" t="s">
        <v>1829</v>
      </c>
      <c r="F35" s="256" t="s">
        <v>1609</v>
      </c>
      <c r="G35" s="258">
        <v>5231000000</v>
      </c>
      <c r="H35" s="265">
        <v>0.1</v>
      </c>
      <c r="I35" s="258">
        <v>523100000</v>
      </c>
      <c r="J35" s="258">
        <v>5754100000</v>
      </c>
      <c r="K35" s="256" t="s">
        <v>1346</v>
      </c>
    </row>
    <row r="36" spans="1:11" x14ac:dyDescent="0.3">
      <c r="A36" s="256">
        <v>29</v>
      </c>
      <c r="B36" s="257" t="s">
        <v>1456</v>
      </c>
      <c r="C36" s="276">
        <v>44469</v>
      </c>
      <c r="D36" s="257" t="s">
        <v>1275</v>
      </c>
      <c r="E36" s="256" t="s">
        <v>1808</v>
      </c>
      <c r="F36" s="256" t="s">
        <v>1609</v>
      </c>
      <c r="G36" s="258">
        <v>9446000000</v>
      </c>
      <c r="H36" s="265">
        <v>0.1</v>
      </c>
      <c r="I36" s="258">
        <v>944600000</v>
      </c>
      <c r="J36" s="258">
        <v>10390600000</v>
      </c>
      <c r="K36" s="256" t="s">
        <v>1346</v>
      </c>
    </row>
    <row r="37" spans="1:11" x14ac:dyDescent="0.3">
      <c r="A37" s="256">
        <v>30</v>
      </c>
      <c r="B37" s="257" t="s">
        <v>1405</v>
      </c>
      <c r="C37" s="276">
        <v>44530</v>
      </c>
      <c r="D37" s="257" t="s">
        <v>1288</v>
      </c>
      <c r="E37" s="256" t="s">
        <v>1797</v>
      </c>
      <c r="F37" s="256" t="s">
        <v>1876</v>
      </c>
      <c r="G37" s="258">
        <v>4767000000</v>
      </c>
      <c r="H37" s="265">
        <v>0.1</v>
      </c>
      <c r="I37" s="258">
        <v>476700000</v>
      </c>
      <c r="J37" s="258">
        <v>5243700000</v>
      </c>
      <c r="K37" s="256" t="s">
        <v>1346</v>
      </c>
    </row>
    <row r="38" spans="1:11" x14ac:dyDescent="0.3">
      <c r="A38" s="256">
        <v>31</v>
      </c>
      <c r="B38" s="257" t="s">
        <v>1406</v>
      </c>
      <c r="C38" s="276">
        <v>44286</v>
      </c>
      <c r="D38" s="257" t="s">
        <v>1288</v>
      </c>
      <c r="E38" s="256" t="s">
        <v>1797</v>
      </c>
      <c r="F38" s="256" t="s">
        <v>1879</v>
      </c>
      <c r="G38" s="258">
        <v>5423000000</v>
      </c>
      <c r="H38" s="265">
        <v>0.1</v>
      </c>
      <c r="I38" s="258">
        <v>542300000</v>
      </c>
      <c r="J38" s="258">
        <v>5965300000</v>
      </c>
      <c r="K38" s="256" t="s">
        <v>1346</v>
      </c>
    </row>
    <row r="39" spans="1:11" x14ac:dyDescent="0.3">
      <c r="A39" s="256">
        <v>32</v>
      </c>
      <c r="B39" s="257" t="s">
        <v>1405</v>
      </c>
      <c r="C39" s="276">
        <v>44347</v>
      </c>
      <c r="D39" s="257" t="s">
        <v>1267</v>
      </c>
      <c r="E39" s="256" t="s">
        <v>1810</v>
      </c>
      <c r="F39" s="256" t="s">
        <v>1609</v>
      </c>
      <c r="G39" s="258">
        <v>9064000000</v>
      </c>
      <c r="H39" s="265">
        <v>0.1</v>
      </c>
      <c r="I39" s="258">
        <v>906400000</v>
      </c>
      <c r="J39" s="258">
        <v>9970400000</v>
      </c>
      <c r="K39" s="256" t="s">
        <v>1348</v>
      </c>
    </row>
    <row r="40" spans="1:11" x14ac:dyDescent="0.3">
      <c r="A40" s="256">
        <v>33</v>
      </c>
      <c r="B40" s="257" t="s">
        <v>1387</v>
      </c>
      <c r="C40" s="276">
        <v>44408</v>
      </c>
      <c r="D40" s="257" t="s">
        <v>1292</v>
      </c>
      <c r="E40" s="256" t="s">
        <v>1792</v>
      </c>
      <c r="F40" s="256" t="s">
        <v>1878</v>
      </c>
      <c r="G40" s="258">
        <v>5596000000</v>
      </c>
      <c r="H40" s="265">
        <v>0.1</v>
      </c>
      <c r="I40" s="258">
        <v>559600000</v>
      </c>
      <c r="J40" s="258">
        <v>6155600000</v>
      </c>
      <c r="K40" s="256" t="s">
        <v>1346</v>
      </c>
    </row>
    <row r="41" spans="1:11" x14ac:dyDescent="0.3">
      <c r="A41" s="256">
        <v>34</v>
      </c>
      <c r="B41" s="257" t="s">
        <v>1378</v>
      </c>
      <c r="C41" s="276">
        <v>44439</v>
      </c>
      <c r="D41" s="257" t="s">
        <v>1261</v>
      </c>
      <c r="E41" s="256" t="s">
        <v>1813</v>
      </c>
      <c r="F41" s="256" t="s">
        <v>1876</v>
      </c>
      <c r="G41" s="258">
        <v>8202000000</v>
      </c>
      <c r="H41" s="265">
        <v>0.1</v>
      </c>
      <c r="I41" s="258">
        <v>820200000</v>
      </c>
      <c r="J41" s="258">
        <v>9022200000</v>
      </c>
      <c r="K41" s="256" t="s">
        <v>1346</v>
      </c>
    </row>
    <row r="42" spans="1:11" x14ac:dyDescent="0.3">
      <c r="A42" s="256">
        <v>35</v>
      </c>
      <c r="B42" s="257" t="s">
        <v>1457</v>
      </c>
      <c r="C42" s="276">
        <v>44500</v>
      </c>
      <c r="D42" s="257" t="s">
        <v>1275</v>
      </c>
      <c r="E42" s="256" t="s">
        <v>1808</v>
      </c>
      <c r="F42" s="256" t="s">
        <v>1877</v>
      </c>
      <c r="G42" s="258">
        <v>8884000000</v>
      </c>
      <c r="H42" s="265">
        <v>0.1</v>
      </c>
      <c r="I42" s="258">
        <v>888400000</v>
      </c>
      <c r="J42" s="258">
        <v>9772400000</v>
      </c>
      <c r="K42" s="256" t="s">
        <v>1348</v>
      </c>
    </row>
    <row r="43" spans="1:11" x14ac:dyDescent="0.3">
      <c r="A43" s="256">
        <v>36</v>
      </c>
      <c r="B43" s="257" t="s">
        <v>1373</v>
      </c>
      <c r="C43" s="276">
        <v>44561</v>
      </c>
      <c r="D43" s="257" t="s">
        <v>1298</v>
      </c>
      <c r="E43" s="256" t="s">
        <v>1819</v>
      </c>
      <c r="F43" s="256" t="s">
        <v>1878</v>
      </c>
      <c r="G43" s="258">
        <v>4828000000</v>
      </c>
      <c r="H43" s="265">
        <v>0.1</v>
      </c>
      <c r="I43" s="258">
        <v>482800000</v>
      </c>
      <c r="J43" s="258">
        <v>5310800000</v>
      </c>
      <c r="K43" s="256" t="s">
        <v>1346</v>
      </c>
    </row>
    <row r="44" spans="1:11" x14ac:dyDescent="0.3">
      <c r="A44" s="256">
        <v>37</v>
      </c>
      <c r="B44" s="257" t="s">
        <v>1381</v>
      </c>
      <c r="C44" s="276">
        <v>44561</v>
      </c>
      <c r="D44" s="257" t="s">
        <v>1296</v>
      </c>
      <c r="E44" s="256" t="s">
        <v>1807</v>
      </c>
      <c r="F44" s="256" t="s">
        <v>1877</v>
      </c>
      <c r="G44" s="258">
        <v>8394000000</v>
      </c>
      <c r="H44" s="265">
        <v>0.1</v>
      </c>
      <c r="I44" s="258">
        <v>839400000</v>
      </c>
      <c r="J44" s="258">
        <v>9233400000</v>
      </c>
      <c r="K44" s="256" t="s">
        <v>1346</v>
      </c>
    </row>
    <row r="45" spans="1:11" x14ac:dyDescent="0.3">
      <c r="A45" s="256">
        <v>38</v>
      </c>
      <c r="B45" s="257" t="s">
        <v>1206</v>
      </c>
      <c r="C45" s="276">
        <v>44561</v>
      </c>
      <c r="D45" s="257" t="s">
        <v>1256</v>
      </c>
      <c r="E45" s="256" t="s">
        <v>1802</v>
      </c>
      <c r="F45" s="256" t="s">
        <v>1876</v>
      </c>
      <c r="G45" s="258">
        <v>4602000000</v>
      </c>
      <c r="H45" s="265">
        <v>0.1</v>
      </c>
      <c r="I45" s="258">
        <v>460200000</v>
      </c>
      <c r="J45" s="258">
        <v>5062200000</v>
      </c>
      <c r="K45" s="256" t="s">
        <v>1346</v>
      </c>
    </row>
    <row r="46" spans="1:11" x14ac:dyDescent="0.3">
      <c r="A46" s="256">
        <v>39</v>
      </c>
      <c r="B46" s="257" t="s">
        <v>1458</v>
      </c>
      <c r="C46" s="276">
        <v>44561</v>
      </c>
      <c r="D46" s="257" t="s">
        <v>1274</v>
      </c>
      <c r="E46" s="256" t="s">
        <v>1794</v>
      </c>
      <c r="F46" s="256" t="s">
        <v>1876</v>
      </c>
      <c r="G46" s="258">
        <v>7207000000</v>
      </c>
      <c r="H46" s="265">
        <v>0.1</v>
      </c>
      <c r="I46" s="258">
        <v>720700000</v>
      </c>
      <c r="J46" s="258">
        <v>7927700000</v>
      </c>
      <c r="K46" s="256" t="s">
        <v>1346</v>
      </c>
    </row>
    <row r="47" spans="1:11" x14ac:dyDescent="0.3">
      <c r="A47" s="256">
        <v>40</v>
      </c>
      <c r="B47" s="257" t="s">
        <v>1207</v>
      </c>
      <c r="C47" s="276">
        <v>44561</v>
      </c>
      <c r="D47" s="257" t="s">
        <v>1256</v>
      </c>
      <c r="E47" s="256" t="s">
        <v>1802</v>
      </c>
      <c r="F47" s="256" t="s">
        <v>1876</v>
      </c>
      <c r="G47" s="258">
        <v>3844000000</v>
      </c>
      <c r="H47" s="265">
        <v>0.1</v>
      </c>
      <c r="I47" s="258">
        <v>384400000</v>
      </c>
      <c r="J47" s="258">
        <v>4228400000</v>
      </c>
      <c r="K47" s="256" t="s">
        <v>1346</v>
      </c>
    </row>
    <row r="48" spans="1:11" x14ac:dyDescent="0.3">
      <c r="A48" s="256">
        <v>41</v>
      </c>
      <c r="B48" s="257" t="s">
        <v>1468</v>
      </c>
      <c r="C48" s="276">
        <v>44561</v>
      </c>
      <c r="D48" s="257" t="s">
        <v>1284</v>
      </c>
      <c r="E48" s="256" t="s">
        <v>1786</v>
      </c>
      <c r="F48" s="256" t="s">
        <v>1609</v>
      </c>
      <c r="G48" s="258">
        <v>7195000000</v>
      </c>
      <c r="H48" s="265">
        <v>0.1</v>
      </c>
      <c r="I48" s="258">
        <v>719500000</v>
      </c>
      <c r="J48" s="258">
        <v>7914500000</v>
      </c>
      <c r="K48" s="256" t="s">
        <v>1348</v>
      </c>
    </row>
    <row r="49" spans="1:11" x14ac:dyDescent="0.3">
      <c r="A49" s="256">
        <v>42</v>
      </c>
      <c r="B49" s="257" t="s">
        <v>1203</v>
      </c>
      <c r="C49" s="276">
        <v>44561</v>
      </c>
      <c r="D49" s="257" t="s">
        <v>1297</v>
      </c>
      <c r="E49" s="256" t="s">
        <v>1820</v>
      </c>
      <c r="F49" s="256" t="s">
        <v>1877</v>
      </c>
      <c r="G49" s="258">
        <v>3886000000</v>
      </c>
      <c r="H49" s="265">
        <v>0.1</v>
      </c>
      <c r="I49" s="258">
        <v>388600000</v>
      </c>
      <c r="J49" s="258">
        <v>4274600000</v>
      </c>
      <c r="K49" s="256" t="s">
        <v>1346</v>
      </c>
    </row>
    <row r="50" spans="1:11" x14ac:dyDescent="0.3">
      <c r="A50" s="256">
        <v>43</v>
      </c>
      <c r="B50" s="257" t="s">
        <v>1402</v>
      </c>
      <c r="C50" s="276">
        <v>44561</v>
      </c>
      <c r="D50" s="257" t="s">
        <v>1282</v>
      </c>
      <c r="E50" s="256" t="s">
        <v>1789</v>
      </c>
      <c r="F50" s="256" t="s">
        <v>1877</v>
      </c>
      <c r="G50" s="258">
        <v>7028000000</v>
      </c>
      <c r="H50" s="265">
        <v>0.1</v>
      </c>
      <c r="I50" s="258">
        <v>702800000</v>
      </c>
      <c r="J50" s="258">
        <v>7730800000</v>
      </c>
      <c r="K50" s="256" t="s">
        <v>1346</v>
      </c>
    </row>
    <row r="51" spans="1:11" x14ac:dyDescent="0.3">
      <c r="A51" s="256">
        <v>44</v>
      </c>
      <c r="B51" s="257" t="s">
        <v>1209</v>
      </c>
      <c r="C51" s="276">
        <v>44561</v>
      </c>
      <c r="D51" s="257" t="s">
        <v>1272</v>
      </c>
      <c r="E51" s="256" t="s">
        <v>1805</v>
      </c>
      <c r="F51" s="256" t="s">
        <v>1880</v>
      </c>
      <c r="G51" s="258">
        <v>7150000000</v>
      </c>
      <c r="H51" s="265">
        <v>0.1</v>
      </c>
      <c r="I51" s="258">
        <v>715000000</v>
      </c>
      <c r="J51" s="258">
        <v>7865000000</v>
      </c>
      <c r="K51" s="256" t="s">
        <v>1346</v>
      </c>
    </row>
    <row r="52" spans="1:11" x14ac:dyDescent="0.3">
      <c r="A52" s="256">
        <v>45</v>
      </c>
      <c r="B52" s="257" t="s">
        <v>1457</v>
      </c>
      <c r="C52" s="276">
        <v>44561</v>
      </c>
      <c r="D52" s="257" t="s">
        <v>1279</v>
      </c>
      <c r="E52" s="256" t="s">
        <v>1827</v>
      </c>
      <c r="F52" s="256" t="s">
        <v>1876</v>
      </c>
      <c r="G52" s="258">
        <v>8719000000</v>
      </c>
      <c r="H52" s="265">
        <v>0.1</v>
      </c>
      <c r="I52" s="258">
        <v>871900000</v>
      </c>
      <c r="J52" s="258">
        <v>9590900000</v>
      </c>
      <c r="K52" s="256" t="s">
        <v>1346</v>
      </c>
    </row>
    <row r="53" spans="1:11" x14ac:dyDescent="0.3">
      <c r="A53" s="256">
        <v>46</v>
      </c>
      <c r="B53" s="257" t="s">
        <v>1418</v>
      </c>
      <c r="C53" s="276">
        <v>44561</v>
      </c>
      <c r="D53" s="257" t="s">
        <v>1260</v>
      </c>
      <c r="E53" s="256" t="s">
        <v>1804</v>
      </c>
      <c r="F53" s="256" t="s">
        <v>1879</v>
      </c>
      <c r="G53" s="258">
        <v>7610000000</v>
      </c>
      <c r="H53" s="265">
        <v>0.1</v>
      </c>
      <c r="I53" s="258">
        <v>761000000</v>
      </c>
      <c r="J53" s="258">
        <v>8371000000</v>
      </c>
      <c r="K53" s="256" t="s">
        <v>1346</v>
      </c>
    </row>
    <row r="54" spans="1:11" x14ac:dyDescent="0.3">
      <c r="A54" s="256">
        <v>47</v>
      </c>
      <c r="B54" s="257" t="s">
        <v>1388</v>
      </c>
      <c r="C54" s="276">
        <v>44561</v>
      </c>
      <c r="D54" s="257" t="s">
        <v>1292</v>
      </c>
      <c r="E54" s="256" t="s">
        <v>1792</v>
      </c>
      <c r="F54" s="256" t="s">
        <v>1877</v>
      </c>
      <c r="G54" s="258">
        <v>8603000000</v>
      </c>
      <c r="H54" s="265">
        <v>0.1</v>
      </c>
      <c r="I54" s="258">
        <v>860300000</v>
      </c>
      <c r="J54" s="258">
        <v>9463300000</v>
      </c>
      <c r="K54" s="256" t="s">
        <v>1346</v>
      </c>
    </row>
    <row r="55" spans="1:11" x14ac:dyDescent="0.3">
      <c r="A55" s="256">
        <v>48</v>
      </c>
      <c r="B55" s="257" t="s">
        <v>1418</v>
      </c>
      <c r="C55" s="276">
        <v>44561</v>
      </c>
      <c r="D55" s="257" t="s">
        <v>1272</v>
      </c>
      <c r="E55" s="256" t="s">
        <v>1805</v>
      </c>
      <c r="F55" s="256" t="s">
        <v>1609</v>
      </c>
      <c r="G55" s="258">
        <v>6577000000</v>
      </c>
      <c r="H55" s="265">
        <v>0.1</v>
      </c>
      <c r="I55" s="258">
        <v>657700000</v>
      </c>
      <c r="J55" s="258">
        <v>7234700000</v>
      </c>
      <c r="K55" s="256" t="s">
        <v>1346</v>
      </c>
    </row>
    <row r="56" spans="1:11" x14ac:dyDescent="0.3">
      <c r="A56" s="256">
        <v>49</v>
      </c>
      <c r="B56" s="257" t="s">
        <v>1418</v>
      </c>
      <c r="C56" s="276">
        <v>44561</v>
      </c>
      <c r="D56" s="257" t="s">
        <v>1273</v>
      </c>
      <c r="E56" s="256" t="s">
        <v>1829</v>
      </c>
      <c r="F56" s="256" t="s">
        <v>1878</v>
      </c>
      <c r="G56" s="258">
        <v>6949000000</v>
      </c>
      <c r="H56" s="265">
        <v>0.1</v>
      </c>
      <c r="I56" s="258">
        <v>694900000</v>
      </c>
      <c r="J56" s="258">
        <v>7643900000</v>
      </c>
      <c r="K56" s="256" t="s">
        <v>1346</v>
      </c>
    </row>
    <row r="57" spans="1:11" x14ac:dyDescent="0.3">
      <c r="A57" s="256">
        <v>50</v>
      </c>
      <c r="B57" s="257" t="s">
        <v>1458</v>
      </c>
      <c r="C57" s="276">
        <v>44561</v>
      </c>
      <c r="D57" s="257" t="s">
        <v>1279</v>
      </c>
      <c r="E57" s="256" t="s">
        <v>1827</v>
      </c>
      <c r="F57" s="256" t="s">
        <v>1877</v>
      </c>
      <c r="G57" s="258">
        <v>7022000000</v>
      </c>
      <c r="H57" s="265">
        <v>0.1</v>
      </c>
      <c r="I57" s="258">
        <v>702200000</v>
      </c>
      <c r="J57" s="258">
        <v>7724200000</v>
      </c>
      <c r="K57" s="256" t="s">
        <v>1346</v>
      </c>
    </row>
    <row r="58" spans="1:11" x14ac:dyDescent="0.3">
      <c r="A58" s="266" t="s">
        <v>1351</v>
      </c>
      <c r="B58" s="266"/>
      <c r="C58" s="266"/>
      <c r="D58" s="266"/>
      <c r="E58" s="266"/>
      <c r="F58" s="266"/>
      <c r="G58" s="267">
        <f>SUM(G8:G57)</f>
        <v>320763000000</v>
      </c>
      <c r="H58" s="266"/>
      <c r="I58" s="267">
        <f>SUM(I8:I57)</f>
        <v>30900300000</v>
      </c>
      <c r="J58" s="267">
        <f>SUM(J8:J57)</f>
        <v>351663300000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1881</v>
      </c>
      <c r="G62" s="258">
        <v>11444000000</v>
      </c>
      <c r="H62" s="265">
        <v>0</v>
      </c>
      <c r="I62" s="258">
        <v>0</v>
      </c>
      <c r="J62" s="258">
        <v>11444000000</v>
      </c>
      <c r="K62" s="256" t="s">
        <v>1346</v>
      </c>
    </row>
    <row r="63" spans="1:11" x14ac:dyDescent="0.3">
      <c r="A63" s="256">
        <v>2</v>
      </c>
      <c r="B63" s="257" t="s">
        <v>1201</v>
      </c>
      <c r="C63" s="276">
        <v>44318</v>
      </c>
      <c r="D63" s="257" t="s">
        <v>1277</v>
      </c>
      <c r="E63" s="256" t="s">
        <v>1783</v>
      </c>
      <c r="F63" s="256" t="s">
        <v>1881</v>
      </c>
      <c r="G63" s="258">
        <v>11700000000</v>
      </c>
      <c r="H63" s="265">
        <v>0.1</v>
      </c>
      <c r="I63" s="258">
        <v>1170000000</v>
      </c>
      <c r="J63" s="258">
        <v>12870000000</v>
      </c>
      <c r="K63" s="256" t="s">
        <v>1346</v>
      </c>
    </row>
    <row r="64" spans="1:11" x14ac:dyDescent="0.3">
      <c r="A64" s="256">
        <v>3</v>
      </c>
      <c r="B64" s="257" t="s">
        <v>1202</v>
      </c>
      <c r="C64" s="276">
        <v>44472</v>
      </c>
      <c r="D64" s="257" t="s">
        <v>1276</v>
      </c>
      <c r="E64" s="256" t="s">
        <v>1822</v>
      </c>
      <c r="F64" s="256" t="s">
        <v>1884</v>
      </c>
      <c r="G64" s="258">
        <v>10038000000</v>
      </c>
      <c r="H64" s="265">
        <v>0.1</v>
      </c>
      <c r="I64" s="258">
        <v>1003800000</v>
      </c>
      <c r="J64" s="258">
        <v>11041800000</v>
      </c>
      <c r="K64" s="256" t="s">
        <v>1346</v>
      </c>
    </row>
    <row r="65" spans="1:11" x14ac:dyDescent="0.3">
      <c r="A65" s="256">
        <v>4</v>
      </c>
      <c r="B65" s="257" t="s">
        <v>1355</v>
      </c>
      <c r="C65" s="276">
        <v>44473</v>
      </c>
      <c r="D65" s="257" t="s">
        <v>1269</v>
      </c>
      <c r="E65" s="256" t="s">
        <v>1823</v>
      </c>
      <c r="F65" s="256" t="s">
        <v>1884</v>
      </c>
      <c r="G65" s="258">
        <v>10953000000</v>
      </c>
      <c r="H65" s="265">
        <v>0.1</v>
      </c>
      <c r="I65" s="258">
        <v>1095300000</v>
      </c>
      <c r="J65" s="258">
        <v>12048300000</v>
      </c>
      <c r="K65" s="256" t="s">
        <v>1346</v>
      </c>
    </row>
    <row r="66" spans="1:11" x14ac:dyDescent="0.3">
      <c r="A66" s="256">
        <v>5</v>
      </c>
      <c r="B66" s="257" t="s">
        <v>1356</v>
      </c>
      <c r="C66" s="276">
        <v>44474</v>
      </c>
      <c r="D66" s="257" t="s">
        <v>1274</v>
      </c>
      <c r="E66" s="256" t="s">
        <v>1794</v>
      </c>
      <c r="F66" s="256" t="s">
        <v>1883</v>
      </c>
      <c r="G66" s="258">
        <v>5880000000</v>
      </c>
      <c r="H66" s="265">
        <v>0.1</v>
      </c>
      <c r="I66" s="258">
        <v>588000000</v>
      </c>
      <c r="J66" s="258">
        <v>6468000000</v>
      </c>
      <c r="K66" s="256" t="s">
        <v>1346</v>
      </c>
    </row>
    <row r="67" spans="1:11" x14ac:dyDescent="0.3">
      <c r="A67" s="256">
        <v>6</v>
      </c>
      <c r="B67" s="257" t="s">
        <v>1358</v>
      </c>
      <c r="C67" s="276">
        <v>44475</v>
      </c>
      <c r="D67" s="257" t="s">
        <v>1267</v>
      </c>
      <c r="E67" s="256" t="s">
        <v>1810</v>
      </c>
      <c r="F67" s="256" t="s">
        <v>1883</v>
      </c>
      <c r="G67" s="258">
        <v>11517000000</v>
      </c>
      <c r="H67" s="265">
        <v>0.1</v>
      </c>
      <c r="I67" s="258">
        <v>1151700000</v>
      </c>
      <c r="J67" s="258">
        <v>12668700000</v>
      </c>
      <c r="K67" s="256" t="s">
        <v>1346</v>
      </c>
    </row>
    <row r="68" spans="1:11" x14ac:dyDescent="0.3">
      <c r="A68" s="256">
        <v>7</v>
      </c>
      <c r="B68" s="257" t="s">
        <v>1360</v>
      </c>
      <c r="C68" s="276">
        <v>44476</v>
      </c>
      <c r="D68" s="257" t="s">
        <v>1292</v>
      </c>
      <c r="E68" s="256" t="s">
        <v>1792</v>
      </c>
      <c r="F68" s="256" t="s">
        <v>1882</v>
      </c>
      <c r="G68" s="258">
        <v>9587000000</v>
      </c>
      <c r="H68" s="265">
        <v>0.1</v>
      </c>
      <c r="I68" s="258">
        <v>958700000</v>
      </c>
      <c r="J68" s="258">
        <v>10545700000</v>
      </c>
      <c r="K68" s="256" t="s">
        <v>1346</v>
      </c>
    </row>
    <row r="69" spans="1:11" x14ac:dyDescent="0.3">
      <c r="A69" s="256">
        <v>8</v>
      </c>
      <c r="B69" s="257" t="s">
        <v>1362</v>
      </c>
      <c r="C69" s="276">
        <v>44477</v>
      </c>
      <c r="D69" s="257" t="s">
        <v>1287</v>
      </c>
      <c r="E69" s="256" t="s">
        <v>1801</v>
      </c>
      <c r="F69" s="256" t="s">
        <v>1881</v>
      </c>
      <c r="G69" s="258">
        <v>13036000000</v>
      </c>
      <c r="H69" s="265">
        <v>0.1</v>
      </c>
      <c r="I69" s="258">
        <v>1303600000</v>
      </c>
      <c r="J69" s="258">
        <v>14339600000</v>
      </c>
      <c r="K69" s="256" t="s">
        <v>1346</v>
      </c>
    </row>
    <row r="70" spans="1:11" x14ac:dyDescent="0.3">
      <c r="A70" s="256">
        <v>9</v>
      </c>
      <c r="B70" s="257" t="s">
        <v>1364</v>
      </c>
      <c r="C70" s="276">
        <v>44478</v>
      </c>
      <c r="D70" s="257" t="s">
        <v>1260</v>
      </c>
      <c r="E70" s="256" t="s">
        <v>1804</v>
      </c>
      <c r="F70" s="256" t="s">
        <v>1882</v>
      </c>
      <c r="G70" s="258">
        <v>12701000000</v>
      </c>
      <c r="H70" s="265">
        <v>0</v>
      </c>
      <c r="I70" s="258">
        <v>0</v>
      </c>
      <c r="J70" s="258">
        <v>12701000000</v>
      </c>
      <c r="K70" s="256" t="s">
        <v>1346</v>
      </c>
    </row>
    <row r="71" spans="1:11" x14ac:dyDescent="0.3">
      <c r="A71" s="256">
        <v>10</v>
      </c>
      <c r="B71" s="257" t="s">
        <v>1366</v>
      </c>
      <c r="C71" s="276">
        <v>44479</v>
      </c>
      <c r="D71" s="257" t="s">
        <v>1287</v>
      </c>
      <c r="E71" s="256" t="s">
        <v>1801</v>
      </c>
      <c r="F71" s="256" t="s">
        <v>1883</v>
      </c>
      <c r="G71" s="258">
        <v>5077000000</v>
      </c>
      <c r="H71" s="265">
        <v>0.1</v>
      </c>
      <c r="I71" s="258">
        <v>507700000</v>
      </c>
      <c r="J71" s="258">
        <v>5584700000</v>
      </c>
      <c r="K71" s="256" t="s">
        <v>1348</v>
      </c>
    </row>
    <row r="72" spans="1:11" x14ac:dyDescent="0.3">
      <c r="A72" s="256">
        <v>11</v>
      </c>
      <c r="B72" s="257" t="s">
        <v>1368</v>
      </c>
      <c r="C72" s="276">
        <v>44480</v>
      </c>
      <c r="D72" s="257" t="s">
        <v>1267</v>
      </c>
      <c r="E72" s="256" t="s">
        <v>1810</v>
      </c>
      <c r="F72" s="256" t="s">
        <v>1882</v>
      </c>
      <c r="G72" s="258">
        <v>10800000000</v>
      </c>
      <c r="H72" s="265">
        <v>0.1</v>
      </c>
      <c r="I72" s="258">
        <v>1080000000</v>
      </c>
      <c r="J72" s="258">
        <v>11880000000</v>
      </c>
      <c r="K72" s="256" t="s">
        <v>1346</v>
      </c>
    </row>
    <row r="73" spans="1:11" x14ac:dyDescent="0.3">
      <c r="A73" s="256">
        <v>12</v>
      </c>
      <c r="B73" s="257" t="s">
        <v>1371</v>
      </c>
      <c r="C73" s="276">
        <v>44481</v>
      </c>
      <c r="D73" s="257" t="s">
        <v>1275</v>
      </c>
      <c r="E73" s="256" t="s">
        <v>1808</v>
      </c>
      <c r="F73" s="256" t="s">
        <v>1883</v>
      </c>
      <c r="G73" s="258">
        <v>11413000000</v>
      </c>
      <c r="H73" s="265">
        <v>0.1</v>
      </c>
      <c r="I73" s="258">
        <v>1141300000</v>
      </c>
      <c r="J73" s="258">
        <v>12554300000</v>
      </c>
      <c r="K73" s="256" t="s">
        <v>1346</v>
      </c>
    </row>
    <row r="74" spans="1:11" x14ac:dyDescent="0.3">
      <c r="A74" s="256">
        <v>13</v>
      </c>
      <c r="B74" s="257" t="s">
        <v>1373</v>
      </c>
      <c r="C74" s="276">
        <v>44211</v>
      </c>
      <c r="D74" s="257" t="s">
        <v>1262</v>
      </c>
      <c r="E74" s="256" t="s">
        <v>1816</v>
      </c>
      <c r="F74" s="256" t="s">
        <v>1882</v>
      </c>
      <c r="G74" s="258">
        <v>4679000000</v>
      </c>
      <c r="H74" s="265">
        <v>0.1</v>
      </c>
      <c r="I74" s="258">
        <v>467900000</v>
      </c>
      <c r="J74" s="258">
        <v>5146900000</v>
      </c>
      <c r="K74" s="256" t="s">
        <v>1346</v>
      </c>
    </row>
    <row r="75" spans="1:11" x14ac:dyDescent="0.3">
      <c r="A75" s="256">
        <v>14</v>
      </c>
      <c r="B75" s="257" t="s">
        <v>1374</v>
      </c>
      <c r="C75" s="276">
        <v>44242</v>
      </c>
      <c r="D75" s="257" t="s">
        <v>1274</v>
      </c>
      <c r="E75" s="256" t="s">
        <v>1794</v>
      </c>
      <c r="F75" s="256" t="s">
        <v>1883</v>
      </c>
      <c r="G75" s="258">
        <v>12041000000</v>
      </c>
      <c r="H75" s="265">
        <v>0.1</v>
      </c>
      <c r="I75" s="258">
        <v>1204100000</v>
      </c>
      <c r="J75" s="258">
        <v>13245100000</v>
      </c>
      <c r="K75" s="256" t="s">
        <v>1346</v>
      </c>
    </row>
    <row r="76" spans="1:11" x14ac:dyDescent="0.3">
      <c r="A76" s="256">
        <v>15</v>
      </c>
      <c r="B76" s="257" t="s">
        <v>1376</v>
      </c>
      <c r="C76" s="276">
        <v>44275</v>
      </c>
      <c r="D76" s="257" t="s">
        <v>1274</v>
      </c>
      <c r="E76" s="256" t="s">
        <v>1794</v>
      </c>
      <c r="F76" s="256" t="s">
        <v>1881</v>
      </c>
      <c r="G76" s="258">
        <v>9215000000</v>
      </c>
      <c r="H76" s="265">
        <v>0.1</v>
      </c>
      <c r="I76" s="258">
        <v>921500000</v>
      </c>
      <c r="J76" s="258">
        <v>10136500000</v>
      </c>
      <c r="K76" s="256" t="s">
        <v>1346</v>
      </c>
    </row>
    <row r="77" spans="1:11" x14ac:dyDescent="0.3">
      <c r="A77" s="256">
        <v>16</v>
      </c>
      <c r="B77" s="257" t="s">
        <v>1378</v>
      </c>
      <c r="C77" s="276">
        <v>44306</v>
      </c>
      <c r="D77" s="257" t="s">
        <v>1286</v>
      </c>
      <c r="E77" s="256" t="s">
        <v>1828</v>
      </c>
      <c r="F77" s="256" t="s">
        <v>1882</v>
      </c>
      <c r="G77" s="258">
        <v>10637000000</v>
      </c>
      <c r="H77" s="265">
        <v>0.1</v>
      </c>
      <c r="I77" s="258">
        <v>1063700000</v>
      </c>
      <c r="J77" s="258">
        <v>11700700000</v>
      </c>
      <c r="K77" s="256" t="s">
        <v>1346</v>
      </c>
    </row>
    <row r="78" spans="1:11" x14ac:dyDescent="0.3">
      <c r="A78" s="256">
        <v>17</v>
      </c>
      <c r="B78" s="257" t="s">
        <v>1379</v>
      </c>
      <c r="C78" s="276">
        <v>44336</v>
      </c>
      <c r="D78" s="257" t="s">
        <v>1264</v>
      </c>
      <c r="E78" s="256" t="s">
        <v>1779</v>
      </c>
      <c r="F78" s="256" t="s">
        <v>1883</v>
      </c>
      <c r="G78" s="258">
        <v>6162000000</v>
      </c>
      <c r="H78" s="265">
        <v>0.1</v>
      </c>
      <c r="I78" s="258">
        <v>616200000</v>
      </c>
      <c r="J78" s="258">
        <v>6778200000</v>
      </c>
      <c r="K78" s="256" t="s">
        <v>1346</v>
      </c>
    </row>
    <row r="79" spans="1:11" x14ac:dyDescent="0.3">
      <c r="A79" s="256">
        <v>18</v>
      </c>
      <c r="B79" s="257" t="s">
        <v>1381</v>
      </c>
      <c r="C79" s="276">
        <v>44367</v>
      </c>
      <c r="D79" s="257" t="s">
        <v>1271</v>
      </c>
      <c r="E79" s="256" t="s">
        <v>1799</v>
      </c>
      <c r="F79" s="256" t="s">
        <v>1884</v>
      </c>
      <c r="G79" s="258">
        <v>4196000000</v>
      </c>
      <c r="H79" s="265">
        <v>0.1</v>
      </c>
      <c r="I79" s="258">
        <v>419600000</v>
      </c>
      <c r="J79" s="258">
        <v>4615600000</v>
      </c>
      <c r="K79" s="256" t="s">
        <v>1346</v>
      </c>
    </row>
    <row r="80" spans="1:11" x14ac:dyDescent="0.3">
      <c r="A80" s="256">
        <v>19</v>
      </c>
      <c r="B80" s="257" t="s">
        <v>1382</v>
      </c>
      <c r="C80" s="276">
        <v>44397</v>
      </c>
      <c r="D80" s="257" t="s">
        <v>1278</v>
      </c>
      <c r="E80" s="256" t="s">
        <v>1785</v>
      </c>
      <c r="F80" s="256" t="s">
        <v>1883</v>
      </c>
      <c r="G80" s="258">
        <v>8126000000</v>
      </c>
      <c r="H80" s="265">
        <v>0.1</v>
      </c>
      <c r="I80" s="258">
        <v>812600000</v>
      </c>
      <c r="J80" s="258">
        <v>8938600000</v>
      </c>
      <c r="K80" s="256" t="s">
        <v>1346</v>
      </c>
    </row>
    <row r="81" spans="1:11" x14ac:dyDescent="0.3">
      <c r="A81" s="256">
        <v>20</v>
      </c>
      <c r="B81" s="257" t="s">
        <v>1383</v>
      </c>
      <c r="C81" s="276">
        <v>44428</v>
      </c>
      <c r="D81" s="257" t="s">
        <v>1255</v>
      </c>
      <c r="E81" s="273">
        <v>46152</v>
      </c>
      <c r="F81" s="256" t="s">
        <v>1882</v>
      </c>
      <c r="G81" s="258">
        <v>6886000000</v>
      </c>
      <c r="H81" s="265">
        <v>0.1</v>
      </c>
      <c r="I81" s="258">
        <v>688600000</v>
      </c>
      <c r="J81" s="258">
        <v>7574600000</v>
      </c>
      <c r="K81" s="256" t="s">
        <v>1346</v>
      </c>
    </row>
    <row r="82" spans="1:11" x14ac:dyDescent="0.3">
      <c r="A82" s="256">
        <v>21</v>
      </c>
      <c r="B82" s="257" t="s">
        <v>1203</v>
      </c>
      <c r="C82" s="276">
        <v>44459</v>
      </c>
      <c r="D82" s="257" t="s">
        <v>1295</v>
      </c>
      <c r="E82" s="256" t="s">
        <v>1825</v>
      </c>
      <c r="F82" s="256" t="s">
        <v>1881</v>
      </c>
      <c r="G82" s="258">
        <v>5887000000</v>
      </c>
      <c r="H82" s="265">
        <v>0.1</v>
      </c>
      <c r="I82" s="258">
        <v>588700000</v>
      </c>
      <c r="J82" s="258">
        <v>6475700000</v>
      </c>
      <c r="K82" s="256" t="s">
        <v>1346</v>
      </c>
    </row>
    <row r="83" spans="1:11" x14ac:dyDescent="0.3">
      <c r="A83" s="256">
        <v>22</v>
      </c>
      <c r="B83" s="257" t="s">
        <v>1204</v>
      </c>
      <c r="C83" s="276">
        <v>44489</v>
      </c>
      <c r="D83" s="257" t="s">
        <v>1283</v>
      </c>
      <c r="E83" s="256" t="s">
        <v>1798</v>
      </c>
      <c r="F83" s="256" t="s">
        <v>1882</v>
      </c>
      <c r="G83" s="258">
        <v>8720000000</v>
      </c>
      <c r="H83" s="265">
        <v>0.1</v>
      </c>
      <c r="I83" s="258">
        <v>872000000</v>
      </c>
      <c r="J83" s="258">
        <v>9592000000</v>
      </c>
      <c r="K83" s="256" t="s">
        <v>1346</v>
      </c>
    </row>
    <row r="84" spans="1:11" x14ac:dyDescent="0.3">
      <c r="A84" s="256">
        <v>23</v>
      </c>
      <c r="B84" s="257" t="s">
        <v>1205</v>
      </c>
      <c r="C84" s="276">
        <v>44520</v>
      </c>
      <c r="D84" s="257" t="s">
        <v>1265</v>
      </c>
      <c r="E84" s="256" t="s">
        <v>1830</v>
      </c>
      <c r="F84" s="256" t="s">
        <v>1883</v>
      </c>
      <c r="G84" s="258">
        <v>4983000000</v>
      </c>
      <c r="H84" s="265">
        <v>0.1</v>
      </c>
      <c r="I84" s="258">
        <v>498300000</v>
      </c>
      <c r="J84" s="258">
        <v>5481300000</v>
      </c>
      <c r="K84" s="256" t="s">
        <v>1346</v>
      </c>
    </row>
    <row r="85" spans="1:11" x14ac:dyDescent="0.3">
      <c r="A85" s="256">
        <v>24</v>
      </c>
      <c r="B85" s="257" t="s">
        <v>1385</v>
      </c>
      <c r="C85" s="276">
        <v>44550</v>
      </c>
      <c r="D85" s="257" t="s">
        <v>1259</v>
      </c>
      <c r="E85" s="256" t="s">
        <v>1788</v>
      </c>
      <c r="F85" s="256" t="s">
        <v>1884</v>
      </c>
      <c r="G85" s="258">
        <v>4702000000</v>
      </c>
      <c r="H85" s="265">
        <v>0.1</v>
      </c>
      <c r="I85" s="258">
        <v>470200000</v>
      </c>
      <c r="J85" s="258">
        <v>5172200000</v>
      </c>
      <c r="K85" s="256" t="s">
        <v>1346</v>
      </c>
    </row>
    <row r="86" spans="1:11" x14ac:dyDescent="0.3">
      <c r="A86" s="256">
        <v>25</v>
      </c>
      <c r="B86" s="257" t="s">
        <v>1387</v>
      </c>
      <c r="C86" s="276">
        <v>44221</v>
      </c>
      <c r="D86" s="257" t="s">
        <v>1276</v>
      </c>
      <c r="E86" s="256" t="s">
        <v>1822</v>
      </c>
      <c r="F86" s="256" t="s">
        <v>1882</v>
      </c>
      <c r="G86" s="258">
        <v>5654000000</v>
      </c>
      <c r="H86" s="265">
        <v>0.1</v>
      </c>
      <c r="I86" s="258">
        <v>565400000</v>
      </c>
      <c r="J86" s="258">
        <v>6219400000</v>
      </c>
      <c r="K86" s="256" t="s">
        <v>1346</v>
      </c>
    </row>
    <row r="87" spans="1:11" x14ac:dyDescent="0.3">
      <c r="A87" s="256">
        <v>26</v>
      </c>
      <c r="B87" s="257" t="s">
        <v>1388</v>
      </c>
      <c r="C87" s="276">
        <v>44255</v>
      </c>
      <c r="D87" s="257" t="s">
        <v>1293</v>
      </c>
      <c r="E87" s="256" t="s">
        <v>1826</v>
      </c>
      <c r="F87" s="256" t="s">
        <v>1882</v>
      </c>
      <c r="G87" s="258">
        <v>10394000000</v>
      </c>
      <c r="H87" s="265">
        <v>0.1</v>
      </c>
      <c r="I87" s="258">
        <v>1039400000</v>
      </c>
      <c r="J87" s="258">
        <v>11433400000</v>
      </c>
      <c r="K87" s="256" t="s">
        <v>1346</v>
      </c>
    </row>
    <row r="88" spans="1:11" x14ac:dyDescent="0.3">
      <c r="A88" s="256">
        <v>27</v>
      </c>
      <c r="B88" s="257" t="s">
        <v>1391</v>
      </c>
      <c r="C88" s="276">
        <v>44316</v>
      </c>
      <c r="D88" s="257" t="s">
        <v>1286</v>
      </c>
      <c r="E88" s="256" t="s">
        <v>1828</v>
      </c>
      <c r="F88" s="256" t="s">
        <v>1884</v>
      </c>
      <c r="G88" s="258">
        <v>11600000000</v>
      </c>
      <c r="H88" s="265">
        <v>0.1</v>
      </c>
      <c r="I88" s="258">
        <v>1160000000</v>
      </c>
      <c r="J88" s="258">
        <v>12760000000</v>
      </c>
      <c r="K88" s="256" t="s">
        <v>1346</v>
      </c>
    </row>
    <row r="89" spans="1:11" x14ac:dyDescent="0.3">
      <c r="A89" s="256">
        <v>28</v>
      </c>
      <c r="B89" s="257" t="s">
        <v>1392</v>
      </c>
      <c r="C89" s="276">
        <v>44377</v>
      </c>
      <c r="D89" s="257" t="s">
        <v>1261</v>
      </c>
      <c r="E89" s="256" t="s">
        <v>1813</v>
      </c>
      <c r="F89" s="256" t="s">
        <v>1884</v>
      </c>
      <c r="G89" s="258">
        <v>6212000000</v>
      </c>
      <c r="H89" s="265">
        <v>0.1</v>
      </c>
      <c r="I89" s="258">
        <v>621200000</v>
      </c>
      <c r="J89" s="258">
        <v>6833200000</v>
      </c>
      <c r="K89" s="256" t="s">
        <v>1346</v>
      </c>
    </row>
    <row r="90" spans="1:11" x14ac:dyDescent="0.3">
      <c r="A90" s="256">
        <v>29</v>
      </c>
      <c r="B90" s="257" t="s">
        <v>1394</v>
      </c>
      <c r="C90" s="276">
        <v>44469</v>
      </c>
      <c r="D90" s="257" t="s">
        <v>1274</v>
      </c>
      <c r="E90" s="256" t="s">
        <v>1794</v>
      </c>
      <c r="F90" s="256" t="s">
        <v>1883</v>
      </c>
      <c r="G90" s="258">
        <v>4985000000</v>
      </c>
      <c r="H90" s="265">
        <v>0.1</v>
      </c>
      <c r="I90" s="258">
        <v>498500000</v>
      </c>
      <c r="J90" s="258">
        <v>5483500000</v>
      </c>
      <c r="K90" s="256" t="s">
        <v>1346</v>
      </c>
    </row>
    <row r="91" spans="1:11" x14ac:dyDescent="0.3">
      <c r="A91" s="256">
        <v>30</v>
      </c>
      <c r="B91" s="257" t="s">
        <v>1396</v>
      </c>
      <c r="C91" s="276">
        <v>44530</v>
      </c>
      <c r="D91" s="257" t="s">
        <v>1264</v>
      </c>
      <c r="E91" s="256" t="s">
        <v>1779</v>
      </c>
      <c r="F91" s="256" t="s">
        <v>1881</v>
      </c>
      <c r="G91" s="258">
        <v>11117000000</v>
      </c>
      <c r="H91" s="265">
        <v>0.1</v>
      </c>
      <c r="I91" s="258">
        <v>1111700000</v>
      </c>
      <c r="J91" s="258">
        <v>12228700000</v>
      </c>
      <c r="K91" s="256" t="s">
        <v>1346</v>
      </c>
    </row>
    <row r="92" spans="1:11" x14ac:dyDescent="0.3">
      <c r="A92" s="256">
        <v>31</v>
      </c>
      <c r="B92" s="257" t="s">
        <v>1397</v>
      </c>
      <c r="C92" s="276">
        <v>44286</v>
      </c>
      <c r="D92" s="257" t="s">
        <v>1256</v>
      </c>
      <c r="E92" s="256" t="s">
        <v>1802</v>
      </c>
      <c r="F92" s="256" t="s">
        <v>1881</v>
      </c>
      <c r="G92" s="258">
        <v>9755000000</v>
      </c>
      <c r="H92" s="265">
        <v>0.1</v>
      </c>
      <c r="I92" s="258">
        <v>975500000</v>
      </c>
      <c r="J92" s="258">
        <v>10730500000</v>
      </c>
      <c r="K92" s="256" t="s">
        <v>1346</v>
      </c>
    </row>
    <row r="93" spans="1:11" x14ac:dyDescent="0.3">
      <c r="A93" s="256">
        <v>32</v>
      </c>
      <c r="B93" s="257" t="s">
        <v>1398</v>
      </c>
      <c r="C93" s="276">
        <v>44347</v>
      </c>
      <c r="D93" s="257" t="s">
        <v>1277</v>
      </c>
      <c r="E93" s="256" t="s">
        <v>1783</v>
      </c>
      <c r="F93" s="256" t="s">
        <v>1882</v>
      </c>
      <c r="G93" s="258">
        <v>11966000000</v>
      </c>
      <c r="H93" s="265">
        <v>0.1</v>
      </c>
      <c r="I93" s="258">
        <v>1196600000</v>
      </c>
      <c r="J93" s="258">
        <v>13162600000</v>
      </c>
      <c r="K93" s="256" t="s">
        <v>1348</v>
      </c>
    </row>
    <row r="94" spans="1:11" x14ac:dyDescent="0.3">
      <c r="A94" s="256">
        <v>33</v>
      </c>
      <c r="B94" s="257" t="s">
        <v>1399</v>
      </c>
      <c r="C94" s="276">
        <v>44408</v>
      </c>
      <c r="D94" s="257" t="s">
        <v>1276</v>
      </c>
      <c r="E94" s="256" t="s">
        <v>1822</v>
      </c>
      <c r="F94" s="256" t="s">
        <v>1881</v>
      </c>
      <c r="G94" s="258">
        <v>4259000000</v>
      </c>
      <c r="H94" s="265">
        <v>0.1</v>
      </c>
      <c r="I94" s="258">
        <v>425900000</v>
      </c>
      <c r="J94" s="258">
        <v>4684900000</v>
      </c>
      <c r="K94" s="256" t="s">
        <v>1346</v>
      </c>
    </row>
    <row r="95" spans="1:11" x14ac:dyDescent="0.3">
      <c r="A95" s="256">
        <v>34</v>
      </c>
      <c r="B95" s="257" t="s">
        <v>1401</v>
      </c>
      <c r="C95" s="276">
        <v>44439</v>
      </c>
      <c r="D95" s="257" t="s">
        <v>1267</v>
      </c>
      <c r="E95" s="256" t="s">
        <v>1810</v>
      </c>
      <c r="F95" s="256" t="s">
        <v>1884</v>
      </c>
      <c r="G95" s="258">
        <v>5907000000</v>
      </c>
      <c r="H95" s="265">
        <v>0.1</v>
      </c>
      <c r="I95" s="258">
        <v>590700000</v>
      </c>
      <c r="J95" s="258">
        <v>6497700000</v>
      </c>
      <c r="K95" s="256" t="s">
        <v>1348</v>
      </c>
    </row>
    <row r="96" spans="1:11" x14ac:dyDescent="0.3">
      <c r="A96" s="256">
        <v>35</v>
      </c>
      <c r="B96" s="257" t="s">
        <v>1402</v>
      </c>
      <c r="C96" s="276">
        <v>44500</v>
      </c>
      <c r="D96" s="257" t="s">
        <v>1257</v>
      </c>
      <c r="E96" s="256" t="s">
        <v>1815</v>
      </c>
      <c r="F96" s="256" t="s">
        <v>1881</v>
      </c>
      <c r="G96" s="258">
        <v>3703000000</v>
      </c>
      <c r="H96" s="265">
        <v>0.1</v>
      </c>
      <c r="I96" s="258">
        <v>370300000</v>
      </c>
      <c r="J96" s="258">
        <v>4073300000</v>
      </c>
      <c r="K96" s="256" t="s">
        <v>1346</v>
      </c>
    </row>
    <row r="97" spans="1:11" x14ac:dyDescent="0.3">
      <c r="A97" s="256">
        <v>36</v>
      </c>
      <c r="B97" s="257" t="s">
        <v>1403</v>
      </c>
      <c r="C97" s="276">
        <v>44561</v>
      </c>
      <c r="D97" s="257" t="s">
        <v>1299</v>
      </c>
      <c r="E97" s="256" t="s">
        <v>1776</v>
      </c>
      <c r="F97" s="256" t="s">
        <v>1884</v>
      </c>
      <c r="G97" s="258">
        <v>7810000000</v>
      </c>
      <c r="H97" s="265">
        <v>0.1</v>
      </c>
      <c r="I97" s="258">
        <v>781000000</v>
      </c>
      <c r="J97" s="258">
        <v>8591000000</v>
      </c>
      <c r="K97" s="256" t="s">
        <v>1346</v>
      </c>
    </row>
    <row r="98" spans="1:11" x14ac:dyDescent="0.3">
      <c r="A98" s="256">
        <v>37</v>
      </c>
      <c r="B98" s="257" t="s">
        <v>1404</v>
      </c>
      <c r="C98" s="276">
        <v>44561</v>
      </c>
      <c r="D98" s="257" t="s">
        <v>1260</v>
      </c>
      <c r="E98" s="256" t="s">
        <v>1804</v>
      </c>
      <c r="F98" s="256" t="s">
        <v>1883</v>
      </c>
      <c r="G98" s="258">
        <v>5123000000</v>
      </c>
      <c r="H98" s="265">
        <v>0.1</v>
      </c>
      <c r="I98" s="258">
        <v>512300000</v>
      </c>
      <c r="J98" s="258">
        <v>5635300000</v>
      </c>
      <c r="K98" s="256" t="s">
        <v>1346</v>
      </c>
    </row>
    <row r="99" spans="1:11" x14ac:dyDescent="0.3">
      <c r="A99" s="256">
        <v>38</v>
      </c>
      <c r="B99" s="257" t="s">
        <v>1405</v>
      </c>
      <c r="C99" s="276">
        <v>44561</v>
      </c>
      <c r="D99" s="257" t="s">
        <v>1273</v>
      </c>
      <c r="E99" s="256" t="s">
        <v>1829</v>
      </c>
      <c r="F99" s="256" t="s">
        <v>1883</v>
      </c>
      <c r="G99" s="258">
        <v>6890000000</v>
      </c>
      <c r="H99" s="265">
        <v>0.1</v>
      </c>
      <c r="I99" s="258">
        <v>689000000</v>
      </c>
      <c r="J99" s="258">
        <v>7579000000</v>
      </c>
      <c r="K99" s="256" t="s">
        <v>1346</v>
      </c>
    </row>
    <row r="100" spans="1:11" x14ac:dyDescent="0.3">
      <c r="A100" s="256">
        <v>39</v>
      </c>
      <c r="B100" s="257" t="s">
        <v>1406</v>
      </c>
      <c r="C100" s="276">
        <v>44561</v>
      </c>
      <c r="D100" s="257" t="s">
        <v>1282</v>
      </c>
      <c r="E100" s="256" t="s">
        <v>1789</v>
      </c>
      <c r="F100" s="256" t="s">
        <v>1883</v>
      </c>
      <c r="G100" s="258">
        <v>6790000000</v>
      </c>
      <c r="H100" s="265">
        <v>0.1</v>
      </c>
      <c r="I100" s="258">
        <v>679000000</v>
      </c>
      <c r="J100" s="258">
        <v>7469000000</v>
      </c>
      <c r="K100" s="256" t="s">
        <v>1346</v>
      </c>
    </row>
    <row r="101" spans="1:11" x14ac:dyDescent="0.3">
      <c r="A101" s="256">
        <v>40</v>
      </c>
      <c r="B101" s="257" t="s">
        <v>1408</v>
      </c>
      <c r="C101" s="276">
        <v>44561</v>
      </c>
      <c r="D101" s="257" t="s">
        <v>1255</v>
      </c>
      <c r="E101" s="273">
        <v>46152</v>
      </c>
      <c r="F101" s="256" t="s">
        <v>1883</v>
      </c>
      <c r="G101" s="258">
        <v>11499000000</v>
      </c>
      <c r="H101" s="265">
        <v>0.1</v>
      </c>
      <c r="I101" s="258">
        <v>1149900000</v>
      </c>
      <c r="J101" s="258">
        <v>12648900000</v>
      </c>
      <c r="K101" s="256" t="s">
        <v>1348</v>
      </c>
    </row>
    <row r="102" spans="1:11" x14ac:dyDescent="0.3">
      <c r="A102" s="256">
        <v>41</v>
      </c>
      <c r="B102" s="257" t="s">
        <v>1409</v>
      </c>
      <c r="C102" s="276">
        <v>44561</v>
      </c>
      <c r="D102" s="257" t="s">
        <v>1290</v>
      </c>
      <c r="E102" s="256" t="s">
        <v>1796</v>
      </c>
      <c r="F102" s="256" t="s">
        <v>1884</v>
      </c>
      <c r="G102" s="258">
        <v>12223000000</v>
      </c>
      <c r="H102" s="265">
        <v>0.1</v>
      </c>
      <c r="I102" s="258">
        <v>1222300000</v>
      </c>
      <c r="J102" s="258">
        <v>13445300000</v>
      </c>
      <c r="K102" s="256" t="s">
        <v>1346</v>
      </c>
    </row>
    <row r="103" spans="1:11" x14ac:dyDescent="0.3">
      <c r="A103" s="256">
        <v>42</v>
      </c>
      <c r="B103" s="257" t="s">
        <v>1411</v>
      </c>
      <c r="C103" s="276">
        <v>44561</v>
      </c>
      <c r="D103" s="257" t="s">
        <v>1292</v>
      </c>
      <c r="E103" s="256" t="s">
        <v>1792</v>
      </c>
      <c r="F103" s="256" t="s">
        <v>1881</v>
      </c>
      <c r="G103" s="258">
        <v>3947000000</v>
      </c>
      <c r="H103" s="265">
        <v>0.1</v>
      </c>
      <c r="I103" s="258">
        <v>394700000</v>
      </c>
      <c r="J103" s="258">
        <v>4341700000</v>
      </c>
      <c r="K103" s="256" t="s">
        <v>1348</v>
      </c>
    </row>
    <row r="104" spans="1:11" x14ac:dyDescent="0.3">
      <c r="A104" s="256">
        <v>43</v>
      </c>
      <c r="B104" s="257" t="s">
        <v>1414</v>
      </c>
      <c r="C104" s="276">
        <v>44561</v>
      </c>
      <c r="D104" s="257" t="s">
        <v>1267</v>
      </c>
      <c r="E104" s="256" t="s">
        <v>1810</v>
      </c>
      <c r="F104" s="256" t="s">
        <v>1884</v>
      </c>
      <c r="G104" s="258">
        <v>4832000000</v>
      </c>
      <c r="H104" s="265">
        <v>0.1</v>
      </c>
      <c r="I104" s="258">
        <v>483200000</v>
      </c>
      <c r="J104" s="258">
        <v>5315200000</v>
      </c>
      <c r="K104" s="256" t="s">
        <v>1346</v>
      </c>
    </row>
    <row r="105" spans="1:11" x14ac:dyDescent="0.3">
      <c r="A105" s="256">
        <v>44</v>
      </c>
      <c r="B105" s="257" t="s">
        <v>1415</v>
      </c>
      <c r="C105" s="276">
        <v>44561</v>
      </c>
      <c r="D105" s="257" t="s">
        <v>1290</v>
      </c>
      <c r="E105" s="256" t="s">
        <v>1796</v>
      </c>
      <c r="F105" s="256" t="s">
        <v>1884</v>
      </c>
      <c r="G105" s="258">
        <v>8407000000</v>
      </c>
      <c r="H105" s="265">
        <v>0.1</v>
      </c>
      <c r="I105" s="258">
        <v>840700000</v>
      </c>
      <c r="J105" s="258">
        <v>9247700000</v>
      </c>
      <c r="K105" s="256" t="s">
        <v>1346</v>
      </c>
    </row>
    <row r="106" spans="1:11" x14ac:dyDescent="0.3">
      <c r="A106" s="256">
        <v>45</v>
      </c>
      <c r="B106" s="257" t="s">
        <v>1206</v>
      </c>
      <c r="C106" s="276">
        <v>44561</v>
      </c>
      <c r="D106" s="257" t="s">
        <v>1273</v>
      </c>
      <c r="E106" s="256" t="s">
        <v>1829</v>
      </c>
      <c r="F106" s="256" t="s">
        <v>1882</v>
      </c>
      <c r="G106" s="258">
        <v>4986000000</v>
      </c>
      <c r="H106" s="265">
        <v>0.1</v>
      </c>
      <c r="I106" s="258">
        <v>498600000</v>
      </c>
      <c r="J106" s="258">
        <v>5484600000</v>
      </c>
      <c r="K106" s="256" t="s">
        <v>1346</v>
      </c>
    </row>
    <row r="107" spans="1:11" x14ac:dyDescent="0.3">
      <c r="A107" s="256">
        <v>46</v>
      </c>
      <c r="B107" s="257" t="s">
        <v>1207</v>
      </c>
      <c r="C107" s="276">
        <v>44561</v>
      </c>
      <c r="D107" s="257" t="s">
        <v>1298</v>
      </c>
      <c r="E107" s="256" t="s">
        <v>1819</v>
      </c>
      <c r="F107" s="256" t="s">
        <v>1881</v>
      </c>
      <c r="G107" s="258">
        <v>8148000000</v>
      </c>
      <c r="H107" s="265">
        <v>0.1</v>
      </c>
      <c r="I107" s="258">
        <v>814800000</v>
      </c>
      <c r="J107" s="258">
        <v>8962800000</v>
      </c>
      <c r="K107" s="256" t="s">
        <v>1346</v>
      </c>
    </row>
    <row r="108" spans="1:11" x14ac:dyDescent="0.3">
      <c r="A108" s="256">
        <v>47</v>
      </c>
      <c r="B108" s="257" t="s">
        <v>1208</v>
      </c>
      <c r="C108" s="276">
        <v>44561</v>
      </c>
      <c r="D108" s="257" t="s">
        <v>1294</v>
      </c>
      <c r="E108" s="256" t="s">
        <v>1795</v>
      </c>
      <c r="F108" s="256" t="s">
        <v>1881</v>
      </c>
      <c r="G108" s="258">
        <v>3752000000</v>
      </c>
      <c r="H108" s="265">
        <v>0.1</v>
      </c>
      <c r="I108" s="258">
        <v>375200000</v>
      </c>
      <c r="J108" s="258">
        <v>4127200000</v>
      </c>
      <c r="K108" s="256" t="s">
        <v>1346</v>
      </c>
    </row>
    <row r="109" spans="1:11" x14ac:dyDescent="0.3">
      <c r="A109" s="256">
        <v>48</v>
      </c>
      <c r="B109" s="257" t="s">
        <v>1209</v>
      </c>
      <c r="C109" s="276">
        <v>44561</v>
      </c>
      <c r="D109" s="257" t="s">
        <v>1302</v>
      </c>
      <c r="E109" s="256" t="s">
        <v>1784</v>
      </c>
      <c r="F109" s="256" t="s">
        <v>1882</v>
      </c>
      <c r="G109" s="258">
        <v>4261000000</v>
      </c>
      <c r="H109" s="265">
        <v>0.1</v>
      </c>
      <c r="I109" s="258">
        <v>426100000</v>
      </c>
      <c r="J109" s="258">
        <v>4687100000</v>
      </c>
      <c r="K109" s="256" t="s">
        <v>1348</v>
      </c>
    </row>
    <row r="110" spans="1:11" x14ac:dyDescent="0.3">
      <c r="A110" s="256">
        <v>49</v>
      </c>
      <c r="B110" s="257" t="s">
        <v>1418</v>
      </c>
      <c r="C110" s="276">
        <v>44561</v>
      </c>
      <c r="D110" s="257" t="s">
        <v>1282</v>
      </c>
      <c r="E110" s="256" t="s">
        <v>1789</v>
      </c>
      <c r="F110" s="256" t="s">
        <v>1882</v>
      </c>
      <c r="G110" s="258">
        <v>6699000000</v>
      </c>
      <c r="H110" s="265">
        <v>0.1</v>
      </c>
      <c r="I110" s="258">
        <v>669900000</v>
      </c>
      <c r="J110" s="258">
        <v>7368900000</v>
      </c>
      <c r="K110" s="256" t="s">
        <v>1346</v>
      </c>
    </row>
    <row r="111" spans="1:11" x14ac:dyDescent="0.3">
      <c r="A111" s="256">
        <v>50</v>
      </c>
      <c r="B111" s="257" t="s">
        <v>1419</v>
      </c>
      <c r="C111" s="276">
        <v>44561</v>
      </c>
      <c r="D111" s="257" t="s">
        <v>1304</v>
      </c>
      <c r="E111" s="256" t="s">
        <v>1831</v>
      </c>
      <c r="F111" s="256" t="s">
        <v>1882</v>
      </c>
      <c r="G111" s="258">
        <v>12944000000</v>
      </c>
      <c r="H111" s="265">
        <v>0.1</v>
      </c>
      <c r="I111" s="258">
        <v>1294400000</v>
      </c>
      <c r="J111" s="258">
        <v>14238400000</v>
      </c>
      <c r="K111" s="256" t="s">
        <v>1348</v>
      </c>
    </row>
    <row r="112" spans="1:11" x14ac:dyDescent="0.3">
      <c r="A112" s="266" t="s">
        <v>1351</v>
      </c>
      <c r="B112" s="266"/>
      <c r="C112" s="266"/>
      <c r="D112" s="266"/>
      <c r="E112" s="266"/>
      <c r="F112" s="266"/>
      <c r="G112" s="267">
        <f>SUM(G62:G111)</f>
        <v>404243000000</v>
      </c>
      <c r="H112" s="266"/>
      <c r="I112" s="267">
        <f>SUM(I62:I111)</f>
        <v>38009800000</v>
      </c>
      <c r="J112" s="267">
        <f>SUM(J62:J111)</f>
        <v>442252800000</v>
      </c>
      <c r="K112" s="266"/>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754</v>
      </c>
      <c r="C1" s="256"/>
      <c r="D1" s="256"/>
      <c r="E1" s="256"/>
      <c r="F1" s="256"/>
      <c r="G1" s="256"/>
      <c r="H1" s="256"/>
      <c r="I1" s="256"/>
      <c r="J1" s="256"/>
      <c r="K1" s="256"/>
    </row>
    <row r="2" spans="1:11" x14ac:dyDescent="0.3">
      <c r="A2" s="256" t="s">
        <v>1339</v>
      </c>
      <c r="B2" s="257">
        <v>105492983</v>
      </c>
      <c r="C2" s="256"/>
      <c r="D2" s="256"/>
      <c r="E2" s="256"/>
      <c r="F2" s="256"/>
      <c r="G2" s="256"/>
      <c r="H2" s="256"/>
      <c r="I2" s="256"/>
      <c r="J2" s="256"/>
      <c r="K2" s="256"/>
    </row>
    <row r="3" spans="1:11" x14ac:dyDescent="0.3">
      <c r="A3" s="256" t="s">
        <v>1343</v>
      </c>
      <c r="B3" s="258">
        <v>323836731333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1415</v>
      </c>
      <c r="C8" s="276">
        <v>44317</v>
      </c>
      <c r="D8" s="257" t="s">
        <v>1271</v>
      </c>
      <c r="E8" s="256" t="s">
        <v>1799</v>
      </c>
      <c r="F8" s="256" t="s">
        <v>1734</v>
      </c>
      <c r="G8" s="258">
        <v>2864000000</v>
      </c>
      <c r="H8" s="265">
        <v>0</v>
      </c>
      <c r="I8" s="258">
        <v>0</v>
      </c>
      <c r="J8" s="258">
        <v>2864000000</v>
      </c>
      <c r="K8" s="256" t="s">
        <v>1346</v>
      </c>
    </row>
    <row r="9" spans="1:11" x14ac:dyDescent="0.3">
      <c r="A9" s="256">
        <v>2</v>
      </c>
      <c r="B9" s="257" t="s">
        <v>1408</v>
      </c>
      <c r="C9" s="276">
        <v>44318</v>
      </c>
      <c r="D9" s="257" t="s">
        <v>1288</v>
      </c>
      <c r="E9" s="256" t="s">
        <v>1797</v>
      </c>
      <c r="F9" s="256" t="s">
        <v>1888</v>
      </c>
      <c r="G9" s="258">
        <v>4573000000</v>
      </c>
      <c r="H9" s="265">
        <v>0.1</v>
      </c>
      <c r="I9" s="258">
        <v>457300000</v>
      </c>
      <c r="J9" s="258">
        <v>5030300000</v>
      </c>
      <c r="K9" s="256" t="s">
        <v>1346</v>
      </c>
    </row>
    <row r="10" spans="1:11" x14ac:dyDescent="0.3">
      <c r="A10" s="256">
        <v>3</v>
      </c>
      <c r="B10" s="257" t="s">
        <v>1419</v>
      </c>
      <c r="C10" s="276">
        <v>44472</v>
      </c>
      <c r="D10" s="257" t="s">
        <v>1273</v>
      </c>
      <c r="E10" s="256" t="s">
        <v>1829</v>
      </c>
      <c r="F10" s="256" t="s">
        <v>1889</v>
      </c>
      <c r="G10" s="258">
        <v>6393000000</v>
      </c>
      <c r="H10" s="265">
        <v>0</v>
      </c>
      <c r="I10" s="258">
        <v>0</v>
      </c>
      <c r="J10" s="258">
        <v>6393000000</v>
      </c>
      <c r="K10" s="256" t="s">
        <v>1346</v>
      </c>
    </row>
    <row r="11" spans="1:11" x14ac:dyDescent="0.3">
      <c r="A11" s="256">
        <v>4</v>
      </c>
      <c r="B11" s="257" t="s">
        <v>1419</v>
      </c>
      <c r="C11" s="276">
        <v>44473</v>
      </c>
      <c r="D11" s="257" t="s">
        <v>1270</v>
      </c>
      <c r="E11" s="256" t="s">
        <v>1782</v>
      </c>
      <c r="F11" s="256" t="s">
        <v>1889</v>
      </c>
      <c r="G11" s="258">
        <v>6230000000</v>
      </c>
      <c r="H11" s="265">
        <v>0.1</v>
      </c>
      <c r="I11" s="258">
        <v>623000000</v>
      </c>
      <c r="J11" s="258">
        <v>6853000000</v>
      </c>
      <c r="K11" s="256" t="s">
        <v>1346</v>
      </c>
    </row>
    <row r="12" spans="1:11" x14ac:dyDescent="0.3">
      <c r="A12" s="256">
        <v>5</v>
      </c>
      <c r="B12" s="257" t="s">
        <v>1374</v>
      </c>
      <c r="C12" s="276">
        <v>44474</v>
      </c>
      <c r="D12" s="257" t="s">
        <v>1298</v>
      </c>
      <c r="E12" s="256" t="s">
        <v>1819</v>
      </c>
      <c r="F12" s="256" t="s">
        <v>1888</v>
      </c>
      <c r="G12" s="258">
        <v>4827000000</v>
      </c>
      <c r="H12" s="265">
        <v>0.1</v>
      </c>
      <c r="I12" s="258">
        <v>482700000</v>
      </c>
      <c r="J12" s="258">
        <v>5309700000</v>
      </c>
      <c r="K12" s="256" t="s">
        <v>1346</v>
      </c>
    </row>
    <row r="13" spans="1:11" x14ac:dyDescent="0.3">
      <c r="A13" s="256">
        <v>6</v>
      </c>
      <c r="B13" s="257" t="s">
        <v>1409</v>
      </c>
      <c r="C13" s="276">
        <v>44475</v>
      </c>
      <c r="D13" s="257" t="s">
        <v>1288</v>
      </c>
      <c r="E13" s="256" t="s">
        <v>1797</v>
      </c>
      <c r="F13" s="256" t="s">
        <v>1889</v>
      </c>
      <c r="G13" s="258">
        <v>4865000000</v>
      </c>
      <c r="H13" s="265">
        <v>0.1</v>
      </c>
      <c r="I13" s="258">
        <v>486500000</v>
      </c>
      <c r="J13" s="258">
        <v>5351500000</v>
      </c>
      <c r="K13" s="256" t="s">
        <v>1346</v>
      </c>
    </row>
    <row r="14" spans="1:11" x14ac:dyDescent="0.3">
      <c r="A14" s="256">
        <v>7</v>
      </c>
      <c r="B14" s="257" t="s">
        <v>1456</v>
      </c>
      <c r="C14" s="276">
        <v>44476</v>
      </c>
      <c r="D14" s="257" t="s">
        <v>1270</v>
      </c>
      <c r="E14" s="256" t="s">
        <v>1782</v>
      </c>
      <c r="F14" s="256" t="s">
        <v>1889</v>
      </c>
      <c r="G14" s="258">
        <v>6490000000</v>
      </c>
      <c r="H14" s="265">
        <v>0.1</v>
      </c>
      <c r="I14" s="258">
        <v>649000000</v>
      </c>
      <c r="J14" s="258">
        <v>7139000000</v>
      </c>
      <c r="K14" s="256" t="s">
        <v>1346</v>
      </c>
    </row>
    <row r="15" spans="1:11" x14ac:dyDescent="0.3">
      <c r="A15" s="256">
        <v>8</v>
      </c>
      <c r="B15" s="257" t="s">
        <v>1456</v>
      </c>
      <c r="C15" s="276">
        <v>44477</v>
      </c>
      <c r="D15" s="257" t="s">
        <v>1273</v>
      </c>
      <c r="E15" s="256" t="s">
        <v>1829</v>
      </c>
      <c r="F15" s="256" t="s">
        <v>1889</v>
      </c>
      <c r="G15" s="258">
        <v>2402000000</v>
      </c>
      <c r="H15" s="265">
        <v>0.1</v>
      </c>
      <c r="I15" s="258">
        <v>240200000</v>
      </c>
      <c r="J15" s="258">
        <v>2642200000</v>
      </c>
      <c r="K15" s="256" t="s">
        <v>1348</v>
      </c>
    </row>
    <row r="16" spans="1:11" x14ac:dyDescent="0.3">
      <c r="A16" s="256">
        <v>9</v>
      </c>
      <c r="B16" s="257" t="s">
        <v>1207</v>
      </c>
      <c r="C16" s="276">
        <v>44478</v>
      </c>
      <c r="D16" s="257" t="s">
        <v>1283</v>
      </c>
      <c r="E16" s="256" t="s">
        <v>1798</v>
      </c>
      <c r="F16" s="256" t="s">
        <v>1890</v>
      </c>
      <c r="G16" s="258">
        <v>5148000000</v>
      </c>
      <c r="H16" s="265">
        <v>0.1</v>
      </c>
      <c r="I16" s="258">
        <v>514800000</v>
      </c>
      <c r="J16" s="258">
        <v>5662800000</v>
      </c>
      <c r="K16" s="256" t="s">
        <v>1346</v>
      </c>
    </row>
    <row r="17" spans="1:11" x14ac:dyDescent="0.3">
      <c r="A17" s="256">
        <v>10</v>
      </c>
      <c r="B17" s="257" t="s">
        <v>1205</v>
      </c>
      <c r="C17" s="276">
        <v>44479</v>
      </c>
      <c r="D17" s="257" t="s">
        <v>1291</v>
      </c>
      <c r="E17" s="256" t="s">
        <v>1800</v>
      </c>
      <c r="F17" s="256" t="s">
        <v>1734</v>
      </c>
      <c r="G17" s="258">
        <v>2889000000</v>
      </c>
      <c r="H17" s="265">
        <v>0.1</v>
      </c>
      <c r="I17" s="258">
        <v>288900000</v>
      </c>
      <c r="J17" s="258">
        <v>3177900000</v>
      </c>
      <c r="K17" s="256" t="s">
        <v>1346</v>
      </c>
    </row>
    <row r="18" spans="1:11" x14ac:dyDescent="0.3">
      <c r="A18" s="256">
        <v>11</v>
      </c>
      <c r="B18" s="257" t="s">
        <v>1396</v>
      </c>
      <c r="C18" s="276">
        <v>44480</v>
      </c>
      <c r="D18" s="257" t="s">
        <v>1290</v>
      </c>
      <c r="E18" s="256" t="s">
        <v>1796</v>
      </c>
      <c r="F18" s="256" t="s">
        <v>1888</v>
      </c>
      <c r="G18" s="258">
        <v>3361000000</v>
      </c>
      <c r="H18" s="265">
        <v>0.1</v>
      </c>
      <c r="I18" s="258">
        <v>336100000</v>
      </c>
      <c r="J18" s="258">
        <v>3697100000</v>
      </c>
      <c r="K18" s="256" t="s">
        <v>1346</v>
      </c>
    </row>
    <row r="19" spans="1:11" x14ac:dyDescent="0.3">
      <c r="A19" s="256">
        <v>12</v>
      </c>
      <c r="B19" s="257" t="s">
        <v>1394</v>
      </c>
      <c r="C19" s="276">
        <v>44481</v>
      </c>
      <c r="D19" s="257" t="s">
        <v>1293</v>
      </c>
      <c r="E19" s="256" t="s">
        <v>1826</v>
      </c>
      <c r="F19" s="256" t="s">
        <v>1734</v>
      </c>
      <c r="G19" s="258">
        <v>5604000000</v>
      </c>
      <c r="H19" s="265">
        <v>0.1</v>
      </c>
      <c r="I19" s="258">
        <v>560400000</v>
      </c>
      <c r="J19" s="258">
        <v>6164400000</v>
      </c>
      <c r="K19" s="256" t="s">
        <v>1348</v>
      </c>
    </row>
    <row r="20" spans="1:11" x14ac:dyDescent="0.3">
      <c r="A20" s="256">
        <v>13</v>
      </c>
      <c r="B20" s="257" t="s">
        <v>1457</v>
      </c>
      <c r="C20" s="276">
        <v>44211</v>
      </c>
      <c r="D20" s="257" t="s">
        <v>1270</v>
      </c>
      <c r="E20" s="256" t="s">
        <v>1782</v>
      </c>
      <c r="F20" s="256" t="s">
        <v>1889</v>
      </c>
      <c r="G20" s="258">
        <v>7133000000</v>
      </c>
      <c r="H20" s="265">
        <v>0.1</v>
      </c>
      <c r="I20" s="258">
        <v>713300000</v>
      </c>
      <c r="J20" s="258">
        <v>7846300000</v>
      </c>
      <c r="K20" s="256" t="s">
        <v>1346</v>
      </c>
    </row>
    <row r="21" spans="1:11" x14ac:dyDescent="0.3">
      <c r="A21" s="256">
        <v>14</v>
      </c>
      <c r="B21" s="257" t="s">
        <v>1388</v>
      </c>
      <c r="C21" s="276">
        <v>44242</v>
      </c>
      <c r="D21" s="257" t="s">
        <v>1302</v>
      </c>
      <c r="E21" s="256" t="s">
        <v>1784</v>
      </c>
      <c r="F21" s="256" t="s">
        <v>1890</v>
      </c>
      <c r="G21" s="258">
        <v>7123000000</v>
      </c>
      <c r="H21" s="265">
        <v>0.1</v>
      </c>
      <c r="I21" s="258">
        <v>712300000</v>
      </c>
      <c r="J21" s="258">
        <v>7835300000</v>
      </c>
      <c r="K21" s="256" t="s">
        <v>1346</v>
      </c>
    </row>
    <row r="22" spans="1:11" x14ac:dyDescent="0.3">
      <c r="A22" s="256">
        <v>15</v>
      </c>
      <c r="B22" s="257" t="s">
        <v>1383</v>
      </c>
      <c r="C22" s="276">
        <v>44275</v>
      </c>
      <c r="D22" s="257" t="s">
        <v>1286</v>
      </c>
      <c r="E22" s="256" t="s">
        <v>1828</v>
      </c>
      <c r="F22" s="256" t="s">
        <v>1891</v>
      </c>
      <c r="G22" s="258">
        <v>4019000000</v>
      </c>
      <c r="H22" s="265">
        <v>0.1</v>
      </c>
      <c r="I22" s="258">
        <v>401900000</v>
      </c>
      <c r="J22" s="258">
        <v>4420900000</v>
      </c>
      <c r="K22" s="256" t="s">
        <v>1346</v>
      </c>
    </row>
    <row r="23" spans="1:11" x14ac:dyDescent="0.3">
      <c r="A23" s="256">
        <v>16</v>
      </c>
      <c r="B23" s="257" t="s">
        <v>1465</v>
      </c>
      <c r="C23" s="276">
        <v>44306</v>
      </c>
      <c r="D23" s="257" t="s">
        <v>1277</v>
      </c>
      <c r="E23" s="256" t="s">
        <v>1783</v>
      </c>
      <c r="F23" s="256" t="s">
        <v>1734</v>
      </c>
      <c r="G23" s="258">
        <v>7550000000</v>
      </c>
      <c r="H23" s="265">
        <v>0.1</v>
      </c>
      <c r="I23" s="258">
        <v>755000000</v>
      </c>
      <c r="J23" s="258">
        <v>8305000000</v>
      </c>
      <c r="K23" s="256" t="s">
        <v>1346</v>
      </c>
    </row>
    <row r="24" spans="1:11" x14ac:dyDescent="0.3">
      <c r="A24" s="256">
        <v>17</v>
      </c>
      <c r="B24" s="257" t="s">
        <v>1405</v>
      </c>
      <c r="C24" s="276">
        <v>44336</v>
      </c>
      <c r="D24" s="257" t="s">
        <v>1289</v>
      </c>
      <c r="E24" s="256" t="s">
        <v>1803</v>
      </c>
      <c r="F24" s="256" t="s">
        <v>1888</v>
      </c>
      <c r="G24" s="258">
        <v>3786000000</v>
      </c>
      <c r="H24" s="265">
        <v>0.1</v>
      </c>
      <c r="I24" s="258">
        <v>378600000</v>
      </c>
      <c r="J24" s="258">
        <v>4164600000</v>
      </c>
      <c r="K24" s="256" t="s">
        <v>1346</v>
      </c>
    </row>
    <row r="25" spans="1:11" x14ac:dyDescent="0.3">
      <c r="A25" s="256">
        <v>18</v>
      </c>
      <c r="B25" s="257" t="s">
        <v>1419</v>
      </c>
      <c r="C25" s="276">
        <v>44367</v>
      </c>
      <c r="D25" s="257" t="s">
        <v>1260</v>
      </c>
      <c r="E25" s="256" t="s">
        <v>1804</v>
      </c>
      <c r="F25" s="256" t="s">
        <v>1741</v>
      </c>
      <c r="G25" s="258">
        <v>3113000000</v>
      </c>
      <c r="H25" s="265">
        <v>0.1</v>
      </c>
      <c r="I25" s="258">
        <v>311300000</v>
      </c>
      <c r="J25" s="258">
        <v>3424300000</v>
      </c>
      <c r="K25" s="256" t="s">
        <v>1346</v>
      </c>
    </row>
    <row r="26" spans="1:11" x14ac:dyDescent="0.3">
      <c r="A26" s="256">
        <v>19</v>
      </c>
      <c r="B26" s="257" t="s">
        <v>1397</v>
      </c>
      <c r="C26" s="276">
        <v>44397</v>
      </c>
      <c r="D26" s="257" t="s">
        <v>1290</v>
      </c>
      <c r="E26" s="256" t="s">
        <v>1796</v>
      </c>
      <c r="F26" s="256" t="s">
        <v>1734</v>
      </c>
      <c r="G26" s="258">
        <v>6713000000</v>
      </c>
      <c r="H26" s="265">
        <v>0.1</v>
      </c>
      <c r="I26" s="258">
        <v>671300000</v>
      </c>
      <c r="J26" s="258">
        <v>7384300000</v>
      </c>
      <c r="K26" s="256" t="s">
        <v>1346</v>
      </c>
    </row>
    <row r="27" spans="1:11" x14ac:dyDescent="0.3">
      <c r="A27" s="256">
        <v>20</v>
      </c>
      <c r="B27" s="257" t="s">
        <v>1391</v>
      </c>
      <c r="C27" s="276">
        <v>44428</v>
      </c>
      <c r="D27" s="257" t="s">
        <v>1258</v>
      </c>
      <c r="E27" s="256" t="s">
        <v>1833</v>
      </c>
      <c r="F27" s="256" t="s">
        <v>1891</v>
      </c>
      <c r="G27" s="258">
        <v>4368000000</v>
      </c>
      <c r="H27" s="265">
        <v>0.1</v>
      </c>
      <c r="I27" s="258">
        <v>436800000</v>
      </c>
      <c r="J27" s="258">
        <v>4804800000</v>
      </c>
      <c r="K27" s="256" t="s">
        <v>1346</v>
      </c>
    </row>
    <row r="28" spans="1:11" x14ac:dyDescent="0.3">
      <c r="A28" s="256">
        <v>21</v>
      </c>
      <c r="B28" s="257" t="s">
        <v>1457</v>
      </c>
      <c r="C28" s="276">
        <v>44459</v>
      </c>
      <c r="D28" s="257" t="s">
        <v>1273</v>
      </c>
      <c r="E28" s="256" t="s">
        <v>1829</v>
      </c>
      <c r="F28" s="256" t="s">
        <v>1734</v>
      </c>
      <c r="G28" s="258">
        <v>4117000000</v>
      </c>
      <c r="H28" s="265">
        <v>0.1</v>
      </c>
      <c r="I28" s="258">
        <v>411700000</v>
      </c>
      <c r="J28" s="258">
        <v>4528700000</v>
      </c>
      <c r="K28" s="256" t="s">
        <v>1346</v>
      </c>
    </row>
    <row r="29" spans="1:11" x14ac:dyDescent="0.3">
      <c r="A29" s="256">
        <v>22</v>
      </c>
      <c r="B29" s="257" t="s">
        <v>1458</v>
      </c>
      <c r="C29" s="276">
        <v>44489</v>
      </c>
      <c r="D29" s="257" t="s">
        <v>1275</v>
      </c>
      <c r="E29" s="256" t="s">
        <v>1808</v>
      </c>
      <c r="F29" s="256" t="s">
        <v>1734</v>
      </c>
      <c r="G29" s="258">
        <v>7435000000</v>
      </c>
      <c r="H29" s="265">
        <v>0.1</v>
      </c>
      <c r="I29" s="258">
        <v>743500000</v>
      </c>
      <c r="J29" s="258">
        <v>8178500000</v>
      </c>
      <c r="K29" s="256" t="s">
        <v>1346</v>
      </c>
    </row>
    <row r="30" spans="1:11" x14ac:dyDescent="0.3">
      <c r="A30" s="256">
        <v>23</v>
      </c>
      <c r="B30" s="257" t="s">
        <v>1411</v>
      </c>
      <c r="C30" s="276">
        <v>44520</v>
      </c>
      <c r="D30" s="257" t="s">
        <v>1288</v>
      </c>
      <c r="E30" s="256" t="s">
        <v>1797</v>
      </c>
      <c r="F30" s="256" t="s">
        <v>1741</v>
      </c>
      <c r="G30" s="258">
        <v>3752000000</v>
      </c>
      <c r="H30" s="265">
        <v>0.1</v>
      </c>
      <c r="I30" s="258">
        <v>375200000</v>
      </c>
      <c r="J30" s="258">
        <v>4127200000</v>
      </c>
      <c r="K30" s="256" t="s">
        <v>1346</v>
      </c>
    </row>
    <row r="31" spans="1:11" x14ac:dyDescent="0.3">
      <c r="A31" s="256">
        <v>24</v>
      </c>
      <c r="B31" s="257" t="s">
        <v>1414</v>
      </c>
      <c r="C31" s="276">
        <v>44550</v>
      </c>
      <c r="D31" s="257" t="s">
        <v>1288</v>
      </c>
      <c r="E31" s="256" t="s">
        <v>1797</v>
      </c>
      <c r="F31" s="256" t="s">
        <v>1891</v>
      </c>
      <c r="G31" s="258">
        <v>4268000000</v>
      </c>
      <c r="H31" s="265">
        <v>0.1</v>
      </c>
      <c r="I31" s="258">
        <v>426800000</v>
      </c>
      <c r="J31" s="258">
        <v>4694800000</v>
      </c>
      <c r="K31" s="256" t="s">
        <v>1346</v>
      </c>
    </row>
    <row r="32" spans="1:11" x14ac:dyDescent="0.3">
      <c r="A32" s="256">
        <v>25</v>
      </c>
      <c r="B32" s="257" t="s">
        <v>1406</v>
      </c>
      <c r="C32" s="276">
        <v>44221</v>
      </c>
      <c r="D32" s="257" t="s">
        <v>1267</v>
      </c>
      <c r="E32" s="256" t="s">
        <v>1810</v>
      </c>
      <c r="F32" s="256" t="s">
        <v>1734</v>
      </c>
      <c r="G32" s="258">
        <v>7134000000</v>
      </c>
      <c r="H32" s="265">
        <v>0.1</v>
      </c>
      <c r="I32" s="258">
        <v>713400000</v>
      </c>
      <c r="J32" s="258">
        <v>7847400000</v>
      </c>
      <c r="K32" s="256" t="s">
        <v>1348</v>
      </c>
    </row>
    <row r="33" spans="1:11" x14ac:dyDescent="0.3">
      <c r="A33" s="256">
        <v>26</v>
      </c>
      <c r="B33" s="257" t="s">
        <v>1391</v>
      </c>
      <c r="C33" s="276">
        <v>44255</v>
      </c>
      <c r="D33" s="257" t="s">
        <v>1292</v>
      </c>
      <c r="E33" s="256" t="s">
        <v>1792</v>
      </c>
      <c r="F33" s="256" t="s">
        <v>1889</v>
      </c>
      <c r="G33" s="258">
        <v>4405000000</v>
      </c>
      <c r="H33" s="265">
        <v>0.1</v>
      </c>
      <c r="I33" s="258">
        <v>440500000</v>
      </c>
      <c r="J33" s="258">
        <v>4845500000</v>
      </c>
      <c r="K33" s="256" t="s">
        <v>1346</v>
      </c>
    </row>
    <row r="34" spans="1:11" x14ac:dyDescent="0.3">
      <c r="A34" s="256">
        <v>27</v>
      </c>
      <c r="B34" s="257" t="s">
        <v>1379</v>
      </c>
      <c r="C34" s="276">
        <v>44316</v>
      </c>
      <c r="D34" s="257" t="s">
        <v>1261</v>
      </c>
      <c r="E34" s="256" t="s">
        <v>1813</v>
      </c>
      <c r="F34" s="256" t="s">
        <v>1741</v>
      </c>
      <c r="G34" s="258">
        <v>6456000000</v>
      </c>
      <c r="H34" s="265">
        <v>0.1</v>
      </c>
      <c r="I34" s="258">
        <v>645600000</v>
      </c>
      <c r="J34" s="258">
        <v>7101600000</v>
      </c>
      <c r="K34" s="256" t="s">
        <v>1346</v>
      </c>
    </row>
    <row r="35" spans="1:11" x14ac:dyDescent="0.3">
      <c r="A35" s="256">
        <v>28</v>
      </c>
      <c r="B35" s="257" t="s">
        <v>1459</v>
      </c>
      <c r="C35" s="276">
        <v>44377</v>
      </c>
      <c r="D35" s="257" t="s">
        <v>1275</v>
      </c>
      <c r="E35" s="256" t="s">
        <v>1808</v>
      </c>
      <c r="F35" s="256" t="s">
        <v>1888</v>
      </c>
      <c r="G35" s="258">
        <v>6992000000</v>
      </c>
      <c r="H35" s="265">
        <v>0.1</v>
      </c>
      <c r="I35" s="258">
        <v>699200000</v>
      </c>
      <c r="J35" s="258">
        <v>7691200000</v>
      </c>
      <c r="K35" s="256" t="s">
        <v>1348</v>
      </c>
    </row>
    <row r="36" spans="1:11" x14ac:dyDescent="0.3">
      <c r="A36" s="256">
        <v>29</v>
      </c>
      <c r="B36" s="257" t="s">
        <v>1376</v>
      </c>
      <c r="C36" s="276">
        <v>44469</v>
      </c>
      <c r="D36" s="257" t="s">
        <v>1298</v>
      </c>
      <c r="E36" s="256" t="s">
        <v>1819</v>
      </c>
      <c r="F36" s="256" t="s">
        <v>1889</v>
      </c>
      <c r="G36" s="258">
        <v>3800000000</v>
      </c>
      <c r="H36" s="265">
        <v>0.1</v>
      </c>
      <c r="I36" s="258">
        <v>380000000</v>
      </c>
      <c r="J36" s="258">
        <v>4180000000</v>
      </c>
      <c r="K36" s="256" t="s">
        <v>1346</v>
      </c>
    </row>
    <row r="37" spans="1:11" x14ac:dyDescent="0.3">
      <c r="A37" s="256">
        <v>30</v>
      </c>
      <c r="B37" s="257" t="s">
        <v>1382</v>
      </c>
      <c r="C37" s="276">
        <v>44530</v>
      </c>
      <c r="D37" s="257" t="s">
        <v>1296</v>
      </c>
      <c r="E37" s="256" t="s">
        <v>1807</v>
      </c>
      <c r="F37" s="256" t="s">
        <v>1888</v>
      </c>
      <c r="G37" s="258">
        <v>6607000000</v>
      </c>
      <c r="H37" s="265">
        <v>0.1</v>
      </c>
      <c r="I37" s="258">
        <v>660700000</v>
      </c>
      <c r="J37" s="258">
        <v>7267700000</v>
      </c>
      <c r="K37" s="256" t="s">
        <v>1346</v>
      </c>
    </row>
    <row r="38" spans="1:11" x14ac:dyDescent="0.3">
      <c r="A38" s="256">
        <v>31</v>
      </c>
      <c r="B38" s="257" t="s">
        <v>1208</v>
      </c>
      <c r="C38" s="276">
        <v>44286</v>
      </c>
      <c r="D38" s="257" t="s">
        <v>1256</v>
      </c>
      <c r="E38" s="256" t="s">
        <v>1802</v>
      </c>
      <c r="F38" s="256" t="s">
        <v>1741</v>
      </c>
      <c r="G38" s="258">
        <v>3622000000</v>
      </c>
      <c r="H38" s="265">
        <v>0.1</v>
      </c>
      <c r="I38" s="258">
        <v>362200000</v>
      </c>
      <c r="J38" s="258">
        <v>3984200000</v>
      </c>
      <c r="K38" s="256" t="s">
        <v>1346</v>
      </c>
    </row>
    <row r="39" spans="1:11" x14ac:dyDescent="0.3">
      <c r="A39" s="256">
        <v>32</v>
      </c>
      <c r="B39" s="257" t="s">
        <v>1459</v>
      </c>
      <c r="C39" s="276">
        <v>44347</v>
      </c>
      <c r="D39" s="257" t="s">
        <v>1274</v>
      </c>
      <c r="E39" s="256" t="s">
        <v>1794</v>
      </c>
      <c r="F39" s="256" t="s">
        <v>1741</v>
      </c>
      <c r="G39" s="258">
        <v>5673000000</v>
      </c>
      <c r="H39" s="265">
        <v>0.1</v>
      </c>
      <c r="I39" s="258">
        <v>567300000</v>
      </c>
      <c r="J39" s="258">
        <v>6240300000</v>
      </c>
      <c r="K39" s="256" t="s">
        <v>1346</v>
      </c>
    </row>
    <row r="40" spans="1:11" x14ac:dyDescent="0.3">
      <c r="A40" s="256">
        <v>33</v>
      </c>
      <c r="B40" s="257" t="s">
        <v>1209</v>
      </c>
      <c r="C40" s="276">
        <v>44408</v>
      </c>
      <c r="D40" s="257" t="s">
        <v>1256</v>
      </c>
      <c r="E40" s="256" t="s">
        <v>1802</v>
      </c>
      <c r="F40" s="256" t="s">
        <v>1741</v>
      </c>
      <c r="G40" s="258">
        <v>3025000000</v>
      </c>
      <c r="H40" s="265">
        <v>0.1</v>
      </c>
      <c r="I40" s="258">
        <v>302500000</v>
      </c>
      <c r="J40" s="258">
        <v>3327500000</v>
      </c>
      <c r="K40" s="256" t="s">
        <v>1346</v>
      </c>
    </row>
    <row r="41" spans="1:11" x14ac:dyDescent="0.3">
      <c r="A41" s="256">
        <v>34</v>
      </c>
      <c r="B41" s="257" t="s">
        <v>1469</v>
      </c>
      <c r="C41" s="276">
        <v>44439</v>
      </c>
      <c r="D41" s="257" t="s">
        <v>1284</v>
      </c>
      <c r="E41" s="256" t="s">
        <v>1786</v>
      </c>
      <c r="F41" s="256" t="s">
        <v>1734</v>
      </c>
      <c r="G41" s="258">
        <v>5663000000</v>
      </c>
      <c r="H41" s="265">
        <v>0.1</v>
      </c>
      <c r="I41" s="258">
        <v>566300000</v>
      </c>
      <c r="J41" s="258">
        <v>6229300000</v>
      </c>
      <c r="K41" s="256" t="s">
        <v>1348</v>
      </c>
    </row>
    <row r="42" spans="1:11" x14ac:dyDescent="0.3">
      <c r="A42" s="256">
        <v>35</v>
      </c>
      <c r="B42" s="257" t="s">
        <v>1204</v>
      </c>
      <c r="C42" s="276">
        <v>44500</v>
      </c>
      <c r="D42" s="257" t="s">
        <v>1297</v>
      </c>
      <c r="E42" s="256" t="s">
        <v>1820</v>
      </c>
      <c r="F42" s="256" t="s">
        <v>1888</v>
      </c>
      <c r="G42" s="258">
        <v>3059000000</v>
      </c>
      <c r="H42" s="265">
        <v>0.1</v>
      </c>
      <c r="I42" s="258">
        <v>305900000</v>
      </c>
      <c r="J42" s="258">
        <v>3364900000</v>
      </c>
      <c r="K42" s="256" t="s">
        <v>1346</v>
      </c>
    </row>
    <row r="43" spans="1:11" x14ac:dyDescent="0.3">
      <c r="A43" s="256">
        <v>36</v>
      </c>
      <c r="B43" s="257" t="s">
        <v>1403</v>
      </c>
      <c r="C43" s="276">
        <v>44561</v>
      </c>
      <c r="D43" s="257" t="s">
        <v>1282</v>
      </c>
      <c r="E43" s="256" t="s">
        <v>1789</v>
      </c>
      <c r="F43" s="256" t="s">
        <v>1888</v>
      </c>
      <c r="G43" s="258">
        <v>5532000000</v>
      </c>
      <c r="H43" s="265">
        <v>0.1</v>
      </c>
      <c r="I43" s="258">
        <v>553200000</v>
      </c>
      <c r="J43" s="258">
        <v>6085200000</v>
      </c>
      <c r="K43" s="256" t="s">
        <v>1346</v>
      </c>
    </row>
    <row r="44" spans="1:11" x14ac:dyDescent="0.3">
      <c r="A44" s="256">
        <v>37</v>
      </c>
      <c r="B44" s="257" t="s">
        <v>1419</v>
      </c>
      <c r="C44" s="276">
        <v>44561</v>
      </c>
      <c r="D44" s="257" t="s">
        <v>1272</v>
      </c>
      <c r="E44" s="256" t="s">
        <v>1805</v>
      </c>
      <c r="F44" s="256" t="s">
        <v>1890</v>
      </c>
      <c r="G44" s="258">
        <v>5627000000</v>
      </c>
      <c r="H44" s="265">
        <v>0.1</v>
      </c>
      <c r="I44" s="258">
        <v>562700000</v>
      </c>
      <c r="J44" s="258">
        <v>6189700000</v>
      </c>
      <c r="K44" s="256" t="s">
        <v>1346</v>
      </c>
    </row>
    <row r="45" spans="1:11" x14ac:dyDescent="0.3">
      <c r="A45" s="256">
        <v>38</v>
      </c>
      <c r="B45" s="257" t="s">
        <v>1459</v>
      </c>
      <c r="C45" s="276">
        <v>44561</v>
      </c>
      <c r="D45" s="257" t="s">
        <v>1279</v>
      </c>
      <c r="E45" s="256" t="s">
        <v>1827</v>
      </c>
      <c r="F45" s="256" t="s">
        <v>1741</v>
      </c>
      <c r="G45" s="258">
        <v>6862000000</v>
      </c>
      <c r="H45" s="265">
        <v>0.1</v>
      </c>
      <c r="I45" s="258">
        <v>686200000</v>
      </c>
      <c r="J45" s="258">
        <v>7548200000</v>
      </c>
      <c r="K45" s="256" t="s">
        <v>1346</v>
      </c>
    </row>
    <row r="46" spans="1:11" x14ac:dyDescent="0.3">
      <c r="A46" s="256">
        <v>39</v>
      </c>
      <c r="B46" s="257" t="s">
        <v>1456</v>
      </c>
      <c r="C46" s="276">
        <v>44561</v>
      </c>
      <c r="D46" s="257" t="s">
        <v>1260</v>
      </c>
      <c r="E46" s="256" t="s">
        <v>1804</v>
      </c>
      <c r="F46" s="256" t="s">
        <v>1891</v>
      </c>
      <c r="G46" s="258">
        <v>5989000000</v>
      </c>
      <c r="H46" s="265">
        <v>0.1</v>
      </c>
      <c r="I46" s="258">
        <v>598900000</v>
      </c>
      <c r="J46" s="258">
        <v>6587900000</v>
      </c>
      <c r="K46" s="256" t="s">
        <v>1346</v>
      </c>
    </row>
    <row r="47" spans="1:11" x14ac:dyDescent="0.3">
      <c r="A47" s="256">
        <v>40</v>
      </c>
      <c r="B47" s="257" t="s">
        <v>1392</v>
      </c>
      <c r="C47" s="276">
        <v>44561</v>
      </c>
      <c r="D47" s="257" t="s">
        <v>1292</v>
      </c>
      <c r="E47" s="256" t="s">
        <v>1792</v>
      </c>
      <c r="F47" s="256" t="s">
        <v>1888</v>
      </c>
      <c r="G47" s="258">
        <v>6772000000</v>
      </c>
      <c r="H47" s="265">
        <v>0.1</v>
      </c>
      <c r="I47" s="258">
        <v>677200000</v>
      </c>
      <c r="J47" s="258">
        <v>7449200000</v>
      </c>
      <c r="K47" s="256" t="s">
        <v>1346</v>
      </c>
    </row>
    <row r="48" spans="1:11" x14ac:dyDescent="0.3">
      <c r="A48" s="256">
        <v>41</v>
      </c>
      <c r="B48" s="257" t="s">
        <v>1456</v>
      </c>
      <c r="C48" s="276">
        <v>44561</v>
      </c>
      <c r="D48" s="257" t="s">
        <v>1272</v>
      </c>
      <c r="E48" s="256" t="s">
        <v>1805</v>
      </c>
      <c r="F48" s="256" t="s">
        <v>1734</v>
      </c>
      <c r="G48" s="258">
        <v>5176000000</v>
      </c>
      <c r="H48" s="265">
        <v>0.1</v>
      </c>
      <c r="I48" s="258">
        <v>517600000</v>
      </c>
      <c r="J48" s="258">
        <v>5693600000</v>
      </c>
      <c r="K48" s="256" t="s">
        <v>1346</v>
      </c>
    </row>
    <row r="49" spans="1:11" x14ac:dyDescent="0.3">
      <c r="A49" s="256">
        <v>42</v>
      </c>
      <c r="B49" s="257" t="s">
        <v>1458</v>
      </c>
      <c r="C49" s="276">
        <v>44561</v>
      </c>
      <c r="D49" s="257" t="s">
        <v>1273</v>
      </c>
      <c r="E49" s="256" t="s">
        <v>1829</v>
      </c>
      <c r="F49" s="256" t="s">
        <v>1889</v>
      </c>
      <c r="G49" s="258">
        <v>5470000000</v>
      </c>
      <c r="H49" s="265">
        <v>0.1</v>
      </c>
      <c r="I49" s="258">
        <v>547000000</v>
      </c>
      <c r="J49" s="258">
        <v>6017000000</v>
      </c>
      <c r="K49" s="256" t="s">
        <v>1346</v>
      </c>
    </row>
    <row r="50" spans="1:11" x14ac:dyDescent="0.3">
      <c r="A50" s="256">
        <v>43</v>
      </c>
      <c r="B50" s="257" t="s">
        <v>1460</v>
      </c>
      <c r="C50" s="276">
        <v>44561</v>
      </c>
      <c r="D50" s="257" t="s">
        <v>1279</v>
      </c>
      <c r="E50" s="256" t="s">
        <v>1827</v>
      </c>
      <c r="F50" s="256" t="s">
        <v>1888</v>
      </c>
      <c r="G50" s="258">
        <v>5527000000</v>
      </c>
      <c r="H50" s="265">
        <v>0.1</v>
      </c>
      <c r="I50" s="258">
        <v>552700000</v>
      </c>
      <c r="J50" s="258">
        <v>6079700000</v>
      </c>
      <c r="K50" s="256" t="s">
        <v>1346</v>
      </c>
    </row>
    <row r="51" spans="1:11" x14ac:dyDescent="0.3">
      <c r="A51" s="256">
        <v>44</v>
      </c>
      <c r="B51" s="257" t="s">
        <v>1205</v>
      </c>
      <c r="C51" s="276">
        <v>44561</v>
      </c>
      <c r="D51" s="257" t="s">
        <v>1297</v>
      </c>
      <c r="E51" s="256" t="s">
        <v>1820</v>
      </c>
      <c r="F51" s="256" t="s">
        <v>1888</v>
      </c>
      <c r="G51" s="258">
        <v>5655000000</v>
      </c>
      <c r="H51" s="265">
        <v>0.1</v>
      </c>
      <c r="I51" s="258">
        <v>565500000</v>
      </c>
      <c r="J51" s="258">
        <v>6220500000</v>
      </c>
      <c r="K51" s="256" t="s">
        <v>1346</v>
      </c>
    </row>
    <row r="52" spans="1:11" x14ac:dyDescent="0.3">
      <c r="A52" s="256">
        <v>45</v>
      </c>
      <c r="B52" s="257" t="s">
        <v>1460</v>
      </c>
      <c r="C52" s="276">
        <v>44561</v>
      </c>
      <c r="D52" s="257" t="s">
        <v>1274</v>
      </c>
      <c r="E52" s="256" t="s">
        <v>1794</v>
      </c>
      <c r="F52" s="256" t="s">
        <v>1889</v>
      </c>
      <c r="G52" s="258">
        <v>3336000000</v>
      </c>
      <c r="H52" s="265">
        <v>0</v>
      </c>
      <c r="I52" s="258">
        <v>0</v>
      </c>
      <c r="J52" s="258">
        <v>3336000000</v>
      </c>
      <c r="K52" s="256" t="s">
        <v>1346</v>
      </c>
    </row>
    <row r="53" spans="1:11" x14ac:dyDescent="0.3">
      <c r="A53" s="256">
        <v>46</v>
      </c>
      <c r="B53" s="257" t="s">
        <v>1457</v>
      </c>
      <c r="C53" s="276">
        <v>44561</v>
      </c>
      <c r="D53" s="257" t="s">
        <v>1260</v>
      </c>
      <c r="E53" s="256" t="s">
        <v>1804</v>
      </c>
      <c r="F53" s="256" t="s">
        <v>1889</v>
      </c>
      <c r="G53" s="258">
        <v>6477000000</v>
      </c>
      <c r="H53" s="265">
        <v>0</v>
      </c>
      <c r="I53" s="258">
        <v>0</v>
      </c>
      <c r="J53" s="258">
        <v>6477000000</v>
      </c>
      <c r="K53" s="256" t="s">
        <v>1346</v>
      </c>
    </row>
    <row r="54" spans="1:11" x14ac:dyDescent="0.3">
      <c r="A54" s="256">
        <v>47</v>
      </c>
      <c r="B54" s="257" t="s">
        <v>1203</v>
      </c>
      <c r="C54" s="276">
        <v>44561</v>
      </c>
      <c r="D54" s="257" t="s">
        <v>1286</v>
      </c>
      <c r="E54" s="256" t="s">
        <v>1828</v>
      </c>
      <c r="F54" s="256" t="s">
        <v>1888</v>
      </c>
      <c r="G54" s="258">
        <v>6186000000</v>
      </c>
      <c r="H54" s="265">
        <v>0.1</v>
      </c>
      <c r="I54" s="258">
        <v>618600000</v>
      </c>
      <c r="J54" s="258">
        <v>6804600000</v>
      </c>
      <c r="K54" s="256" t="s">
        <v>1346</v>
      </c>
    </row>
    <row r="55" spans="1:11" x14ac:dyDescent="0.3">
      <c r="A55" s="256">
        <v>48</v>
      </c>
      <c r="B55" s="257" t="s">
        <v>1391</v>
      </c>
      <c r="C55" s="276">
        <v>44561</v>
      </c>
      <c r="D55" s="257" t="s">
        <v>1299</v>
      </c>
      <c r="E55" s="256" t="s">
        <v>1776</v>
      </c>
      <c r="F55" s="256" t="s">
        <v>1891</v>
      </c>
      <c r="G55" s="258">
        <v>3759000000</v>
      </c>
      <c r="H55" s="265">
        <v>0.1</v>
      </c>
      <c r="I55" s="258">
        <v>375900000</v>
      </c>
      <c r="J55" s="258">
        <v>4134900000</v>
      </c>
      <c r="K55" s="256" t="s">
        <v>1348</v>
      </c>
    </row>
    <row r="56" spans="1:11" x14ac:dyDescent="0.3">
      <c r="A56" s="256">
        <v>49</v>
      </c>
      <c r="B56" s="257" t="s">
        <v>1470</v>
      </c>
      <c r="C56" s="276">
        <v>44561</v>
      </c>
      <c r="D56" s="257" t="s">
        <v>1284</v>
      </c>
      <c r="E56" s="256" t="s">
        <v>1786</v>
      </c>
      <c r="F56" s="256" t="s">
        <v>1734</v>
      </c>
      <c r="G56" s="258">
        <v>4576000000</v>
      </c>
      <c r="H56" s="265">
        <v>0.1</v>
      </c>
      <c r="I56" s="258">
        <v>457600000</v>
      </c>
      <c r="J56" s="258">
        <v>5033600000</v>
      </c>
      <c r="K56" s="256" t="s">
        <v>1346</v>
      </c>
    </row>
    <row r="57" spans="1:11" x14ac:dyDescent="0.3">
      <c r="A57" s="256">
        <v>50</v>
      </c>
      <c r="B57" s="257" t="s">
        <v>1404</v>
      </c>
      <c r="C57" s="276">
        <v>44561</v>
      </c>
      <c r="D57" s="257" t="s">
        <v>1282</v>
      </c>
      <c r="E57" s="256" t="s">
        <v>1789</v>
      </c>
      <c r="F57" s="256" t="s">
        <v>1889</v>
      </c>
      <c r="G57" s="258">
        <v>2017000000</v>
      </c>
      <c r="H57" s="265">
        <v>0.1</v>
      </c>
      <c r="I57" s="258">
        <v>201700000</v>
      </c>
      <c r="J57" s="258">
        <v>2218700000</v>
      </c>
      <c r="K57" s="256" t="s">
        <v>1346</v>
      </c>
    </row>
    <row r="58" spans="1:11" x14ac:dyDescent="0.3">
      <c r="A58" s="266" t="s">
        <v>1351</v>
      </c>
      <c r="B58" s="266"/>
      <c r="C58" s="266"/>
      <c r="D58" s="266"/>
      <c r="E58" s="266"/>
      <c r="F58" s="266"/>
      <c r="G58" s="267">
        <f>SUM(G8:G57)</f>
        <v>254420000000</v>
      </c>
      <c r="H58" s="266"/>
      <c r="I58" s="267">
        <f>SUM(I8:I57)</f>
        <v>23535000000</v>
      </c>
      <c r="J58" s="267">
        <f>SUM(J8:J57)</f>
        <v>277955000000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1287</v>
      </c>
      <c r="E62" s="256" t="s">
        <v>1801</v>
      </c>
      <c r="F62" s="256" t="s">
        <v>1892</v>
      </c>
      <c r="G62" s="258">
        <v>10261000000</v>
      </c>
      <c r="H62" s="265">
        <v>0.1</v>
      </c>
      <c r="I62" s="258">
        <v>1026100000</v>
      </c>
      <c r="J62" s="258">
        <v>11287100000</v>
      </c>
      <c r="K62" s="256" t="s">
        <v>1346</v>
      </c>
    </row>
    <row r="63" spans="1:11" x14ac:dyDescent="0.3">
      <c r="A63" s="256">
        <v>2</v>
      </c>
      <c r="B63" s="257" t="s">
        <v>1201</v>
      </c>
      <c r="C63" s="276">
        <v>44318</v>
      </c>
      <c r="D63" s="257" t="s">
        <v>1260</v>
      </c>
      <c r="E63" s="256" t="s">
        <v>1804</v>
      </c>
      <c r="F63" s="256" t="s">
        <v>1676</v>
      </c>
      <c r="G63" s="258">
        <v>9997000000</v>
      </c>
      <c r="H63" s="265">
        <v>0</v>
      </c>
      <c r="I63" s="258">
        <v>0</v>
      </c>
      <c r="J63" s="258">
        <v>9997000000</v>
      </c>
      <c r="K63" s="256" t="s">
        <v>1346</v>
      </c>
    </row>
    <row r="64" spans="1:11" x14ac:dyDescent="0.3">
      <c r="A64" s="256">
        <v>3</v>
      </c>
      <c r="B64" s="257" t="s">
        <v>1202</v>
      </c>
      <c r="C64" s="276">
        <v>44472</v>
      </c>
      <c r="D64" s="257" t="s">
        <v>1287</v>
      </c>
      <c r="E64" s="256" t="s">
        <v>1801</v>
      </c>
      <c r="F64" s="256" t="s">
        <v>1676</v>
      </c>
      <c r="G64" s="258">
        <v>3996000000</v>
      </c>
      <c r="H64" s="265">
        <v>0.1</v>
      </c>
      <c r="I64" s="258">
        <v>399600000</v>
      </c>
      <c r="J64" s="258">
        <v>4395600000</v>
      </c>
      <c r="K64" s="256" t="s">
        <v>1348</v>
      </c>
    </row>
    <row r="65" spans="1:11" x14ac:dyDescent="0.3">
      <c r="A65" s="256">
        <v>4</v>
      </c>
      <c r="B65" s="257" t="s">
        <v>1355</v>
      </c>
      <c r="C65" s="276">
        <v>44473</v>
      </c>
      <c r="D65" s="257" t="s">
        <v>1267</v>
      </c>
      <c r="E65" s="256" t="s">
        <v>1810</v>
      </c>
      <c r="F65" s="256" t="s">
        <v>1676</v>
      </c>
      <c r="G65" s="258">
        <v>8500000000</v>
      </c>
      <c r="H65" s="265">
        <v>0.1</v>
      </c>
      <c r="I65" s="258">
        <v>850000000</v>
      </c>
      <c r="J65" s="258">
        <v>9350000000</v>
      </c>
      <c r="K65" s="256" t="s">
        <v>1346</v>
      </c>
    </row>
    <row r="66" spans="1:11" x14ac:dyDescent="0.3">
      <c r="A66" s="256">
        <v>5</v>
      </c>
      <c r="B66" s="257" t="s">
        <v>1356</v>
      </c>
      <c r="C66" s="276">
        <v>44474</v>
      </c>
      <c r="D66" s="257" t="s">
        <v>1275</v>
      </c>
      <c r="E66" s="256" t="s">
        <v>1808</v>
      </c>
      <c r="F66" s="256" t="s">
        <v>1892</v>
      </c>
      <c r="G66" s="258">
        <v>8983000000</v>
      </c>
      <c r="H66" s="265">
        <v>0.1</v>
      </c>
      <c r="I66" s="258">
        <v>898300000</v>
      </c>
      <c r="J66" s="258">
        <v>9881300000</v>
      </c>
      <c r="K66" s="256" t="s">
        <v>1346</v>
      </c>
    </row>
    <row r="67" spans="1:11" x14ac:dyDescent="0.3">
      <c r="A67" s="256">
        <v>6</v>
      </c>
      <c r="B67" s="257" t="s">
        <v>1358</v>
      </c>
      <c r="C67" s="276">
        <v>44475</v>
      </c>
      <c r="D67" s="257" t="s">
        <v>1262</v>
      </c>
      <c r="E67" s="256" t="s">
        <v>1816</v>
      </c>
      <c r="F67" s="256" t="s">
        <v>1893</v>
      </c>
      <c r="G67" s="258">
        <v>3683000000</v>
      </c>
      <c r="H67" s="265">
        <v>0.1</v>
      </c>
      <c r="I67" s="258">
        <v>368300000</v>
      </c>
      <c r="J67" s="258">
        <v>4051300000</v>
      </c>
      <c r="K67" s="256" t="s">
        <v>1346</v>
      </c>
    </row>
    <row r="68" spans="1:11" x14ac:dyDescent="0.3">
      <c r="A68" s="256">
        <v>7</v>
      </c>
      <c r="B68" s="257" t="s">
        <v>1360</v>
      </c>
      <c r="C68" s="276">
        <v>44476</v>
      </c>
      <c r="D68" s="257" t="s">
        <v>1274</v>
      </c>
      <c r="E68" s="256" t="s">
        <v>1794</v>
      </c>
      <c r="F68" s="256" t="s">
        <v>1676</v>
      </c>
      <c r="G68" s="258">
        <v>9477000000</v>
      </c>
      <c r="H68" s="265">
        <v>0.1</v>
      </c>
      <c r="I68" s="258">
        <v>947700000</v>
      </c>
      <c r="J68" s="258">
        <v>10424700000</v>
      </c>
      <c r="K68" s="256" t="s">
        <v>1346</v>
      </c>
    </row>
    <row r="69" spans="1:11" x14ac:dyDescent="0.3">
      <c r="A69" s="256">
        <v>8</v>
      </c>
      <c r="B69" s="257" t="s">
        <v>1362</v>
      </c>
      <c r="C69" s="276">
        <v>44477</v>
      </c>
      <c r="D69" s="257" t="s">
        <v>1274</v>
      </c>
      <c r="E69" s="256" t="s">
        <v>1794</v>
      </c>
      <c r="F69" s="256" t="s">
        <v>1892</v>
      </c>
      <c r="G69" s="258">
        <v>7253000000</v>
      </c>
      <c r="H69" s="265">
        <v>0.1</v>
      </c>
      <c r="I69" s="258">
        <v>725300000</v>
      </c>
      <c r="J69" s="258">
        <v>7978300000</v>
      </c>
      <c r="K69" s="256" t="s">
        <v>1346</v>
      </c>
    </row>
    <row r="70" spans="1:11" x14ac:dyDescent="0.3">
      <c r="A70" s="256">
        <v>9</v>
      </c>
      <c r="B70" s="257" t="s">
        <v>1364</v>
      </c>
      <c r="C70" s="276">
        <v>44478</v>
      </c>
      <c r="D70" s="257" t="s">
        <v>1286</v>
      </c>
      <c r="E70" s="256" t="s">
        <v>1828</v>
      </c>
      <c r="F70" s="256" t="s">
        <v>1676</v>
      </c>
      <c r="G70" s="258">
        <v>8372000000</v>
      </c>
      <c r="H70" s="265">
        <v>0.1</v>
      </c>
      <c r="I70" s="258">
        <v>837200000</v>
      </c>
      <c r="J70" s="258">
        <v>9209200000</v>
      </c>
      <c r="K70" s="256" t="s">
        <v>1346</v>
      </c>
    </row>
    <row r="71" spans="1:11" x14ac:dyDescent="0.3">
      <c r="A71" s="256">
        <v>10</v>
      </c>
      <c r="B71" s="257" t="s">
        <v>1366</v>
      </c>
      <c r="C71" s="276">
        <v>44479</v>
      </c>
      <c r="D71" s="257" t="s">
        <v>1264</v>
      </c>
      <c r="E71" s="256" t="s">
        <v>1779</v>
      </c>
      <c r="F71" s="256" t="s">
        <v>1676</v>
      </c>
      <c r="G71" s="258">
        <v>4850000000</v>
      </c>
      <c r="H71" s="265">
        <v>0.1</v>
      </c>
      <c r="I71" s="258">
        <v>485000000</v>
      </c>
      <c r="J71" s="258">
        <v>5335000000</v>
      </c>
      <c r="K71" s="256" t="s">
        <v>1346</v>
      </c>
    </row>
    <row r="72" spans="1:11" x14ac:dyDescent="0.3">
      <c r="A72" s="256">
        <v>11</v>
      </c>
      <c r="B72" s="257" t="s">
        <v>1368</v>
      </c>
      <c r="C72" s="276">
        <v>44480</v>
      </c>
      <c r="D72" s="257" t="s">
        <v>1271</v>
      </c>
      <c r="E72" s="256" t="s">
        <v>1799</v>
      </c>
      <c r="F72" s="256" t="s">
        <v>1893</v>
      </c>
      <c r="G72" s="258">
        <v>3302000000</v>
      </c>
      <c r="H72" s="265">
        <v>0.1</v>
      </c>
      <c r="I72" s="258">
        <v>330200000</v>
      </c>
      <c r="J72" s="258">
        <v>3632200000</v>
      </c>
      <c r="K72" s="256" t="s">
        <v>1346</v>
      </c>
    </row>
    <row r="73" spans="1:11" x14ac:dyDescent="0.3">
      <c r="A73" s="256">
        <v>12</v>
      </c>
      <c r="B73" s="257" t="s">
        <v>1371</v>
      </c>
      <c r="C73" s="276">
        <v>44481</v>
      </c>
      <c r="D73" s="257" t="s">
        <v>1278</v>
      </c>
      <c r="E73" s="256" t="s">
        <v>1785</v>
      </c>
      <c r="F73" s="256" t="s">
        <v>1892</v>
      </c>
      <c r="G73" s="258">
        <v>6396000000</v>
      </c>
      <c r="H73" s="265">
        <v>0.1</v>
      </c>
      <c r="I73" s="258">
        <v>639600000</v>
      </c>
      <c r="J73" s="258">
        <v>7035600000</v>
      </c>
      <c r="K73" s="256" t="s">
        <v>1346</v>
      </c>
    </row>
    <row r="74" spans="1:11" x14ac:dyDescent="0.3">
      <c r="A74" s="256">
        <v>13</v>
      </c>
      <c r="B74" s="257" t="s">
        <v>1373</v>
      </c>
      <c r="C74" s="276">
        <v>44211</v>
      </c>
      <c r="D74" s="257" t="s">
        <v>1255</v>
      </c>
      <c r="E74" s="273">
        <v>46152</v>
      </c>
      <c r="F74" s="256" t="s">
        <v>1893</v>
      </c>
      <c r="G74" s="258">
        <v>5420000000</v>
      </c>
      <c r="H74" s="265">
        <v>0.1</v>
      </c>
      <c r="I74" s="258">
        <v>542000000</v>
      </c>
      <c r="J74" s="258">
        <v>5962000000</v>
      </c>
      <c r="K74" s="256" t="s">
        <v>1346</v>
      </c>
    </row>
    <row r="75" spans="1:11" x14ac:dyDescent="0.3">
      <c r="A75" s="256">
        <v>14</v>
      </c>
      <c r="B75" s="257" t="s">
        <v>1374</v>
      </c>
      <c r="C75" s="276">
        <v>44242</v>
      </c>
      <c r="D75" s="257" t="s">
        <v>1295</v>
      </c>
      <c r="E75" s="256" t="s">
        <v>1825</v>
      </c>
      <c r="F75" s="256" t="s">
        <v>1892</v>
      </c>
      <c r="G75" s="258">
        <v>4634000000</v>
      </c>
      <c r="H75" s="265">
        <v>0.1</v>
      </c>
      <c r="I75" s="258">
        <v>463400000</v>
      </c>
      <c r="J75" s="258">
        <v>5097400000</v>
      </c>
      <c r="K75" s="256" t="s">
        <v>1346</v>
      </c>
    </row>
    <row r="76" spans="1:11" x14ac:dyDescent="0.3">
      <c r="A76" s="256">
        <v>15</v>
      </c>
      <c r="B76" s="257" t="s">
        <v>1376</v>
      </c>
      <c r="C76" s="276">
        <v>44275</v>
      </c>
      <c r="D76" s="257" t="s">
        <v>1283</v>
      </c>
      <c r="E76" s="256" t="s">
        <v>1798</v>
      </c>
      <c r="F76" s="256" t="s">
        <v>1676</v>
      </c>
      <c r="G76" s="258">
        <v>6863000000</v>
      </c>
      <c r="H76" s="265">
        <v>0.1</v>
      </c>
      <c r="I76" s="258">
        <v>686300000</v>
      </c>
      <c r="J76" s="258">
        <v>7549300000</v>
      </c>
      <c r="K76" s="256" t="s">
        <v>1346</v>
      </c>
    </row>
    <row r="77" spans="1:11" x14ac:dyDescent="0.3">
      <c r="A77" s="256">
        <v>16</v>
      </c>
      <c r="B77" s="257" t="s">
        <v>1378</v>
      </c>
      <c r="C77" s="276">
        <v>44306</v>
      </c>
      <c r="D77" s="257" t="s">
        <v>1265</v>
      </c>
      <c r="E77" s="256" t="s">
        <v>1830</v>
      </c>
      <c r="F77" s="256" t="s">
        <v>1676</v>
      </c>
      <c r="G77" s="258">
        <v>3922000000</v>
      </c>
      <c r="H77" s="265">
        <v>0.1</v>
      </c>
      <c r="I77" s="258">
        <v>392200000</v>
      </c>
      <c r="J77" s="258">
        <v>4314200000</v>
      </c>
      <c r="K77" s="256" t="s">
        <v>1346</v>
      </c>
    </row>
    <row r="78" spans="1:11" x14ac:dyDescent="0.3">
      <c r="A78" s="256">
        <v>17</v>
      </c>
      <c r="B78" s="257" t="s">
        <v>1379</v>
      </c>
      <c r="C78" s="276">
        <v>44336</v>
      </c>
      <c r="D78" s="257" t="s">
        <v>1259</v>
      </c>
      <c r="E78" s="256" t="s">
        <v>1788</v>
      </c>
      <c r="F78" s="256" t="s">
        <v>1893</v>
      </c>
      <c r="G78" s="258">
        <v>3701000000</v>
      </c>
      <c r="H78" s="265">
        <v>0.1</v>
      </c>
      <c r="I78" s="258">
        <v>370100000</v>
      </c>
      <c r="J78" s="258">
        <v>4071100000</v>
      </c>
      <c r="K78" s="256" t="s">
        <v>1346</v>
      </c>
    </row>
    <row r="79" spans="1:11" x14ac:dyDescent="0.3">
      <c r="A79" s="256">
        <v>18</v>
      </c>
      <c r="B79" s="257" t="s">
        <v>1381</v>
      </c>
      <c r="C79" s="276">
        <v>44367</v>
      </c>
      <c r="D79" s="257" t="s">
        <v>1276</v>
      </c>
      <c r="E79" s="256" t="s">
        <v>1822</v>
      </c>
      <c r="F79" s="256" t="s">
        <v>1676</v>
      </c>
      <c r="G79" s="258">
        <v>4450000000</v>
      </c>
      <c r="H79" s="265">
        <v>0.1</v>
      </c>
      <c r="I79" s="258">
        <v>445000000</v>
      </c>
      <c r="J79" s="258">
        <v>4895000000</v>
      </c>
      <c r="K79" s="256" t="s">
        <v>1346</v>
      </c>
    </row>
    <row r="80" spans="1:11" x14ac:dyDescent="0.3">
      <c r="A80" s="256">
        <v>19</v>
      </c>
      <c r="B80" s="257" t="s">
        <v>1382</v>
      </c>
      <c r="C80" s="276">
        <v>44397</v>
      </c>
      <c r="D80" s="257" t="s">
        <v>1293</v>
      </c>
      <c r="E80" s="256" t="s">
        <v>1826</v>
      </c>
      <c r="F80" s="256" t="s">
        <v>1676</v>
      </c>
      <c r="G80" s="258">
        <v>8181000000</v>
      </c>
      <c r="H80" s="265">
        <v>0.1</v>
      </c>
      <c r="I80" s="258">
        <v>818100000</v>
      </c>
      <c r="J80" s="258">
        <v>8999100000</v>
      </c>
      <c r="K80" s="256" t="s">
        <v>1346</v>
      </c>
    </row>
    <row r="81" spans="1:11" x14ac:dyDescent="0.3">
      <c r="A81" s="256">
        <v>20</v>
      </c>
      <c r="B81" s="257" t="s">
        <v>1383</v>
      </c>
      <c r="C81" s="276">
        <v>44428</v>
      </c>
      <c r="D81" s="257" t="s">
        <v>1286</v>
      </c>
      <c r="E81" s="256" t="s">
        <v>1828</v>
      </c>
      <c r="F81" s="256" t="s">
        <v>1893</v>
      </c>
      <c r="G81" s="258">
        <v>9130000000</v>
      </c>
      <c r="H81" s="265">
        <v>0.1</v>
      </c>
      <c r="I81" s="258">
        <v>913000000</v>
      </c>
      <c r="J81" s="258">
        <v>10043000000</v>
      </c>
      <c r="K81" s="256" t="s">
        <v>1346</v>
      </c>
    </row>
    <row r="82" spans="1:11" x14ac:dyDescent="0.3">
      <c r="A82" s="256">
        <v>21</v>
      </c>
      <c r="B82" s="257" t="s">
        <v>1203</v>
      </c>
      <c r="C82" s="276">
        <v>44459</v>
      </c>
      <c r="D82" s="257" t="s">
        <v>1261</v>
      </c>
      <c r="E82" s="256" t="s">
        <v>1813</v>
      </c>
      <c r="F82" s="256" t="s">
        <v>1893</v>
      </c>
      <c r="G82" s="258">
        <v>4889000000</v>
      </c>
      <c r="H82" s="265">
        <v>0.1</v>
      </c>
      <c r="I82" s="258">
        <v>488900000</v>
      </c>
      <c r="J82" s="258">
        <v>5377900000</v>
      </c>
      <c r="K82" s="256" t="s">
        <v>1346</v>
      </c>
    </row>
    <row r="83" spans="1:11" x14ac:dyDescent="0.3">
      <c r="A83" s="256">
        <v>22</v>
      </c>
      <c r="B83" s="257" t="s">
        <v>1204</v>
      </c>
      <c r="C83" s="276">
        <v>44489</v>
      </c>
      <c r="D83" s="257" t="s">
        <v>1274</v>
      </c>
      <c r="E83" s="256" t="s">
        <v>1794</v>
      </c>
      <c r="F83" s="256" t="s">
        <v>1892</v>
      </c>
      <c r="G83" s="258">
        <v>3924000000</v>
      </c>
      <c r="H83" s="265">
        <v>0.1</v>
      </c>
      <c r="I83" s="258">
        <v>392400000</v>
      </c>
      <c r="J83" s="258">
        <v>4316400000</v>
      </c>
      <c r="K83" s="256" t="s">
        <v>1346</v>
      </c>
    </row>
    <row r="84" spans="1:11" x14ac:dyDescent="0.3">
      <c r="A84" s="256">
        <v>23</v>
      </c>
      <c r="B84" s="257" t="s">
        <v>1205</v>
      </c>
      <c r="C84" s="276">
        <v>44520</v>
      </c>
      <c r="D84" s="257" t="s">
        <v>1264</v>
      </c>
      <c r="E84" s="256" t="s">
        <v>1779</v>
      </c>
      <c r="F84" s="256" t="s">
        <v>1892</v>
      </c>
      <c r="G84" s="258">
        <v>8750000000</v>
      </c>
      <c r="H84" s="265">
        <v>0.1</v>
      </c>
      <c r="I84" s="258">
        <v>875000000</v>
      </c>
      <c r="J84" s="258">
        <v>9625000000</v>
      </c>
      <c r="K84" s="256" t="s">
        <v>1346</v>
      </c>
    </row>
    <row r="85" spans="1:11" x14ac:dyDescent="0.3">
      <c r="A85" s="256">
        <v>24</v>
      </c>
      <c r="B85" s="257" t="s">
        <v>1385</v>
      </c>
      <c r="C85" s="276">
        <v>44550</v>
      </c>
      <c r="D85" s="257" t="s">
        <v>1256</v>
      </c>
      <c r="E85" s="256" t="s">
        <v>1802</v>
      </c>
      <c r="F85" s="256" t="s">
        <v>1892</v>
      </c>
      <c r="G85" s="258">
        <v>7678000000</v>
      </c>
      <c r="H85" s="265">
        <v>0.1</v>
      </c>
      <c r="I85" s="258">
        <v>767800000</v>
      </c>
      <c r="J85" s="258">
        <v>8445800000</v>
      </c>
      <c r="K85" s="256" t="s">
        <v>1346</v>
      </c>
    </row>
    <row r="86" spans="1:11" x14ac:dyDescent="0.3">
      <c r="A86" s="256">
        <v>25</v>
      </c>
      <c r="B86" s="257" t="s">
        <v>1387</v>
      </c>
      <c r="C86" s="276">
        <v>44221</v>
      </c>
      <c r="D86" s="257" t="s">
        <v>1277</v>
      </c>
      <c r="E86" s="256" t="s">
        <v>1783</v>
      </c>
      <c r="F86" s="256" t="s">
        <v>1676</v>
      </c>
      <c r="G86" s="258">
        <v>9419000000</v>
      </c>
      <c r="H86" s="265">
        <v>0.1</v>
      </c>
      <c r="I86" s="258">
        <v>941900000</v>
      </c>
      <c r="J86" s="258">
        <v>10360900000</v>
      </c>
      <c r="K86" s="256" t="s">
        <v>1348</v>
      </c>
    </row>
    <row r="87" spans="1:11" x14ac:dyDescent="0.3">
      <c r="A87" s="256">
        <v>26</v>
      </c>
      <c r="B87" s="257" t="s">
        <v>1388</v>
      </c>
      <c r="C87" s="276">
        <v>44255</v>
      </c>
      <c r="D87" s="257" t="s">
        <v>1276</v>
      </c>
      <c r="E87" s="256" t="s">
        <v>1822</v>
      </c>
      <c r="F87" s="256" t="s">
        <v>1892</v>
      </c>
      <c r="G87" s="258">
        <v>3352000000</v>
      </c>
      <c r="H87" s="265">
        <v>0.1</v>
      </c>
      <c r="I87" s="258">
        <v>335200000</v>
      </c>
      <c r="J87" s="258">
        <v>3687200000</v>
      </c>
      <c r="K87" s="256" t="s">
        <v>1346</v>
      </c>
    </row>
    <row r="88" spans="1:11" x14ac:dyDescent="0.3">
      <c r="A88" s="256">
        <v>27</v>
      </c>
      <c r="B88" s="257" t="s">
        <v>1391</v>
      </c>
      <c r="C88" s="276">
        <v>44316</v>
      </c>
      <c r="D88" s="257" t="s">
        <v>1267</v>
      </c>
      <c r="E88" s="256" t="s">
        <v>1810</v>
      </c>
      <c r="F88" s="256" t="s">
        <v>1893</v>
      </c>
      <c r="G88" s="258">
        <v>4649000000</v>
      </c>
      <c r="H88" s="265">
        <v>0.1</v>
      </c>
      <c r="I88" s="258">
        <v>464900000</v>
      </c>
      <c r="J88" s="258">
        <v>5113900000</v>
      </c>
      <c r="K88" s="256" t="s">
        <v>1348</v>
      </c>
    </row>
    <row r="89" spans="1:11" x14ac:dyDescent="0.3">
      <c r="A89" s="256">
        <v>28</v>
      </c>
      <c r="B89" s="257" t="s">
        <v>1392</v>
      </c>
      <c r="C89" s="276">
        <v>44377</v>
      </c>
      <c r="D89" s="257" t="s">
        <v>1257</v>
      </c>
      <c r="E89" s="256" t="s">
        <v>1815</v>
      </c>
      <c r="F89" s="256" t="s">
        <v>1892</v>
      </c>
      <c r="G89" s="258">
        <v>2915000000</v>
      </c>
      <c r="H89" s="265">
        <v>0.1</v>
      </c>
      <c r="I89" s="258">
        <v>291500000</v>
      </c>
      <c r="J89" s="258">
        <v>3206500000</v>
      </c>
      <c r="K89" s="256" t="s">
        <v>1346</v>
      </c>
    </row>
    <row r="90" spans="1:11" x14ac:dyDescent="0.3">
      <c r="A90" s="256">
        <v>29</v>
      </c>
      <c r="B90" s="257" t="s">
        <v>1394</v>
      </c>
      <c r="C90" s="276">
        <v>44469</v>
      </c>
      <c r="D90" s="257" t="s">
        <v>1299</v>
      </c>
      <c r="E90" s="256" t="s">
        <v>1776</v>
      </c>
      <c r="F90" s="256" t="s">
        <v>1893</v>
      </c>
      <c r="G90" s="258">
        <v>6147000000</v>
      </c>
      <c r="H90" s="265">
        <v>0.1</v>
      </c>
      <c r="I90" s="258">
        <v>614700000</v>
      </c>
      <c r="J90" s="258">
        <v>6761700000</v>
      </c>
      <c r="K90" s="256" t="s">
        <v>1346</v>
      </c>
    </row>
    <row r="91" spans="1:11" x14ac:dyDescent="0.3">
      <c r="A91" s="256">
        <v>30</v>
      </c>
      <c r="B91" s="257" t="s">
        <v>1396</v>
      </c>
      <c r="C91" s="276">
        <v>44530</v>
      </c>
      <c r="D91" s="257" t="s">
        <v>1260</v>
      </c>
      <c r="E91" s="256" t="s">
        <v>1804</v>
      </c>
      <c r="F91" s="256" t="s">
        <v>1676</v>
      </c>
      <c r="G91" s="258">
        <v>4032000000</v>
      </c>
      <c r="H91" s="265">
        <v>0.1</v>
      </c>
      <c r="I91" s="258">
        <v>403200000</v>
      </c>
      <c r="J91" s="258">
        <v>4435200000</v>
      </c>
      <c r="K91" s="256" t="s">
        <v>1346</v>
      </c>
    </row>
    <row r="92" spans="1:11" x14ac:dyDescent="0.3">
      <c r="A92" s="256">
        <v>31</v>
      </c>
      <c r="B92" s="257" t="s">
        <v>1397</v>
      </c>
      <c r="C92" s="276">
        <v>44286</v>
      </c>
      <c r="D92" s="257" t="s">
        <v>1273</v>
      </c>
      <c r="E92" s="256" t="s">
        <v>1829</v>
      </c>
      <c r="F92" s="256" t="s">
        <v>1676</v>
      </c>
      <c r="G92" s="258">
        <v>5423000000</v>
      </c>
      <c r="H92" s="265">
        <v>0.1</v>
      </c>
      <c r="I92" s="258">
        <v>542300000</v>
      </c>
      <c r="J92" s="258">
        <v>5965300000</v>
      </c>
      <c r="K92" s="256" t="s">
        <v>1346</v>
      </c>
    </row>
    <row r="93" spans="1:11" x14ac:dyDescent="0.3">
      <c r="A93" s="256">
        <v>32</v>
      </c>
      <c r="B93" s="257" t="s">
        <v>1398</v>
      </c>
      <c r="C93" s="276">
        <v>44347</v>
      </c>
      <c r="D93" s="257" t="s">
        <v>1282</v>
      </c>
      <c r="E93" s="256" t="s">
        <v>1789</v>
      </c>
      <c r="F93" s="256" t="s">
        <v>1676</v>
      </c>
      <c r="G93" s="258">
        <v>5344000000</v>
      </c>
      <c r="H93" s="265">
        <v>0.1</v>
      </c>
      <c r="I93" s="258">
        <v>534400000</v>
      </c>
      <c r="J93" s="258">
        <v>5878400000</v>
      </c>
      <c r="K93" s="256" t="s">
        <v>1346</v>
      </c>
    </row>
    <row r="94" spans="1:11" x14ac:dyDescent="0.3">
      <c r="A94" s="256">
        <v>33</v>
      </c>
      <c r="B94" s="257" t="s">
        <v>1399</v>
      </c>
      <c r="C94" s="276">
        <v>44408</v>
      </c>
      <c r="D94" s="257" t="s">
        <v>1255</v>
      </c>
      <c r="E94" s="273">
        <v>46152</v>
      </c>
      <c r="F94" s="256" t="s">
        <v>1892</v>
      </c>
      <c r="G94" s="258">
        <v>9051000000</v>
      </c>
      <c r="H94" s="265">
        <v>0.1</v>
      </c>
      <c r="I94" s="258">
        <v>905100000</v>
      </c>
      <c r="J94" s="258">
        <v>9956100000</v>
      </c>
      <c r="K94" s="256" t="s">
        <v>1348</v>
      </c>
    </row>
    <row r="95" spans="1:11" x14ac:dyDescent="0.3">
      <c r="A95" s="256">
        <v>34</v>
      </c>
      <c r="B95" s="257" t="s">
        <v>1401</v>
      </c>
      <c r="C95" s="276">
        <v>44439</v>
      </c>
      <c r="D95" s="257" t="s">
        <v>1290</v>
      </c>
      <c r="E95" s="256" t="s">
        <v>1796</v>
      </c>
      <c r="F95" s="256" t="s">
        <v>1893</v>
      </c>
      <c r="G95" s="258">
        <v>9621000000</v>
      </c>
      <c r="H95" s="265">
        <v>0.1</v>
      </c>
      <c r="I95" s="258">
        <v>962100000</v>
      </c>
      <c r="J95" s="258">
        <v>10583100000</v>
      </c>
      <c r="K95" s="256" t="s">
        <v>1346</v>
      </c>
    </row>
    <row r="96" spans="1:11" x14ac:dyDescent="0.3">
      <c r="A96" s="256">
        <v>35</v>
      </c>
      <c r="B96" s="257" t="s">
        <v>1402</v>
      </c>
      <c r="C96" s="276">
        <v>44500</v>
      </c>
      <c r="D96" s="257" t="s">
        <v>1292</v>
      </c>
      <c r="E96" s="256" t="s">
        <v>1792</v>
      </c>
      <c r="F96" s="256" t="s">
        <v>1892</v>
      </c>
      <c r="G96" s="258">
        <v>3107000000</v>
      </c>
      <c r="H96" s="265">
        <v>0.1</v>
      </c>
      <c r="I96" s="258">
        <v>310700000</v>
      </c>
      <c r="J96" s="258">
        <v>3417700000</v>
      </c>
      <c r="K96" s="256" t="s">
        <v>1348</v>
      </c>
    </row>
    <row r="97" spans="1:11" x14ac:dyDescent="0.3">
      <c r="A97" s="256">
        <v>36</v>
      </c>
      <c r="B97" s="257" t="s">
        <v>1403</v>
      </c>
      <c r="C97" s="276">
        <v>44561</v>
      </c>
      <c r="D97" s="257" t="s">
        <v>1267</v>
      </c>
      <c r="E97" s="256" t="s">
        <v>1810</v>
      </c>
      <c r="F97" s="256" t="s">
        <v>1893</v>
      </c>
      <c r="G97" s="258">
        <v>3804000000</v>
      </c>
      <c r="H97" s="265">
        <v>0.1</v>
      </c>
      <c r="I97" s="258">
        <v>380400000</v>
      </c>
      <c r="J97" s="258">
        <v>4184400000</v>
      </c>
      <c r="K97" s="256" t="s">
        <v>1346</v>
      </c>
    </row>
    <row r="98" spans="1:11" x14ac:dyDescent="0.3">
      <c r="A98" s="256">
        <v>37</v>
      </c>
      <c r="B98" s="257" t="s">
        <v>1404</v>
      </c>
      <c r="C98" s="276">
        <v>44561</v>
      </c>
      <c r="D98" s="257" t="s">
        <v>1290</v>
      </c>
      <c r="E98" s="256" t="s">
        <v>1796</v>
      </c>
      <c r="F98" s="256" t="s">
        <v>1893</v>
      </c>
      <c r="G98" s="258">
        <v>6617000000</v>
      </c>
      <c r="H98" s="265">
        <v>0.1</v>
      </c>
      <c r="I98" s="258">
        <v>661700000</v>
      </c>
      <c r="J98" s="258">
        <v>7278700000</v>
      </c>
      <c r="K98" s="256" t="s">
        <v>1346</v>
      </c>
    </row>
    <row r="99" spans="1:11" x14ac:dyDescent="0.3">
      <c r="A99" s="256">
        <v>38</v>
      </c>
      <c r="B99" s="257" t="s">
        <v>1405</v>
      </c>
      <c r="C99" s="276">
        <v>44561</v>
      </c>
      <c r="D99" s="257" t="s">
        <v>1273</v>
      </c>
      <c r="E99" s="256" t="s">
        <v>1829</v>
      </c>
      <c r="F99" s="256" t="s">
        <v>1676</v>
      </c>
      <c r="G99" s="258">
        <v>3925000000</v>
      </c>
      <c r="H99" s="265">
        <v>0.1</v>
      </c>
      <c r="I99" s="258">
        <v>392500000</v>
      </c>
      <c r="J99" s="258">
        <v>4317500000</v>
      </c>
      <c r="K99" s="256" t="s">
        <v>1346</v>
      </c>
    </row>
    <row r="100" spans="1:11" x14ac:dyDescent="0.3">
      <c r="A100" s="256">
        <v>39</v>
      </c>
      <c r="B100" s="257" t="s">
        <v>1406</v>
      </c>
      <c r="C100" s="276">
        <v>44561</v>
      </c>
      <c r="D100" s="257" t="s">
        <v>1298</v>
      </c>
      <c r="E100" s="256" t="s">
        <v>1819</v>
      </c>
      <c r="F100" s="256" t="s">
        <v>1892</v>
      </c>
      <c r="G100" s="258">
        <v>6413000000</v>
      </c>
      <c r="H100" s="265">
        <v>0.1</v>
      </c>
      <c r="I100" s="258">
        <v>641300000</v>
      </c>
      <c r="J100" s="258">
        <v>7054300000</v>
      </c>
      <c r="K100" s="256" t="s">
        <v>1346</v>
      </c>
    </row>
    <row r="101" spans="1:11" x14ac:dyDescent="0.3">
      <c r="A101" s="256">
        <v>40</v>
      </c>
      <c r="B101" s="257" t="s">
        <v>1408</v>
      </c>
      <c r="C101" s="276">
        <v>44561</v>
      </c>
      <c r="D101" s="257" t="s">
        <v>1294</v>
      </c>
      <c r="E101" s="256" t="s">
        <v>1795</v>
      </c>
      <c r="F101" s="256" t="s">
        <v>1892</v>
      </c>
      <c r="G101" s="258">
        <v>2953000000</v>
      </c>
      <c r="H101" s="265">
        <v>0.1</v>
      </c>
      <c r="I101" s="258">
        <v>295300000</v>
      </c>
      <c r="J101" s="258">
        <v>3248300000</v>
      </c>
      <c r="K101" s="256" t="s">
        <v>1346</v>
      </c>
    </row>
    <row r="102" spans="1:11" x14ac:dyDescent="0.3">
      <c r="A102" s="256">
        <v>41</v>
      </c>
      <c r="B102" s="257" t="s">
        <v>1409</v>
      </c>
      <c r="C102" s="276">
        <v>44561</v>
      </c>
      <c r="D102" s="257" t="s">
        <v>1302</v>
      </c>
      <c r="E102" s="256" t="s">
        <v>1784</v>
      </c>
      <c r="F102" s="256" t="s">
        <v>1676</v>
      </c>
      <c r="G102" s="258">
        <v>3354000000</v>
      </c>
      <c r="H102" s="265">
        <v>0.1</v>
      </c>
      <c r="I102" s="258">
        <v>335400000</v>
      </c>
      <c r="J102" s="258">
        <v>3689400000</v>
      </c>
      <c r="K102" s="256" t="s">
        <v>1348</v>
      </c>
    </row>
    <row r="103" spans="1:11" x14ac:dyDescent="0.3">
      <c r="A103" s="256">
        <v>42</v>
      </c>
      <c r="B103" s="257" t="s">
        <v>1411</v>
      </c>
      <c r="C103" s="276">
        <v>44561</v>
      </c>
      <c r="D103" s="257" t="s">
        <v>1282</v>
      </c>
      <c r="E103" s="256" t="s">
        <v>1789</v>
      </c>
      <c r="F103" s="256" t="s">
        <v>1676</v>
      </c>
      <c r="G103" s="258">
        <v>5273000000</v>
      </c>
      <c r="H103" s="265">
        <v>0.1</v>
      </c>
      <c r="I103" s="258">
        <v>527300000</v>
      </c>
      <c r="J103" s="258">
        <v>5800300000</v>
      </c>
      <c r="K103" s="256" t="s">
        <v>1346</v>
      </c>
    </row>
    <row r="104" spans="1:11" x14ac:dyDescent="0.3">
      <c r="A104" s="256">
        <v>43</v>
      </c>
      <c r="B104" s="257" t="s">
        <v>1414</v>
      </c>
      <c r="C104" s="276">
        <v>44561</v>
      </c>
      <c r="D104" s="257" t="s">
        <v>1304</v>
      </c>
      <c r="E104" s="256" t="s">
        <v>1831</v>
      </c>
      <c r="F104" s="256" t="s">
        <v>1893</v>
      </c>
      <c r="G104" s="258">
        <v>10188000000</v>
      </c>
      <c r="H104" s="265">
        <v>0.1</v>
      </c>
      <c r="I104" s="258">
        <v>1018800000</v>
      </c>
      <c r="J104" s="258">
        <v>11206800000</v>
      </c>
      <c r="K104" s="256" t="s">
        <v>1348</v>
      </c>
    </row>
    <row r="105" spans="1:11" x14ac:dyDescent="0.3">
      <c r="A105" s="256">
        <v>44</v>
      </c>
      <c r="B105" s="257" t="s">
        <v>1415</v>
      </c>
      <c r="C105" s="276">
        <v>44561</v>
      </c>
      <c r="D105" s="257" t="s">
        <v>1286</v>
      </c>
      <c r="E105" s="256" t="s">
        <v>1828</v>
      </c>
      <c r="F105" s="256" t="s">
        <v>1676</v>
      </c>
      <c r="G105" s="258">
        <v>9994000000</v>
      </c>
      <c r="H105" s="265">
        <v>0.1</v>
      </c>
      <c r="I105" s="258">
        <v>999400000</v>
      </c>
      <c r="J105" s="258">
        <v>10993400000</v>
      </c>
      <c r="K105" s="256" t="s">
        <v>1348</v>
      </c>
    </row>
    <row r="106" spans="1:11" x14ac:dyDescent="0.3">
      <c r="A106" s="256">
        <v>45</v>
      </c>
      <c r="B106" s="257" t="s">
        <v>1206</v>
      </c>
      <c r="C106" s="276">
        <v>44561</v>
      </c>
      <c r="D106" s="257" t="s">
        <v>1299</v>
      </c>
      <c r="E106" s="256" t="s">
        <v>1776</v>
      </c>
      <c r="F106" s="256" t="s">
        <v>1892</v>
      </c>
      <c r="G106" s="258">
        <v>4404000000</v>
      </c>
      <c r="H106" s="265">
        <v>0.1</v>
      </c>
      <c r="I106" s="258">
        <v>440400000</v>
      </c>
      <c r="J106" s="258">
        <v>4844400000</v>
      </c>
      <c r="K106" s="256" t="s">
        <v>1346</v>
      </c>
    </row>
    <row r="107" spans="1:11" x14ac:dyDescent="0.3">
      <c r="A107" s="256">
        <v>46</v>
      </c>
      <c r="B107" s="257" t="s">
        <v>1207</v>
      </c>
      <c r="C107" s="276">
        <v>44561</v>
      </c>
      <c r="D107" s="257" t="s">
        <v>1304</v>
      </c>
      <c r="E107" s="256" t="s">
        <v>1831</v>
      </c>
      <c r="F107" s="256" t="s">
        <v>1893</v>
      </c>
      <c r="G107" s="258">
        <v>5343000000</v>
      </c>
      <c r="H107" s="265">
        <v>0.1</v>
      </c>
      <c r="I107" s="258">
        <v>534300000</v>
      </c>
      <c r="J107" s="258">
        <v>5877300000</v>
      </c>
      <c r="K107" s="256" t="s">
        <v>1348</v>
      </c>
    </row>
    <row r="108" spans="1:11" x14ac:dyDescent="0.3">
      <c r="A108" s="256">
        <v>47</v>
      </c>
      <c r="B108" s="257" t="s">
        <v>1208</v>
      </c>
      <c r="C108" s="276">
        <v>44561</v>
      </c>
      <c r="D108" s="257" t="s">
        <v>1285</v>
      </c>
      <c r="E108" s="256" t="s">
        <v>1793</v>
      </c>
      <c r="F108" s="256" t="s">
        <v>1676</v>
      </c>
      <c r="G108" s="258">
        <v>9924000000</v>
      </c>
      <c r="H108" s="265">
        <v>0.1</v>
      </c>
      <c r="I108" s="258">
        <v>992400000</v>
      </c>
      <c r="J108" s="258">
        <v>10916400000</v>
      </c>
      <c r="K108" s="256" t="s">
        <v>1348</v>
      </c>
    </row>
    <row r="109" spans="1:11" x14ac:dyDescent="0.3">
      <c r="A109" s="256">
        <v>48</v>
      </c>
      <c r="B109" s="257" t="s">
        <v>1209</v>
      </c>
      <c r="C109" s="276">
        <v>44561</v>
      </c>
      <c r="D109" s="257" t="s">
        <v>1295</v>
      </c>
      <c r="E109" s="256" t="s">
        <v>1825</v>
      </c>
      <c r="F109" s="256" t="s">
        <v>1676</v>
      </c>
      <c r="G109" s="258">
        <v>5093000000</v>
      </c>
      <c r="H109" s="265">
        <v>0.1</v>
      </c>
      <c r="I109" s="258">
        <v>509300000</v>
      </c>
      <c r="J109" s="258">
        <v>5602300000</v>
      </c>
      <c r="K109" s="256" t="s">
        <v>1346</v>
      </c>
    </row>
    <row r="110" spans="1:11" x14ac:dyDescent="0.3">
      <c r="A110" s="256">
        <v>49</v>
      </c>
      <c r="B110" s="257" t="s">
        <v>1418</v>
      </c>
      <c r="C110" s="276">
        <v>44561</v>
      </c>
      <c r="D110" s="257" t="s">
        <v>1295</v>
      </c>
      <c r="E110" s="256" t="s">
        <v>1825</v>
      </c>
      <c r="F110" s="256" t="s">
        <v>1676</v>
      </c>
      <c r="G110" s="258">
        <v>4848000000</v>
      </c>
      <c r="H110" s="265">
        <v>0.1</v>
      </c>
      <c r="I110" s="258">
        <v>484800000</v>
      </c>
      <c r="J110" s="258">
        <v>5332800000</v>
      </c>
      <c r="K110" s="256" t="s">
        <v>1346</v>
      </c>
    </row>
    <row r="111" spans="1:11" x14ac:dyDescent="0.3">
      <c r="A111" s="256">
        <v>50</v>
      </c>
      <c r="B111" s="257" t="s">
        <v>1419</v>
      </c>
      <c r="C111" s="276">
        <v>44561</v>
      </c>
      <c r="D111" s="257" t="s">
        <v>1257</v>
      </c>
      <c r="E111" s="256" t="s">
        <v>1815</v>
      </c>
      <c r="F111" s="256" t="s">
        <v>1676</v>
      </c>
      <c r="G111" s="258">
        <v>7927000000</v>
      </c>
      <c r="H111" s="265">
        <v>0.1</v>
      </c>
      <c r="I111" s="258">
        <v>792700000</v>
      </c>
      <c r="J111" s="258">
        <v>8719700000</v>
      </c>
      <c r="K111" s="256" t="s">
        <v>1346</v>
      </c>
    </row>
    <row r="112" spans="1:11" x14ac:dyDescent="0.3">
      <c r="A112" s="266" t="s">
        <v>1351</v>
      </c>
      <c r="B112" s="266"/>
      <c r="C112" s="266"/>
      <c r="D112" s="266"/>
      <c r="E112" s="266"/>
      <c r="F112" s="266"/>
      <c r="G112" s="267">
        <f>SUM(G62:G111)</f>
        <v>309732000000</v>
      </c>
      <c r="H112" s="266"/>
      <c r="I112" s="267">
        <f>SUM(I62:I111)</f>
        <v>29973500000</v>
      </c>
      <c r="J112" s="267">
        <f>SUM(J62:J111)</f>
        <v>339705500000</v>
      </c>
      <c r="K112" s="266"/>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769</v>
      </c>
      <c r="C1" s="256"/>
      <c r="D1" s="256"/>
      <c r="E1" s="256"/>
      <c r="F1" s="256"/>
      <c r="G1" s="256"/>
      <c r="H1" s="256"/>
      <c r="I1" s="256"/>
      <c r="J1" s="256"/>
      <c r="K1" s="256"/>
    </row>
    <row r="2" spans="1:11" x14ac:dyDescent="0.3">
      <c r="A2" s="256" t="s">
        <v>1339</v>
      </c>
      <c r="B2" s="257">
        <v>105853894</v>
      </c>
      <c r="C2" s="256"/>
      <c r="D2" s="256"/>
      <c r="E2" s="256"/>
      <c r="F2" s="256"/>
      <c r="G2" s="256"/>
      <c r="H2" s="256"/>
      <c r="I2" s="256"/>
      <c r="J2" s="256"/>
      <c r="K2" s="256"/>
    </row>
    <row r="3" spans="1:11" x14ac:dyDescent="0.3">
      <c r="A3" s="256" t="s">
        <v>1343</v>
      </c>
      <c r="B3" s="258">
        <v>109509837003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1399</v>
      </c>
      <c r="C8" s="276">
        <v>44317</v>
      </c>
      <c r="D8" s="257" t="s">
        <v>1264</v>
      </c>
      <c r="E8" s="256" t="s">
        <v>1779</v>
      </c>
      <c r="F8" s="256" t="s">
        <v>1861</v>
      </c>
      <c r="G8" s="258">
        <v>1735000000</v>
      </c>
      <c r="H8" s="265">
        <v>0.1</v>
      </c>
      <c r="I8" s="258">
        <v>173500000</v>
      </c>
      <c r="J8" s="258">
        <v>1908500000</v>
      </c>
      <c r="K8" s="256" t="s">
        <v>1346</v>
      </c>
    </row>
    <row r="9" spans="1:11" x14ac:dyDescent="0.3">
      <c r="A9" s="256">
        <v>2</v>
      </c>
      <c r="B9" s="257" t="s">
        <v>1406</v>
      </c>
      <c r="C9" s="276">
        <v>44318</v>
      </c>
      <c r="D9" s="257" t="s">
        <v>1304</v>
      </c>
      <c r="E9" s="256" t="s">
        <v>1831</v>
      </c>
      <c r="F9" s="256" t="s">
        <v>1863</v>
      </c>
      <c r="G9" s="258">
        <v>787000000</v>
      </c>
      <c r="H9" s="265">
        <v>0.1</v>
      </c>
      <c r="I9" s="258">
        <v>78700000</v>
      </c>
      <c r="J9" s="258">
        <v>865700000</v>
      </c>
      <c r="K9" s="256" t="s">
        <v>1346</v>
      </c>
    </row>
    <row r="10" spans="1:11" x14ac:dyDescent="0.3">
      <c r="A10" s="256">
        <v>3</v>
      </c>
      <c r="B10" s="257" t="s">
        <v>1462</v>
      </c>
      <c r="C10" s="276">
        <v>44472</v>
      </c>
      <c r="D10" s="257" t="s">
        <v>1281</v>
      </c>
      <c r="E10" s="256" t="s">
        <v>1806</v>
      </c>
      <c r="F10" s="256" t="s">
        <v>1859</v>
      </c>
      <c r="G10" s="258">
        <v>2443000000</v>
      </c>
      <c r="H10" s="265">
        <v>0</v>
      </c>
      <c r="I10" s="258">
        <v>0</v>
      </c>
      <c r="J10" s="258">
        <v>2443000000</v>
      </c>
      <c r="K10" s="256" t="s">
        <v>1346</v>
      </c>
    </row>
    <row r="11" spans="1:11" x14ac:dyDescent="0.3">
      <c r="A11" s="256">
        <v>4</v>
      </c>
      <c r="B11" s="257" t="s">
        <v>1378</v>
      </c>
      <c r="C11" s="276">
        <v>44473</v>
      </c>
      <c r="D11" s="257" t="s">
        <v>1298</v>
      </c>
      <c r="E11" s="256" t="s">
        <v>1819</v>
      </c>
      <c r="F11" s="256" t="s">
        <v>1859</v>
      </c>
      <c r="G11" s="258">
        <v>870000000</v>
      </c>
      <c r="H11" s="265">
        <v>0.1</v>
      </c>
      <c r="I11" s="258">
        <v>87000000</v>
      </c>
      <c r="J11" s="258">
        <v>957000000</v>
      </c>
      <c r="K11" s="256" t="s">
        <v>1348</v>
      </c>
    </row>
    <row r="12" spans="1:11" x14ac:dyDescent="0.3">
      <c r="A12" s="256">
        <v>5</v>
      </c>
      <c r="B12" s="257" t="s">
        <v>1381</v>
      </c>
      <c r="C12" s="276">
        <v>44474</v>
      </c>
      <c r="D12" s="257" t="s">
        <v>1261</v>
      </c>
      <c r="E12" s="256" t="s">
        <v>1813</v>
      </c>
      <c r="F12" s="256" t="s">
        <v>1861</v>
      </c>
      <c r="G12" s="258">
        <v>1175000000</v>
      </c>
      <c r="H12" s="265">
        <v>0.1</v>
      </c>
      <c r="I12" s="258">
        <v>117500000</v>
      </c>
      <c r="J12" s="258">
        <v>1292500000</v>
      </c>
      <c r="K12" s="256" t="s">
        <v>1346</v>
      </c>
    </row>
    <row r="13" spans="1:11" x14ac:dyDescent="0.3">
      <c r="A13" s="256">
        <v>6</v>
      </c>
      <c r="B13" s="257" t="s">
        <v>1404</v>
      </c>
      <c r="C13" s="276">
        <v>44475</v>
      </c>
      <c r="D13" s="257" t="s">
        <v>1265</v>
      </c>
      <c r="E13" s="256" t="s">
        <v>1830</v>
      </c>
      <c r="F13" s="256" t="s">
        <v>1859</v>
      </c>
      <c r="G13" s="258">
        <v>1806000000</v>
      </c>
      <c r="H13" s="265">
        <v>0.1</v>
      </c>
      <c r="I13" s="258">
        <v>180600000</v>
      </c>
      <c r="J13" s="258">
        <v>1986600000</v>
      </c>
      <c r="K13" s="256" t="s">
        <v>1346</v>
      </c>
    </row>
    <row r="14" spans="1:11" x14ac:dyDescent="0.3">
      <c r="A14" s="256">
        <v>7</v>
      </c>
      <c r="B14" s="257" t="s">
        <v>1460</v>
      </c>
      <c r="C14" s="276">
        <v>44476</v>
      </c>
      <c r="D14" s="257" t="s">
        <v>1276</v>
      </c>
      <c r="E14" s="256" t="s">
        <v>1822</v>
      </c>
      <c r="F14" s="256" t="s">
        <v>1858</v>
      </c>
      <c r="G14" s="258">
        <v>651000000</v>
      </c>
      <c r="H14" s="265">
        <v>0.1</v>
      </c>
      <c r="I14" s="258">
        <v>65100000</v>
      </c>
      <c r="J14" s="258">
        <v>716100000</v>
      </c>
      <c r="K14" s="256" t="s">
        <v>1348</v>
      </c>
    </row>
    <row r="15" spans="1:11" x14ac:dyDescent="0.3">
      <c r="A15" s="256">
        <v>8</v>
      </c>
      <c r="B15" s="257" t="s">
        <v>1385</v>
      </c>
      <c r="C15" s="276">
        <v>44477</v>
      </c>
      <c r="D15" s="257" t="s">
        <v>1297</v>
      </c>
      <c r="E15" s="256" t="s">
        <v>1820</v>
      </c>
      <c r="F15" s="256" t="s">
        <v>1861</v>
      </c>
      <c r="G15" s="258">
        <v>1574000000</v>
      </c>
      <c r="H15" s="265">
        <v>0.1</v>
      </c>
      <c r="I15" s="258">
        <v>157400000</v>
      </c>
      <c r="J15" s="258">
        <v>1731400000</v>
      </c>
      <c r="K15" s="256" t="s">
        <v>1346</v>
      </c>
    </row>
    <row r="16" spans="1:11" x14ac:dyDescent="0.3">
      <c r="A16" s="256">
        <v>9</v>
      </c>
      <c r="B16" s="257" t="s">
        <v>1462</v>
      </c>
      <c r="C16" s="276">
        <v>44478</v>
      </c>
      <c r="D16" s="257" t="s">
        <v>1259</v>
      </c>
      <c r="E16" s="256" t="s">
        <v>1788</v>
      </c>
      <c r="F16" s="256" t="s">
        <v>1860</v>
      </c>
      <c r="G16" s="258">
        <v>1248000000</v>
      </c>
      <c r="H16" s="265">
        <v>0</v>
      </c>
      <c r="I16" s="258">
        <v>0</v>
      </c>
      <c r="J16" s="258">
        <v>1248000000</v>
      </c>
      <c r="K16" s="256" t="s">
        <v>1346</v>
      </c>
    </row>
    <row r="17" spans="1:11" x14ac:dyDescent="0.3">
      <c r="A17" s="256">
        <v>10</v>
      </c>
      <c r="B17" s="257" t="s">
        <v>1457</v>
      </c>
      <c r="C17" s="276">
        <v>44479</v>
      </c>
      <c r="D17" s="257" t="s">
        <v>1272</v>
      </c>
      <c r="E17" s="256" t="s">
        <v>1805</v>
      </c>
      <c r="F17" s="256" t="s">
        <v>1859</v>
      </c>
      <c r="G17" s="258">
        <v>1594000000</v>
      </c>
      <c r="H17" s="265">
        <v>0.1</v>
      </c>
      <c r="I17" s="258">
        <v>159400000</v>
      </c>
      <c r="J17" s="258">
        <v>1753400000</v>
      </c>
      <c r="K17" s="256" t="s">
        <v>1346</v>
      </c>
    </row>
    <row r="18" spans="1:11" x14ac:dyDescent="0.3">
      <c r="A18" s="256">
        <v>11</v>
      </c>
      <c r="B18" s="257" t="s">
        <v>1459</v>
      </c>
      <c r="C18" s="276">
        <v>44480</v>
      </c>
      <c r="D18" s="257" t="s">
        <v>1273</v>
      </c>
      <c r="E18" s="256" t="s">
        <v>1829</v>
      </c>
      <c r="F18" s="256" t="s">
        <v>1862</v>
      </c>
      <c r="G18" s="258">
        <v>928000000</v>
      </c>
      <c r="H18" s="265">
        <v>0.1</v>
      </c>
      <c r="I18" s="258">
        <v>92800000</v>
      </c>
      <c r="J18" s="258">
        <v>1020800000</v>
      </c>
      <c r="K18" s="256" t="s">
        <v>1346</v>
      </c>
    </row>
    <row r="19" spans="1:11" x14ac:dyDescent="0.3">
      <c r="A19" s="256">
        <v>12</v>
      </c>
      <c r="B19" s="257" t="s">
        <v>1411</v>
      </c>
      <c r="C19" s="276">
        <v>44481</v>
      </c>
      <c r="D19" s="257" t="s">
        <v>1266</v>
      </c>
      <c r="E19" s="256" t="s">
        <v>1824</v>
      </c>
      <c r="F19" s="256" t="s">
        <v>1861</v>
      </c>
      <c r="G19" s="258">
        <v>1964000000</v>
      </c>
      <c r="H19" s="265">
        <v>0.1</v>
      </c>
      <c r="I19" s="258">
        <v>196400000</v>
      </c>
      <c r="J19" s="258">
        <v>2160400000</v>
      </c>
      <c r="K19" s="256" t="s">
        <v>1346</v>
      </c>
    </row>
    <row r="20" spans="1:11" x14ac:dyDescent="0.3">
      <c r="A20" s="256">
        <v>13</v>
      </c>
      <c r="B20" s="257" t="s">
        <v>1418</v>
      </c>
      <c r="C20" s="276">
        <v>44211</v>
      </c>
      <c r="D20" s="257" t="s">
        <v>1256</v>
      </c>
      <c r="E20" s="256" t="s">
        <v>1802</v>
      </c>
      <c r="F20" s="256" t="s">
        <v>1857</v>
      </c>
      <c r="G20" s="258">
        <v>2361000000</v>
      </c>
      <c r="H20" s="265">
        <v>0.1</v>
      </c>
      <c r="I20" s="258">
        <v>236100000</v>
      </c>
      <c r="J20" s="258">
        <v>2597100000</v>
      </c>
      <c r="K20" s="256" t="s">
        <v>1346</v>
      </c>
    </row>
    <row r="21" spans="1:11" x14ac:dyDescent="0.3">
      <c r="A21" s="256">
        <v>14</v>
      </c>
      <c r="B21" s="257" t="s">
        <v>1461</v>
      </c>
      <c r="C21" s="276">
        <v>44242</v>
      </c>
      <c r="D21" s="257" t="s">
        <v>1276</v>
      </c>
      <c r="E21" s="256" t="s">
        <v>1822</v>
      </c>
      <c r="F21" s="256" t="s">
        <v>1863</v>
      </c>
      <c r="G21" s="258">
        <v>1493000000</v>
      </c>
      <c r="H21" s="265">
        <v>0.1</v>
      </c>
      <c r="I21" s="258">
        <v>149300000</v>
      </c>
      <c r="J21" s="258">
        <v>1642300000</v>
      </c>
      <c r="K21" s="256" t="s">
        <v>1346</v>
      </c>
    </row>
    <row r="22" spans="1:11" x14ac:dyDescent="0.3">
      <c r="A22" s="256">
        <v>15</v>
      </c>
      <c r="B22" s="257" t="s">
        <v>1458</v>
      </c>
      <c r="C22" s="276">
        <v>44275</v>
      </c>
      <c r="D22" s="257" t="s">
        <v>1272</v>
      </c>
      <c r="E22" s="256" t="s">
        <v>1805</v>
      </c>
      <c r="F22" s="256" t="s">
        <v>1857</v>
      </c>
      <c r="G22" s="258">
        <v>2462000000</v>
      </c>
      <c r="H22" s="265">
        <v>0</v>
      </c>
      <c r="I22" s="258">
        <v>0</v>
      </c>
      <c r="J22" s="258">
        <v>2462000000</v>
      </c>
      <c r="K22" s="256" t="s">
        <v>1346</v>
      </c>
    </row>
    <row r="23" spans="1:11" x14ac:dyDescent="0.3">
      <c r="A23" s="256">
        <v>16</v>
      </c>
      <c r="B23" s="257" t="s">
        <v>1414</v>
      </c>
      <c r="C23" s="276">
        <v>44306</v>
      </c>
      <c r="D23" s="257" t="s">
        <v>1266</v>
      </c>
      <c r="E23" s="256" t="s">
        <v>1824</v>
      </c>
      <c r="F23" s="256" t="s">
        <v>1858</v>
      </c>
      <c r="G23" s="258">
        <v>1499000000</v>
      </c>
      <c r="H23" s="265">
        <v>0.1</v>
      </c>
      <c r="I23" s="258">
        <v>149900000</v>
      </c>
      <c r="J23" s="258">
        <v>1648900000</v>
      </c>
      <c r="K23" s="256" t="s">
        <v>1348</v>
      </c>
    </row>
    <row r="24" spans="1:11" x14ac:dyDescent="0.3">
      <c r="A24" s="256">
        <v>17</v>
      </c>
      <c r="B24" s="257" t="s">
        <v>1206</v>
      </c>
      <c r="C24" s="276">
        <v>44336</v>
      </c>
      <c r="D24" s="257" t="s">
        <v>1271</v>
      </c>
      <c r="E24" s="256" t="s">
        <v>1799</v>
      </c>
      <c r="F24" s="256" t="s">
        <v>1859</v>
      </c>
      <c r="G24" s="258">
        <v>1762000000</v>
      </c>
      <c r="H24" s="265">
        <v>0.1</v>
      </c>
      <c r="I24" s="258">
        <v>176200000</v>
      </c>
      <c r="J24" s="258">
        <v>1938200000</v>
      </c>
      <c r="K24" s="256" t="s">
        <v>1346</v>
      </c>
    </row>
    <row r="25" spans="1:11" x14ac:dyDescent="0.3">
      <c r="A25" s="256">
        <v>18</v>
      </c>
      <c r="B25" s="257" t="s">
        <v>1396</v>
      </c>
      <c r="C25" s="276">
        <v>44367</v>
      </c>
      <c r="D25" s="257" t="s">
        <v>1293</v>
      </c>
      <c r="E25" s="256" t="s">
        <v>1826</v>
      </c>
      <c r="F25" s="256" t="s">
        <v>1863</v>
      </c>
      <c r="G25" s="258">
        <v>2426000000</v>
      </c>
      <c r="H25" s="265">
        <v>0.1</v>
      </c>
      <c r="I25" s="258">
        <v>242600000</v>
      </c>
      <c r="J25" s="258">
        <v>2668600000</v>
      </c>
      <c r="K25" s="256" t="s">
        <v>1346</v>
      </c>
    </row>
    <row r="26" spans="1:11" x14ac:dyDescent="0.3">
      <c r="A26" s="256">
        <v>19</v>
      </c>
      <c r="B26" s="257" t="s">
        <v>1385</v>
      </c>
      <c r="C26" s="276">
        <v>44397</v>
      </c>
      <c r="D26" s="257" t="s">
        <v>1291</v>
      </c>
      <c r="E26" s="256" t="s">
        <v>1800</v>
      </c>
      <c r="F26" s="256" t="s">
        <v>1857</v>
      </c>
      <c r="G26" s="258">
        <v>659000000</v>
      </c>
      <c r="H26" s="265">
        <v>0.1</v>
      </c>
      <c r="I26" s="258">
        <v>65900000</v>
      </c>
      <c r="J26" s="258">
        <v>724900000</v>
      </c>
      <c r="K26" s="256" t="s">
        <v>1346</v>
      </c>
    </row>
    <row r="27" spans="1:11" x14ac:dyDescent="0.3">
      <c r="A27" s="256">
        <v>20</v>
      </c>
      <c r="B27" s="257" t="s">
        <v>1415</v>
      </c>
      <c r="C27" s="276">
        <v>44428</v>
      </c>
      <c r="D27" s="257" t="s">
        <v>1266</v>
      </c>
      <c r="E27" s="256" t="s">
        <v>1824</v>
      </c>
      <c r="F27" s="256" t="s">
        <v>1858</v>
      </c>
      <c r="G27" s="258">
        <v>2196000000</v>
      </c>
      <c r="H27" s="265">
        <v>0.1</v>
      </c>
      <c r="I27" s="258">
        <v>219600000</v>
      </c>
      <c r="J27" s="258">
        <v>2415600000</v>
      </c>
      <c r="K27" s="256" t="s">
        <v>1346</v>
      </c>
    </row>
    <row r="28" spans="1:11" x14ac:dyDescent="0.3">
      <c r="A28" s="256">
        <v>21</v>
      </c>
      <c r="B28" s="257" t="s">
        <v>1207</v>
      </c>
      <c r="C28" s="276">
        <v>44459</v>
      </c>
      <c r="D28" s="257" t="s">
        <v>1268</v>
      </c>
      <c r="E28" s="256" t="s">
        <v>1821</v>
      </c>
      <c r="F28" s="256" t="s">
        <v>1858</v>
      </c>
      <c r="G28" s="258">
        <v>1099000000</v>
      </c>
      <c r="H28" s="265">
        <v>0.1</v>
      </c>
      <c r="I28" s="258">
        <v>109900000</v>
      </c>
      <c r="J28" s="258">
        <v>1208900000</v>
      </c>
      <c r="K28" s="256" t="s">
        <v>1346</v>
      </c>
    </row>
    <row r="29" spans="1:11" x14ac:dyDescent="0.3">
      <c r="A29" s="256">
        <v>22</v>
      </c>
      <c r="B29" s="257" t="s">
        <v>1460</v>
      </c>
      <c r="C29" s="276">
        <v>44489</v>
      </c>
      <c r="D29" s="257" t="s">
        <v>1275</v>
      </c>
      <c r="E29" s="256" t="s">
        <v>1808</v>
      </c>
      <c r="F29" s="256" t="s">
        <v>1859</v>
      </c>
      <c r="G29" s="258">
        <v>1920000000</v>
      </c>
      <c r="H29" s="265">
        <v>0.1</v>
      </c>
      <c r="I29" s="258">
        <v>192000000</v>
      </c>
      <c r="J29" s="258">
        <v>2112000000</v>
      </c>
      <c r="K29" s="256" t="s">
        <v>1348</v>
      </c>
    </row>
    <row r="30" spans="1:11" x14ac:dyDescent="0.3">
      <c r="A30" s="256">
        <v>23</v>
      </c>
      <c r="B30" s="257" t="s">
        <v>1405</v>
      </c>
      <c r="C30" s="276">
        <v>44520</v>
      </c>
      <c r="D30" s="257" t="s">
        <v>1282</v>
      </c>
      <c r="E30" s="256" t="s">
        <v>1789</v>
      </c>
      <c r="F30" s="256" t="s">
        <v>1859</v>
      </c>
      <c r="G30" s="258">
        <v>2381000000</v>
      </c>
      <c r="H30" s="265">
        <v>0.1</v>
      </c>
      <c r="I30" s="258">
        <v>238100000</v>
      </c>
      <c r="J30" s="258">
        <v>2619100000</v>
      </c>
      <c r="K30" s="256" t="s">
        <v>1346</v>
      </c>
    </row>
    <row r="31" spans="1:11" x14ac:dyDescent="0.3">
      <c r="A31" s="256">
        <v>24</v>
      </c>
      <c r="B31" s="257" t="s">
        <v>1391</v>
      </c>
      <c r="C31" s="276">
        <v>44550</v>
      </c>
      <c r="D31" s="257" t="s">
        <v>1302</v>
      </c>
      <c r="E31" s="256" t="s">
        <v>1784</v>
      </c>
      <c r="F31" s="256" t="s">
        <v>1863</v>
      </c>
      <c r="G31" s="258">
        <v>1899000000</v>
      </c>
      <c r="H31" s="265">
        <v>0.1</v>
      </c>
      <c r="I31" s="258">
        <v>189900000</v>
      </c>
      <c r="J31" s="258">
        <v>2088900000</v>
      </c>
      <c r="K31" s="256" t="s">
        <v>1346</v>
      </c>
    </row>
    <row r="32" spans="1:11" x14ac:dyDescent="0.3">
      <c r="A32" s="256">
        <v>25</v>
      </c>
      <c r="B32" s="257" t="s">
        <v>1406</v>
      </c>
      <c r="C32" s="276">
        <v>44221</v>
      </c>
      <c r="D32" s="257" t="s">
        <v>1289</v>
      </c>
      <c r="E32" s="256" t="s">
        <v>1803</v>
      </c>
      <c r="F32" s="256" t="s">
        <v>1859</v>
      </c>
      <c r="G32" s="258">
        <v>2083000000</v>
      </c>
      <c r="H32" s="265">
        <v>0.1</v>
      </c>
      <c r="I32" s="258">
        <v>208300000</v>
      </c>
      <c r="J32" s="258">
        <v>2291300000</v>
      </c>
      <c r="K32" s="256" t="s">
        <v>1346</v>
      </c>
    </row>
    <row r="33" spans="1:11" x14ac:dyDescent="0.3">
      <c r="A33" s="256">
        <v>26</v>
      </c>
      <c r="B33" s="257" t="s">
        <v>1419</v>
      </c>
      <c r="C33" s="276">
        <v>44255</v>
      </c>
      <c r="D33" s="257" t="s">
        <v>1256</v>
      </c>
      <c r="E33" s="256" t="s">
        <v>1802</v>
      </c>
      <c r="F33" s="256" t="s">
        <v>1863</v>
      </c>
      <c r="G33" s="258">
        <v>873000000</v>
      </c>
      <c r="H33" s="265">
        <v>0.1</v>
      </c>
      <c r="I33" s="258">
        <v>87300000</v>
      </c>
      <c r="J33" s="258">
        <v>960300000</v>
      </c>
      <c r="K33" s="256" t="s">
        <v>1346</v>
      </c>
    </row>
    <row r="34" spans="1:11" x14ac:dyDescent="0.3">
      <c r="A34" s="256">
        <v>27</v>
      </c>
      <c r="B34" s="257" t="s">
        <v>1207</v>
      </c>
      <c r="C34" s="276">
        <v>44316</v>
      </c>
      <c r="D34" s="257" t="s">
        <v>1271</v>
      </c>
      <c r="E34" s="256" t="s">
        <v>1799</v>
      </c>
      <c r="F34" s="256" t="s">
        <v>1857</v>
      </c>
      <c r="G34" s="258">
        <v>729000000</v>
      </c>
      <c r="H34" s="265">
        <v>0</v>
      </c>
      <c r="I34" s="258">
        <v>0</v>
      </c>
      <c r="J34" s="258">
        <v>729000000</v>
      </c>
      <c r="K34" s="256" t="s">
        <v>1348</v>
      </c>
    </row>
    <row r="35" spans="1:11" x14ac:dyDescent="0.3">
      <c r="A35" s="256">
        <v>28</v>
      </c>
      <c r="B35" s="257" t="s">
        <v>1397</v>
      </c>
      <c r="C35" s="276">
        <v>44377</v>
      </c>
      <c r="D35" s="257" t="s">
        <v>1293</v>
      </c>
      <c r="E35" s="256" t="s">
        <v>1826</v>
      </c>
      <c r="F35" s="256" t="s">
        <v>1858</v>
      </c>
      <c r="G35" s="258">
        <v>2055000000</v>
      </c>
      <c r="H35" s="265">
        <v>0.1</v>
      </c>
      <c r="I35" s="258">
        <v>205500000</v>
      </c>
      <c r="J35" s="258">
        <v>2260500000</v>
      </c>
      <c r="K35" s="256" t="s">
        <v>1346</v>
      </c>
    </row>
    <row r="36" spans="1:11" x14ac:dyDescent="0.3">
      <c r="A36" s="256">
        <v>29</v>
      </c>
      <c r="B36" s="257" t="s">
        <v>1463</v>
      </c>
      <c r="C36" s="276">
        <v>44469</v>
      </c>
      <c r="D36" s="257" t="s">
        <v>1259</v>
      </c>
      <c r="E36" s="256" t="s">
        <v>1788</v>
      </c>
      <c r="F36" s="256" t="s">
        <v>1860</v>
      </c>
      <c r="G36" s="258">
        <v>1149000000</v>
      </c>
      <c r="H36" s="265">
        <v>0</v>
      </c>
      <c r="I36" s="258">
        <v>0</v>
      </c>
      <c r="J36" s="258">
        <v>1149000000</v>
      </c>
      <c r="K36" s="256" t="s">
        <v>1346</v>
      </c>
    </row>
    <row r="37" spans="1:11" x14ac:dyDescent="0.3">
      <c r="A37" s="256">
        <v>30</v>
      </c>
      <c r="B37" s="257" t="s">
        <v>1388</v>
      </c>
      <c r="C37" s="276">
        <v>44530</v>
      </c>
      <c r="D37" s="257" t="s">
        <v>1301</v>
      </c>
      <c r="E37" s="256" t="s">
        <v>1781</v>
      </c>
      <c r="F37" s="256" t="s">
        <v>1863</v>
      </c>
      <c r="G37" s="258">
        <v>754000000</v>
      </c>
      <c r="H37" s="265">
        <v>0.1</v>
      </c>
      <c r="I37" s="258">
        <v>75400000</v>
      </c>
      <c r="J37" s="258">
        <v>829400000</v>
      </c>
      <c r="K37" s="256" t="s">
        <v>1348</v>
      </c>
    </row>
    <row r="38" spans="1:11" x14ac:dyDescent="0.3">
      <c r="A38" s="256">
        <v>31</v>
      </c>
      <c r="B38" s="257" t="s">
        <v>1392</v>
      </c>
      <c r="C38" s="276">
        <v>44286</v>
      </c>
      <c r="D38" s="257" t="s">
        <v>1302</v>
      </c>
      <c r="E38" s="256" t="s">
        <v>1784</v>
      </c>
      <c r="F38" s="256" t="s">
        <v>1863</v>
      </c>
      <c r="G38" s="258">
        <v>1083000000</v>
      </c>
      <c r="H38" s="265">
        <v>0.1</v>
      </c>
      <c r="I38" s="258">
        <v>108300000</v>
      </c>
      <c r="J38" s="258">
        <v>1191300000</v>
      </c>
      <c r="K38" s="256" t="s">
        <v>1346</v>
      </c>
    </row>
    <row r="39" spans="1:11" x14ac:dyDescent="0.3">
      <c r="A39" s="256">
        <v>32</v>
      </c>
      <c r="B39" s="257" t="s">
        <v>1206</v>
      </c>
      <c r="C39" s="276">
        <v>44347</v>
      </c>
      <c r="D39" s="257" t="s">
        <v>1266</v>
      </c>
      <c r="E39" s="256" t="s">
        <v>1824</v>
      </c>
      <c r="F39" s="256" t="s">
        <v>1861</v>
      </c>
      <c r="G39" s="258">
        <v>1691000000</v>
      </c>
      <c r="H39" s="265">
        <v>0.1</v>
      </c>
      <c r="I39" s="258">
        <v>169100000</v>
      </c>
      <c r="J39" s="258">
        <v>1860100000</v>
      </c>
      <c r="K39" s="256" t="s">
        <v>1346</v>
      </c>
    </row>
    <row r="40" spans="1:11" x14ac:dyDescent="0.3">
      <c r="A40" s="256">
        <v>33</v>
      </c>
      <c r="B40" s="257" t="s">
        <v>1379</v>
      </c>
      <c r="C40" s="276">
        <v>44408</v>
      </c>
      <c r="D40" s="257" t="s">
        <v>1298</v>
      </c>
      <c r="E40" s="256" t="s">
        <v>1819</v>
      </c>
      <c r="F40" s="256" t="s">
        <v>1859</v>
      </c>
      <c r="G40" s="258">
        <v>713000000</v>
      </c>
      <c r="H40" s="265">
        <v>0</v>
      </c>
      <c r="I40" s="258">
        <v>0</v>
      </c>
      <c r="J40" s="258">
        <v>713000000</v>
      </c>
      <c r="K40" s="256" t="s">
        <v>1346</v>
      </c>
    </row>
    <row r="41" spans="1:11" x14ac:dyDescent="0.3">
      <c r="A41" s="256">
        <v>34</v>
      </c>
      <c r="B41" s="257" t="s">
        <v>1376</v>
      </c>
      <c r="C41" s="276">
        <v>44439</v>
      </c>
      <c r="D41" s="257" t="s">
        <v>1294</v>
      </c>
      <c r="E41" s="256" t="s">
        <v>1795</v>
      </c>
      <c r="F41" s="256" t="s">
        <v>1860</v>
      </c>
      <c r="G41" s="258">
        <v>1884000000</v>
      </c>
      <c r="H41" s="265">
        <v>0.1</v>
      </c>
      <c r="I41" s="258">
        <v>188400000</v>
      </c>
      <c r="J41" s="258">
        <v>2072400000</v>
      </c>
      <c r="K41" s="256" t="s">
        <v>1346</v>
      </c>
    </row>
    <row r="42" spans="1:11" x14ac:dyDescent="0.3">
      <c r="A42" s="256">
        <v>35</v>
      </c>
      <c r="B42" s="257" t="s">
        <v>1392</v>
      </c>
      <c r="C42" s="276">
        <v>44500</v>
      </c>
      <c r="D42" s="257" t="s">
        <v>1258</v>
      </c>
      <c r="E42" s="256" t="s">
        <v>1833</v>
      </c>
      <c r="F42" s="256" t="s">
        <v>1859</v>
      </c>
      <c r="G42" s="258">
        <v>1823000000</v>
      </c>
      <c r="H42" s="265">
        <v>0.1</v>
      </c>
      <c r="I42" s="258">
        <v>182300000</v>
      </c>
      <c r="J42" s="258">
        <v>2005300000</v>
      </c>
      <c r="K42" s="256" t="s">
        <v>1346</v>
      </c>
    </row>
    <row r="43" spans="1:11" x14ac:dyDescent="0.3">
      <c r="A43" s="256">
        <v>36</v>
      </c>
      <c r="B43" s="257" t="s">
        <v>1461</v>
      </c>
      <c r="C43" s="276">
        <v>44561</v>
      </c>
      <c r="D43" s="257" t="s">
        <v>1279</v>
      </c>
      <c r="E43" s="256" t="s">
        <v>1827</v>
      </c>
      <c r="F43" s="256" t="s">
        <v>1858</v>
      </c>
      <c r="G43" s="258">
        <v>2169000000</v>
      </c>
      <c r="H43" s="265">
        <v>0.1</v>
      </c>
      <c r="I43" s="258">
        <v>216900000</v>
      </c>
      <c r="J43" s="258">
        <v>2385900000</v>
      </c>
      <c r="K43" s="256" t="s">
        <v>1346</v>
      </c>
    </row>
    <row r="44" spans="1:11" x14ac:dyDescent="0.3">
      <c r="A44" s="256">
        <v>37</v>
      </c>
      <c r="B44" s="257" t="s">
        <v>1387</v>
      </c>
      <c r="C44" s="276">
        <v>44561</v>
      </c>
      <c r="D44" s="257" t="s">
        <v>1291</v>
      </c>
      <c r="E44" s="256" t="s">
        <v>1800</v>
      </c>
      <c r="F44" s="256" t="s">
        <v>1860</v>
      </c>
      <c r="G44" s="258">
        <v>2070000000</v>
      </c>
      <c r="H44" s="265">
        <v>0.1</v>
      </c>
      <c r="I44" s="258">
        <v>207000000</v>
      </c>
      <c r="J44" s="258">
        <v>2277000000</v>
      </c>
      <c r="K44" s="256" t="s">
        <v>1346</v>
      </c>
    </row>
    <row r="45" spans="1:11" x14ac:dyDescent="0.3">
      <c r="A45" s="256">
        <v>38</v>
      </c>
      <c r="B45" s="257" t="s">
        <v>1391</v>
      </c>
      <c r="C45" s="276">
        <v>44561</v>
      </c>
      <c r="D45" s="257" t="s">
        <v>1287</v>
      </c>
      <c r="E45" s="256" t="s">
        <v>1801</v>
      </c>
      <c r="F45" s="256" t="s">
        <v>1859</v>
      </c>
      <c r="G45" s="258">
        <v>1983000000</v>
      </c>
      <c r="H45" s="265">
        <v>0.1</v>
      </c>
      <c r="I45" s="258">
        <v>198300000</v>
      </c>
      <c r="J45" s="258">
        <v>2181300000</v>
      </c>
      <c r="K45" s="256" t="s">
        <v>1346</v>
      </c>
    </row>
    <row r="46" spans="1:11" x14ac:dyDescent="0.3">
      <c r="A46" s="256">
        <v>39</v>
      </c>
      <c r="B46" s="257" t="s">
        <v>1207</v>
      </c>
      <c r="C46" s="276">
        <v>44561</v>
      </c>
      <c r="D46" s="257" t="s">
        <v>1278</v>
      </c>
      <c r="E46" s="256" t="s">
        <v>1785</v>
      </c>
      <c r="F46" s="256" t="s">
        <v>1863</v>
      </c>
      <c r="G46" s="258">
        <v>2305000000</v>
      </c>
      <c r="H46" s="265">
        <v>0.1</v>
      </c>
      <c r="I46" s="258">
        <v>230500000</v>
      </c>
      <c r="J46" s="258">
        <v>2535500000</v>
      </c>
      <c r="K46" s="256" t="s">
        <v>1346</v>
      </c>
    </row>
    <row r="47" spans="1:11" x14ac:dyDescent="0.3">
      <c r="A47" s="256">
        <v>40</v>
      </c>
      <c r="B47" s="257" t="s">
        <v>1408</v>
      </c>
      <c r="C47" s="276">
        <v>44561</v>
      </c>
      <c r="D47" s="257" t="s">
        <v>1304</v>
      </c>
      <c r="E47" s="256" t="s">
        <v>1831</v>
      </c>
      <c r="F47" s="256" t="s">
        <v>1862</v>
      </c>
      <c r="G47" s="258">
        <v>649000000</v>
      </c>
      <c r="H47" s="265">
        <v>0.1</v>
      </c>
      <c r="I47" s="258">
        <v>64900000</v>
      </c>
      <c r="J47" s="258">
        <v>713900000</v>
      </c>
      <c r="K47" s="256" t="s">
        <v>1346</v>
      </c>
    </row>
    <row r="48" spans="1:11" x14ac:dyDescent="0.3">
      <c r="A48" s="256">
        <v>41</v>
      </c>
      <c r="B48" s="257" t="s">
        <v>1208</v>
      </c>
      <c r="C48" s="276">
        <v>44561</v>
      </c>
      <c r="D48" s="257" t="s">
        <v>1271</v>
      </c>
      <c r="E48" s="256" t="s">
        <v>1799</v>
      </c>
      <c r="F48" s="256" t="s">
        <v>1859</v>
      </c>
      <c r="G48" s="258">
        <v>2332000000</v>
      </c>
      <c r="H48" s="265">
        <v>0</v>
      </c>
      <c r="I48" s="258">
        <v>0</v>
      </c>
      <c r="J48" s="258">
        <v>2332000000</v>
      </c>
      <c r="K48" s="256" t="s">
        <v>1346</v>
      </c>
    </row>
    <row r="49" spans="1:11" x14ac:dyDescent="0.3">
      <c r="A49" s="256">
        <v>42</v>
      </c>
      <c r="B49" s="257" t="s">
        <v>1207</v>
      </c>
      <c r="C49" s="276">
        <v>44561</v>
      </c>
      <c r="D49" s="257" t="s">
        <v>1266</v>
      </c>
      <c r="E49" s="256" t="s">
        <v>1824</v>
      </c>
      <c r="F49" s="256" t="s">
        <v>1859</v>
      </c>
      <c r="G49" s="258">
        <v>965000000</v>
      </c>
      <c r="H49" s="265">
        <v>0.1</v>
      </c>
      <c r="I49" s="258">
        <v>96500000</v>
      </c>
      <c r="J49" s="258">
        <v>1061500000</v>
      </c>
      <c r="K49" s="256" t="s">
        <v>1346</v>
      </c>
    </row>
    <row r="50" spans="1:11" x14ac:dyDescent="0.3">
      <c r="A50" s="256">
        <v>43</v>
      </c>
      <c r="B50" s="257" t="s">
        <v>1471</v>
      </c>
      <c r="C50" s="276">
        <v>44561</v>
      </c>
      <c r="D50" s="257" t="s">
        <v>1284</v>
      </c>
      <c r="E50" s="256" t="s">
        <v>1786</v>
      </c>
      <c r="F50" s="256" t="s">
        <v>1859</v>
      </c>
      <c r="G50" s="258">
        <v>1384000000</v>
      </c>
      <c r="H50" s="265">
        <v>0.1</v>
      </c>
      <c r="I50" s="258">
        <v>138400000</v>
      </c>
      <c r="J50" s="258">
        <v>1522400000</v>
      </c>
      <c r="K50" s="256" t="s">
        <v>1346</v>
      </c>
    </row>
    <row r="51" spans="1:11" x14ac:dyDescent="0.3">
      <c r="A51" s="256">
        <v>44</v>
      </c>
      <c r="B51" s="257" t="s">
        <v>1398</v>
      </c>
      <c r="C51" s="276">
        <v>44561</v>
      </c>
      <c r="D51" s="257" t="s">
        <v>1293</v>
      </c>
      <c r="E51" s="256" t="s">
        <v>1826</v>
      </c>
      <c r="F51" s="256" t="s">
        <v>1857</v>
      </c>
      <c r="G51" s="258">
        <v>1382000000</v>
      </c>
      <c r="H51" s="265">
        <v>0.1</v>
      </c>
      <c r="I51" s="258">
        <v>138200000</v>
      </c>
      <c r="J51" s="258">
        <v>1520200000</v>
      </c>
      <c r="K51" s="256" t="s">
        <v>1346</v>
      </c>
    </row>
    <row r="52" spans="1:11" x14ac:dyDescent="0.3">
      <c r="A52" s="256">
        <v>45</v>
      </c>
      <c r="B52" s="257" t="s">
        <v>1209</v>
      </c>
      <c r="C52" s="276">
        <v>44561</v>
      </c>
      <c r="D52" s="257" t="s">
        <v>1271</v>
      </c>
      <c r="E52" s="256" t="s">
        <v>1799</v>
      </c>
      <c r="F52" s="256" t="s">
        <v>1863</v>
      </c>
      <c r="G52" s="258">
        <v>1435000000</v>
      </c>
      <c r="H52" s="265">
        <v>0.1</v>
      </c>
      <c r="I52" s="258">
        <v>143500000</v>
      </c>
      <c r="J52" s="258">
        <v>1578500000</v>
      </c>
      <c r="K52" s="256" t="s">
        <v>1346</v>
      </c>
    </row>
    <row r="53" spans="1:11" x14ac:dyDescent="0.3">
      <c r="A53" s="256">
        <v>46</v>
      </c>
      <c r="B53" s="257" t="s">
        <v>1401</v>
      </c>
      <c r="C53" s="276">
        <v>44561</v>
      </c>
      <c r="D53" s="257" t="s">
        <v>1264</v>
      </c>
      <c r="E53" s="256" t="s">
        <v>1779</v>
      </c>
      <c r="F53" s="256" t="s">
        <v>1860</v>
      </c>
      <c r="G53" s="258">
        <v>1497000000</v>
      </c>
      <c r="H53" s="265">
        <v>0.1</v>
      </c>
      <c r="I53" s="258">
        <v>149700000</v>
      </c>
      <c r="J53" s="258">
        <v>1646700000</v>
      </c>
      <c r="K53" s="256" t="s">
        <v>1346</v>
      </c>
    </row>
    <row r="54" spans="1:11" x14ac:dyDescent="0.3">
      <c r="A54" s="256">
        <v>47</v>
      </c>
      <c r="B54" s="257" t="s">
        <v>1461</v>
      </c>
      <c r="C54" s="276">
        <v>44561</v>
      </c>
      <c r="D54" s="257" t="s">
        <v>1275</v>
      </c>
      <c r="E54" s="256" t="s">
        <v>1808</v>
      </c>
      <c r="F54" s="256" t="s">
        <v>1860</v>
      </c>
      <c r="G54" s="258">
        <v>1699000000</v>
      </c>
      <c r="H54" s="265">
        <v>0.1</v>
      </c>
      <c r="I54" s="258">
        <v>169900000</v>
      </c>
      <c r="J54" s="258">
        <v>1868900000</v>
      </c>
      <c r="K54" s="256" t="s">
        <v>1346</v>
      </c>
    </row>
    <row r="55" spans="1:11" x14ac:dyDescent="0.3">
      <c r="A55" s="256">
        <v>48</v>
      </c>
      <c r="B55" s="257" t="s">
        <v>1462</v>
      </c>
      <c r="C55" s="276">
        <v>44561</v>
      </c>
      <c r="D55" s="257" t="s">
        <v>1276</v>
      </c>
      <c r="E55" s="256" t="s">
        <v>1822</v>
      </c>
      <c r="F55" s="256" t="s">
        <v>1859</v>
      </c>
      <c r="G55" s="258">
        <v>2456000000</v>
      </c>
      <c r="H55" s="265">
        <v>0.1</v>
      </c>
      <c r="I55" s="258">
        <v>245600000</v>
      </c>
      <c r="J55" s="258">
        <v>2701600000</v>
      </c>
      <c r="K55" s="256" t="s">
        <v>1346</v>
      </c>
    </row>
    <row r="56" spans="1:11" x14ac:dyDescent="0.3">
      <c r="A56" s="256">
        <v>49</v>
      </c>
      <c r="B56" s="257" t="s">
        <v>1406</v>
      </c>
      <c r="C56" s="276">
        <v>44561</v>
      </c>
      <c r="D56" s="257" t="s">
        <v>1257</v>
      </c>
      <c r="E56" s="256" t="s">
        <v>1815</v>
      </c>
      <c r="F56" s="256" t="s">
        <v>1857</v>
      </c>
      <c r="G56" s="258">
        <v>2119000000</v>
      </c>
      <c r="H56" s="265">
        <v>0.1</v>
      </c>
      <c r="I56" s="258">
        <v>211900000</v>
      </c>
      <c r="J56" s="258">
        <v>2330900000</v>
      </c>
      <c r="K56" s="256" t="s">
        <v>1346</v>
      </c>
    </row>
    <row r="57" spans="1:11" x14ac:dyDescent="0.3">
      <c r="A57" s="256">
        <v>50</v>
      </c>
      <c r="B57" s="257" t="s">
        <v>1462</v>
      </c>
      <c r="C57" s="276">
        <v>44561</v>
      </c>
      <c r="D57" s="257" t="s">
        <v>1275</v>
      </c>
      <c r="E57" s="256" t="s">
        <v>1808</v>
      </c>
      <c r="F57" s="256" t="s">
        <v>1859</v>
      </c>
      <c r="G57" s="258">
        <v>2339000000</v>
      </c>
      <c r="H57" s="265">
        <v>0.1</v>
      </c>
      <c r="I57" s="258">
        <v>233900000</v>
      </c>
      <c r="J57" s="258">
        <v>2572900000</v>
      </c>
      <c r="K57" s="256" t="s">
        <v>1346</v>
      </c>
    </row>
    <row r="58" spans="1:11" x14ac:dyDescent="0.3">
      <c r="A58" s="266" t="s">
        <v>1351</v>
      </c>
      <c r="B58" s="266"/>
      <c r="C58" s="266"/>
      <c r="D58" s="266"/>
      <c r="E58" s="266"/>
      <c r="F58" s="266"/>
      <c r="G58" s="267">
        <f>SUM(G8:G57)</f>
        <v>80553000000</v>
      </c>
      <c r="H58" s="266"/>
      <c r="I58" s="267">
        <f>SUM(I8:I57)</f>
        <v>6947700000</v>
      </c>
      <c r="J58" s="267">
        <f>SUM(J8:J57)</f>
        <v>87500700000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1268</v>
      </c>
      <c r="E62" s="256" t="s">
        <v>1821</v>
      </c>
      <c r="F62" s="256" t="s">
        <v>1867</v>
      </c>
      <c r="G62" s="258">
        <v>2146000000</v>
      </c>
      <c r="H62" s="265">
        <v>0.1</v>
      </c>
      <c r="I62" s="258">
        <v>214600000</v>
      </c>
      <c r="J62" s="258">
        <v>2360600000</v>
      </c>
      <c r="K62" s="256" t="s">
        <v>1346</v>
      </c>
    </row>
    <row r="63" spans="1:11" x14ac:dyDescent="0.3">
      <c r="A63" s="256">
        <v>2</v>
      </c>
      <c r="B63" s="257" t="s">
        <v>1201</v>
      </c>
      <c r="C63" s="276">
        <v>44318</v>
      </c>
      <c r="D63" s="257" t="s">
        <v>1289</v>
      </c>
      <c r="E63" s="256" t="s">
        <v>1803</v>
      </c>
      <c r="F63" s="256" t="s">
        <v>1865</v>
      </c>
      <c r="G63" s="258">
        <v>2482000000</v>
      </c>
      <c r="H63" s="265">
        <v>0.1</v>
      </c>
      <c r="I63" s="258">
        <v>248200000</v>
      </c>
      <c r="J63" s="258">
        <v>2730200000</v>
      </c>
      <c r="K63" s="256" t="s">
        <v>1346</v>
      </c>
    </row>
    <row r="64" spans="1:11" x14ac:dyDescent="0.3">
      <c r="A64" s="256">
        <v>3</v>
      </c>
      <c r="B64" s="257" t="s">
        <v>1202</v>
      </c>
      <c r="C64" s="276">
        <v>44472</v>
      </c>
      <c r="D64" s="257" t="s">
        <v>1276</v>
      </c>
      <c r="E64" s="256" t="s">
        <v>1822</v>
      </c>
      <c r="F64" s="256" t="s">
        <v>1864</v>
      </c>
      <c r="G64" s="258">
        <v>1822000000</v>
      </c>
      <c r="H64" s="265">
        <v>0.1</v>
      </c>
      <c r="I64" s="258">
        <v>182200000</v>
      </c>
      <c r="J64" s="258">
        <v>2004200000</v>
      </c>
      <c r="K64" s="256" t="s">
        <v>1346</v>
      </c>
    </row>
    <row r="65" spans="1:11" x14ac:dyDescent="0.3">
      <c r="A65" s="256">
        <v>4</v>
      </c>
      <c r="B65" s="257" t="s">
        <v>1355</v>
      </c>
      <c r="C65" s="276">
        <v>44473</v>
      </c>
      <c r="D65" s="257" t="s">
        <v>1264</v>
      </c>
      <c r="E65" s="256" t="s">
        <v>1779</v>
      </c>
      <c r="F65" s="256" t="s">
        <v>1864</v>
      </c>
      <c r="G65" s="258">
        <v>2698000000</v>
      </c>
      <c r="H65" s="265">
        <v>0.1</v>
      </c>
      <c r="I65" s="258">
        <v>269800000</v>
      </c>
      <c r="J65" s="258">
        <v>2967800000</v>
      </c>
      <c r="K65" s="256" t="s">
        <v>1346</v>
      </c>
    </row>
    <row r="66" spans="1:11" x14ac:dyDescent="0.3">
      <c r="A66" s="256">
        <v>5</v>
      </c>
      <c r="B66" s="257" t="s">
        <v>1356</v>
      </c>
      <c r="C66" s="276">
        <v>44474</v>
      </c>
      <c r="D66" s="257" t="s">
        <v>1261</v>
      </c>
      <c r="E66" s="256" t="s">
        <v>1813</v>
      </c>
      <c r="F66" s="256" t="s">
        <v>1867</v>
      </c>
      <c r="G66" s="258">
        <v>1679000000</v>
      </c>
      <c r="H66" s="265">
        <v>0.1</v>
      </c>
      <c r="I66" s="258">
        <v>167900000</v>
      </c>
      <c r="J66" s="258">
        <v>1846900000</v>
      </c>
      <c r="K66" s="256" t="s">
        <v>1346</v>
      </c>
    </row>
    <row r="67" spans="1:11" x14ac:dyDescent="0.3">
      <c r="A67" s="256">
        <v>6</v>
      </c>
      <c r="B67" s="257" t="s">
        <v>1358</v>
      </c>
      <c r="C67" s="276">
        <v>44475</v>
      </c>
      <c r="D67" s="257" t="s">
        <v>1267</v>
      </c>
      <c r="E67" s="256" t="s">
        <v>1810</v>
      </c>
      <c r="F67" s="256" t="s">
        <v>1864</v>
      </c>
      <c r="G67" s="258">
        <v>2339000000</v>
      </c>
      <c r="H67" s="265">
        <v>0.1</v>
      </c>
      <c r="I67" s="258">
        <v>233900000</v>
      </c>
      <c r="J67" s="258">
        <v>2572900000</v>
      </c>
      <c r="K67" s="256" t="s">
        <v>1346</v>
      </c>
    </row>
    <row r="68" spans="1:11" x14ac:dyDescent="0.3">
      <c r="A68" s="256">
        <v>7</v>
      </c>
      <c r="B68" s="257" t="s">
        <v>1360</v>
      </c>
      <c r="C68" s="276">
        <v>44476</v>
      </c>
      <c r="D68" s="257" t="s">
        <v>1262</v>
      </c>
      <c r="E68" s="256" t="s">
        <v>1816</v>
      </c>
      <c r="F68" s="256" t="s">
        <v>1864</v>
      </c>
      <c r="G68" s="258">
        <v>2864000000</v>
      </c>
      <c r="H68" s="265">
        <v>0.1</v>
      </c>
      <c r="I68" s="258">
        <v>286400000</v>
      </c>
      <c r="J68" s="258">
        <v>3150400000</v>
      </c>
      <c r="K68" s="256" t="s">
        <v>1348</v>
      </c>
    </row>
    <row r="69" spans="1:11" x14ac:dyDescent="0.3">
      <c r="A69" s="256">
        <v>8</v>
      </c>
      <c r="B69" s="257" t="s">
        <v>1362</v>
      </c>
      <c r="C69" s="276">
        <v>44477</v>
      </c>
      <c r="D69" s="257" t="s">
        <v>1279</v>
      </c>
      <c r="E69" s="256" t="s">
        <v>1827</v>
      </c>
      <c r="F69" s="256" t="s">
        <v>1865</v>
      </c>
      <c r="G69" s="258">
        <v>2061000000</v>
      </c>
      <c r="H69" s="265">
        <v>0.1</v>
      </c>
      <c r="I69" s="258">
        <v>206100000</v>
      </c>
      <c r="J69" s="258">
        <v>2267100000</v>
      </c>
      <c r="K69" s="256" t="s">
        <v>1346</v>
      </c>
    </row>
    <row r="70" spans="1:11" x14ac:dyDescent="0.3">
      <c r="A70" s="256">
        <v>9</v>
      </c>
      <c r="B70" s="257" t="s">
        <v>1364</v>
      </c>
      <c r="C70" s="276">
        <v>44478</v>
      </c>
      <c r="D70" s="257" t="s">
        <v>1300</v>
      </c>
      <c r="E70" s="256" t="s">
        <v>1818</v>
      </c>
      <c r="F70" s="256" t="s">
        <v>1867</v>
      </c>
      <c r="G70" s="258">
        <v>2426000000</v>
      </c>
      <c r="H70" s="265">
        <v>0.1</v>
      </c>
      <c r="I70" s="258">
        <v>242600000</v>
      </c>
      <c r="J70" s="258">
        <v>2668600000</v>
      </c>
      <c r="K70" s="256" t="s">
        <v>1346</v>
      </c>
    </row>
    <row r="71" spans="1:11" x14ac:dyDescent="0.3">
      <c r="A71" s="256">
        <v>10</v>
      </c>
      <c r="B71" s="257" t="s">
        <v>1366</v>
      </c>
      <c r="C71" s="276">
        <v>44479</v>
      </c>
      <c r="D71" s="257" t="s">
        <v>1268</v>
      </c>
      <c r="E71" s="256" t="s">
        <v>1821</v>
      </c>
      <c r="F71" s="256" t="s">
        <v>1864</v>
      </c>
      <c r="G71" s="258">
        <v>1280000000</v>
      </c>
      <c r="H71" s="265">
        <v>0.1</v>
      </c>
      <c r="I71" s="258">
        <v>128000000</v>
      </c>
      <c r="J71" s="258">
        <v>1408000000</v>
      </c>
      <c r="K71" s="256" t="s">
        <v>1346</v>
      </c>
    </row>
    <row r="72" spans="1:11" x14ac:dyDescent="0.3">
      <c r="A72" s="256">
        <v>11</v>
      </c>
      <c r="B72" s="257" t="s">
        <v>1368</v>
      </c>
      <c r="C72" s="276">
        <v>44480</v>
      </c>
      <c r="D72" s="257" t="s">
        <v>1265</v>
      </c>
      <c r="E72" s="256" t="s">
        <v>1830</v>
      </c>
      <c r="F72" s="256" t="s">
        <v>1864</v>
      </c>
      <c r="G72" s="258">
        <v>2801000000</v>
      </c>
      <c r="H72" s="265">
        <v>0.1</v>
      </c>
      <c r="I72" s="258">
        <v>280100000</v>
      </c>
      <c r="J72" s="258">
        <v>3081100000</v>
      </c>
      <c r="K72" s="256" t="s">
        <v>1346</v>
      </c>
    </row>
    <row r="73" spans="1:11" x14ac:dyDescent="0.3">
      <c r="A73" s="256">
        <v>12</v>
      </c>
      <c r="B73" s="257" t="s">
        <v>1371</v>
      </c>
      <c r="C73" s="276">
        <v>44481</v>
      </c>
      <c r="D73" s="257" t="s">
        <v>1301</v>
      </c>
      <c r="E73" s="256" t="s">
        <v>1781</v>
      </c>
      <c r="F73" s="256" t="s">
        <v>1867</v>
      </c>
      <c r="G73" s="258">
        <v>1667000000</v>
      </c>
      <c r="H73" s="265">
        <v>0.1</v>
      </c>
      <c r="I73" s="258">
        <v>166700000</v>
      </c>
      <c r="J73" s="258">
        <v>1833700000</v>
      </c>
      <c r="K73" s="256" t="s">
        <v>1346</v>
      </c>
    </row>
    <row r="74" spans="1:11" x14ac:dyDescent="0.3">
      <c r="A74" s="256">
        <v>13</v>
      </c>
      <c r="B74" s="257" t="s">
        <v>1373</v>
      </c>
      <c r="C74" s="276">
        <v>44211</v>
      </c>
      <c r="D74" s="257" t="s">
        <v>1256</v>
      </c>
      <c r="E74" s="256" t="s">
        <v>1802</v>
      </c>
      <c r="F74" s="256" t="s">
        <v>1866</v>
      </c>
      <c r="G74" s="258">
        <v>3077000000</v>
      </c>
      <c r="H74" s="265">
        <v>0</v>
      </c>
      <c r="I74" s="258">
        <v>0</v>
      </c>
      <c r="J74" s="258">
        <v>3077000000</v>
      </c>
      <c r="K74" s="256" t="s">
        <v>1346</v>
      </c>
    </row>
    <row r="75" spans="1:11" x14ac:dyDescent="0.3">
      <c r="A75" s="256">
        <v>14</v>
      </c>
      <c r="B75" s="257" t="s">
        <v>1374</v>
      </c>
      <c r="C75" s="276">
        <v>44242</v>
      </c>
      <c r="D75" s="257" t="s">
        <v>1265</v>
      </c>
      <c r="E75" s="256" t="s">
        <v>1830</v>
      </c>
      <c r="F75" s="256" t="s">
        <v>1865</v>
      </c>
      <c r="G75" s="258">
        <v>1844000000</v>
      </c>
      <c r="H75" s="265">
        <v>0.1</v>
      </c>
      <c r="I75" s="258">
        <v>184400000</v>
      </c>
      <c r="J75" s="258">
        <v>2028400000</v>
      </c>
      <c r="K75" s="256" t="s">
        <v>1346</v>
      </c>
    </row>
    <row r="76" spans="1:11" x14ac:dyDescent="0.3">
      <c r="A76" s="256">
        <v>15</v>
      </c>
      <c r="B76" s="257" t="s">
        <v>1376</v>
      </c>
      <c r="C76" s="276">
        <v>44275</v>
      </c>
      <c r="D76" s="257" t="s">
        <v>1303</v>
      </c>
      <c r="E76" s="256" t="s">
        <v>1817</v>
      </c>
      <c r="F76" s="256" t="s">
        <v>1867</v>
      </c>
      <c r="G76" s="258">
        <v>2588000000</v>
      </c>
      <c r="H76" s="265">
        <v>0.1</v>
      </c>
      <c r="I76" s="258">
        <v>258800000</v>
      </c>
      <c r="J76" s="258">
        <v>2846800000</v>
      </c>
      <c r="K76" s="256" t="s">
        <v>1346</v>
      </c>
    </row>
    <row r="77" spans="1:11" x14ac:dyDescent="0.3">
      <c r="A77" s="256">
        <v>16</v>
      </c>
      <c r="B77" s="257" t="s">
        <v>1378</v>
      </c>
      <c r="C77" s="276">
        <v>44306</v>
      </c>
      <c r="D77" s="257" t="s">
        <v>1271</v>
      </c>
      <c r="E77" s="256" t="s">
        <v>1799</v>
      </c>
      <c r="F77" s="256" t="s">
        <v>1867</v>
      </c>
      <c r="G77" s="258">
        <v>1498000000</v>
      </c>
      <c r="H77" s="265">
        <v>0.1</v>
      </c>
      <c r="I77" s="258">
        <v>149800000</v>
      </c>
      <c r="J77" s="258">
        <v>1647800000</v>
      </c>
      <c r="K77" s="256" t="s">
        <v>1346</v>
      </c>
    </row>
    <row r="78" spans="1:11" x14ac:dyDescent="0.3">
      <c r="A78" s="256">
        <v>17</v>
      </c>
      <c r="B78" s="257" t="s">
        <v>1379</v>
      </c>
      <c r="C78" s="276">
        <v>44336</v>
      </c>
      <c r="D78" s="257" t="s">
        <v>1302</v>
      </c>
      <c r="E78" s="256" t="s">
        <v>1784</v>
      </c>
      <c r="F78" s="256" t="s">
        <v>1864</v>
      </c>
      <c r="G78" s="258">
        <v>1757000000</v>
      </c>
      <c r="H78" s="265">
        <v>0.1</v>
      </c>
      <c r="I78" s="258">
        <v>175700000</v>
      </c>
      <c r="J78" s="258">
        <v>1932700000</v>
      </c>
      <c r="K78" s="256" t="s">
        <v>1346</v>
      </c>
    </row>
    <row r="79" spans="1:11" x14ac:dyDescent="0.3">
      <c r="A79" s="256">
        <v>18</v>
      </c>
      <c r="B79" s="257" t="s">
        <v>1381</v>
      </c>
      <c r="C79" s="276">
        <v>44367</v>
      </c>
      <c r="D79" s="257" t="s">
        <v>1299</v>
      </c>
      <c r="E79" s="256" t="s">
        <v>1776</v>
      </c>
      <c r="F79" s="256" t="s">
        <v>1866</v>
      </c>
      <c r="G79" s="258">
        <v>1757000000</v>
      </c>
      <c r="H79" s="265">
        <v>0.1</v>
      </c>
      <c r="I79" s="258">
        <v>175700000</v>
      </c>
      <c r="J79" s="258">
        <v>1932700000</v>
      </c>
      <c r="K79" s="256" t="s">
        <v>1346</v>
      </c>
    </row>
    <row r="80" spans="1:11" x14ac:dyDescent="0.3">
      <c r="A80" s="256">
        <v>19</v>
      </c>
      <c r="B80" s="257" t="s">
        <v>1382</v>
      </c>
      <c r="C80" s="276">
        <v>44397</v>
      </c>
      <c r="D80" s="257" t="s">
        <v>1295</v>
      </c>
      <c r="E80" s="256" t="s">
        <v>1825</v>
      </c>
      <c r="F80" s="256" t="s">
        <v>1865</v>
      </c>
      <c r="G80" s="258">
        <v>1023000000</v>
      </c>
      <c r="H80" s="265">
        <v>0.1</v>
      </c>
      <c r="I80" s="258">
        <v>102300000</v>
      </c>
      <c r="J80" s="258">
        <v>1125300000</v>
      </c>
      <c r="K80" s="256" t="s">
        <v>1346</v>
      </c>
    </row>
    <row r="81" spans="1:11" x14ac:dyDescent="0.3">
      <c r="A81" s="256">
        <v>20</v>
      </c>
      <c r="B81" s="257" t="s">
        <v>1383</v>
      </c>
      <c r="C81" s="276">
        <v>44428</v>
      </c>
      <c r="D81" s="257" t="s">
        <v>1299</v>
      </c>
      <c r="E81" s="256" t="s">
        <v>1776</v>
      </c>
      <c r="F81" s="256" t="s">
        <v>1867</v>
      </c>
      <c r="G81" s="258">
        <v>1135000000</v>
      </c>
      <c r="H81" s="265">
        <v>0.1</v>
      </c>
      <c r="I81" s="258">
        <v>113500000</v>
      </c>
      <c r="J81" s="258">
        <v>1248500000</v>
      </c>
      <c r="K81" s="256" t="s">
        <v>1346</v>
      </c>
    </row>
    <row r="82" spans="1:11" x14ac:dyDescent="0.3">
      <c r="A82" s="256">
        <v>21</v>
      </c>
      <c r="B82" s="257" t="s">
        <v>1203</v>
      </c>
      <c r="C82" s="276">
        <v>44459</v>
      </c>
      <c r="D82" s="257" t="s">
        <v>1304</v>
      </c>
      <c r="E82" s="256" t="s">
        <v>1831</v>
      </c>
      <c r="F82" s="256" t="s">
        <v>1864</v>
      </c>
      <c r="G82" s="258">
        <v>2808000000</v>
      </c>
      <c r="H82" s="265">
        <v>0.1</v>
      </c>
      <c r="I82" s="258">
        <v>280800000</v>
      </c>
      <c r="J82" s="258">
        <v>3088800000</v>
      </c>
      <c r="K82" s="256" t="s">
        <v>1346</v>
      </c>
    </row>
    <row r="83" spans="1:11" x14ac:dyDescent="0.3">
      <c r="A83" s="256">
        <v>22</v>
      </c>
      <c r="B83" s="257" t="s">
        <v>1204</v>
      </c>
      <c r="C83" s="276">
        <v>44489</v>
      </c>
      <c r="D83" s="257" t="s">
        <v>1269</v>
      </c>
      <c r="E83" s="256" t="s">
        <v>1823</v>
      </c>
      <c r="F83" s="256" t="s">
        <v>1867</v>
      </c>
      <c r="G83" s="258">
        <v>3228000000</v>
      </c>
      <c r="H83" s="265">
        <v>0.1</v>
      </c>
      <c r="I83" s="258">
        <v>322800000</v>
      </c>
      <c r="J83" s="258">
        <v>3550800000</v>
      </c>
      <c r="K83" s="256" t="s">
        <v>1348</v>
      </c>
    </row>
    <row r="84" spans="1:11" x14ac:dyDescent="0.3">
      <c r="A84" s="256">
        <v>23</v>
      </c>
      <c r="B84" s="257" t="s">
        <v>1205</v>
      </c>
      <c r="C84" s="276">
        <v>44520</v>
      </c>
      <c r="D84" s="257" t="s">
        <v>1268</v>
      </c>
      <c r="E84" s="256" t="s">
        <v>1821</v>
      </c>
      <c r="F84" s="256" t="s">
        <v>1867</v>
      </c>
      <c r="G84" s="258">
        <v>3375000000</v>
      </c>
      <c r="H84" s="265">
        <v>0.1</v>
      </c>
      <c r="I84" s="258">
        <v>337500000</v>
      </c>
      <c r="J84" s="258">
        <v>3712500000</v>
      </c>
      <c r="K84" s="256" t="s">
        <v>1346</v>
      </c>
    </row>
    <row r="85" spans="1:11" x14ac:dyDescent="0.3">
      <c r="A85" s="256">
        <v>24</v>
      </c>
      <c r="B85" s="257" t="s">
        <v>1385</v>
      </c>
      <c r="C85" s="276">
        <v>44550</v>
      </c>
      <c r="D85" s="257" t="s">
        <v>1278</v>
      </c>
      <c r="E85" s="256" t="s">
        <v>1785</v>
      </c>
      <c r="F85" s="256" t="s">
        <v>1864</v>
      </c>
      <c r="G85" s="258">
        <v>2096000000</v>
      </c>
      <c r="H85" s="265">
        <v>0.1</v>
      </c>
      <c r="I85" s="258">
        <v>209600000</v>
      </c>
      <c r="J85" s="258">
        <v>2305600000</v>
      </c>
      <c r="K85" s="256" t="s">
        <v>1346</v>
      </c>
    </row>
    <row r="86" spans="1:11" x14ac:dyDescent="0.3">
      <c r="A86" s="256">
        <v>25</v>
      </c>
      <c r="B86" s="257" t="s">
        <v>1387</v>
      </c>
      <c r="C86" s="276">
        <v>44221</v>
      </c>
      <c r="D86" s="257" t="s">
        <v>1260</v>
      </c>
      <c r="E86" s="256" t="s">
        <v>1804</v>
      </c>
      <c r="F86" s="256" t="s">
        <v>1864</v>
      </c>
      <c r="G86" s="258">
        <v>3437000000</v>
      </c>
      <c r="H86" s="265">
        <v>0.1</v>
      </c>
      <c r="I86" s="258">
        <v>343700000</v>
      </c>
      <c r="J86" s="258">
        <v>3780700000</v>
      </c>
      <c r="K86" s="256" t="s">
        <v>1346</v>
      </c>
    </row>
    <row r="87" spans="1:11" x14ac:dyDescent="0.3">
      <c r="A87" s="256">
        <v>26</v>
      </c>
      <c r="B87" s="257" t="s">
        <v>1388</v>
      </c>
      <c r="C87" s="276">
        <v>44255</v>
      </c>
      <c r="D87" s="257" t="s">
        <v>1304</v>
      </c>
      <c r="E87" s="256" t="s">
        <v>1831</v>
      </c>
      <c r="F87" s="256" t="s">
        <v>1864</v>
      </c>
      <c r="G87" s="258">
        <v>1227000000</v>
      </c>
      <c r="H87" s="265">
        <v>0.1</v>
      </c>
      <c r="I87" s="258">
        <v>122700000</v>
      </c>
      <c r="J87" s="258">
        <v>1349700000</v>
      </c>
      <c r="K87" s="256" t="s">
        <v>1346</v>
      </c>
    </row>
    <row r="88" spans="1:11" x14ac:dyDescent="0.3">
      <c r="A88" s="256">
        <v>27</v>
      </c>
      <c r="B88" s="257" t="s">
        <v>1391</v>
      </c>
      <c r="C88" s="276">
        <v>44316</v>
      </c>
      <c r="D88" s="257" t="s">
        <v>1270</v>
      </c>
      <c r="E88" s="256" t="s">
        <v>1782</v>
      </c>
      <c r="F88" s="256" t="s">
        <v>1867</v>
      </c>
      <c r="G88" s="258">
        <v>3260000000</v>
      </c>
      <c r="H88" s="265">
        <v>0</v>
      </c>
      <c r="I88" s="258">
        <v>0</v>
      </c>
      <c r="J88" s="258">
        <v>3260000000</v>
      </c>
      <c r="K88" s="256" t="s">
        <v>1346</v>
      </c>
    </row>
    <row r="89" spans="1:11" x14ac:dyDescent="0.3">
      <c r="A89" s="256">
        <v>28</v>
      </c>
      <c r="B89" s="257" t="s">
        <v>1392</v>
      </c>
      <c r="C89" s="276">
        <v>44377</v>
      </c>
      <c r="D89" s="257" t="s">
        <v>1304</v>
      </c>
      <c r="E89" s="256" t="s">
        <v>1831</v>
      </c>
      <c r="F89" s="256" t="s">
        <v>1866</v>
      </c>
      <c r="G89" s="258">
        <v>993000000</v>
      </c>
      <c r="H89" s="265">
        <v>0.1</v>
      </c>
      <c r="I89" s="258">
        <v>99300000</v>
      </c>
      <c r="J89" s="258">
        <v>1092300000</v>
      </c>
      <c r="K89" s="256" t="s">
        <v>1348</v>
      </c>
    </row>
    <row r="90" spans="1:11" x14ac:dyDescent="0.3">
      <c r="A90" s="256">
        <v>29</v>
      </c>
      <c r="B90" s="257" t="s">
        <v>1394</v>
      </c>
      <c r="C90" s="276">
        <v>44469</v>
      </c>
      <c r="D90" s="257" t="s">
        <v>1278</v>
      </c>
      <c r="E90" s="256" t="s">
        <v>1785</v>
      </c>
      <c r="F90" s="256" t="s">
        <v>1867</v>
      </c>
      <c r="G90" s="258">
        <v>2360000000</v>
      </c>
      <c r="H90" s="265">
        <v>0.1</v>
      </c>
      <c r="I90" s="258">
        <v>236000000</v>
      </c>
      <c r="J90" s="258">
        <v>2596000000</v>
      </c>
      <c r="K90" s="256" t="s">
        <v>1346</v>
      </c>
    </row>
    <row r="91" spans="1:11" x14ac:dyDescent="0.3">
      <c r="A91" s="256">
        <v>30</v>
      </c>
      <c r="B91" s="257" t="s">
        <v>1396</v>
      </c>
      <c r="C91" s="276">
        <v>44530</v>
      </c>
      <c r="D91" s="257" t="s">
        <v>1260</v>
      </c>
      <c r="E91" s="256" t="s">
        <v>1804</v>
      </c>
      <c r="F91" s="256" t="s">
        <v>1864</v>
      </c>
      <c r="G91" s="258">
        <v>2348000000</v>
      </c>
      <c r="H91" s="265">
        <v>0.1</v>
      </c>
      <c r="I91" s="258">
        <v>234800000</v>
      </c>
      <c r="J91" s="258">
        <v>2582800000</v>
      </c>
      <c r="K91" s="256" t="s">
        <v>1346</v>
      </c>
    </row>
    <row r="92" spans="1:11" x14ac:dyDescent="0.3">
      <c r="A92" s="256">
        <v>31</v>
      </c>
      <c r="B92" s="257" t="s">
        <v>1397</v>
      </c>
      <c r="C92" s="276">
        <v>44286</v>
      </c>
      <c r="D92" s="257" t="s">
        <v>1292</v>
      </c>
      <c r="E92" s="256" t="s">
        <v>1792</v>
      </c>
      <c r="F92" s="256" t="s">
        <v>1865</v>
      </c>
      <c r="G92" s="258">
        <v>2501000000</v>
      </c>
      <c r="H92" s="265">
        <v>0.1</v>
      </c>
      <c r="I92" s="258">
        <v>250100000</v>
      </c>
      <c r="J92" s="258">
        <v>2751100000</v>
      </c>
      <c r="K92" s="256" t="s">
        <v>1346</v>
      </c>
    </row>
    <row r="93" spans="1:11" x14ac:dyDescent="0.3">
      <c r="A93" s="256">
        <v>32</v>
      </c>
      <c r="B93" s="257" t="s">
        <v>1398</v>
      </c>
      <c r="C93" s="276">
        <v>44347</v>
      </c>
      <c r="D93" s="257" t="s">
        <v>1275</v>
      </c>
      <c r="E93" s="256" t="s">
        <v>1808</v>
      </c>
      <c r="F93" s="256" t="s">
        <v>1867</v>
      </c>
      <c r="G93" s="258">
        <v>2836000000</v>
      </c>
      <c r="H93" s="265">
        <v>0.1</v>
      </c>
      <c r="I93" s="258">
        <v>283600000</v>
      </c>
      <c r="J93" s="258">
        <v>3119600000</v>
      </c>
      <c r="K93" s="256" t="s">
        <v>1348</v>
      </c>
    </row>
    <row r="94" spans="1:11" x14ac:dyDescent="0.3">
      <c r="A94" s="256">
        <v>33</v>
      </c>
      <c r="B94" s="257" t="s">
        <v>1399</v>
      </c>
      <c r="C94" s="276">
        <v>44408</v>
      </c>
      <c r="D94" s="257" t="s">
        <v>1288</v>
      </c>
      <c r="E94" s="256" t="s">
        <v>1797</v>
      </c>
      <c r="F94" s="256" t="s">
        <v>1865</v>
      </c>
      <c r="G94" s="258">
        <v>1271000000</v>
      </c>
      <c r="H94" s="265">
        <v>0.1</v>
      </c>
      <c r="I94" s="258">
        <v>127100000</v>
      </c>
      <c r="J94" s="258">
        <v>1398100000</v>
      </c>
      <c r="K94" s="256" t="s">
        <v>1346</v>
      </c>
    </row>
    <row r="95" spans="1:11" x14ac:dyDescent="0.3">
      <c r="A95" s="256">
        <v>34</v>
      </c>
      <c r="B95" s="257" t="s">
        <v>1401</v>
      </c>
      <c r="C95" s="276">
        <v>44439</v>
      </c>
      <c r="D95" s="257" t="s">
        <v>1297</v>
      </c>
      <c r="E95" s="256" t="s">
        <v>1820</v>
      </c>
      <c r="F95" s="256" t="s">
        <v>1865</v>
      </c>
      <c r="G95" s="258">
        <v>2925000000</v>
      </c>
      <c r="H95" s="265">
        <v>0.1</v>
      </c>
      <c r="I95" s="258">
        <v>292500000</v>
      </c>
      <c r="J95" s="258">
        <v>3217500000</v>
      </c>
      <c r="K95" s="256" t="s">
        <v>1346</v>
      </c>
    </row>
    <row r="96" spans="1:11" x14ac:dyDescent="0.3">
      <c r="A96" s="256">
        <v>35</v>
      </c>
      <c r="B96" s="257" t="s">
        <v>1402</v>
      </c>
      <c r="C96" s="276">
        <v>44500</v>
      </c>
      <c r="D96" s="257" t="s">
        <v>1275</v>
      </c>
      <c r="E96" s="256" t="s">
        <v>1808</v>
      </c>
      <c r="F96" s="256" t="s">
        <v>1867</v>
      </c>
      <c r="G96" s="258">
        <v>960000000</v>
      </c>
      <c r="H96" s="265">
        <v>0.1</v>
      </c>
      <c r="I96" s="258">
        <v>96000000</v>
      </c>
      <c r="J96" s="258">
        <v>1056000000</v>
      </c>
      <c r="K96" s="256" t="s">
        <v>1346</v>
      </c>
    </row>
    <row r="97" spans="1:11" x14ac:dyDescent="0.3">
      <c r="A97" s="256">
        <v>36</v>
      </c>
      <c r="B97" s="257" t="s">
        <v>1403</v>
      </c>
      <c r="C97" s="276">
        <v>44561</v>
      </c>
      <c r="D97" s="257" t="s">
        <v>1271</v>
      </c>
      <c r="E97" s="256" t="s">
        <v>1799</v>
      </c>
      <c r="F97" s="256" t="s">
        <v>1865</v>
      </c>
      <c r="G97" s="258">
        <v>1103000000</v>
      </c>
      <c r="H97" s="265">
        <v>0.1</v>
      </c>
      <c r="I97" s="258">
        <v>110300000</v>
      </c>
      <c r="J97" s="258">
        <v>1213300000</v>
      </c>
      <c r="K97" s="256" t="s">
        <v>1346</v>
      </c>
    </row>
    <row r="98" spans="1:11" x14ac:dyDescent="0.3">
      <c r="A98" s="256">
        <v>37</v>
      </c>
      <c r="B98" s="257" t="s">
        <v>1404</v>
      </c>
      <c r="C98" s="276">
        <v>44561</v>
      </c>
      <c r="D98" s="257" t="s">
        <v>1270</v>
      </c>
      <c r="E98" s="256" t="s">
        <v>1782</v>
      </c>
      <c r="F98" s="256" t="s">
        <v>1864</v>
      </c>
      <c r="G98" s="258">
        <v>2027000000</v>
      </c>
      <c r="H98" s="265">
        <v>0.1</v>
      </c>
      <c r="I98" s="258">
        <v>202700000</v>
      </c>
      <c r="J98" s="258">
        <v>2229700000</v>
      </c>
      <c r="K98" s="256" t="s">
        <v>1346</v>
      </c>
    </row>
    <row r="99" spans="1:11" x14ac:dyDescent="0.3">
      <c r="A99" s="256">
        <v>38</v>
      </c>
      <c r="B99" s="257" t="s">
        <v>1405</v>
      </c>
      <c r="C99" s="276">
        <v>44561</v>
      </c>
      <c r="D99" s="257" t="s">
        <v>1297</v>
      </c>
      <c r="E99" s="256" t="s">
        <v>1820</v>
      </c>
      <c r="F99" s="256" t="s">
        <v>1866</v>
      </c>
      <c r="G99" s="258">
        <v>3210000000</v>
      </c>
      <c r="H99" s="265">
        <v>0.1</v>
      </c>
      <c r="I99" s="258">
        <v>321000000</v>
      </c>
      <c r="J99" s="258">
        <v>3531000000</v>
      </c>
      <c r="K99" s="256" t="s">
        <v>1346</v>
      </c>
    </row>
    <row r="100" spans="1:11" x14ac:dyDescent="0.3">
      <c r="A100" s="256">
        <v>39</v>
      </c>
      <c r="B100" s="257" t="s">
        <v>1406</v>
      </c>
      <c r="C100" s="276">
        <v>44561</v>
      </c>
      <c r="D100" s="257" t="s">
        <v>1303</v>
      </c>
      <c r="E100" s="256" t="s">
        <v>1817</v>
      </c>
      <c r="F100" s="256" t="s">
        <v>1866</v>
      </c>
      <c r="G100" s="258">
        <v>3315000000</v>
      </c>
      <c r="H100" s="265">
        <v>0.1</v>
      </c>
      <c r="I100" s="258">
        <v>331500000</v>
      </c>
      <c r="J100" s="258">
        <v>3646500000</v>
      </c>
      <c r="K100" s="256" t="s">
        <v>1346</v>
      </c>
    </row>
    <row r="101" spans="1:11" x14ac:dyDescent="0.3">
      <c r="A101" s="256">
        <v>40</v>
      </c>
      <c r="B101" s="257" t="s">
        <v>1408</v>
      </c>
      <c r="C101" s="276">
        <v>44561</v>
      </c>
      <c r="D101" s="257" t="s">
        <v>1258</v>
      </c>
      <c r="E101" s="256" t="s">
        <v>1833</v>
      </c>
      <c r="F101" s="256" t="s">
        <v>1866</v>
      </c>
      <c r="G101" s="258">
        <v>1910000000</v>
      </c>
      <c r="H101" s="265">
        <v>0.1</v>
      </c>
      <c r="I101" s="258">
        <v>191000000</v>
      </c>
      <c r="J101" s="258">
        <v>2101000000</v>
      </c>
      <c r="K101" s="256" t="s">
        <v>1346</v>
      </c>
    </row>
    <row r="102" spans="1:11" x14ac:dyDescent="0.3">
      <c r="A102" s="256">
        <v>41</v>
      </c>
      <c r="B102" s="257" t="s">
        <v>1409</v>
      </c>
      <c r="C102" s="276">
        <v>44561</v>
      </c>
      <c r="D102" s="257" t="s">
        <v>1294</v>
      </c>
      <c r="E102" s="256" t="s">
        <v>1795</v>
      </c>
      <c r="F102" s="256" t="s">
        <v>1865</v>
      </c>
      <c r="G102" s="258">
        <v>1786000000</v>
      </c>
      <c r="H102" s="265">
        <v>0.1</v>
      </c>
      <c r="I102" s="258">
        <v>178600000</v>
      </c>
      <c r="J102" s="258">
        <v>1964600000</v>
      </c>
      <c r="K102" s="256" t="s">
        <v>1346</v>
      </c>
    </row>
    <row r="103" spans="1:11" x14ac:dyDescent="0.3">
      <c r="A103" s="256">
        <v>42</v>
      </c>
      <c r="B103" s="257" t="s">
        <v>1411</v>
      </c>
      <c r="C103" s="276">
        <v>44561</v>
      </c>
      <c r="D103" s="257" t="s">
        <v>1255</v>
      </c>
      <c r="E103" s="273">
        <v>46152</v>
      </c>
      <c r="F103" s="256" t="s">
        <v>1866</v>
      </c>
      <c r="G103" s="258">
        <v>1636000000</v>
      </c>
      <c r="H103" s="265">
        <v>0.1</v>
      </c>
      <c r="I103" s="258">
        <v>163600000</v>
      </c>
      <c r="J103" s="258">
        <v>1799600000</v>
      </c>
      <c r="K103" s="256" t="s">
        <v>1346</v>
      </c>
    </row>
    <row r="104" spans="1:11" x14ac:dyDescent="0.3">
      <c r="A104" s="256">
        <v>43</v>
      </c>
      <c r="B104" s="257" t="s">
        <v>1414</v>
      </c>
      <c r="C104" s="276">
        <v>44561</v>
      </c>
      <c r="D104" s="257" t="s">
        <v>1291</v>
      </c>
      <c r="E104" s="256" t="s">
        <v>1800</v>
      </c>
      <c r="F104" s="256" t="s">
        <v>1865</v>
      </c>
      <c r="G104" s="258">
        <v>1992000000</v>
      </c>
      <c r="H104" s="265">
        <v>0.1</v>
      </c>
      <c r="I104" s="258">
        <v>199200000</v>
      </c>
      <c r="J104" s="258">
        <v>2191200000</v>
      </c>
      <c r="K104" s="256" t="s">
        <v>1346</v>
      </c>
    </row>
    <row r="105" spans="1:11" x14ac:dyDescent="0.3">
      <c r="A105" s="256">
        <v>44</v>
      </c>
      <c r="B105" s="257" t="s">
        <v>1415</v>
      </c>
      <c r="C105" s="276">
        <v>44561</v>
      </c>
      <c r="D105" s="257" t="s">
        <v>1303</v>
      </c>
      <c r="E105" s="256" t="s">
        <v>1817</v>
      </c>
      <c r="F105" s="256" t="s">
        <v>1866</v>
      </c>
      <c r="G105" s="258">
        <v>2924000000</v>
      </c>
      <c r="H105" s="265">
        <v>0.1</v>
      </c>
      <c r="I105" s="258">
        <v>292400000</v>
      </c>
      <c r="J105" s="258">
        <v>3216400000</v>
      </c>
      <c r="K105" s="256" t="s">
        <v>1346</v>
      </c>
    </row>
    <row r="106" spans="1:11" x14ac:dyDescent="0.3">
      <c r="A106" s="256">
        <v>45</v>
      </c>
      <c r="B106" s="257" t="s">
        <v>1206</v>
      </c>
      <c r="C106" s="276">
        <v>44561</v>
      </c>
      <c r="D106" s="257" t="s">
        <v>1262</v>
      </c>
      <c r="E106" s="256" t="s">
        <v>1816</v>
      </c>
      <c r="F106" s="256" t="s">
        <v>1866</v>
      </c>
      <c r="G106" s="258">
        <v>1084000000</v>
      </c>
      <c r="H106" s="265">
        <v>0.1</v>
      </c>
      <c r="I106" s="258">
        <v>108400000</v>
      </c>
      <c r="J106" s="258">
        <v>1192400000</v>
      </c>
      <c r="K106" s="256" t="s">
        <v>1346</v>
      </c>
    </row>
    <row r="107" spans="1:11" x14ac:dyDescent="0.3">
      <c r="A107" s="256">
        <v>46</v>
      </c>
      <c r="B107" s="257" t="s">
        <v>1207</v>
      </c>
      <c r="C107" s="276">
        <v>44561</v>
      </c>
      <c r="D107" s="257" t="s">
        <v>1255</v>
      </c>
      <c r="E107" s="273">
        <v>46152</v>
      </c>
      <c r="F107" s="256" t="s">
        <v>1865</v>
      </c>
      <c r="G107" s="258">
        <v>2503000000</v>
      </c>
      <c r="H107" s="265">
        <v>0.1</v>
      </c>
      <c r="I107" s="258">
        <v>250300000</v>
      </c>
      <c r="J107" s="258">
        <v>2753300000</v>
      </c>
      <c r="K107" s="256" t="s">
        <v>1346</v>
      </c>
    </row>
    <row r="108" spans="1:11" x14ac:dyDescent="0.3">
      <c r="A108" s="256">
        <v>47</v>
      </c>
      <c r="B108" s="257" t="s">
        <v>1208</v>
      </c>
      <c r="C108" s="276">
        <v>44561</v>
      </c>
      <c r="D108" s="257" t="s">
        <v>1304</v>
      </c>
      <c r="E108" s="256" t="s">
        <v>1831</v>
      </c>
      <c r="F108" s="256" t="s">
        <v>1866</v>
      </c>
      <c r="G108" s="258">
        <v>2120000000</v>
      </c>
      <c r="H108" s="265">
        <v>0</v>
      </c>
      <c r="I108" s="258">
        <v>0</v>
      </c>
      <c r="J108" s="258">
        <v>2120000000</v>
      </c>
      <c r="K108" s="256" t="s">
        <v>1346</v>
      </c>
    </row>
    <row r="109" spans="1:11" x14ac:dyDescent="0.3">
      <c r="A109" s="256">
        <v>48</v>
      </c>
      <c r="B109" s="257" t="s">
        <v>1209</v>
      </c>
      <c r="C109" s="276">
        <v>44561</v>
      </c>
      <c r="D109" s="257" t="s">
        <v>1266</v>
      </c>
      <c r="E109" s="256" t="s">
        <v>1824</v>
      </c>
      <c r="F109" s="256" t="s">
        <v>1866</v>
      </c>
      <c r="G109" s="258">
        <v>1909000000</v>
      </c>
      <c r="H109" s="265">
        <v>0.1</v>
      </c>
      <c r="I109" s="258">
        <v>190900000</v>
      </c>
      <c r="J109" s="258">
        <v>2099900000</v>
      </c>
      <c r="K109" s="256" t="s">
        <v>1346</v>
      </c>
    </row>
    <row r="110" spans="1:11" x14ac:dyDescent="0.3">
      <c r="A110" s="256">
        <v>49</v>
      </c>
      <c r="B110" s="257" t="s">
        <v>1418</v>
      </c>
      <c r="C110" s="276">
        <v>44561</v>
      </c>
      <c r="D110" s="257" t="s">
        <v>1259</v>
      </c>
      <c r="E110" s="256" t="s">
        <v>1788</v>
      </c>
      <c r="F110" s="256" t="s">
        <v>1867</v>
      </c>
      <c r="G110" s="258">
        <v>2182000000</v>
      </c>
      <c r="H110" s="265">
        <v>0</v>
      </c>
      <c r="I110" s="258">
        <v>0</v>
      </c>
      <c r="J110" s="258">
        <v>2182000000</v>
      </c>
      <c r="K110" s="256" t="s">
        <v>1346</v>
      </c>
    </row>
    <row r="111" spans="1:11" x14ac:dyDescent="0.3">
      <c r="A111" s="256">
        <v>50</v>
      </c>
      <c r="B111" s="257" t="s">
        <v>1419</v>
      </c>
      <c r="C111" s="276">
        <v>44561</v>
      </c>
      <c r="D111" s="257" t="s">
        <v>1286</v>
      </c>
      <c r="E111" s="256" t="s">
        <v>1828</v>
      </c>
      <c r="F111" s="256" t="s">
        <v>1866</v>
      </c>
      <c r="G111" s="258">
        <v>2595000000</v>
      </c>
      <c r="H111" s="265">
        <v>0.1</v>
      </c>
      <c r="I111" s="258">
        <v>259500000</v>
      </c>
      <c r="J111" s="258">
        <v>2854500000</v>
      </c>
      <c r="K111" s="256" t="s">
        <v>1346</v>
      </c>
    </row>
    <row r="112" spans="1:11" x14ac:dyDescent="0.3">
      <c r="A112" s="266" t="s">
        <v>1351</v>
      </c>
      <c r="B112" s="266"/>
      <c r="C112" s="266"/>
      <c r="D112" s="266"/>
      <c r="E112" s="266"/>
      <c r="F112" s="266"/>
      <c r="G112" s="267">
        <f>SUM(G62:G111)</f>
        <v>108865000000</v>
      </c>
      <c r="H112" s="266"/>
      <c r="I112" s="267">
        <f>SUM(I62:I111)</f>
        <v>9822600000</v>
      </c>
      <c r="J112" s="267">
        <f>SUM(J62:J111)</f>
        <v>118687600000</v>
      </c>
      <c r="K112" s="266"/>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776</v>
      </c>
      <c r="C1" s="256"/>
      <c r="D1" s="256"/>
      <c r="E1" s="256"/>
      <c r="F1" s="256"/>
      <c r="G1" s="256"/>
      <c r="H1" s="256"/>
      <c r="I1" s="256"/>
      <c r="J1" s="256"/>
      <c r="K1" s="256"/>
    </row>
    <row r="2" spans="1:11" x14ac:dyDescent="0.3">
      <c r="A2" s="256" t="s">
        <v>1339</v>
      </c>
      <c r="B2" s="257">
        <v>105908818</v>
      </c>
      <c r="C2" s="256"/>
      <c r="D2" s="256"/>
      <c r="E2" s="256"/>
      <c r="F2" s="256"/>
      <c r="G2" s="256"/>
      <c r="H2" s="256"/>
      <c r="I2" s="256"/>
      <c r="J2" s="256"/>
      <c r="K2" s="256"/>
    </row>
    <row r="3" spans="1:11" x14ac:dyDescent="0.3">
      <c r="A3" s="256" t="s">
        <v>1343</v>
      </c>
      <c r="B3" s="258">
        <v>2759907910326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1459</v>
      </c>
      <c r="C8" s="276">
        <v>44317</v>
      </c>
      <c r="D8" s="257" t="s">
        <v>1263</v>
      </c>
      <c r="E8" s="256" t="s">
        <v>1790</v>
      </c>
      <c r="F8" s="256" t="s">
        <v>1869</v>
      </c>
      <c r="G8" s="258">
        <v>45841000000</v>
      </c>
      <c r="H8" s="265">
        <v>0.1</v>
      </c>
      <c r="I8" s="258">
        <v>4584100000</v>
      </c>
      <c r="J8" s="258">
        <v>50425100000</v>
      </c>
      <c r="K8" s="256" t="s">
        <v>1346</v>
      </c>
    </row>
    <row r="9" spans="1:11" x14ac:dyDescent="0.3">
      <c r="A9" s="256">
        <v>2</v>
      </c>
      <c r="B9" s="257" t="s">
        <v>1392</v>
      </c>
      <c r="C9" s="276">
        <v>44318</v>
      </c>
      <c r="D9" s="257" t="s">
        <v>1299</v>
      </c>
      <c r="E9" s="256" t="s">
        <v>1776</v>
      </c>
      <c r="F9" s="256" t="s">
        <v>1868</v>
      </c>
      <c r="G9" s="258">
        <v>26228000000</v>
      </c>
      <c r="H9" s="265">
        <v>0.1</v>
      </c>
      <c r="I9" s="258">
        <v>2622800000</v>
      </c>
      <c r="J9" s="258">
        <v>28850800000</v>
      </c>
      <c r="K9" s="256" t="s">
        <v>1346</v>
      </c>
    </row>
    <row r="10" spans="1:11" x14ac:dyDescent="0.3">
      <c r="A10" s="256">
        <v>3</v>
      </c>
      <c r="B10" s="257" t="s">
        <v>1461</v>
      </c>
      <c r="C10" s="276">
        <v>44472</v>
      </c>
      <c r="D10" s="257" t="s">
        <v>1274</v>
      </c>
      <c r="E10" s="256" t="s">
        <v>1794</v>
      </c>
      <c r="F10" s="256" t="s">
        <v>1869</v>
      </c>
      <c r="G10" s="258">
        <v>52700000000</v>
      </c>
      <c r="H10" s="265">
        <v>0.1</v>
      </c>
      <c r="I10" s="258">
        <v>5270000000</v>
      </c>
      <c r="J10" s="258">
        <v>57970000000</v>
      </c>
      <c r="K10" s="256" t="s">
        <v>1346</v>
      </c>
    </row>
    <row r="11" spans="1:11" x14ac:dyDescent="0.3">
      <c r="A11" s="256">
        <v>4</v>
      </c>
      <c r="B11" s="257" t="s">
        <v>1458</v>
      </c>
      <c r="C11" s="276">
        <v>44473</v>
      </c>
      <c r="D11" s="257" t="s">
        <v>1260</v>
      </c>
      <c r="E11" s="256" t="s">
        <v>1804</v>
      </c>
      <c r="F11" s="256" t="s">
        <v>1731</v>
      </c>
      <c r="G11" s="258">
        <v>60026000000</v>
      </c>
      <c r="H11" s="265">
        <v>0.1</v>
      </c>
      <c r="I11" s="258">
        <v>6002600000</v>
      </c>
      <c r="J11" s="258">
        <v>66028600000</v>
      </c>
      <c r="K11" s="256" t="s">
        <v>1346</v>
      </c>
    </row>
    <row r="12" spans="1:11" x14ac:dyDescent="0.3">
      <c r="A12" s="256">
        <v>5</v>
      </c>
      <c r="B12" s="257" t="s">
        <v>1408</v>
      </c>
      <c r="C12" s="276">
        <v>44474</v>
      </c>
      <c r="D12" s="257" t="s">
        <v>1257</v>
      </c>
      <c r="E12" s="256" t="s">
        <v>1815</v>
      </c>
      <c r="F12" s="256" t="s">
        <v>1868</v>
      </c>
      <c r="G12" s="258">
        <v>47668000000</v>
      </c>
      <c r="H12" s="265">
        <v>0.1</v>
      </c>
      <c r="I12" s="258">
        <v>4766800000</v>
      </c>
      <c r="J12" s="258">
        <v>52434800000</v>
      </c>
      <c r="K12" s="256" t="s">
        <v>1346</v>
      </c>
    </row>
    <row r="13" spans="1:11" x14ac:dyDescent="0.3">
      <c r="A13" s="256">
        <v>6</v>
      </c>
      <c r="B13" s="257" t="s">
        <v>1462</v>
      </c>
      <c r="C13" s="276">
        <v>44475</v>
      </c>
      <c r="D13" s="257" t="s">
        <v>1274</v>
      </c>
      <c r="E13" s="256" t="s">
        <v>1794</v>
      </c>
      <c r="F13" s="256" t="s">
        <v>1730</v>
      </c>
      <c r="G13" s="258">
        <v>18185000000</v>
      </c>
      <c r="H13" s="265">
        <v>0.1</v>
      </c>
      <c r="I13" s="258">
        <v>1818500000</v>
      </c>
      <c r="J13" s="258">
        <v>20003500000</v>
      </c>
      <c r="K13" s="256" t="s">
        <v>1346</v>
      </c>
    </row>
    <row r="14" spans="1:11" x14ac:dyDescent="0.3">
      <c r="A14" s="256">
        <v>7</v>
      </c>
      <c r="B14" s="257" t="s">
        <v>1408</v>
      </c>
      <c r="C14" s="276">
        <v>44476</v>
      </c>
      <c r="D14" s="257" t="s">
        <v>1267</v>
      </c>
      <c r="E14" s="256" t="s">
        <v>1810</v>
      </c>
      <c r="F14" s="256" t="s">
        <v>1868</v>
      </c>
      <c r="G14" s="258">
        <v>27167000000</v>
      </c>
      <c r="H14" s="265">
        <v>0.1</v>
      </c>
      <c r="I14" s="258">
        <v>2716700000</v>
      </c>
      <c r="J14" s="258">
        <v>29883700000</v>
      </c>
      <c r="K14" s="256" t="s">
        <v>1346</v>
      </c>
    </row>
    <row r="15" spans="1:11" x14ac:dyDescent="0.3">
      <c r="A15" s="256">
        <v>8</v>
      </c>
      <c r="B15" s="257" t="s">
        <v>1208</v>
      </c>
      <c r="C15" s="276">
        <v>44477</v>
      </c>
      <c r="D15" s="257" t="s">
        <v>1268</v>
      </c>
      <c r="E15" s="256" t="s">
        <v>1821</v>
      </c>
      <c r="F15" s="256" t="s">
        <v>1868</v>
      </c>
      <c r="G15" s="258">
        <v>50676000000</v>
      </c>
      <c r="H15" s="265">
        <v>0</v>
      </c>
      <c r="I15" s="258">
        <v>0</v>
      </c>
      <c r="J15" s="258">
        <v>50676000000</v>
      </c>
      <c r="K15" s="256" t="s">
        <v>1346</v>
      </c>
    </row>
    <row r="16" spans="1:11" x14ac:dyDescent="0.3">
      <c r="A16" s="256">
        <v>9</v>
      </c>
      <c r="B16" s="257" t="s">
        <v>1399</v>
      </c>
      <c r="C16" s="276">
        <v>44478</v>
      </c>
      <c r="D16" s="257" t="s">
        <v>1293</v>
      </c>
      <c r="E16" s="256" t="s">
        <v>1826</v>
      </c>
      <c r="F16" s="256" t="s">
        <v>1868</v>
      </c>
      <c r="G16" s="258">
        <v>21850000000</v>
      </c>
      <c r="H16" s="265">
        <v>0.1</v>
      </c>
      <c r="I16" s="258">
        <v>2185000000</v>
      </c>
      <c r="J16" s="258">
        <v>24035000000</v>
      </c>
      <c r="K16" s="256" t="s">
        <v>1346</v>
      </c>
    </row>
    <row r="17" spans="1:11" x14ac:dyDescent="0.3">
      <c r="A17" s="256">
        <v>10</v>
      </c>
      <c r="B17" s="257" t="s">
        <v>1401</v>
      </c>
      <c r="C17" s="276">
        <v>44479</v>
      </c>
      <c r="D17" s="257" t="s">
        <v>1269</v>
      </c>
      <c r="E17" s="256" t="s">
        <v>1823</v>
      </c>
      <c r="F17" s="256" t="s">
        <v>1741</v>
      </c>
      <c r="G17" s="258">
        <v>56262000000</v>
      </c>
      <c r="H17" s="265">
        <v>0.1</v>
      </c>
      <c r="I17" s="258">
        <v>5626200000</v>
      </c>
      <c r="J17" s="258">
        <v>61888200000</v>
      </c>
      <c r="K17" s="256" t="s">
        <v>1346</v>
      </c>
    </row>
    <row r="18" spans="1:11" x14ac:dyDescent="0.3">
      <c r="A18" s="256">
        <v>11</v>
      </c>
      <c r="B18" s="257" t="s">
        <v>1456</v>
      </c>
      <c r="C18" s="276">
        <v>44480</v>
      </c>
      <c r="D18" s="257" t="s">
        <v>1256</v>
      </c>
      <c r="E18" s="256" t="s">
        <v>1802</v>
      </c>
      <c r="F18" s="256" t="s">
        <v>1870</v>
      </c>
      <c r="G18" s="258">
        <v>44011000000</v>
      </c>
      <c r="H18" s="265">
        <v>0.1</v>
      </c>
      <c r="I18" s="258">
        <v>4401100000</v>
      </c>
      <c r="J18" s="258">
        <v>48412100000</v>
      </c>
      <c r="K18" s="256" t="s">
        <v>1346</v>
      </c>
    </row>
    <row r="19" spans="1:11" x14ac:dyDescent="0.3">
      <c r="A19" s="256">
        <v>12</v>
      </c>
      <c r="B19" s="257" t="s">
        <v>1472</v>
      </c>
      <c r="C19" s="276">
        <v>44481</v>
      </c>
      <c r="D19" s="257" t="s">
        <v>1284</v>
      </c>
      <c r="E19" s="256" t="s">
        <v>1786</v>
      </c>
      <c r="F19" s="256" t="s">
        <v>1730</v>
      </c>
      <c r="G19" s="258">
        <v>44608000000</v>
      </c>
      <c r="H19" s="265">
        <v>0.1</v>
      </c>
      <c r="I19" s="258">
        <v>4460800000</v>
      </c>
      <c r="J19" s="258">
        <v>49068800000</v>
      </c>
      <c r="K19" s="256" t="s">
        <v>1348</v>
      </c>
    </row>
    <row r="20" spans="1:11" x14ac:dyDescent="0.3">
      <c r="A20" s="256">
        <v>13</v>
      </c>
      <c r="B20" s="257" t="s">
        <v>1204</v>
      </c>
      <c r="C20" s="276">
        <v>44211</v>
      </c>
      <c r="D20" s="257" t="s">
        <v>1286</v>
      </c>
      <c r="E20" s="256" t="s">
        <v>1828</v>
      </c>
      <c r="F20" s="256" t="s">
        <v>1734</v>
      </c>
      <c r="G20" s="258">
        <v>56059000000</v>
      </c>
      <c r="H20" s="265">
        <v>0.1</v>
      </c>
      <c r="I20" s="258">
        <v>5605900000</v>
      </c>
      <c r="J20" s="258">
        <v>61664900000</v>
      </c>
      <c r="K20" s="256" t="s">
        <v>1346</v>
      </c>
    </row>
    <row r="21" spans="1:11" x14ac:dyDescent="0.3">
      <c r="A21" s="256">
        <v>14</v>
      </c>
      <c r="B21" s="257" t="s">
        <v>1382</v>
      </c>
      <c r="C21" s="276">
        <v>44242</v>
      </c>
      <c r="D21" s="257" t="s">
        <v>1261</v>
      </c>
      <c r="E21" s="256" t="s">
        <v>1813</v>
      </c>
      <c r="F21" s="256" t="s">
        <v>1870</v>
      </c>
      <c r="G21" s="258">
        <v>63952000000</v>
      </c>
      <c r="H21" s="265">
        <v>0.1</v>
      </c>
      <c r="I21" s="258">
        <v>6395200000</v>
      </c>
      <c r="J21" s="258">
        <v>70347200000</v>
      </c>
      <c r="K21" s="256" t="s">
        <v>1346</v>
      </c>
    </row>
    <row r="22" spans="1:11" x14ac:dyDescent="0.3">
      <c r="A22" s="256">
        <v>15</v>
      </c>
      <c r="B22" s="257" t="s">
        <v>1383</v>
      </c>
      <c r="C22" s="276">
        <v>44275</v>
      </c>
      <c r="D22" s="257" t="s">
        <v>1296</v>
      </c>
      <c r="E22" s="256" t="s">
        <v>1807</v>
      </c>
      <c r="F22" s="256" t="s">
        <v>1730</v>
      </c>
      <c r="G22" s="258">
        <v>57182000000</v>
      </c>
      <c r="H22" s="265">
        <v>0.1</v>
      </c>
      <c r="I22" s="258">
        <v>5718200000</v>
      </c>
      <c r="J22" s="258">
        <v>62900200000</v>
      </c>
      <c r="K22" s="256" t="s">
        <v>1346</v>
      </c>
    </row>
    <row r="23" spans="1:11" x14ac:dyDescent="0.3">
      <c r="A23" s="256">
        <v>16</v>
      </c>
      <c r="B23" s="257" t="s">
        <v>1405</v>
      </c>
      <c r="C23" s="276">
        <v>44306</v>
      </c>
      <c r="D23" s="257" t="s">
        <v>1265</v>
      </c>
      <c r="E23" s="256" t="s">
        <v>1830</v>
      </c>
      <c r="F23" s="256" t="s">
        <v>1869</v>
      </c>
      <c r="G23" s="258">
        <v>53004000000</v>
      </c>
      <c r="H23" s="265">
        <v>0</v>
      </c>
      <c r="I23" s="258">
        <v>0</v>
      </c>
      <c r="J23" s="258">
        <v>53004000000</v>
      </c>
      <c r="K23" s="256" t="s">
        <v>1346</v>
      </c>
    </row>
    <row r="24" spans="1:11" x14ac:dyDescent="0.3">
      <c r="A24" s="256">
        <v>17</v>
      </c>
      <c r="B24" s="257" t="s">
        <v>1404</v>
      </c>
      <c r="C24" s="276">
        <v>44336</v>
      </c>
      <c r="D24" s="257" t="s">
        <v>1255</v>
      </c>
      <c r="E24" s="273">
        <v>46152</v>
      </c>
      <c r="F24" s="256" t="s">
        <v>1730</v>
      </c>
      <c r="G24" s="258">
        <v>50347000000</v>
      </c>
      <c r="H24" s="265">
        <v>0.1</v>
      </c>
      <c r="I24" s="258">
        <v>5034700000</v>
      </c>
      <c r="J24" s="258">
        <v>55381700000</v>
      </c>
      <c r="K24" s="256" t="s">
        <v>1346</v>
      </c>
    </row>
    <row r="25" spans="1:11" x14ac:dyDescent="0.3">
      <c r="A25" s="256">
        <v>18</v>
      </c>
      <c r="B25" s="257" t="s">
        <v>1462</v>
      </c>
      <c r="C25" s="276">
        <v>44367</v>
      </c>
      <c r="D25" s="257" t="s">
        <v>1279</v>
      </c>
      <c r="E25" s="256" t="s">
        <v>1827</v>
      </c>
      <c r="F25" s="256" t="s">
        <v>1731</v>
      </c>
      <c r="G25" s="258">
        <v>20647000000</v>
      </c>
      <c r="H25" s="265">
        <v>0.1</v>
      </c>
      <c r="I25" s="258">
        <v>2064700000</v>
      </c>
      <c r="J25" s="258">
        <v>22711700000</v>
      </c>
      <c r="K25" s="256" t="s">
        <v>1346</v>
      </c>
    </row>
    <row r="26" spans="1:11" x14ac:dyDescent="0.3">
      <c r="A26" s="256">
        <v>19</v>
      </c>
      <c r="B26" s="257" t="s">
        <v>1209</v>
      </c>
      <c r="C26" s="276">
        <v>44397</v>
      </c>
      <c r="D26" s="257" t="s">
        <v>1268</v>
      </c>
      <c r="E26" s="256" t="s">
        <v>1821</v>
      </c>
      <c r="F26" s="256" t="s">
        <v>1741</v>
      </c>
      <c r="G26" s="258">
        <v>59446000000</v>
      </c>
      <c r="H26" s="265">
        <v>0.1</v>
      </c>
      <c r="I26" s="258">
        <v>5944600000</v>
      </c>
      <c r="J26" s="258">
        <v>65390600000</v>
      </c>
      <c r="K26" s="256" t="s">
        <v>1346</v>
      </c>
    </row>
    <row r="27" spans="1:11" x14ac:dyDescent="0.3">
      <c r="A27" s="256">
        <v>20</v>
      </c>
      <c r="B27" s="257" t="s">
        <v>1208</v>
      </c>
      <c r="C27" s="276">
        <v>44428</v>
      </c>
      <c r="D27" s="257" t="s">
        <v>1278</v>
      </c>
      <c r="E27" s="256" t="s">
        <v>1785</v>
      </c>
      <c r="F27" s="256" t="s">
        <v>1869</v>
      </c>
      <c r="G27" s="258">
        <v>32991000000</v>
      </c>
      <c r="H27" s="265">
        <v>0.1</v>
      </c>
      <c r="I27" s="258">
        <v>3299100000</v>
      </c>
      <c r="J27" s="258">
        <v>36290100000</v>
      </c>
      <c r="K27" s="256" t="s">
        <v>1346</v>
      </c>
    </row>
    <row r="28" spans="1:11" x14ac:dyDescent="0.3">
      <c r="A28" s="256">
        <v>21</v>
      </c>
      <c r="B28" s="257" t="s">
        <v>1464</v>
      </c>
      <c r="C28" s="276">
        <v>44459</v>
      </c>
      <c r="D28" s="257" t="s">
        <v>1259</v>
      </c>
      <c r="E28" s="256" t="s">
        <v>1788</v>
      </c>
      <c r="F28" s="256" t="s">
        <v>1869</v>
      </c>
      <c r="G28" s="258">
        <v>54867000000</v>
      </c>
      <c r="H28" s="265">
        <v>0.1</v>
      </c>
      <c r="I28" s="258">
        <v>5486700000</v>
      </c>
      <c r="J28" s="258">
        <v>60353700000</v>
      </c>
      <c r="K28" s="256" t="s">
        <v>1346</v>
      </c>
    </row>
    <row r="29" spans="1:11" x14ac:dyDescent="0.3">
      <c r="A29" s="256">
        <v>22</v>
      </c>
      <c r="B29" s="257" t="s">
        <v>1418</v>
      </c>
      <c r="C29" s="276">
        <v>44489</v>
      </c>
      <c r="D29" s="257" t="s">
        <v>1271</v>
      </c>
      <c r="E29" s="256" t="s">
        <v>1799</v>
      </c>
      <c r="F29" s="256" t="s">
        <v>1871</v>
      </c>
      <c r="G29" s="258">
        <v>43160000000</v>
      </c>
      <c r="H29" s="265">
        <v>0.1</v>
      </c>
      <c r="I29" s="258">
        <v>4316000000</v>
      </c>
      <c r="J29" s="258">
        <v>47476000000</v>
      </c>
      <c r="K29" s="256" t="s">
        <v>1346</v>
      </c>
    </row>
    <row r="30" spans="1:11" x14ac:dyDescent="0.3">
      <c r="A30" s="256">
        <v>23</v>
      </c>
      <c r="B30" s="257" t="s">
        <v>1209</v>
      </c>
      <c r="C30" s="276">
        <v>44520</v>
      </c>
      <c r="D30" s="257" t="s">
        <v>1278</v>
      </c>
      <c r="E30" s="256" t="s">
        <v>1785</v>
      </c>
      <c r="F30" s="256" t="s">
        <v>1868</v>
      </c>
      <c r="G30" s="258">
        <v>63655000000</v>
      </c>
      <c r="H30" s="265">
        <v>0</v>
      </c>
      <c r="I30" s="258">
        <v>0</v>
      </c>
      <c r="J30" s="258">
        <v>63655000000</v>
      </c>
      <c r="K30" s="256" t="s">
        <v>1346</v>
      </c>
    </row>
    <row r="31" spans="1:11" x14ac:dyDescent="0.3">
      <c r="A31" s="256">
        <v>24</v>
      </c>
      <c r="B31" s="257" t="s">
        <v>1463</v>
      </c>
      <c r="C31" s="276">
        <v>44550</v>
      </c>
      <c r="D31" s="257" t="s">
        <v>1276</v>
      </c>
      <c r="E31" s="256" t="s">
        <v>1822</v>
      </c>
      <c r="F31" s="256" t="s">
        <v>1868</v>
      </c>
      <c r="G31" s="258">
        <v>20706000000</v>
      </c>
      <c r="H31" s="265">
        <v>0</v>
      </c>
      <c r="I31" s="258">
        <v>0</v>
      </c>
      <c r="J31" s="258">
        <v>20706000000</v>
      </c>
      <c r="K31" s="256" t="s">
        <v>1346</v>
      </c>
    </row>
    <row r="32" spans="1:11" x14ac:dyDescent="0.3">
      <c r="A32" s="256">
        <v>25</v>
      </c>
      <c r="B32" s="257" t="s">
        <v>1409</v>
      </c>
      <c r="C32" s="276">
        <v>44221</v>
      </c>
      <c r="D32" s="257" t="s">
        <v>1304</v>
      </c>
      <c r="E32" s="256" t="s">
        <v>1831</v>
      </c>
      <c r="F32" s="256" t="s">
        <v>1730</v>
      </c>
      <c r="G32" s="258">
        <v>42626000000</v>
      </c>
      <c r="H32" s="265">
        <v>0.1</v>
      </c>
      <c r="I32" s="258">
        <v>4262600000</v>
      </c>
      <c r="J32" s="258">
        <v>46888600000</v>
      </c>
      <c r="K32" s="256" t="s">
        <v>1346</v>
      </c>
    </row>
    <row r="33" spans="1:11" x14ac:dyDescent="0.3">
      <c r="A33" s="256">
        <v>26</v>
      </c>
      <c r="B33" s="257" t="s">
        <v>1465</v>
      </c>
      <c r="C33" s="276">
        <v>44255</v>
      </c>
      <c r="D33" s="257" t="s">
        <v>1259</v>
      </c>
      <c r="E33" s="256" t="s">
        <v>1788</v>
      </c>
      <c r="F33" s="256" t="s">
        <v>1870</v>
      </c>
      <c r="G33" s="258">
        <v>43645000000</v>
      </c>
      <c r="H33" s="265">
        <v>0.1</v>
      </c>
      <c r="I33" s="258">
        <v>4364500000</v>
      </c>
      <c r="J33" s="258">
        <v>48009500000</v>
      </c>
      <c r="K33" s="256" t="s">
        <v>1346</v>
      </c>
    </row>
    <row r="34" spans="1:11" x14ac:dyDescent="0.3">
      <c r="A34" s="256">
        <v>27</v>
      </c>
      <c r="B34" s="257" t="s">
        <v>1394</v>
      </c>
      <c r="C34" s="276">
        <v>44316</v>
      </c>
      <c r="D34" s="257" t="s">
        <v>1302</v>
      </c>
      <c r="E34" s="256" t="s">
        <v>1784</v>
      </c>
      <c r="F34" s="256" t="s">
        <v>1870</v>
      </c>
      <c r="G34" s="258">
        <v>55639000000</v>
      </c>
      <c r="H34" s="265">
        <v>0.1</v>
      </c>
      <c r="I34" s="258">
        <v>5563900000</v>
      </c>
      <c r="J34" s="258">
        <v>61202900000</v>
      </c>
      <c r="K34" s="256" t="s">
        <v>1346</v>
      </c>
    </row>
    <row r="35" spans="1:11" x14ac:dyDescent="0.3">
      <c r="A35" s="256">
        <v>28</v>
      </c>
      <c r="B35" s="257" t="s">
        <v>1385</v>
      </c>
      <c r="C35" s="276">
        <v>44377</v>
      </c>
      <c r="D35" s="257" t="s">
        <v>1300</v>
      </c>
      <c r="E35" s="256" t="s">
        <v>1818</v>
      </c>
      <c r="F35" s="256" t="s">
        <v>1734</v>
      </c>
      <c r="G35" s="258">
        <v>54701000000</v>
      </c>
      <c r="H35" s="265">
        <v>0.1</v>
      </c>
      <c r="I35" s="258">
        <v>5470100000</v>
      </c>
      <c r="J35" s="258">
        <v>60171100000</v>
      </c>
      <c r="K35" s="256" t="s">
        <v>1348</v>
      </c>
    </row>
    <row r="36" spans="1:11" x14ac:dyDescent="0.3">
      <c r="A36" s="256">
        <v>29</v>
      </c>
      <c r="B36" s="257" t="s">
        <v>1457</v>
      </c>
      <c r="C36" s="276">
        <v>44469</v>
      </c>
      <c r="D36" s="257" t="s">
        <v>1256</v>
      </c>
      <c r="E36" s="256" t="s">
        <v>1802</v>
      </c>
      <c r="F36" s="256" t="s">
        <v>1871</v>
      </c>
      <c r="G36" s="258">
        <v>20015000000</v>
      </c>
      <c r="H36" s="265">
        <v>0.1</v>
      </c>
      <c r="I36" s="258">
        <v>2001500000</v>
      </c>
      <c r="J36" s="258">
        <v>22016500000</v>
      </c>
      <c r="K36" s="256" t="s">
        <v>1346</v>
      </c>
    </row>
    <row r="37" spans="1:11" x14ac:dyDescent="0.3">
      <c r="A37" s="256">
        <v>30</v>
      </c>
      <c r="B37" s="257" t="s">
        <v>1466</v>
      </c>
      <c r="C37" s="276">
        <v>44530</v>
      </c>
      <c r="D37" s="257" t="s">
        <v>1277</v>
      </c>
      <c r="E37" s="256" t="s">
        <v>1783</v>
      </c>
      <c r="F37" s="256" t="s">
        <v>1730</v>
      </c>
      <c r="G37" s="258">
        <v>30261000000</v>
      </c>
      <c r="H37" s="265">
        <v>0.1</v>
      </c>
      <c r="I37" s="258">
        <v>3026100000</v>
      </c>
      <c r="J37" s="258">
        <v>33287100000</v>
      </c>
      <c r="K37" s="256" t="s">
        <v>1346</v>
      </c>
    </row>
    <row r="38" spans="1:11" x14ac:dyDescent="0.3">
      <c r="A38" s="256">
        <v>31</v>
      </c>
      <c r="B38" s="257" t="s">
        <v>1409</v>
      </c>
      <c r="C38" s="276">
        <v>44286</v>
      </c>
      <c r="D38" s="257" t="s">
        <v>1257</v>
      </c>
      <c r="E38" s="256" t="s">
        <v>1815</v>
      </c>
      <c r="F38" s="256" t="s">
        <v>1730</v>
      </c>
      <c r="G38" s="258">
        <v>54468000000</v>
      </c>
      <c r="H38" s="265">
        <v>0.1</v>
      </c>
      <c r="I38" s="258">
        <v>5446800000</v>
      </c>
      <c r="J38" s="258">
        <v>59914800000</v>
      </c>
      <c r="K38" s="256" t="s">
        <v>1346</v>
      </c>
    </row>
    <row r="39" spans="1:11" x14ac:dyDescent="0.3">
      <c r="A39" s="256">
        <v>32</v>
      </c>
      <c r="B39" s="257" t="s">
        <v>1381</v>
      </c>
      <c r="C39" s="276">
        <v>44347</v>
      </c>
      <c r="D39" s="257" t="s">
        <v>1298</v>
      </c>
      <c r="E39" s="256" t="s">
        <v>1819</v>
      </c>
      <c r="F39" s="256" t="s">
        <v>1871</v>
      </c>
      <c r="G39" s="258">
        <v>21629000000</v>
      </c>
      <c r="H39" s="265">
        <v>0.1</v>
      </c>
      <c r="I39" s="258">
        <v>2162900000</v>
      </c>
      <c r="J39" s="258">
        <v>23791900000</v>
      </c>
      <c r="K39" s="256" t="s">
        <v>1346</v>
      </c>
    </row>
    <row r="40" spans="1:11" x14ac:dyDescent="0.3">
      <c r="A40" s="256">
        <v>33</v>
      </c>
      <c r="B40" s="257" t="s">
        <v>1402</v>
      </c>
      <c r="C40" s="276">
        <v>44408</v>
      </c>
      <c r="D40" s="257" t="s">
        <v>1269</v>
      </c>
      <c r="E40" s="256" t="s">
        <v>1823</v>
      </c>
      <c r="F40" s="256" t="s">
        <v>1870</v>
      </c>
      <c r="G40" s="258">
        <v>23833000000</v>
      </c>
      <c r="H40" s="265">
        <v>0.1</v>
      </c>
      <c r="I40" s="258">
        <v>2383300000</v>
      </c>
      <c r="J40" s="258">
        <v>26216300000</v>
      </c>
      <c r="K40" s="256" t="s">
        <v>1346</v>
      </c>
    </row>
    <row r="41" spans="1:11" x14ac:dyDescent="0.3">
      <c r="A41" s="256">
        <v>34</v>
      </c>
      <c r="B41" s="257" t="s">
        <v>1208</v>
      </c>
      <c r="C41" s="276">
        <v>44439</v>
      </c>
      <c r="D41" s="257" t="s">
        <v>1266</v>
      </c>
      <c r="E41" s="256" t="s">
        <v>1824</v>
      </c>
      <c r="F41" s="256" t="s">
        <v>1730</v>
      </c>
      <c r="G41" s="258">
        <v>51446000000</v>
      </c>
      <c r="H41" s="265">
        <v>0.1</v>
      </c>
      <c r="I41" s="258">
        <v>5144600000</v>
      </c>
      <c r="J41" s="258">
        <v>56590600000</v>
      </c>
      <c r="K41" s="256" t="s">
        <v>1348</v>
      </c>
    </row>
    <row r="42" spans="1:11" x14ac:dyDescent="0.3">
      <c r="A42" s="256">
        <v>35</v>
      </c>
      <c r="B42" s="257" t="s">
        <v>1411</v>
      </c>
      <c r="C42" s="276">
        <v>44500</v>
      </c>
      <c r="D42" s="257" t="s">
        <v>1257</v>
      </c>
      <c r="E42" s="256" t="s">
        <v>1815</v>
      </c>
      <c r="F42" s="256" t="s">
        <v>1741</v>
      </c>
      <c r="G42" s="258">
        <v>47953000000</v>
      </c>
      <c r="H42" s="265">
        <v>0.1</v>
      </c>
      <c r="I42" s="258">
        <v>4795300000</v>
      </c>
      <c r="J42" s="258">
        <v>52748300000</v>
      </c>
      <c r="K42" s="256" t="s">
        <v>1346</v>
      </c>
    </row>
    <row r="43" spans="1:11" x14ac:dyDescent="0.3">
      <c r="A43" s="256">
        <v>36</v>
      </c>
      <c r="B43" s="257" t="s">
        <v>1387</v>
      </c>
      <c r="C43" s="276">
        <v>44561</v>
      </c>
      <c r="D43" s="257" t="s">
        <v>1297</v>
      </c>
      <c r="E43" s="256" t="s">
        <v>1820</v>
      </c>
      <c r="F43" s="256" t="s">
        <v>1870</v>
      </c>
      <c r="G43" s="258">
        <v>50947000000</v>
      </c>
      <c r="H43" s="265">
        <v>0.1</v>
      </c>
      <c r="I43" s="258">
        <v>5094700000</v>
      </c>
      <c r="J43" s="258">
        <v>56041700000</v>
      </c>
      <c r="K43" s="256" t="s">
        <v>1346</v>
      </c>
    </row>
    <row r="44" spans="1:11" x14ac:dyDescent="0.3">
      <c r="A44" s="256">
        <v>37</v>
      </c>
      <c r="B44" s="257" t="s">
        <v>1396</v>
      </c>
      <c r="C44" s="276">
        <v>44561</v>
      </c>
      <c r="D44" s="257" t="s">
        <v>1302</v>
      </c>
      <c r="E44" s="256" t="s">
        <v>1784</v>
      </c>
      <c r="F44" s="256" t="s">
        <v>1741</v>
      </c>
      <c r="G44" s="258">
        <v>40641000000</v>
      </c>
      <c r="H44" s="265">
        <v>0.1</v>
      </c>
      <c r="I44" s="258">
        <v>4064100000</v>
      </c>
      <c r="J44" s="258">
        <v>44705100000</v>
      </c>
      <c r="K44" s="256" t="s">
        <v>1346</v>
      </c>
    </row>
    <row r="45" spans="1:11" x14ac:dyDescent="0.3">
      <c r="A45" s="256">
        <v>38</v>
      </c>
      <c r="B45" s="257" t="s">
        <v>1401</v>
      </c>
      <c r="C45" s="276">
        <v>44561</v>
      </c>
      <c r="D45" s="257" t="s">
        <v>1293</v>
      </c>
      <c r="E45" s="256" t="s">
        <v>1826</v>
      </c>
      <c r="F45" s="256" t="s">
        <v>1869</v>
      </c>
      <c r="G45" s="258">
        <v>32208000000</v>
      </c>
      <c r="H45" s="265">
        <v>0.1</v>
      </c>
      <c r="I45" s="258">
        <v>3220800000</v>
      </c>
      <c r="J45" s="258">
        <v>35428800000</v>
      </c>
      <c r="K45" s="256" t="s">
        <v>1348</v>
      </c>
    </row>
    <row r="46" spans="1:11" x14ac:dyDescent="0.3">
      <c r="A46" s="256">
        <v>39</v>
      </c>
      <c r="B46" s="257" t="s">
        <v>1383</v>
      </c>
      <c r="C46" s="276">
        <v>44561</v>
      </c>
      <c r="D46" s="257" t="s">
        <v>1295</v>
      </c>
      <c r="E46" s="256" t="s">
        <v>1825</v>
      </c>
      <c r="F46" s="256" t="s">
        <v>1741</v>
      </c>
      <c r="G46" s="258">
        <v>64431000000</v>
      </c>
      <c r="H46" s="265">
        <v>0</v>
      </c>
      <c r="I46" s="258">
        <v>0</v>
      </c>
      <c r="J46" s="258">
        <v>64431000000</v>
      </c>
      <c r="K46" s="256" t="s">
        <v>1346</v>
      </c>
    </row>
    <row r="47" spans="1:11" x14ac:dyDescent="0.3">
      <c r="A47" s="256">
        <v>40</v>
      </c>
      <c r="B47" s="257" t="s">
        <v>1381</v>
      </c>
      <c r="C47" s="276">
        <v>44561</v>
      </c>
      <c r="D47" s="257" t="s">
        <v>1303</v>
      </c>
      <c r="E47" s="256" t="s">
        <v>1817</v>
      </c>
      <c r="F47" s="256" t="s">
        <v>1734</v>
      </c>
      <c r="G47" s="258">
        <v>42798000000</v>
      </c>
      <c r="H47" s="265">
        <v>0.1</v>
      </c>
      <c r="I47" s="258">
        <v>4279800000</v>
      </c>
      <c r="J47" s="258">
        <v>47077800000</v>
      </c>
      <c r="K47" s="256" t="s">
        <v>1346</v>
      </c>
    </row>
    <row r="48" spans="1:11" x14ac:dyDescent="0.3">
      <c r="A48" s="256">
        <v>41</v>
      </c>
      <c r="B48" s="257" t="s">
        <v>1388</v>
      </c>
      <c r="C48" s="276">
        <v>44561</v>
      </c>
      <c r="D48" s="257" t="s">
        <v>1291</v>
      </c>
      <c r="E48" s="256" t="s">
        <v>1800</v>
      </c>
      <c r="F48" s="256" t="s">
        <v>1730</v>
      </c>
      <c r="G48" s="258">
        <v>27191000000</v>
      </c>
      <c r="H48" s="265">
        <v>0.1</v>
      </c>
      <c r="I48" s="258">
        <v>2719100000</v>
      </c>
      <c r="J48" s="258">
        <v>29910100000</v>
      </c>
      <c r="K48" s="256" t="s">
        <v>1346</v>
      </c>
    </row>
    <row r="49" spans="1:11" x14ac:dyDescent="0.3">
      <c r="A49" s="256">
        <v>42</v>
      </c>
      <c r="B49" s="257" t="s">
        <v>1463</v>
      </c>
      <c r="C49" s="276">
        <v>44561</v>
      </c>
      <c r="D49" s="257" t="s">
        <v>1281</v>
      </c>
      <c r="E49" s="256" t="s">
        <v>1806</v>
      </c>
      <c r="F49" s="256" t="s">
        <v>1870</v>
      </c>
      <c r="G49" s="258">
        <v>47913000000</v>
      </c>
      <c r="H49" s="265">
        <v>0.1</v>
      </c>
      <c r="I49" s="258">
        <v>4791300000</v>
      </c>
      <c r="J49" s="258">
        <v>52704300000</v>
      </c>
      <c r="K49" s="256" t="s">
        <v>1346</v>
      </c>
    </row>
    <row r="50" spans="1:11" x14ac:dyDescent="0.3">
      <c r="A50" s="256">
        <v>43</v>
      </c>
      <c r="B50" s="257" t="s">
        <v>1458</v>
      </c>
      <c r="C50" s="276">
        <v>44561</v>
      </c>
      <c r="D50" s="257" t="s">
        <v>1256</v>
      </c>
      <c r="E50" s="256" t="s">
        <v>1802</v>
      </c>
      <c r="F50" s="256" t="s">
        <v>1869</v>
      </c>
      <c r="G50" s="258">
        <v>41328000000</v>
      </c>
      <c r="H50" s="265">
        <v>0.1</v>
      </c>
      <c r="I50" s="258">
        <v>4132800000</v>
      </c>
      <c r="J50" s="258">
        <v>45460800000</v>
      </c>
      <c r="K50" s="256" t="s">
        <v>1348</v>
      </c>
    </row>
    <row r="51" spans="1:11" x14ac:dyDescent="0.3">
      <c r="A51" s="256">
        <v>44</v>
      </c>
      <c r="B51" s="257" t="s">
        <v>1388</v>
      </c>
      <c r="C51" s="276">
        <v>44561</v>
      </c>
      <c r="D51" s="257" t="s">
        <v>1297</v>
      </c>
      <c r="E51" s="256" t="s">
        <v>1820</v>
      </c>
      <c r="F51" s="256" t="s">
        <v>1741</v>
      </c>
      <c r="G51" s="258">
        <v>48052000000</v>
      </c>
      <c r="H51" s="265">
        <v>0.1</v>
      </c>
      <c r="I51" s="258">
        <v>4805200000</v>
      </c>
      <c r="J51" s="258">
        <v>52857200000</v>
      </c>
      <c r="K51" s="256" t="s">
        <v>1346</v>
      </c>
    </row>
    <row r="52" spans="1:11" x14ac:dyDescent="0.3">
      <c r="A52" s="256">
        <v>45</v>
      </c>
      <c r="B52" s="257" t="s">
        <v>1411</v>
      </c>
      <c r="C52" s="276">
        <v>44561</v>
      </c>
      <c r="D52" s="257" t="s">
        <v>1304</v>
      </c>
      <c r="E52" s="256" t="s">
        <v>1831</v>
      </c>
      <c r="F52" s="256" t="s">
        <v>1870</v>
      </c>
      <c r="G52" s="258">
        <v>54004000000</v>
      </c>
      <c r="H52" s="265">
        <v>0.1</v>
      </c>
      <c r="I52" s="258">
        <v>5400400000</v>
      </c>
      <c r="J52" s="258">
        <v>59404400000</v>
      </c>
      <c r="K52" s="256" t="s">
        <v>1346</v>
      </c>
    </row>
    <row r="53" spans="1:11" x14ac:dyDescent="0.3">
      <c r="A53" s="256">
        <v>46</v>
      </c>
      <c r="B53" s="257" t="s">
        <v>1398</v>
      </c>
      <c r="C53" s="276">
        <v>44561</v>
      </c>
      <c r="D53" s="257" t="s">
        <v>1290</v>
      </c>
      <c r="E53" s="256" t="s">
        <v>1796</v>
      </c>
      <c r="F53" s="256" t="s">
        <v>1730</v>
      </c>
      <c r="G53" s="258">
        <v>56890000000</v>
      </c>
      <c r="H53" s="265">
        <v>0.1</v>
      </c>
      <c r="I53" s="258">
        <v>5689000000</v>
      </c>
      <c r="J53" s="258">
        <v>62579000000</v>
      </c>
      <c r="K53" s="256" t="s">
        <v>1346</v>
      </c>
    </row>
    <row r="54" spans="1:11" x14ac:dyDescent="0.3">
      <c r="A54" s="256">
        <v>47</v>
      </c>
      <c r="B54" s="257" t="s">
        <v>1203</v>
      </c>
      <c r="C54" s="276">
        <v>44561</v>
      </c>
      <c r="D54" s="257" t="s">
        <v>1295</v>
      </c>
      <c r="E54" s="256" t="s">
        <v>1825</v>
      </c>
      <c r="F54" s="256" t="s">
        <v>1734</v>
      </c>
      <c r="G54" s="258">
        <v>57832000000</v>
      </c>
      <c r="H54" s="265">
        <v>0.1</v>
      </c>
      <c r="I54" s="258">
        <v>5783200000</v>
      </c>
      <c r="J54" s="258">
        <v>63615200000</v>
      </c>
      <c r="K54" s="256" t="s">
        <v>1346</v>
      </c>
    </row>
    <row r="55" spans="1:11" x14ac:dyDescent="0.3">
      <c r="A55" s="256">
        <v>48</v>
      </c>
      <c r="B55" s="257" t="s">
        <v>1463</v>
      </c>
      <c r="C55" s="276">
        <v>44561</v>
      </c>
      <c r="D55" s="257" t="s">
        <v>1274</v>
      </c>
      <c r="E55" s="256" t="s">
        <v>1794</v>
      </c>
      <c r="F55" s="256" t="s">
        <v>1731</v>
      </c>
      <c r="G55" s="258">
        <v>51052000000</v>
      </c>
      <c r="H55" s="265">
        <v>0.1</v>
      </c>
      <c r="I55" s="258">
        <v>5105200000</v>
      </c>
      <c r="J55" s="258">
        <v>56157200000</v>
      </c>
      <c r="K55" s="256" t="s">
        <v>1346</v>
      </c>
    </row>
    <row r="56" spans="1:11" x14ac:dyDescent="0.3">
      <c r="A56" s="256">
        <v>49</v>
      </c>
      <c r="B56" s="257" t="s">
        <v>1394</v>
      </c>
      <c r="C56" s="276">
        <v>44561</v>
      </c>
      <c r="D56" s="257" t="s">
        <v>1299</v>
      </c>
      <c r="E56" s="256" t="s">
        <v>1776</v>
      </c>
      <c r="F56" s="256" t="s">
        <v>1869</v>
      </c>
      <c r="G56" s="258">
        <v>52343000000</v>
      </c>
      <c r="H56" s="265">
        <v>0.1</v>
      </c>
      <c r="I56" s="258">
        <v>5234300000</v>
      </c>
      <c r="J56" s="258">
        <v>57577300000</v>
      </c>
      <c r="K56" s="256" t="s">
        <v>1346</v>
      </c>
    </row>
    <row r="57" spans="1:11" x14ac:dyDescent="0.3">
      <c r="A57" s="256">
        <v>50</v>
      </c>
      <c r="B57" s="257" t="s">
        <v>1418</v>
      </c>
      <c r="C57" s="276">
        <v>44561</v>
      </c>
      <c r="D57" s="257" t="s">
        <v>1278</v>
      </c>
      <c r="E57" s="256" t="s">
        <v>1785</v>
      </c>
      <c r="F57" s="256" t="s">
        <v>1731</v>
      </c>
      <c r="G57" s="258">
        <v>56935000000</v>
      </c>
      <c r="H57" s="265">
        <v>0.1</v>
      </c>
      <c r="I57" s="258">
        <v>5693500000</v>
      </c>
      <c r="J57" s="258">
        <v>62628500000</v>
      </c>
      <c r="K57" s="256" t="s">
        <v>1346</v>
      </c>
    </row>
    <row r="58" spans="1:11" x14ac:dyDescent="0.3">
      <c r="A58" s="266" t="s">
        <v>1351</v>
      </c>
      <c r="B58" s="266"/>
      <c r="C58" s="266"/>
      <c r="D58" s="266"/>
      <c r="E58" s="266"/>
      <c r="F58" s="266"/>
      <c r="G58" s="267">
        <f>SUM(G8:G57)</f>
        <v>2242019000000</v>
      </c>
      <c r="H58" s="266"/>
      <c r="I58" s="267">
        <f>SUM(I8:I57)</f>
        <v>198954700000</v>
      </c>
      <c r="J58" s="267">
        <f>SUM(J8:J57)</f>
        <v>2440973700000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1255</v>
      </c>
      <c r="E62" s="273">
        <v>46152</v>
      </c>
      <c r="F62" s="256" t="s">
        <v>1875</v>
      </c>
      <c r="G62" s="258">
        <v>43652000000</v>
      </c>
      <c r="H62" s="265">
        <v>0.1</v>
      </c>
      <c r="I62" s="258">
        <v>4365200000</v>
      </c>
      <c r="J62" s="258">
        <v>48017200000</v>
      </c>
      <c r="K62" s="256" t="s">
        <v>1346</v>
      </c>
    </row>
    <row r="63" spans="1:11" x14ac:dyDescent="0.3">
      <c r="A63" s="256">
        <v>2</v>
      </c>
      <c r="B63" s="257" t="s">
        <v>1201</v>
      </c>
      <c r="C63" s="276">
        <v>44318</v>
      </c>
      <c r="D63" s="257" t="s">
        <v>1303</v>
      </c>
      <c r="E63" s="256" t="s">
        <v>1817</v>
      </c>
      <c r="F63" s="256" t="s">
        <v>1873</v>
      </c>
      <c r="G63" s="258">
        <v>43766000000</v>
      </c>
      <c r="H63" s="265">
        <v>0.1</v>
      </c>
      <c r="I63" s="258">
        <v>4376600000</v>
      </c>
      <c r="J63" s="258">
        <v>48142600000</v>
      </c>
      <c r="K63" s="256" t="s">
        <v>1346</v>
      </c>
    </row>
    <row r="64" spans="1:11" x14ac:dyDescent="0.3">
      <c r="A64" s="256">
        <v>3</v>
      </c>
      <c r="B64" s="257" t="s">
        <v>1202</v>
      </c>
      <c r="C64" s="276">
        <v>44472</v>
      </c>
      <c r="D64" s="257" t="s">
        <v>1276</v>
      </c>
      <c r="E64" s="256" t="s">
        <v>1822</v>
      </c>
      <c r="F64" s="256" t="s">
        <v>1875</v>
      </c>
      <c r="G64" s="258">
        <v>78549000000</v>
      </c>
      <c r="H64" s="265">
        <v>0.1</v>
      </c>
      <c r="I64" s="258">
        <v>7854900000</v>
      </c>
      <c r="J64" s="258">
        <v>86403900000</v>
      </c>
      <c r="K64" s="256" t="s">
        <v>1346</v>
      </c>
    </row>
    <row r="65" spans="1:11" x14ac:dyDescent="0.3">
      <c r="A65" s="256">
        <v>4</v>
      </c>
      <c r="B65" s="257" t="s">
        <v>1355</v>
      </c>
      <c r="C65" s="276">
        <v>44473</v>
      </c>
      <c r="D65" s="257" t="s">
        <v>1282</v>
      </c>
      <c r="E65" s="256" t="s">
        <v>1789</v>
      </c>
      <c r="F65" s="256" t="s">
        <v>1875</v>
      </c>
      <c r="G65" s="258">
        <v>51732000000</v>
      </c>
      <c r="H65" s="265">
        <v>0.1</v>
      </c>
      <c r="I65" s="258">
        <v>5173200000</v>
      </c>
      <c r="J65" s="258">
        <v>56905200000</v>
      </c>
      <c r="K65" s="256" t="s">
        <v>1348</v>
      </c>
    </row>
    <row r="66" spans="1:11" x14ac:dyDescent="0.3">
      <c r="A66" s="256">
        <v>5</v>
      </c>
      <c r="B66" s="257" t="s">
        <v>1356</v>
      </c>
      <c r="C66" s="276">
        <v>44474</v>
      </c>
      <c r="D66" s="257" t="s">
        <v>1296</v>
      </c>
      <c r="E66" s="256" t="s">
        <v>1807</v>
      </c>
      <c r="F66" s="256" t="s">
        <v>1873</v>
      </c>
      <c r="G66" s="258">
        <v>68208000000</v>
      </c>
      <c r="H66" s="265">
        <v>0.1</v>
      </c>
      <c r="I66" s="258">
        <v>6820800000</v>
      </c>
      <c r="J66" s="258">
        <v>75028800000</v>
      </c>
      <c r="K66" s="256" t="s">
        <v>1348</v>
      </c>
    </row>
    <row r="67" spans="1:11" x14ac:dyDescent="0.3">
      <c r="A67" s="256">
        <v>6</v>
      </c>
      <c r="B67" s="257" t="s">
        <v>1358</v>
      </c>
      <c r="C67" s="276">
        <v>44475</v>
      </c>
      <c r="D67" s="257" t="s">
        <v>1264</v>
      </c>
      <c r="E67" s="256" t="s">
        <v>1779</v>
      </c>
      <c r="F67" s="256" t="s">
        <v>1875</v>
      </c>
      <c r="G67" s="258">
        <v>39138000000</v>
      </c>
      <c r="H67" s="265">
        <v>0.1</v>
      </c>
      <c r="I67" s="258">
        <v>3913800000</v>
      </c>
      <c r="J67" s="258">
        <v>43051800000</v>
      </c>
      <c r="K67" s="256" t="s">
        <v>1346</v>
      </c>
    </row>
    <row r="68" spans="1:11" x14ac:dyDescent="0.3">
      <c r="A68" s="256">
        <v>7</v>
      </c>
      <c r="B68" s="257" t="s">
        <v>1360</v>
      </c>
      <c r="C68" s="276">
        <v>44476</v>
      </c>
      <c r="D68" s="257" t="s">
        <v>1268</v>
      </c>
      <c r="E68" s="256" t="s">
        <v>1821</v>
      </c>
      <c r="F68" s="256" t="s">
        <v>1874</v>
      </c>
      <c r="G68" s="258">
        <v>45158000000</v>
      </c>
      <c r="H68" s="265">
        <v>0.1</v>
      </c>
      <c r="I68" s="258">
        <v>4515800000</v>
      </c>
      <c r="J68" s="258">
        <v>49673800000</v>
      </c>
      <c r="K68" s="256" t="s">
        <v>1346</v>
      </c>
    </row>
    <row r="69" spans="1:11" x14ac:dyDescent="0.3">
      <c r="A69" s="256">
        <v>8</v>
      </c>
      <c r="B69" s="257" t="s">
        <v>1362</v>
      </c>
      <c r="C69" s="276">
        <v>44477</v>
      </c>
      <c r="D69" s="257" t="s">
        <v>1284</v>
      </c>
      <c r="E69" s="256" t="s">
        <v>1786</v>
      </c>
      <c r="F69" s="256" t="s">
        <v>1874</v>
      </c>
      <c r="G69" s="258">
        <v>76093000000</v>
      </c>
      <c r="H69" s="265">
        <v>0.1</v>
      </c>
      <c r="I69" s="258">
        <v>7609300000</v>
      </c>
      <c r="J69" s="258">
        <v>83702300000</v>
      </c>
      <c r="K69" s="256" t="s">
        <v>1346</v>
      </c>
    </row>
    <row r="70" spans="1:11" x14ac:dyDescent="0.3">
      <c r="A70" s="256">
        <v>9</v>
      </c>
      <c r="B70" s="257" t="s">
        <v>1364</v>
      </c>
      <c r="C70" s="276">
        <v>44478</v>
      </c>
      <c r="D70" s="257" t="s">
        <v>1304</v>
      </c>
      <c r="E70" s="256" t="s">
        <v>1831</v>
      </c>
      <c r="F70" s="256" t="s">
        <v>1872</v>
      </c>
      <c r="G70" s="258">
        <v>74287000000</v>
      </c>
      <c r="H70" s="265">
        <v>0.1</v>
      </c>
      <c r="I70" s="258">
        <v>7428700000</v>
      </c>
      <c r="J70" s="258">
        <v>81715700000</v>
      </c>
      <c r="K70" s="256" t="s">
        <v>1348</v>
      </c>
    </row>
    <row r="71" spans="1:11" x14ac:dyDescent="0.3">
      <c r="A71" s="256">
        <v>10</v>
      </c>
      <c r="B71" s="257" t="s">
        <v>1366</v>
      </c>
      <c r="C71" s="276">
        <v>44479</v>
      </c>
      <c r="D71" s="257" t="s">
        <v>1256</v>
      </c>
      <c r="E71" s="256" t="s">
        <v>1802</v>
      </c>
      <c r="F71" s="256" t="s">
        <v>1872</v>
      </c>
      <c r="G71" s="258">
        <v>35857000000</v>
      </c>
      <c r="H71" s="265">
        <v>0.1</v>
      </c>
      <c r="I71" s="258">
        <v>3585700000</v>
      </c>
      <c r="J71" s="258">
        <v>39442700000</v>
      </c>
      <c r="K71" s="256" t="s">
        <v>1346</v>
      </c>
    </row>
    <row r="72" spans="1:11" x14ac:dyDescent="0.3">
      <c r="A72" s="256">
        <v>11</v>
      </c>
      <c r="B72" s="257" t="s">
        <v>1368</v>
      </c>
      <c r="C72" s="276">
        <v>44480</v>
      </c>
      <c r="D72" s="257" t="s">
        <v>1268</v>
      </c>
      <c r="E72" s="256" t="s">
        <v>1821</v>
      </c>
      <c r="F72" s="256" t="s">
        <v>1872</v>
      </c>
      <c r="G72" s="258">
        <v>57788000000</v>
      </c>
      <c r="H72" s="265">
        <v>0.1</v>
      </c>
      <c r="I72" s="258">
        <v>5778800000</v>
      </c>
      <c r="J72" s="258">
        <v>63566800000</v>
      </c>
      <c r="K72" s="256" t="s">
        <v>1346</v>
      </c>
    </row>
    <row r="73" spans="1:11" x14ac:dyDescent="0.3">
      <c r="A73" s="256">
        <v>12</v>
      </c>
      <c r="B73" s="257" t="s">
        <v>1371</v>
      </c>
      <c r="C73" s="276">
        <v>44481</v>
      </c>
      <c r="D73" s="257" t="s">
        <v>1263</v>
      </c>
      <c r="E73" s="256" t="s">
        <v>1790</v>
      </c>
      <c r="F73" s="256" t="s">
        <v>1875</v>
      </c>
      <c r="G73" s="258">
        <v>58007000000</v>
      </c>
      <c r="H73" s="265">
        <v>0.1</v>
      </c>
      <c r="I73" s="258">
        <v>5800700000</v>
      </c>
      <c r="J73" s="258">
        <v>63807700000</v>
      </c>
      <c r="K73" s="256" t="s">
        <v>1346</v>
      </c>
    </row>
    <row r="74" spans="1:11" x14ac:dyDescent="0.3">
      <c r="A74" s="256">
        <v>13</v>
      </c>
      <c r="B74" s="257" t="s">
        <v>1373</v>
      </c>
      <c r="C74" s="276">
        <v>44211</v>
      </c>
      <c r="D74" s="257" t="s">
        <v>1284</v>
      </c>
      <c r="E74" s="256" t="s">
        <v>1786</v>
      </c>
      <c r="F74" s="256" t="s">
        <v>1875</v>
      </c>
      <c r="G74" s="258">
        <v>71929000000</v>
      </c>
      <c r="H74" s="265">
        <v>0.1</v>
      </c>
      <c r="I74" s="258">
        <v>7192900000</v>
      </c>
      <c r="J74" s="258">
        <v>79121900000</v>
      </c>
      <c r="K74" s="256" t="s">
        <v>1346</v>
      </c>
    </row>
    <row r="75" spans="1:11" x14ac:dyDescent="0.3">
      <c r="A75" s="256">
        <v>14</v>
      </c>
      <c r="B75" s="257" t="s">
        <v>1374</v>
      </c>
      <c r="C75" s="276">
        <v>44242</v>
      </c>
      <c r="D75" s="257" t="s">
        <v>1284</v>
      </c>
      <c r="E75" s="256" t="s">
        <v>1786</v>
      </c>
      <c r="F75" s="256" t="s">
        <v>1874</v>
      </c>
      <c r="G75" s="258">
        <v>25786000000</v>
      </c>
      <c r="H75" s="265">
        <v>0</v>
      </c>
      <c r="I75" s="258">
        <v>0</v>
      </c>
      <c r="J75" s="258">
        <v>25786000000</v>
      </c>
      <c r="K75" s="256" t="s">
        <v>1346</v>
      </c>
    </row>
    <row r="76" spans="1:11" x14ac:dyDescent="0.3">
      <c r="A76" s="256">
        <v>15</v>
      </c>
      <c r="B76" s="257" t="s">
        <v>1376</v>
      </c>
      <c r="C76" s="276">
        <v>44275</v>
      </c>
      <c r="D76" s="257" t="s">
        <v>1262</v>
      </c>
      <c r="E76" s="256" t="s">
        <v>1816</v>
      </c>
      <c r="F76" s="256" t="s">
        <v>1873</v>
      </c>
      <c r="G76" s="258">
        <v>85759000000</v>
      </c>
      <c r="H76" s="265">
        <v>0.1</v>
      </c>
      <c r="I76" s="258">
        <v>8575900000</v>
      </c>
      <c r="J76" s="258">
        <v>94334900000</v>
      </c>
      <c r="K76" s="256" t="s">
        <v>1346</v>
      </c>
    </row>
    <row r="77" spans="1:11" x14ac:dyDescent="0.3">
      <c r="A77" s="256">
        <v>16</v>
      </c>
      <c r="B77" s="257" t="s">
        <v>1378</v>
      </c>
      <c r="C77" s="276">
        <v>44306</v>
      </c>
      <c r="D77" s="257" t="s">
        <v>1284</v>
      </c>
      <c r="E77" s="256" t="s">
        <v>1786</v>
      </c>
      <c r="F77" s="256" t="s">
        <v>1872</v>
      </c>
      <c r="G77" s="258">
        <v>54944000000</v>
      </c>
      <c r="H77" s="265">
        <v>0.1</v>
      </c>
      <c r="I77" s="258">
        <v>5494400000</v>
      </c>
      <c r="J77" s="258">
        <v>60438400000</v>
      </c>
      <c r="K77" s="256" t="s">
        <v>1346</v>
      </c>
    </row>
    <row r="78" spans="1:11" x14ac:dyDescent="0.3">
      <c r="A78" s="256">
        <v>17</v>
      </c>
      <c r="B78" s="257" t="s">
        <v>1379</v>
      </c>
      <c r="C78" s="276">
        <v>44336</v>
      </c>
      <c r="D78" s="257" t="s">
        <v>1301</v>
      </c>
      <c r="E78" s="256" t="s">
        <v>1781</v>
      </c>
      <c r="F78" s="256" t="s">
        <v>1872</v>
      </c>
      <c r="G78" s="258">
        <v>46598000000</v>
      </c>
      <c r="H78" s="265">
        <v>0.1</v>
      </c>
      <c r="I78" s="258">
        <v>4659800000</v>
      </c>
      <c r="J78" s="258">
        <v>51257800000</v>
      </c>
      <c r="K78" s="256" t="s">
        <v>1346</v>
      </c>
    </row>
    <row r="79" spans="1:11" x14ac:dyDescent="0.3">
      <c r="A79" s="256">
        <v>18</v>
      </c>
      <c r="B79" s="257" t="s">
        <v>1381</v>
      </c>
      <c r="C79" s="276">
        <v>44367</v>
      </c>
      <c r="D79" s="257" t="s">
        <v>1280</v>
      </c>
      <c r="E79" s="256" t="s">
        <v>1777</v>
      </c>
      <c r="F79" s="256" t="s">
        <v>1875</v>
      </c>
      <c r="G79" s="258">
        <v>46058000000</v>
      </c>
      <c r="H79" s="265">
        <v>0.1</v>
      </c>
      <c r="I79" s="258">
        <v>4605800000</v>
      </c>
      <c r="J79" s="258">
        <v>50663800000</v>
      </c>
      <c r="K79" s="256" t="s">
        <v>1346</v>
      </c>
    </row>
    <row r="80" spans="1:11" x14ac:dyDescent="0.3">
      <c r="A80" s="256">
        <v>19</v>
      </c>
      <c r="B80" s="257" t="s">
        <v>1382</v>
      </c>
      <c r="C80" s="276">
        <v>44397</v>
      </c>
      <c r="D80" s="257" t="s">
        <v>1270</v>
      </c>
      <c r="E80" s="256" t="s">
        <v>1782</v>
      </c>
      <c r="F80" s="256" t="s">
        <v>1873</v>
      </c>
      <c r="G80" s="258">
        <v>61159000000</v>
      </c>
      <c r="H80" s="265">
        <v>0.1</v>
      </c>
      <c r="I80" s="258">
        <v>6115900000</v>
      </c>
      <c r="J80" s="258">
        <v>67274900000</v>
      </c>
      <c r="K80" s="256" t="s">
        <v>1346</v>
      </c>
    </row>
    <row r="81" spans="1:11" x14ac:dyDescent="0.3">
      <c r="A81" s="256">
        <v>20</v>
      </c>
      <c r="B81" s="257" t="s">
        <v>1383</v>
      </c>
      <c r="C81" s="276">
        <v>44428</v>
      </c>
      <c r="D81" s="257" t="s">
        <v>1284</v>
      </c>
      <c r="E81" s="256" t="s">
        <v>1786</v>
      </c>
      <c r="F81" s="256" t="s">
        <v>1873</v>
      </c>
      <c r="G81" s="258">
        <v>42681000000</v>
      </c>
      <c r="H81" s="265">
        <v>0.1</v>
      </c>
      <c r="I81" s="258">
        <v>4268100000</v>
      </c>
      <c r="J81" s="258">
        <v>46949100000</v>
      </c>
      <c r="K81" s="256" t="s">
        <v>1346</v>
      </c>
    </row>
    <row r="82" spans="1:11" x14ac:dyDescent="0.3">
      <c r="A82" s="256">
        <v>21</v>
      </c>
      <c r="B82" s="257" t="s">
        <v>1203</v>
      </c>
      <c r="C82" s="276">
        <v>44459</v>
      </c>
      <c r="D82" s="257" t="s">
        <v>1265</v>
      </c>
      <c r="E82" s="256" t="s">
        <v>1830</v>
      </c>
      <c r="F82" s="256" t="s">
        <v>1872</v>
      </c>
      <c r="G82" s="258">
        <v>47774000000</v>
      </c>
      <c r="H82" s="265">
        <v>0.1</v>
      </c>
      <c r="I82" s="258">
        <v>4777400000</v>
      </c>
      <c r="J82" s="258">
        <v>52551400000</v>
      </c>
      <c r="K82" s="256" t="s">
        <v>1346</v>
      </c>
    </row>
    <row r="83" spans="1:11" x14ac:dyDescent="0.3">
      <c r="A83" s="256">
        <v>22</v>
      </c>
      <c r="B83" s="257" t="s">
        <v>1204</v>
      </c>
      <c r="C83" s="276">
        <v>44489</v>
      </c>
      <c r="D83" s="257" t="s">
        <v>1304</v>
      </c>
      <c r="E83" s="256" t="s">
        <v>1831</v>
      </c>
      <c r="F83" s="256" t="s">
        <v>1875</v>
      </c>
      <c r="G83" s="258">
        <v>79614000000</v>
      </c>
      <c r="H83" s="265">
        <v>0.1</v>
      </c>
      <c r="I83" s="258">
        <v>7961400000</v>
      </c>
      <c r="J83" s="258">
        <v>87575400000</v>
      </c>
      <c r="K83" s="256" t="s">
        <v>1346</v>
      </c>
    </row>
    <row r="84" spans="1:11" x14ac:dyDescent="0.3">
      <c r="A84" s="256">
        <v>23</v>
      </c>
      <c r="B84" s="257" t="s">
        <v>1205</v>
      </c>
      <c r="C84" s="276">
        <v>44520</v>
      </c>
      <c r="D84" s="257" t="s">
        <v>1289</v>
      </c>
      <c r="E84" s="256" t="s">
        <v>1803</v>
      </c>
      <c r="F84" s="256" t="s">
        <v>1872</v>
      </c>
      <c r="G84" s="258">
        <v>24874000000</v>
      </c>
      <c r="H84" s="265">
        <v>0.1</v>
      </c>
      <c r="I84" s="258">
        <v>2487400000</v>
      </c>
      <c r="J84" s="258">
        <v>27361400000</v>
      </c>
      <c r="K84" s="256" t="s">
        <v>1346</v>
      </c>
    </row>
    <row r="85" spans="1:11" x14ac:dyDescent="0.3">
      <c r="A85" s="256">
        <v>24</v>
      </c>
      <c r="B85" s="257" t="s">
        <v>1385</v>
      </c>
      <c r="C85" s="276">
        <v>44550</v>
      </c>
      <c r="D85" s="257" t="s">
        <v>1266</v>
      </c>
      <c r="E85" s="256" t="s">
        <v>1824</v>
      </c>
      <c r="F85" s="256" t="s">
        <v>1873</v>
      </c>
      <c r="G85" s="258">
        <v>46028000000</v>
      </c>
      <c r="H85" s="265">
        <v>0.1</v>
      </c>
      <c r="I85" s="258">
        <v>4602800000</v>
      </c>
      <c r="J85" s="258">
        <v>50630800000</v>
      </c>
      <c r="K85" s="256" t="s">
        <v>1346</v>
      </c>
    </row>
    <row r="86" spans="1:11" x14ac:dyDescent="0.3">
      <c r="A86" s="256">
        <v>25</v>
      </c>
      <c r="B86" s="257" t="s">
        <v>1387</v>
      </c>
      <c r="C86" s="276">
        <v>44221</v>
      </c>
      <c r="D86" s="257" t="s">
        <v>1260</v>
      </c>
      <c r="E86" s="256" t="s">
        <v>1804</v>
      </c>
      <c r="F86" s="256" t="s">
        <v>1872</v>
      </c>
      <c r="G86" s="258">
        <v>59196000000</v>
      </c>
      <c r="H86" s="265">
        <v>0.1</v>
      </c>
      <c r="I86" s="258">
        <v>5919600000</v>
      </c>
      <c r="J86" s="258">
        <v>65115600000</v>
      </c>
      <c r="K86" s="256" t="s">
        <v>1346</v>
      </c>
    </row>
    <row r="87" spans="1:11" x14ac:dyDescent="0.3">
      <c r="A87" s="256">
        <v>26</v>
      </c>
      <c r="B87" s="257" t="s">
        <v>1388</v>
      </c>
      <c r="C87" s="276">
        <v>44255</v>
      </c>
      <c r="D87" s="257" t="s">
        <v>1287</v>
      </c>
      <c r="E87" s="256" t="s">
        <v>1801</v>
      </c>
      <c r="F87" s="256" t="s">
        <v>1875</v>
      </c>
      <c r="G87" s="258">
        <v>40229000000</v>
      </c>
      <c r="H87" s="265">
        <v>0.1</v>
      </c>
      <c r="I87" s="258">
        <v>4022900000</v>
      </c>
      <c r="J87" s="258">
        <v>44251900000</v>
      </c>
      <c r="K87" s="256" t="s">
        <v>1346</v>
      </c>
    </row>
    <row r="88" spans="1:11" x14ac:dyDescent="0.3">
      <c r="A88" s="256">
        <v>27</v>
      </c>
      <c r="B88" s="257" t="s">
        <v>1391</v>
      </c>
      <c r="C88" s="276">
        <v>44316</v>
      </c>
      <c r="D88" s="257" t="s">
        <v>1288</v>
      </c>
      <c r="E88" s="256" t="s">
        <v>1797</v>
      </c>
      <c r="F88" s="256" t="s">
        <v>1873</v>
      </c>
      <c r="G88" s="258">
        <v>38782000000</v>
      </c>
      <c r="H88" s="265">
        <v>0.1</v>
      </c>
      <c r="I88" s="258">
        <v>3878200000</v>
      </c>
      <c r="J88" s="258">
        <v>42660200000</v>
      </c>
      <c r="K88" s="256" t="s">
        <v>1346</v>
      </c>
    </row>
    <row r="89" spans="1:11" x14ac:dyDescent="0.3">
      <c r="A89" s="256">
        <v>28</v>
      </c>
      <c r="B89" s="257" t="s">
        <v>1392</v>
      </c>
      <c r="C89" s="276">
        <v>44377</v>
      </c>
      <c r="D89" s="257" t="s">
        <v>1297</v>
      </c>
      <c r="E89" s="256" t="s">
        <v>1820</v>
      </c>
      <c r="F89" s="256" t="s">
        <v>1872</v>
      </c>
      <c r="G89" s="258">
        <v>66398000000</v>
      </c>
      <c r="H89" s="265">
        <v>0.1</v>
      </c>
      <c r="I89" s="258">
        <v>6639800000</v>
      </c>
      <c r="J89" s="258">
        <v>73037800000</v>
      </c>
      <c r="K89" s="256" t="s">
        <v>1346</v>
      </c>
    </row>
    <row r="90" spans="1:11" x14ac:dyDescent="0.3">
      <c r="A90" s="256">
        <v>29</v>
      </c>
      <c r="B90" s="257" t="s">
        <v>1394</v>
      </c>
      <c r="C90" s="276">
        <v>44469</v>
      </c>
      <c r="D90" s="257" t="s">
        <v>1284</v>
      </c>
      <c r="E90" s="256" t="s">
        <v>1786</v>
      </c>
      <c r="F90" s="256" t="s">
        <v>1873</v>
      </c>
      <c r="G90" s="258">
        <v>60630000000</v>
      </c>
      <c r="H90" s="265">
        <v>0.1</v>
      </c>
      <c r="I90" s="258">
        <v>6063000000</v>
      </c>
      <c r="J90" s="258">
        <v>66693000000</v>
      </c>
      <c r="K90" s="256" t="s">
        <v>1346</v>
      </c>
    </row>
    <row r="91" spans="1:11" x14ac:dyDescent="0.3">
      <c r="A91" s="256">
        <v>30</v>
      </c>
      <c r="B91" s="257" t="s">
        <v>1396</v>
      </c>
      <c r="C91" s="276">
        <v>44530</v>
      </c>
      <c r="D91" s="257" t="s">
        <v>1265</v>
      </c>
      <c r="E91" s="256" t="s">
        <v>1830</v>
      </c>
      <c r="F91" s="256" t="s">
        <v>1874</v>
      </c>
      <c r="G91" s="258">
        <v>63675000000</v>
      </c>
      <c r="H91" s="265">
        <v>0.1</v>
      </c>
      <c r="I91" s="258">
        <v>6367500000</v>
      </c>
      <c r="J91" s="258">
        <v>70042500000</v>
      </c>
      <c r="K91" s="256" t="s">
        <v>1346</v>
      </c>
    </row>
    <row r="92" spans="1:11" x14ac:dyDescent="0.3">
      <c r="A92" s="256">
        <v>31</v>
      </c>
      <c r="B92" s="257" t="s">
        <v>1397</v>
      </c>
      <c r="C92" s="276">
        <v>44286</v>
      </c>
      <c r="D92" s="257" t="s">
        <v>1258</v>
      </c>
      <c r="E92" s="256" t="s">
        <v>1833</v>
      </c>
      <c r="F92" s="256" t="s">
        <v>1872</v>
      </c>
      <c r="G92" s="258">
        <v>66399000000</v>
      </c>
      <c r="H92" s="265">
        <v>0.1</v>
      </c>
      <c r="I92" s="258">
        <v>6639900000</v>
      </c>
      <c r="J92" s="258">
        <v>73038900000</v>
      </c>
      <c r="K92" s="256" t="s">
        <v>1346</v>
      </c>
    </row>
    <row r="93" spans="1:11" x14ac:dyDescent="0.3">
      <c r="A93" s="256">
        <v>32</v>
      </c>
      <c r="B93" s="257" t="s">
        <v>1398</v>
      </c>
      <c r="C93" s="276">
        <v>44347</v>
      </c>
      <c r="D93" s="257" t="s">
        <v>1269</v>
      </c>
      <c r="E93" s="256" t="s">
        <v>1823</v>
      </c>
      <c r="F93" s="256" t="s">
        <v>1873</v>
      </c>
      <c r="G93" s="258">
        <v>55772000000</v>
      </c>
      <c r="H93" s="265">
        <v>0.1</v>
      </c>
      <c r="I93" s="258">
        <v>5577200000</v>
      </c>
      <c r="J93" s="258">
        <v>61349200000</v>
      </c>
      <c r="K93" s="256" t="s">
        <v>1346</v>
      </c>
    </row>
    <row r="94" spans="1:11" x14ac:dyDescent="0.3">
      <c r="A94" s="256">
        <v>33</v>
      </c>
      <c r="B94" s="257" t="s">
        <v>1399</v>
      </c>
      <c r="C94" s="276">
        <v>44408</v>
      </c>
      <c r="D94" s="257" t="s">
        <v>1268</v>
      </c>
      <c r="E94" s="256" t="s">
        <v>1821</v>
      </c>
      <c r="F94" s="256" t="s">
        <v>1875</v>
      </c>
      <c r="G94" s="258">
        <v>26074000000</v>
      </c>
      <c r="H94" s="265">
        <v>0.1</v>
      </c>
      <c r="I94" s="258">
        <v>2607400000</v>
      </c>
      <c r="J94" s="258">
        <v>28681400000</v>
      </c>
      <c r="K94" s="256" t="s">
        <v>1348</v>
      </c>
    </row>
    <row r="95" spans="1:11" x14ac:dyDescent="0.3">
      <c r="A95" s="256">
        <v>34</v>
      </c>
      <c r="B95" s="257" t="s">
        <v>1401</v>
      </c>
      <c r="C95" s="276">
        <v>44439</v>
      </c>
      <c r="D95" s="257" t="s">
        <v>1288</v>
      </c>
      <c r="E95" s="256" t="s">
        <v>1797</v>
      </c>
      <c r="F95" s="256" t="s">
        <v>1874</v>
      </c>
      <c r="G95" s="258">
        <v>40073000000</v>
      </c>
      <c r="H95" s="265">
        <v>0.1</v>
      </c>
      <c r="I95" s="258">
        <v>4007300000</v>
      </c>
      <c r="J95" s="258">
        <v>44080300000</v>
      </c>
      <c r="K95" s="256" t="s">
        <v>1346</v>
      </c>
    </row>
    <row r="96" spans="1:11" x14ac:dyDescent="0.3">
      <c r="A96" s="256">
        <v>35</v>
      </c>
      <c r="B96" s="257" t="s">
        <v>1402</v>
      </c>
      <c r="C96" s="276">
        <v>44500</v>
      </c>
      <c r="D96" s="257" t="s">
        <v>1257</v>
      </c>
      <c r="E96" s="256" t="s">
        <v>1815</v>
      </c>
      <c r="F96" s="256" t="s">
        <v>1873</v>
      </c>
      <c r="G96" s="258">
        <v>39100000000</v>
      </c>
      <c r="H96" s="265">
        <v>0.1</v>
      </c>
      <c r="I96" s="258">
        <v>3910000000</v>
      </c>
      <c r="J96" s="258">
        <v>43010000000</v>
      </c>
      <c r="K96" s="256" t="s">
        <v>1346</v>
      </c>
    </row>
    <row r="97" spans="1:11" x14ac:dyDescent="0.3">
      <c r="A97" s="256">
        <v>36</v>
      </c>
      <c r="B97" s="257" t="s">
        <v>1403</v>
      </c>
      <c r="C97" s="276">
        <v>44561</v>
      </c>
      <c r="D97" s="257" t="s">
        <v>1262</v>
      </c>
      <c r="E97" s="256" t="s">
        <v>1816</v>
      </c>
      <c r="F97" s="256" t="s">
        <v>1872</v>
      </c>
      <c r="G97" s="258">
        <v>33266000000</v>
      </c>
      <c r="H97" s="265">
        <v>0.1</v>
      </c>
      <c r="I97" s="258">
        <v>3326600000</v>
      </c>
      <c r="J97" s="258">
        <v>36592600000</v>
      </c>
      <c r="K97" s="256" t="s">
        <v>1348</v>
      </c>
    </row>
    <row r="98" spans="1:11" x14ac:dyDescent="0.3">
      <c r="A98" s="256">
        <v>37</v>
      </c>
      <c r="B98" s="257" t="s">
        <v>1404</v>
      </c>
      <c r="C98" s="276">
        <v>44561</v>
      </c>
      <c r="D98" s="257" t="s">
        <v>1303</v>
      </c>
      <c r="E98" s="256" t="s">
        <v>1817</v>
      </c>
      <c r="F98" s="256" t="s">
        <v>1873</v>
      </c>
      <c r="G98" s="258">
        <v>63854000000</v>
      </c>
      <c r="H98" s="265">
        <v>0.1</v>
      </c>
      <c r="I98" s="258">
        <v>6385400000</v>
      </c>
      <c r="J98" s="258">
        <v>70239400000</v>
      </c>
      <c r="K98" s="256" t="s">
        <v>1348</v>
      </c>
    </row>
    <row r="99" spans="1:11" x14ac:dyDescent="0.3">
      <c r="A99" s="256">
        <v>38</v>
      </c>
      <c r="B99" s="257" t="s">
        <v>1405</v>
      </c>
      <c r="C99" s="276">
        <v>44561</v>
      </c>
      <c r="D99" s="257" t="s">
        <v>1290</v>
      </c>
      <c r="E99" s="256" t="s">
        <v>1796</v>
      </c>
      <c r="F99" s="256" t="s">
        <v>1872</v>
      </c>
      <c r="G99" s="258">
        <v>23061000000</v>
      </c>
      <c r="H99" s="265">
        <v>0.1</v>
      </c>
      <c r="I99" s="258">
        <v>2306100000</v>
      </c>
      <c r="J99" s="258">
        <v>25367100000</v>
      </c>
      <c r="K99" s="256" t="s">
        <v>1348</v>
      </c>
    </row>
    <row r="100" spans="1:11" x14ac:dyDescent="0.3">
      <c r="A100" s="256">
        <v>39</v>
      </c>
      <c r="B100" s="257" t="s">
        <v>1406</v>
      </c>
      <c r="C100" s="276">
        <v>44561</v>
      </c>
      <c r="D100" s="257" t="s">
        <v>1287</v>
      </c>
      <c r="E100" s="256" t="s">
        <v>1801</v>
      </c>
      <c r="F100" s="256" t="s">
        <v>1874</v>
      </c>
      <c r="G100" s="258">
        <v>50579000000</v>
      </c>
      <c r="H100" s="265">
        <v>0.1</v>
      </c>
      <c r="I100" s="258">
        <v>5057900000</v>
      </c>
      <c r="J100" s="258">
        <v>55636900000</v>
      </c>
      <c r="K100" s="256" t="s">
        <v>1346</v>
      </c>
    </row>
    <row r="101" spans="1:11" x14ac:dyDescent="0.3">
      <c r="A101" s="256">
        <v>40</v>
      </c>
      <c r="B101" s="257" t="s">
        <v>1408</v>
      </c>
      <c r="C101" s="276">
        <v>44561</v>
      </c>
      <c r="D101" s="257" t="s">
        <v>1281</v>
      </c>
      <c r="E101" s="256" t="s">
        <v>1806</v>
      </c>
      <c r="F101" s="256" t="s">
        <v>1874</v>
      </c>
      <c r="G101" s="258">
        <v>33647000000</v>
      </c>
      <c r="H101" s="265">
        <v>0.1</v>
      </c>
      <c r="I101" s="258">
        <v>3364700000</v>
      </c>
      <c r="J101" s="258">
        <v>37011700000</v>
      </c>
      <c r="K101" s="256" t="s">
        <v>1348</v>
      </c>
    </row>
    <row r="102" spans="1:11" x14ac:dyDescent="0.3">
      <c r="A102" s="256">
        <v>41</v>
      </c>
      <c r="B102" s="257" t="s">
        <v>1409</v>
      </c>
      <c r="C102" s="276">
        <v>44561</v>
      </c>
      <c r="D102" s="257" t="s">
        <v>1265</v>
      </c>
      <c r="E102" s="256" t="s">
        <v>1830</v>
      </c>
      <c r="F102" s="256" t="s">
        <v>1874</v>
      </c>
      <c r="G102" s="258">
        <v>31984000000</v>
      </c>
      <c r="H102" s="265">
        <v>0.1</v>
      </c>
      <c r="I102" s="258">
        <v>3198400000</v>
      </c>
      <c r="J102" s="258">
        <v>35182400000</v>
      </c>
      <c r="K102" s="256" t="s">
        <v>1348</v>
      </c>
    </row>
    <row r="103" spans="1:11" x14ac:dyDescent="0.3">
      <c r="A103" s="256">
        <v>42</v>
      </c>
      <c r="B103" s="257" t="s">
        <v>1411</v>
      </c>
      <c r="C103" s="276">
        <v>44561</v>
      </c>
      <c r="D103" s="257" t="s">
        <v>1286</v>
      </c>
      <c r="E103" s="256" t="s">
        <v>1828</v>
      </c>
      <c r="F103" s="256" t="s">
        <v>1875</v>
      </c>
      <c r="G103" s="258">
        <v>72130000000</v>
      </c>
      <c r="H103" s="265">
        <v>0.1</v>
      </c>
      <c r="I103" s="258">
        <v>7213000000</v>
      </c>
      <c r="J103" s="258">
        <v>79343000000</v>
      </c>
      <c r="K103" s="256" t="s">
        <v>1346</v>
      </c>
    </row>
    <row r="104" spans="1:11" x14ac:dyDescent="0.3">
      <c r="A104" s="256">
        <v>43</v>
      </c>
      <c r="B104" s="257" t="s">
        <v>1414</v>
      </c>
      <c r="C104" s="276">
        <v>44561</v>
      </c>
      <c r="D104" s="257" t="s">
        <v>1269</v>
      </c>
      <c r="E104" s="256" t="s">
        <v>1823</v>
      </c>
      <c r="F104" s="256" t="s">
        <v>1873</v>
      </c>
      <c r="G104" s="258">
        <v>25326000000</v>
      </c>
      <c r="H104" s="265">
        <v>0.1</v>
      </c>
      <c r="I104" s="258">
        <v>2532600000</v>
      </c>
      <c r="J104" s="258">
        <v>27858600000</v>
      </c>
      <c r="K104" s="256" t="s">
        <v>1346</v>
      </c>
    </row>
    <row r="105" spans="1:11" x14ac:dyDescent="0.3">
      <c r="A105" s="256">
        <v>44</v>
      </c>
      <c r="B105" s="257" t="s">
        <v>1415</v>
      </c>
      <c r="C105" s="276">
        <v>44561</v>
      </c>
      <c r="D105" s="257" t="s">
        <v>1287</v>
      </c>
      <c r="E105" s="256" t="s">
        <v>1801</v>
      </c>
      <c r="F105" s="256" t="s">
        <v>1874</v>
      </c>
      <c r="G105" s="258">
        <v>67787000000</v>
      </c>
      <c r="H105" s="265">
        <v>0.1</v>
      </c>
      <c r="I105" s="258">
        <v>6778700000</v>
      </c>
      <c r="J105" s="258">
        <v>74565700000</v>
      </c>
      <c r="K105" s="256" t="s">
        <v>1348</v>
      </c>
    </row>
    <row r="106" spans="1:11" x14ac:dyDescent="0.3">
      <c r="A106" s="256">
        <v>45</v>
      </c>
      <c r="B106" s="257" t="s">
        <v>1206</v>
      </c>
      <c r="C106" s="276">
        <v>44561</v>
      </c>
      <c r="D106" s="257" t="s">
        <v>1282</v>
      </c>
      <c r="E106" s="256" t="s">
        <v>1789</v>
      </c>
      <c r="F106" s="256" t="s">
        <v>1873</v>
      </c>
      <c r="G106" s="258">
        <v>43237000000</v>
      </c>
      <c r="H106" s="265">
        <v>0.1</v>
      </c>
      <c r="I106" s="258">
        <v>4323700000</v>
      </c>
      <c r="J106" s="258">
        <v>47560700000</v>
      </c>
      <c r="K106" s="256" t="s">
        <v>1348</v>
      </c>
    </row>
    <row r="107" spans="1:11" x14ac:dyDescent="0.3">
      <c r="A107" s="256">
        <v>46</v>
      </c>
      <c r="B107" s="257" t="s">
        <v>1207</v>
      </c>
      <c r="C107" s="276">
        <v>44561</v>
      </c>
      <c r="D107" s="257" t="s">
        <v>1282</v>
      </c>
      <c r="E107" s="256" t="s">
        <v>1789</v>
      </c>
      <c r="F107" s="256" t="s">
        <v>1873</v>
      </c>
      <c r="G107" s="258">
        <v>37883000000</v>
      </c>
      <c r="H107" s="265">
        <v>0.1</v>
      </c>
      <c r="I107" s="258">
        <v>3788300000</v>
      </c>
      <c r="J107" s="258">
        <v>41671300000</v>
      </c>
      <c r="K107" s="256" t="s">
        <v>1346</v>
      </c>
    </row>
    <row r="108" spans="1:11" x14ac:dyDescent="0.3">
      <c r="A108" s="256">
        <v>47</v>
      </c>
      <c r="B108" s="257" t="s">
        <v>1208</v>
      </c>
      <c r="C108" s="276">
        <v>44561</v>
      </c>
      <c r="D108" s="257" t="s">
        <v>1293</v>
      </c>
      <c r="E108" s="256" t="s">
        <v>1826</v>
      </c>
      <c r="F108" s="256" t="s">
        <v>1873</v>
      </c>
      <c r="G108" s="258">
        <v>52802000000</v>
      </c>
      <c r="H108" s="265">
        <v>0.1</v>
      </c>
      <c r="I108" s="258">
        <v>5280200000</v>
      </c>
      <c r="J108" s="258">
        <v>58082200000</v>
      </c>
      <c r="K108" s="256" t="s">
        <v>1346</v>
      </c>
    </row>
    <row r="109" spans="1:11" x14ac:dyDescent="0.3">
      <c r="A109" s="256">
        <v>48</v>
      </c>
      <c r="B109" s="257" t="s">
        <v>1209</v>
      </c>
      <c r="C109" s="276">
        <v>44561</v>
      </c>
      <c r="D109" s="257" t="s">
        <v>1278</v>
      </c>
      <c r="E109" s="256" t="s">
        <v>1785</v>
      </c>
      <c r="F109" s="256" t="s">
        <v>1873</v>
      </c>
      <c r="G109" s="258">
        <v>64732000000</v>
      </c>
      <c r="H109" s="265">
        <v>0.1</v>
      </c>
      <c r="I109" s="258">
        <v>6473200000</v>
      </c>
      <c r="J109" s="258">
        <v>71205200000</v>
      </c>
      <c r="K109" s="256" t="s">
        <v>1346</v>
      </c>
    </row>
    <row r="110" spans="1:11" x14ac:dyDescent="0.3">
      <c r="A110" s="256">
        <v>49</v>
      </c>
      <c r="B110" s="257" t="s">
        <v>1418</v>
      </c>
      <c r="C110" s="276">
        <v>44561</v>
      </c>
      <c r="D110" s="257" t="s">
        <v>1289</v>
      </c>
      <c r="E110" s="256" t="s">
        <v>1803</v>
      </c>
      <c r="F110" s="256" t="s">
        <v>1873</v>
      </c>
      <c r="G110" s="258">
        <v>53609000000</v>
      </c>
      <c r="H110" s="265">
        <v>0.1</v>
      </c>
      <c r="I110" s="258">
        <v>5360900000</v>
      </c>
      <c r="J110" s="258">
        <v>58969900000</v>
      </c>
      <c r="K110" s="256" t="s">
        <v>1346</v>
      </c>
    </row>
    <row r="111" spans="1:11" x14ac:dyDescent="0.3">
      <c r="A111" s="256">
        <v>50</v>
      </c>
      <c r="B111" s="257" t="s">
        <v>1419</v>
      </c>
      <c r="C111" s="276">
        <v>44561</v>
      </c>
      <c r="D111" s="257" t="s">
        <v>1274</v>
      </c>
      <c r="E111" s="256" t="s">
        <v>1794</v>
      </c>
      <c r="F111" s="256" t="s">
        <v>1872</v>
      </c>
      <c r="G111" s="258">
        <v>36539000000</v>
      </c>
      <c r="H111" s="265">
        <v>0.1</v>
      </c>
      <c r="I111" s="258">
        <v>3653900000</v>
      </c>
      <c r="J111" s="258">
        <v>40192900000</v>
      </c>
      <c r="K111" s="256" t="s">
        <v>1346</v>
      </c>
    </row>
    <row r="112" spans="1:11" x14ac:dyDescent="0.3">
      <c r="A112" s="266" t="s">
        <v>1351</v>
      </c>
      <c r="B112" s="266"/>
      <c r="C112" s="266"/>
      <c r="D112" s="266"/>
      <c r="E112" s="266"/>
      <c r="F112" s="266"/>
      <c r="G112" s="267">
        <f>SUM(G62:G111)</f>
        <v>2552203000000</v>
      </c>
      <c r="H112" s="266"/>
      <c r="I112" s="267">
        <f>SUM(I62:I111)</f>
        <v>252641700000</v>
      </c>
      <c r="J112" s="267">
        <f>SUM(J62:J111)</f>
        <v>2804844700000</v>
      </c>
      <c r="K112" s="266"/>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784</v>
      </c>
      <c r="C1" s="256"/>
      <c r="D1" s="256"/>
      <c r="E1" s="256"/>
      <c r="F1" s="256"/>
      <c r="G1" s="256"/>
      <c r="H1" s="256"/>
      <c r="I1" s="256"/>
      <c r="J1" s="256"/>
      <c r="K1" s="256"/>
    </row>
    <row r="2" spans="1:11" x14ac:dyDescent="0.3">
      <c r="A2" s="256" t="s">
        <v>1339</v>
      </c>
      <c r="B2" s="257">
        <v>106112810</v>
      </c>
      <c r="C2" s="256"/>
      <c r="D2" s="256"/>
      <c r="E2" s="256"/>
      <c r="F2" s="256"/>
      <c r="G2" s="256"/>
      <c r="H2" s="256"/>
      <c r="I2" s="256"/>
      <c r="J2" s="256"/>
      <c r="K2" s="256"/>
    </row>
    <row r="3" spans="1:11" x14ac:dyDescent="0.3">
      <c r="A3" s="256" t="s">
        <v>1343</v>
      </c>
      <c r="B3" s="258">
        <v>2450923032915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1403</v>
      </c>
      <c r="C8" s="276">
        <v>44317</v>
      </c>
      <c r="D8" s="257" t="s">
        <v>1269</v>
      </c>
      <c r="E8" s="256" t="s">
        <v>1823</v>
      </c>
      <c r="F8" s="256" t="s">
        <v>1879</v>
      </c>
      <c r="G8" s="258">
        <v>55602000000</v>
      </c>
      <c r="H8" s="265">
        <v>0.1</v>
      </c>
      <c r="I8" s="258">
        <v>5560200000</v>
      </c>
      <c r="J8" s="258">
        <v>61162200000</v>
      </c>
      <c r="K8" s="256" t="s">
        <v>1346</v>
      </c>
    </row>
    <row r="9" spans="1:11" x14ac:dyDescent="0.3">
      <c r="A9" s="256">
        <v>2</v>
      </c>
      <c r="B9" s="257" t="s">
        <v>1402</v>
      </c>
      <c r="C9" s="276">
        <v>44318</v>
      </c>
      <c r="D9" s="257" t="s">
        <v>1293</v>
      </c>
      <c r="E9" s="256" t="s">
        <v>1826</v>
      </c>
      <c r="F9" s="256" t="s">
        <v>1876</v>
      </c>
      <c r="G9" s="258">
        <v>19040000000</v>
      </c>
      <c r="H9" s="265">
        <v>0.1</v>
      </c>
      <c r="I9" s="258">
        <v>1904000000</v>
      </c>
      <c r="J9" s="258">
        <v>20944000000</v>
      </c>
      <c r="K9" s="256" t="s">
        <v>1346</v>
      </c>
    </row>
    <row r="10" spans="1:11" x14ac:dyDescent="0.3">
      <c r="A10" s="256">
        <v>3</v>
      </c>
      <c r="B10" s="257" t="s">
        <v>1391</v>
      </c>
      <c r="C10" s="276">
        <v>44472</v>
      </c>
      <c r="D10" s="257" t="s">
        <v>1291</v>
      </c>
      <c r="E10" s="256" t="s">
        <v>1800</v>
      </c>
      <c r="F10" s="256" t="s">
        <v>1879</v>
      </c>
      <c r="G10" s="258">
        <v>51468000000</v>
      </c>
      <c r="H10" s="265">
        <v>0.1</v>
      </c>
      <c r="I10" s="258">
        <v>5146800000</v>
      </c>
      <c r="J10" s="258">
        <v>56614800000</v>
      </c>
      <c r="K10" s="256" t="s">
        <v>1348</v>
      </c>
    </row>
    <row r="11" spans="1:11" x14ac:dyDescent="0.3">
      <c r="A11" s="256">
        <v>4</v>
      </c>
      <c r="B11" s="257" t="s">
        <v>1392</v>
      </c>
      <c r="C11" s="276">
        <v>44473</v>
      </c>
      <c r="D11" s="257" t="s">
        <v>1287</v>
      </c>
      <c r="E11" s="256" t="s">
        <v>1801</v>
      </c>
      <c r="F11" s="256" t="s">
        <v>1878</v>
      </c>
      <c r="G11" s="258">
        <v>42223000000</v>
      </c>
      <c r="H11" s="265">
        <v>0.1</v>
      </c>
      <c r="I11" s="258">
        <v>4222300000</v>
      </c>
      <c r="J11" s="258">
        <v>46445300000</v>
      </c>
      <c r="K11" s="256" t="s">
        <v>1346</v>
      </c>
    </row>
    <row r="12" spans="1:11" x14ac:dyDescent="0.3">
      <c r="A12" s="256">
        <v>5</v>
      </c>
      <c r="B12" s="257" t="s">
        <v>1387</v>
      </c>
      <c r="C12" s="276">
        <v>44474</v>
      </c>
      <c r="D12" s="257" t="s">
        <v>1300</v>
      </c>
      <c r="E12" s="256" t="s">
        <v>1818</v>
      </c>
      <c r="F12" s="256" t="s">
        <v>1878</v>
      </c>
      <c r="G12" s="258">
        <v>15899000000</v>
      </c>
      <c r="H12" s="265">
        <v>0.1</v>
      </c>
      <c r="I12" s="258">
        <v>1589900000</v>
      </c>
      <c r="J12" s="258">
        <v>17488900000</v>
      </c>
      <c r="K12" s="256" t="s">
        <v>1346</v>
      </c>
    </row>
    <row r="13" spans="1:11" x14ac:dyDescent="0.3">
      <c r="A13" s="256">
        <v>6</v>
      </c>
      <c r="B13" s="257" t="s">
        <v>1467</v>
      </c>
      <c r="C13" s="276">
        <v>44475</v>
      </c>
      <c r="D13" s="257" t="s">
        <v>1277</v>
      </c>
      <c r="E13" s="256" t="s">
        <v>1783</v>
      </c>
      <c r="F13" s="256" t="s">
        <v>1878</v>
      </c>
      <c r="G13" s="258">
        <v>48684000000</v>
      </c>
      <c r="H13" s="265">
        <v>0.1</v>
      </c>
      <c r="I13" s="258">
        <v>4868400000</v>
      </c>
      <c r="J13" s="258">
        <v>53552400000</v>
      </c>
      <c r="K13" s="256" t="s">
        <v>1346</v>
      </c>
    </row>
    <row r="14" spans="1:11" x14ac:dyDescent="0.3">
      <c r="A14" s="256">
        <v>7</v>
      </c>
      <c r="B14" s="257" t="s">
        <v>1405</v>
      </c>
      <c r="C14" s="276">
        <v>44476</v>
      </c>
      <c r="D14" s="257" t="s">
        <v>1255</v>
      </c>
      <c r="E14" s="273">
        <v>46152</v>
      </c>
      <c r="F14" s="256" t="s">
        <v>1879</v>
      </c>
      <c r="G14" s="258">
        <v>28632000000</v>
      </c>
      <c r="H14" s="265">
        <v>0.1</v>
      </c>
      <c r="I14" s="258">
        <v>2863200000</v>
      </c>
      <c r="J14" s="258">
        <v>31495200000</v>
      </c>
      <c r="K14" s="256" t="s">
        <v>1346</v>
      </c>
    </row>
    <row r="15" spans="1:11" x14ac:dyDescent="0.3">
      <c r="A15" s="256">
        <v>8</v>
      </c>
      <c r="B15" s="257" t="s">
        <v>1464</v>
      </c>
      <c r="C15" s="276">
        <v>44477</v>
      </c>
      <c r="D15" s="257" t="s">
        <v>1281</v>
      </c>
      <c r="E15" s="256" t="s">
        <v>1806</v>
      </c>
      <c r="F15" s="256" t="s">
        <v>1879</v>
      </c>
      <c r="G15" s="258">
        <v>31643000000</v>
      </c>
      <c r="H15" s="265">
        <v>0.1</v>
      </c>
      <c r="I15" s="258">
        <v>3164300000</v>
      </c>
      <c r="J15" s="258">
        <v>34807300000</v>
      </c>
      <c r="K15" s="256" t="s">
        <v>1346</v>
      </c>
    </row>
    <row r="16" spans="1:11" x14ac:dyDescent="0.3">
      <c r="A16" s="256">
        <v>9</v>
      </c>
      <c r="B16" s="257" t="s">
        <v>1464</v>
      </c>
      <c r="C16" s="276">
        <v>44478</v>
      </c>
      <c r="D16" s="257" t="s">
        <v>1276</v>
      </c>
      <c r="E16" s="256" t="s">
        <v>1822</v>
      </c>
      <c r="F16" s="256" t="s">
        <v>1880</v>
      </c>
      <c r="G16" s="258">
        <v>37736000000</v>
      </c>
      <c r="H16" s="265">
        <v>0</v>
      </c>
      <c r="I16" s="258">
        <v>0</v>
      </c>
      <c r="J16" s="258">
        <v>37736000000</v>
      </c>
      <c r="K16" s="256" t="s">
        <v>1346</v>
      </c>
    </row>
    <row r="17" spans="1:11" x14ac:dyDescent="0.3">
      <c r="A17" s="256">
        <v>10</v>
      </c>
      <c r="B17" s="257" t="s">
        <v>1391</v>
      </c>
      <c r="C17" s="276">
        <v>44479</v>
      </c>
      <c r="D17" s="257" t="s">
        <v>1297</v>
      </c>
      <c r="E17" s="256" t="s">
        <v>1820</v>
      </c>
      <c r="F17" s="256" t="s">
        <v>1877</v>
      </c>
      <c r="G17" s="258">
        <v>14491000000</v>
      </c>
      <c r="H17" s="265">
        <v>0.1</v>
      </c>
      <c r="I17" s="258">
        <v>1449100000</v>
      </c>
      <c r="J17" s="258">
        <v>15940100000</v>
      </c>
      <c r="K17" s="256" t="s">
        <v>1346</v>
      </c>
    </row>
    <row r="18" spans="1:11" x14ac:dyDescent="0.3">
      <c r="A18" s="256">
        <v>11</v>
      </c>
      <c r="B18" s="257" t="s">
        <v>1458</v>
      </c>
      <c r="C18" s="276">
        <v>44480</v>
      </c>
      <c r="D18" s="257" t="s">
        <v>1270</v>
      </c>
      <c r="E18" s="256" t="s">
        <v>1782</v>
      </c>
      <c r="F18" s="256" t="s">
        <v>1880</v>
      </c>
      <c r="G18" s="258">
        <v>16008000000</v>
      </c>
      <c r="H18" s="265">
        <v>0.1</v>
      </c>
      <c r="I18" s="258">
        <v>1600800000</v>
      </c>
      <c r="J18" s="258">
        <v>17608800000</v>
      </c>
      <c r="K18" s="256" t="s">
        <v>1346</v>
      </c>
    </row>
    <row r="19" spans="1:11" x14ac:dyDescent="0.3">
      <c r="A19" s="256">
        <v>12</v>
      </c>
      <c r="B19" s="257" t="s">
        <v>1459</v>
      </c>
      <c r="C19" s="276">
        <v>44481</v>
      </c>
      <c r="D19" s="257" t="s">
        <v>1256</v>
      </c>
      <c r="E19" s="256" t="s">
        <v>1802</v>
      </c>
      <c r="F19" s="256" t="s">
        <v>1877</v>
      </c>
      <c r="G19" s="258">
        <v>42494000000</v>
      </c>
      <c r="H19" s="265">
        <v>0.1</v>
      </c>
      <c r="I19" s="258">
        <v>4249400000</v>
      </c>
      <c r="J19" s="258">
        <v>46743400000</v>
      </c>
      <c r="K19" s="256" t="s">
        <v>1346</v>
      </c>
    </row>
    <row r="20" spans="1:11" x14ac:dyDescent="0.3">
      <c r="A20" s="256">
        <v>13</v>
      </c>
      <c r="B20" s="257" t="s">
        <v>1459</v>
      </c>
      <c r="C20" s="276">
        <v>44211</v>
      </c>
      <c r="D20" s="257" t="s">
        <v>1270</v>
      </c>
      <c r="E20" s="256" t="s">
        <v>1782</v>
      </c>
      <c r="F20" s="256" t="s">
        <v>1880</v>
      </c>
      <c r="G20" s="258">
        <v>16242000000</v>
      </c>
      <c r="H20" s="265">
        <v>0.1</v>
      </c>
      <c r="I20" s="258">
        <v>1624200000</v>
      </c>
      <c r="J20" s="258">
        <v>17866200000</v>
      </c>
      <c r="K20" s="256" t="s">
        <v>1346</v>
      </c>
    </row>
    <row r="21" spans="1:11" x14ac:dyDescent="0.3">
      <c r="A21" s="256">
        <v>14</v>
      </c>
      <c r="B21" s="257" t="s">
        <v>1206</v>
      </c>
      <c r="C21" s="276">
        <v>44242</v>
      </c>
      <c r="D21" s="257" t="s">
        <v>1280</v>
      </c>
      <c r="E21" s="256" t="s">
        <v>1777</v>
      </c>
      <c r="F21" s="256" t="s">
        <v>1877</v>
      </c>
      <c r="G21" s="258">
        <v>43475000000</v>
      </c>
      <c r="H21" s="265">
        <v>0.1</v>
      </c>
      <c r="I21" s="258">
        <v>4347500000</v>
      </c>
      <c r="J21" s="258">
        <v>47822500000</v>
      </c>
      <c r="K21" s="256" t="s">
        <v>1346</v>
      </c>
    </row>
    <row r="22" spans="1:11" x14ac:dyDescent="0.3">
      <c r="A22" s="256">
        <v>15</v>
      </c>
      <c r="B22" s="257" t="s">
        <v>1203</v>
      </c>
      <c r="C22" s="276">
        <v>44275</v>
      </c>
      <c r="D22" s="257" t="s">
        <v>1296</v>
      </c>
      <c r="E22" s="256" t="s">
        <v>1807</v>
      </c>
      <c r="F22" s="256" t="s">
        <v>1876</v>
      </c>
      <c r="G22" s="258">
        <v>14809000000</v>
      </c>
      <c r="H22" s="265">
        <v>0.1</v>
      </c>
      <c r="I22" s="258">
        <v>1480900000</v>
      </c>
      <c r="J22" s="258">
        <v>16289900000</v>
      </c>
      <c r="K22" s="256" t="s">
        <v>1346</v>
      </c>
    </row>
    <row r="23" spans="1:11" x14ac:dyDescent="0.3">
      <c r="A23" s="256">
        <v>16</v>
      </c>
      <c r="B23" s="257" t="s">
        <v>1382</v>
      </c>
      <c r="C23" s="276">
        <v>44306</v>
      </c>
      <c r="D23" s="257" t="s">
        <v>1298</v>
      </c>
      <c r="E23" s="256" t="s">
        <v>1819</v>
      </c>
      <c r="F23" s="256" t="s">
        <v>1876</v>
      </c>
      <c r="G23" s="258">
        <v>21220000000</v>
      </c>
      <c r="H23" s="265">
        <v>0.1</v>
      </c>
      <c r="I23" s="258">
        <v>2122000000</v>
      </c>
      <c r="J23" s="258">
        <v>23342000000</v>
      </c>
      <c r="K23" s="256" t="s">
        <v>1346</v>
      </c>
    </row>
    <row r="24" spans="1:11" x14ac:dyDescent="0.3">
      <c r="A24" s="256">
        <v>17</v>
      </c>
      <c r="B24" s="257" t="s">
        <v>1414</v>
      </c>
      <c r="C24" s="276">
        <v>44336</v>
      </c>
      <c r="D24" s="257" t="s">
        <v>1285</v>
      </c>
      <c r="E24" s="256" t="s">
        <v>1793</v>
      </c>
      <c r="F24" s="256" t="s">
        <v>1880</v>
      </c>
      <c r="G24" s="258">
        <v>30979000000</v>
      </c>
      <c r="H24" s="265">
        <v>0.1</v>
      </c>
      <c r="I24" s="258">
        <v>3097900000</v>
      </c>
      <c r="J24" s="258">
        <v>34076900000</v>
      </c>
      <c r="K24" s="256" t="s">
        <v>1346</v>
      </c>
    </row>
    <row r="25" spans="1:11" x14ac:dyDescent="0.3">
      <c r="A25" s="256">
        <v>18</v>
      </c>
      <c r="B25" s="257" t="s">
        <v>1388</v>
      </c>
      <c r="C25" s="276">
        <v>44367</v>
      </c>
      <c r="D25" s="257" t="s">
        <v>1300</v>
      </c>
      <c r="E25" s="256" t="s">
        <v>1818</v>
      </c>
      <c r="F25" s="256" t="s">
        <v>1876</v>
      </c>
      <c r="G25" s="258">
        <v>28701000000</v>
      </c>
      <c r="H25" s="265">
        <v>0.1</v>
      </c>
      <c r="I25" s="258">
        <v>2870100000</v>
      </c>
      <c r="J25" s="258">
        <v>31571100000</v>
      </c>
      <c r="K25" s="256" t="s">
        <v>1348</v>
      </c>
    </row>
    <row r="26" spans="1:11" x14ac:dyDescent="0.3">
      <c r="A26" s="256">
        <v>19</v>
      </c>
      <c r="B26" s="257" t="s">
        <v>1415</v>
      </c>
      <c r="C26" s="276">
        <v>44397</v>
      </c>
      <c r="D26" s="257" t="s">
        <v>1285</v>
      </c>
      <c r="E26" s="256" t="s">
        <v>1793</v>
      </c>
      <c r="F26" s="256" t="s">
        <v>1880</v>
      </c>
      <c r="G26" s="258">
        <v>18121000000</v>
      </c>
      <c r="H26" s="265">
        <v>0.1</v>
      </c>
      <c r="I26" s="258">
        <v>1812100000</v>
      </c>
      <c r="J26" s="258">
        <v>19933100000</v>
      </c>
      <c r="K26" s="256" t="s">
        <v>1346</v>
      </c>
    </row>
    <row r="27" spans="1:11" x14ac:dyDescent="0.3">
      <c r="A27" s="256">
        <v>20</v>
      </c>
      <c r="B27" s="257" t="s">
        <v>1459</v>
      </c>
      <c r="C27" s="276">
        <v>44428</v>
      </c>
      <c r="D27" s="257" t="s">
        <v>1260</v>
      </c>
      <c r="E27" s="256" t="s">
        <v>1804</v>
      </c>
      <c r="F27" s="256" t="s">
        <v>1880</v>
      </c>
      <c r="G27" s="258">
        <v>28053000000</v>
      </c>
      <c r="H27" s="265">
        <v>0.1</v>
      </c>
      <c r="I27" s="258">
        <v>2805300000</v>
      </c>
      <c r="J27" s="258">
        <v>30858300000</v>
      </c>
      <c r="K27" s="256" t="s">
        <v>1346</v>
      </c>
    </row>
    <row r="28" spans="1:11" x14ac:dyDescent="0.3">
      <c r="A28" s="256">
        <v>21</v>
      </c>
      <c r="B28" s="257" t="s">
        <v>1419</v>
      </c>
      <c r="C28" s="276">
        <v>44459</v>
      </c>
      <c r="D28" s="257" t="s">
        <v>1271</v>
      </c>
      <c r="E28" s="256" t="s">
        <v>1799</v>
      </c>
      <c r="F28" s="256" t="s">
        <v>1876</v>
      </c>
      <c r="G28" s="258">
        <v>21787000000</v>
      </c>
      <c r="H28" s="265">
        <v>0.1</v>
      </c>
      <c r="I28" s="258">
        <v>2178700000</v>
      </c>
      <c r="J28" s="258">
        <v>23965700000</v>
      </c>
      <c r="K28" s="256" t="s">
        <v>1346</v>
      </c>
    </row>
    <row r="29" spans="1:11" x14ac:dyDescent="0.3">
      <c r="A29" s="256">
        <v>22</v>
      </c>
      <c r="B29" s="257" t="s">
        <v>1399</v>
      </c>
      <c r="C29" s="276">
        <v>44489</v>
      </c>
      <c r="D29" s="257" t="s">
        <v>1290</v>
      </c>
      <c r="E29" s="256" t="s">
        <v>1796</v>
      </c>
      <c r="F29" s="256" t="s">
        <v>1878</v>
      </c>
      <c r="G29" s="258">
        <v>34591000000</v>
      </c>
      <c r="H29" s="265">
        <v>0.1</v>
      </c>
      <c r="I29" s="258">
        <v>3459100000</v>
      </c>
      <c r="J29" s="258">
        <v>38050100000</v>
      </c>
      <c r="K29" s="256" t="s">
        <v>1346</v>
      </c>
    </row>
    <row r="30" spans="1:11" x14ac:dyDescent="0.3">
      <c r="A30" s="256">
        <v>23</v>
      </c>
      <c r="B30" s="257" t="s">
        <v>1408</v>
      </c>
      <c r="C30" s="276">
        <v>44520</v>
      </c>
      <c r="D30" s="257" t="s">
        <v>1289</v>
      </c>
      <c r="E30" s="256" t="s">
        <v>1803</v>
      </c>
      <c r="F30" s="256" t="s">
        <v>1877</v>
      </c>
      <c r="G30" s="258">
        <v>17611000000</v>
      </c>
      <c r="H30" s="265">
        <v>0.1</v>
      </c>
      <c r="I30" s="258">
        <v>1761100000</v>
      </c>
      <c r="J30" s="258">
        <v>19372100000</v>
      </c>
      <c r="K30" s="256" t="s">
        <v>1346</v>
      </c>
    </row>
    <row r="31" spans="1:11" x14ac:dyDescent="0.3">
      <c r="A31" s="256">
        <v>24</v>
      </c>
      <c r="B31" s="257" t="s">
        <v>1401</v>
      </c>
      <c r="C31" s="276">
        <v>44550</v>
      </c>
      <c r="D31" s="257" t="s">
        <v>1290</v>
      </c>
      <c r="E31" s="256" t="s">
        <v>1796</v>
      </c>
      <c r="F31" s="256" t="s">
        <v>1879</v>
      </c>
      <c r="G31" s="258">
        <v>26551000000</v>
      </c>
      <c r="H31" s="265">
        <v>0.1</v>
      </c>
      <c r="I31" s="258">
        <v>2655100000</v>
      </c>
      <c r="J31" s="258">
        <v>29206100000</v>
      </c>
      <c r="K31" s="256" t="s">
        <v>1346</v>
      </c>
    </row>
    <row r="32" spans="1:11" x14ac:dyDescent="0.3">
      <c r="A32" s="256">
        <v>25</v>
      </c>
      <c r="B32" s="257" t="s">
        <v>1402</v>
      </c>
      <c r="C32" s="276">
        <v>44221</v>
      </c>
      <c r="D32" s="257" t="s">
        <v>1264</v>
      </c>
      <c r="E32" s="256" t="s">
        <v>1779</v>
      </c>
      <c r="F32" s="256" t="s">
        <v>1878</v>
      </c>
      <c r="G32" s="258">
        <v>30237000000</v>
      </c>
      <c r="H32" s="265">
        <v>0.1</v>
      </c>
      <c r="I32" s="258">
        <v>3023700000</v>
      </c>
      <c r="J32" s="258">
        <v>33260700000</v>
      </c>
      <c r="K32" s="256" t="s">
        <v>1346</v>
      </c>
    </row>
    <row r="33" spans="1:11" x14ac:dyDescent="0.3">
      <c r="A33" s="256">
        <v>26</v>
      </c>
      <c r="B33" s="257" t="s">
        <v>1383</v>
      </c>
      <c r="C33" s="276">
        <v>44255</v>
      </c>
      <c r="D33" s="257" t="s">
        <v>1261</v>
      </c>
      <c r="E33" s="256" t="s">
        <v>1813</v>
      </c>
      <c r="F33" s="256" t="s">
        <v>1877</v>
      </c>
      <c r="G33" s="258">
        <v>26053000000</v>
      </c>
      <c r="H33" s="265">
        <v>0.1</v>
      </c>
      <c r="I33" s="258">
        <v>2605300000</v>
      </c>
      <c r="J33" s="258">
        <v>28658300000</v>
      </c>
      <c r="K33" s="256" t="s">
        <v>1346</v>
      </c>
    </row>
    <row r="34" spans="1:11" x14ac:dyDescent="0.3">
      <c r="A34" s="256">
        <v>27</v>
      </c>
      <c r="B34" s="257" t="s">
        <v>1460</v>
      </c>
      <c r="C34" s="276">
        <v>44316</v>
      </c>
      <c r="D34" s="257" t="s">
        <v>1270</v>
      </c>
      <c r="E34" s="256" t="s">
        <v>1782</v>
      </c>
      <c r="F34" s="256" t="s">
        <v>1876</v>
      </c>
      <c r="G34" s="258">
        <v>22022000000</v>
      </c>
      <c r="H34" s="265">
        <v>0.1</v>
      </c>
      <c r="I34" s="258">
        <v>2202200000</v>
      </c>
      <c r="J34" s="258">
        <v>24224200000</v>
      </c>
      <c r="K34" s="256" t="s">
        <v>1346</v>
      </c>
    </row>
    <row r="35" spans="1:11" x14ac:dyDescent="0.3">
      <c r="A35" s="256">
        <v>28</v>
      </c>
      <c r="B35" s="257" t="s">
        <v>1409</v>
      </c>
      <c r="C35" s="276">
        <v>44377</v>
      </c>
      <c r="D35" s="257" t="s">
        <v>1289</v>
      </c>
      <c r="E35" s="256" t="s">
        <v>1803</v>
      </c>
      <c r="F35" s="256" t="s">
        <v>1880</v>
      </c>
      <c r="G35" s="258">
        <v>56221000000</v>
      </c>
      <c r="H35" s="265">
        <v>0.1</v>
      </c>
      <c r="I35" s="258">
        <v>5622100000</v>
      </c>
      <c r="J35" s="258">
        <v>61843100000</v>
      </c>
      <c r="K35" s="256" t="s">
        <v>1346</v>
      </c>
    </row>
    <row r="36" spans="1:11" x14ac:dyDescent="0.3">
      <c r="A36" s="256">
        <v>29</v>
      </c>
      <c r="B36" s="257" t="s">
        <v>1473</v>
      </c>
      <c r="C36" s="276">
        <v>44469</v>
      </c>
      <c r="D36" s="257" t="s">
        <v>1284</v>
      </c>
      <c r="E36" s="256" t="s">
        <v>1786</v>
      </c>
      <c r="F36" s="256" t="s">
        <v>1880</v>
      </c>
      <c r="G36" s="258">
        <v>45635000000</v>
      </c>
      <c r="H36" s="265">
        <v>0.1</v>
      </c>
      <c r="I36" s="258">
        <v>4563500000</v>
      </c>
      <c r="J36" s="258">
        <v>50198500000</v>
      </c>
      <c r="K36" s="256" t="s">
        <v>1346</v>
      </c>
    </row>
    <row r="37" spans="1:11" x14ac:dyDescent="0.3">
      <c r="A37" s="256">
        <v>30</v>
      </c>
      <c r="B37" s="257" t="s">
        <v>1205</v>
      </c>
      <c r="C37" s="276">
        <v>44530</v>
      </c>
      <c r="D37" s="257" t="s">
        <v>1286</v>
      </c>
      <c r="E37" s="256" t="s">
        <v>1828</v>
      </c>
      <c r="F37" s="256" t="s">
        <v>1878</v>
      </c>
      <c r="G37" s="258">
        <v>39812000000</v>
      </c>
      <c r="H37" s="265">
        <v>0</v>
      </c>
      <c r="I37" s="258">
        <v>0</v>
      </c>
      <c r="J37" s="258">
        <v>39812000000</v>
      </c>
      <c r="K37" s="256" t="s">
        <v>1346</v>
      </c>
    </row>
    <row r="38" spans="1:11" x14ac:dyDescent="0.3">
      <c r="A38" s="256">
        <v>31</v>
      </c>
      <c r="B38" s="257" t="s">
        <v>1406</v>
      </c>
      <c r="C38" s="276">
        <v>44286</v>
      </c>
      <c r="D38" s="257" t="s">
        <v>1255</v>
      </c>
      <c r="E38" s="273">
        <v>46152</v>
      </c>
      <c r="F38" s="256" t="s">
        <v>1876</v>
      </c>
      <c r="G38" s="258">
        <v>22544000000</v>
      </c>
      <c r="H38" s="265">
        <v>0.1</v>
      </c>
      <c r="I38" s="258">
        <v>2254400000</v>
      </c>
      <c r="J38" s="258">
        <v>24798400000</v>
      </c>
      <c r="K38" s="256" t="s">
        <v>1346</v>
      </c>
    </row>
    <row r="39" spans="1:11" x14ac:dyDescent="0.3">
      <c r="A39" s="256">
        <v>32</v>
      </c>
      <c r="B39" s="257" t="s">
        <v>1461</v>
      </c>
      <c r="C39" s="276">
        <v>44347</v>
      </c>
      <c r="D39" s="257" t="s">
        <v>1270</v>
      </c>
      <c r="E39" s="256" t="s">
        <v>1782</v>
      </c>
      <c r="F39" s="256" t="s">
        <v>1878</v>
      </c>
      <c r="G39" s="258">
        <v>19632000000</v>
      </c>
      <c r="H39" s="265">
        <v>0.1</v>
      </c>
      <c r="I39" s="258">
        <v>1963200000</v>
      </c>
      <c r="J39" s="258">
        <v>21595200000</v>
      </c>
      <c r="K39" s="256" t="s">
        <v>1346</v>
      </c>
    </row>
    <row r="40" spans="1:11" x14ac:dyDescent="0.3">
      <c r="A40" s="256">
        <v>33</v>
      </c>
      <c r="B40" s="257" t="s">
        <v>1465</v>
      </c>
      <c r="C40" s="276">
        <v>44408</v>
      </c>
      <c r="D40" s="257" t="s">
        <v>1281</v>
      </c>
      <c r="E40" s="256" t="s">
        <v>1806</v>
      </c>
      <c r="F40" s="256" t="s">
        <v>1876</v>
      </c>
      <c r="G40" s="258">
        <v>27729000000</v>
      </c>
      <c r="H40" s="265">
        <v>0.1</v>
      </c>
      <c r="I40" s="258">
        <v>2772900000</v>
      </c>
      <c r="J40" s="258">
        <v>30501900000</v>
      </c>
      <c r="K40" s="256" t="s">
        <v>1346</v>
      </c>
    </row>
    <row r="41" spans="1:11" x14ac:dyDescent="0.3">
      <c r="A41" s="256">
        <v>34</v>
      </c>
      <c r="B41" s="257" t="s">
        <v>1406</v>
      </c>
      <c r="C41" s="276">
        <v>44439</v>
      </c>
      <c r="D41" s="257" t="s">
        <v>1282</v>
      </c>
      <c r="E41" s="256" t="s">
        <v>1789</v>
      </c>
      <c r="F41" s="256" t="s">
        <v>1876</v>
      </c>
      <c r="G41" s="258">
        <v>34673000000</v>
      </c>
      <c r="H41" s="265">
        <v>0.1</v>
      </c>
      <c r="I41" s="258">
        <v>3467300000</v>
      </c>
      <c r="J41" s="258">
        <v>38140300000</v>
      </c>
      <c r="K41" s="256" t="s">
        <v>1346</v>
      </c>
    </row>
    <row r="42" spans="1:11" x14ac:dyDescent="0.3">
      <c r="A42" s="256">
        <v>35</v>
      </c>
      <c r="B42" s="257" t="s">
        <v>1391</v>
      </c>
      <c r="C42" s="276">
        <v>44500</v>
      </c>
      <c r="D42" s="257" t="s">
        <v>1301</v>
      </c>
      <c r="E42" s="256" t="s">
        <v>1781</v>
      </c>
      <c r="F42" s="256" t="s">
        <v>1878</v>
      </c>
      <c r="G42" s="258">
        <v>25096000000</v>
      </c>
      <c r="H42" s="265">
        <v>0.1</v>
      </c>
      <c r="I42" s="258">
        <v>2509600000</v>
      </c>
      <c r="J42" s="258">
        <v>27605600000</v>
      </c>
      <c r="K42" s="256" t="s">
        <v>1346</v>
      </c>
    </row>
    <row r="43" spans="1:11" x14ac:dyDescent="0.3">
      <c r="A43" s="256">
        <v>36</v>
      </c>
      <c r="B43" s="257" t="s">
        <v>1204</v>
      </c>
      <c r="C43" s="276">
        <v>44561</v>
      </c>
      <c r="D43" s="257" t="s">
        <v>1296</v>
      </c>
      <c r="E43" s="256" t="s">
        <v>1807</v>
      </c>
      <c r="F43" s="256" t="s">
        <v>1880</v>
      </c>
      <c r="G43" s="258">
        <v>48691000000</v>
      </c>
      <c r="H43" s="265">
        <v>0.1</v>
      </c>
      <c r="I43" s="258">
        <v>4869100000</v>
      </c>
      <c r="J43" s="258">
        <v>53560100000</v>
      </c>
      <c r="K43" s="256" t="s">
        <v>1346</v>
      </c>
    </row>
    <row r="44" spans="1:11" x14ac:dyDescent="0.3">
      <c r="A44" s="256">
        <v>37</v>
      </c>
      <c r="B44" s="257" t="s">
        <v>1460</v>
      </c>
      <c r="C44" s="276">
        <v>44561</v>
      </c>
      <c r="D44" s="257" t="s">
        <v>1260</v>
      </c>
      <c r="E44" s="256" t="s">
        <v>1804</v>
      </c>
      <c r="F44" s="256" t="s">
        <v>1877</v>
      </c>
      <c r="G44" s="258">
        <v>15416000000</v>
      </c>
      <c r="H44" s="265">
        <v>0.1</v>
      </c>
      <c r="I44" s="258">
        <v>1541600000</v>
      </c>
      <c r="J44" s="258">
        <v>16957600000</v>
      </c>
      <c r="K44" s="256" t="s">
        <v>1346</v>
      </c>
    </row>
    <row r="45" spans="1:11" x14ac:dyDescent="0.3">
      <c r="A45" s="256">
        <v>38</v>
      </c>
      <c r="B45" s="257" t="s">
        <v>1468</v>
      </c>
      <c r="C45" s="276">
        <v>44561</v>
      </c>
      <c r="D45" s="257" t="s">
        <v>1277</v>
      </c>
      <c r="E45" s="256" t="s">
        <v>1783</v>
      </c>
      <c r="F45" s="256" t="s">
        <v>1880</v>
      </c>
      <c r="G45" s="258">
        <v>25816000000</v>
      </c>
      <c r="H45" s="265">
        <v>0.1</v>
      </c>
      <c r="I45" s="258">
        <v>2581600000</v>
      </c>
      <c r="J45" s="258">
        <v>28397600000</v>
      </c>
      <c r="K45" s="256" t="s">
        <v>1346</v>
      </c>
    </row>
    <row r="46" spans="1:11" x14ac:dyDescent="0.3">
      <c r="A46" s="256">
        <v>39</v>
      </c>
      <c r="B46" s="257" t="s">
        <v>1378</v>
      </c>
      <c r="C46" s="276">
        <v>44561</v>
      </c>
      <c r="D46" s="257" t="s">
        <v>1294</v>
      </c>
      <c r="E46" s="256" t="s">
        <v>1795</v>
      </c>
      <c r="F46" s="256" t="s">
        <v>1880</v>
      </c>
      <c r="G46" s="258">
        <v>38029000000</v>
      </c>
      <c r="H46" s="265">
        <v>0.1</v>
      </c>
      <c r="I46" s="258">
        <v>3802900000</v>
      </c>
      <c r="J46" s="258">
        <v>41831900000</v>
      </c>
      <c r="K46" s="256" t="s">
        <v>1346</v>
      </c>
    </row>
    <row r="47" spans="1:11" x14ac:dyDescent="0.3">
      <c r="A47" s="256">
        <v>40</v>
      </c>
      <c r="B47" s="257" t="s">
        <v>1396</v>
      </c>
      <c r="C47" s="276">
        <v>44561</v>
      </c>
      <c r="D47" s="257" t="s">
        <v>1299</v>
      </c>
      <c r="E47" s="256" t="s">
        <v>1776</v>
      </c>
      <c r="F47" s="256" t="s">
        <v>1879</v>
      </c>
      <c r="G47" s="258">
        <v>26561000000</v>
      </c>
      <c r="H47" s="265">
        <v>0.1</v>
      </c>
      <c r="I47" s="258">
        <v>2656100000</v>
      </c>
      <c r="J47" s="258">
        <v>29217100000</v>
      </c>
      <c r="K47" s="256" t="s">
        <v>1346</v>
      </c>
    </row>
    <row r="48" spans="1:11" x14ac:dyDescent="0.3">
      <c r="A48" s="256">
        <v>41</v>
      </c>
      <c r="B48" s="257" t="s">
        <v>1385</v>
      </c>
      <c r="C48" s="276">
        <v>44561</v>
      </c>
      <c r="D48" s="257" t="s">
        <v>1286</v>
      </c>
      <c r="E48" s="256" t="s">
        <v>1828</v>
      </c>
      <c r="F48" s="256" t="s">
        <v>1876</v>
      </c>
      <c r="G48" s="258">
        <v>25254000000</v>
      </c>
      <c r="H48" s="265">
        <v>0</v>
      </c>
      <c r="I48" s="258">
        <v>0</v>
      </c>
      <c r="J48" s="258">
        <v>25254000000</v>
      </c>
      <c r="K48" s="256" t="s">
        <v>1346</v>
      </c>
    </row>
    <row r="49" spans="1:11" x14ac:dyDescent="0.3">
      <c r="A49" s="256">
        <v>42</v>
      </c>
      <c r="B49" s="257" t="s">
        <v>1456</v>
      </c>
      <c r="C49" s="276">
        <v>44561</v>
      </c>
      <c r="D49" s="257" t="s">
        <v>1271</v>
      </c>
      <c r="E49" s="256" t="s">
        <v>1799</v>
      </c>
      <c r="F49" s="256" t="s">
        <v>1880</v>
      </c>
      <c r="G49" s="258">
        <v>28412000000</v>
      </c>
      <c r="H49" s="265">
        <v>0.1</v>
      </c>
      <c r="I49" s="258">
        <v>2841200000</v>
      </c>
      <c r="J49" s="258">
        <v>31253200000</v>
      </c>
      <c r="K49" s="256" t="s">
        <v>1346</v>
      </c>
    </row>
    <row r="50" spans="1:11" x14ac:dyDescent="0.3">
      <c r="A50" s="256">
        <v>43</v>
      </c>
      <c r="B50" s="257" t="s">
        <v>1418</v>
      </c>
      <c r="C50" s="276">
        <v>44561</v>
      </c>
      <c r="D50" s="257" t="s">
        <v>1268</v>
      </c>
      <c r="E50" s="256" t="s">
        <v>1821</v>
      </c>
      <c r="F50" s="256" t="s">
        <v>1876</v>
      </c>
      <c r="G50" s="258">
        <v>55642000000</v>
      </c>
      <c r="H50" s="265">
        <v>0</v>
      </c>
      <c r="I50" s="258">
        <v>0</v>
      </c>
      <c r="J50" s="258">
        <v>55642000000</v>
      </c>
      <c r="K50" s="256" t="s">
        <v>1346</v>
      </c>
    </row>
    <row r="51" spans="1:11" x14ac:dyDescent="0.3">
      <c r="A51" s="256">
        <v>44</v>
      </c>
      <c r="B51" s="257" t="s">
        <v>1209</v>
      </c>
      <c r="C51" s="276">
        <v>44561</v>
      </c>
      <c r="D51" s="257" t="s">
        <v>1262</v>
      </c>
      <c r="E51" s="256" t="s">
        <v>1816</v>
      </c>
      <c r="F51" s="256" t="s">
        <v>1876</v>
      </c>
      <c r="G51" s="258">
        <v>36232000000</v>
      </c>
      <c r="H51" s="265">
        <v>0.1</v>
      </c>
      <c r="I51" s="258">
        <v>3623200000</v>
      </c>
      <c r="J51" s="258">
        <v>39855200000</v>
      </c>
      <c r="K51" s="256" t="s">
        <v>1346</v>
      </c>
    </row>
    <row r="52" spans="1:11" x14ac:dyDescent="0.3">
      <c r="A52" s="256">
        <v>45</v>
      </c>
      <c r="B52" s="257" t="s">
        <v>1460</v>
      </c>
      <c r="C52" s="276">
        <v>44561</v>
      </c>
      <c r="D52" s="257" t="s">
        <v>1256</v>
      </c>
      <c r="E52" s="256" t="s">
        <v>1802</v>
      </c>
      <c r="F52" s="256" t="s">
        <v>1880</v>
      </c>
      <c r="G52" s="258">
        <v>21204000000</v>
      </c>
      <c r="H52" s="265">
        <v>0.1</v>
      </c>
      <c r="I52" s="258">
        <v>2120400000</v>
      </c>
      <c r="J52" s="258">
        <v>23324400000</v>
      </c>
      <c r="K52" s="256" t="s">
        <v>1346</v>
      </c>
    </row>
    <row r="53" spans="1:11" x14ac:dyDescent="0.3">
      <c r="A53" s="256">
        <v>46</v>
      </c>
      <c r="B53" s="257" t="s">
        <v>1411</v>
      </c>
      <c r="C53" s="276">
        <v>44561</v>
      </c>
      <c r="D53" s="257" t="s">
        <v>1289</v>
      </c>
      <c r="E53" s="256" t="s">
        <v>1803</v>
      </c>
      <c r="F53" s="256" t="s">
        <v>1879</v>
      </c>
      <c r="G53" s="258">
        <v>27389000000</v>
      </c>
      <c r="H53" s="265">
        <v>0.1</v>
      </c>
      <c r="I53" s="258">
        <v>2738900000</v>
      </c>
      <c r="J53" s="258">
        <v>30127900000</v>
      </c>
      <c r="K53" s="256" t="s">
        <v>1346</v>
      </c>
    </row>
    <row r="54" spans="1:11" x14ac:dyDescent="0.3">
      <c r="A54" s="256">
        <v>47</v>
      </c>
      <c r="B54" s="257" t="s">
        <v>1204</v>
      </c>
      <c r="C54" s="276">
        <v>44561</v>
      </c>
      <c r="D54" s="257" t="s">
        <v>1295</v>
      </c>
      <c r="E54" s="256" t="s">
        <v>1825</v>
      </c>
      <c r="F54" s="256" t="s">
        <v>1876</v>
      </c>
      <c r="G54" s="258">
        <v>25277000000</v>
      </c>
      <c r="H54" s="265">
        <v>0.1</v>
      </c>
      <c r="I54" s="258">
        <v>2527700000</v>
      </c>
      <c r="J54" s="258">
        <v>27804700000</v>
      </c>
      <c r="K54" s="256" t="s">
        <v>1346</v>
      </c>
    </row>
    <row r="55" spans="1:11" x14ac:dyDescent="0.3">
      <c r="A55" s="256">
        <v>48</v>
      </c>
      <c r="B55" s="257" t="s">
        <v>1408</v>
      </c>
      <c r="C55" s="276">
        <v>44561</v>
      </c>
      <c r="D55" s="257" t="s">
        <v>1282</v>
      </c>
      <c r="E55" s="256" t="s">
        <v>1789</v>
      </c>
      <c r="F55" s="256" t="s">
        <v>1876</v>
      </c>
      <c r="G55" s="258">
        <v>37457000000</v>
      </c>
      <c r="H55" s="265">
        <v>0.1</v>
      </c>
      <c r="I55" s="258">
        <v>3745700000</v>
      </c>
      <c r="J55" s="258">
        <v>41202700000</v>
      </c>
      <c r="K55" s="256" t="s">
        <v>1346</v>
      </c>
    </row>
    <row r="56" spans="1:11" x14ac:dyDescent="0.3">
      <c r="A56" s="256">
        <v>49</v>
      </c>
      <c r="B56" s="257" t="s">
        <v>1464</v>
      </c>
      <c r="C56" s="276">
        <v>44561</v>
      </c>
      <c r="D56" s="257" t="s">
        <v>1274</v>
      </c>
      <c r="E56" s="256" t="s">
        <v>1794</v>
      </c>
      <c r="F56" s="256" t="s">
        <v>1880</v>
      </c>
      <c r="G56" s="258">
        <v>32213000000</v>
      </c>
      <c r="H56" s="265">
        <v>0.1</v>
      </c>
      <c r="I56" s="258">
        <v>3221300000</v>
      </c>
      <c r="J56" s="258">
        <v>35434300000</v>
      </c>
      <c r="K56" s="256" t="s">
        <v>1346</v>
      </c>
    </row>
    <row r="57" spans="1:11" x14ac:dyDescent="0.3">
      <c r="A57" s="256">
        <v>50</v>
      </c>
      <c r="B57" s="257" t="s">
        <v>1465</v>
      </c>
      <c r="C57" s="276">
        <v>44561</v>
      </c>
      <c r="D57" s="257" t="s">
        <v>1274</v>
      </c>
      <c r="E57" s="256" t="s">
        <v>1794</v>
      </c>
      <c r="F57" s="256" t="s">
        <v>1879</v>
      </c>
      <c r="G57" s="258">
        <v>26146000000</v>
      </c>
      <c r="H57" s="265">
        <v>0.1</v>
      </c>
      <c r="I57" s="258">
        <v>2614600000</v>
      </c>
      <c r="J57" s="258">
        <v>28760600000</v>
      </c>
      <c r="K57" s="256" t="s">
        <v>1346</v>
      </c>
    </row>
    <row r="58" spans="1:11" x14ac:dyDescent="0.3">
      <c r="A58" s="266" t="s">
        <v>1351</v>
      </c>
      <c r="B58" s="266"/>
      <c r="C58" s="266"/>
      <c r="D58" s="266"/>
      <c r="E58" s="266"/>
      <c r="F58" s="266"/>
      <c r="G58" s="267">
        <f>SUM(G8:G57)</f>
        <v>1525453000000</v>
      </c>
      <c r="H58" s="266"/>
      <c r="I58" s="267">
        <f>SUM(I8:I57)</f>
        <v>136700900000</v>
      </c>
      <c r="J58" s="267">
        <f>SUM(J8:J57)</f>
        <v>1662153900000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1287</v>
      </c>
      <c r="E62" s="256" t="s">
        <v>1801</v>
      </c>
      <c r="F62" s="256" t="s">
        <v>1883</v>
      </c>
      <c r="G62" s="258">
        <v>60521000000</v>
      </c>
      <c r="H62" s="265">
        <v>0.1</v>
      </c>
      <c r="I62" s="258">
        <v>6052100000</v>
      </c>
      <c r="J62" s="258">
        <v>66573100000</v>
      </c>
      <c r="K62" s="256" t="s">
        <v>1348</v>
      </c>
    </row>
    <row r="63" spans="1:11" x14ac:dyDescent="0.3">
      <c r="A63" s="256">
        <v>2</v>
      </c>
      <c r="B63" s="257" t="s">
        <v>1201</v>
      </c>
      <c r="C63" s="276">
        <v>44318</v>
      </c>
      <c r="D63" s="257" t="s">
        <v>1290</v>
      </c>
      <c r="E63" s="256" t="s">
        <v>1796</v>
      </c>
      <c r="F63" s="256" t="s">
        <v>1884</v>
      </c>
      <c r="G63" s="258">
        <v>63516000000</v>
      </c>
      <c r="H63" s="265">
        <v>0.1</v>
      </c>
      <c r="I63" s="258">
        <v>6351600000</v>
      </c>
      <c r="J63" s="258">
        <v>69867600000</v>
      </c>
      <c r="K63" s="256" t="s">
        <v>1346</v>
      </c>
    </row>
    <row r="64" spans="1:11" x14ac:dyDescent="0.3">
      <c r="A64" s="256">
        <v>3</v>
      </c>
      <c r="B64" s="257" t="s">
        <v>1202</v>
      </c>
      <c r="C64" s="276">
        <v>44472</v>
      </c>
      <c r="D64" s="257" t="s">
        <v>1258</v>
      </c>
      <c r="E64" s="256" t="s">
        <v>1833</v>
      </c>
      <c r="F64" s="256" t="s">
        <v>1882</v>
      </c>
      <c r="G64" s="258">
        <v>75257000000</v>
      </c>
      <c r="H64" s="265">
        <v>0.1</v>
      </c>
      <c r="I64" s="258">
        <v>7525700000</v>
      </c>
      <c r="J64" s="258">
        <v>82782700000</v>
      </c>
      <c r="K64" s="256" t="s">
        <v>1346</v>
      </c>
    </row>
    <row r="65" spans="1:11" x14ac:dyDescent="0.3">
      <c r="A65" s="256">
        <v>4</v>
      </c>
      <c r="B65" s="257" t="s">
        <v>1355</v>
      </c>
      <c r="C65" s="276">
        <v>44473</v>
      </c>
      <c r="D65" s="257" t="s">
        <v>1277</v>
      </c>
      <c r="E65" s="256" t="s">
        <v>1783</v>
      </c>
      <c r="F65" s="256" t="s">
        <v>1883</v>
      </c>
      <c r="G65" s="258">
        <v>43408000000</v>
      </c>
      <c r="H65" s="265">
        <v>0.1</v>
      </c>
      <c r="I65" s="258">
        <v>4340800000</v>
      </c>
      <c r="J65" s="258">
        <v>47748800000</v>
      </c>
      <c r="K65" s="256" t="s">
        <v>1346</v>
      </c>
    </row>
    <row r="66" spans="1:11" x14ac:dyDescent="0.3">
      <c r="A66" s="256">
        <v>5</v>
      </c>
      <c r="B66" s="257" t="s">
        <v>1356</v>
      </c>
      <c r="C66" s="276">
        <v>44474</v>
      </c>
      <c r="D66" s="257" t="s">
        <v>1299</v>
      </c>
      <c r="E66" s="256" t="s">
        <v>1776</v>
      </c>
      <c r="F66" s="256" t="s">
        <v>1881</v>
      </c>
      <c r="G66" s="258">
        <v>54429000000</v>
      </c>
      <c r="H66" s="265">
        <v>0.1</v>
      </c>
      <c r="I66" s="258">
        <v>5442900000</v>
      </c>
      <c r="J66" s="258">
        <v>59871900000</v>
      </c>
      <c r="K66" s="256" t="s">
        <v>1346</v>
      </c>
    </row>
    <row r="67" spans="1:11" x14ac:dyDescent="0.3">
      <c r="A67" s="256">
        <v>6</v>
      </c>
      <c r="B67" s="257" t="s">
        <v>1358</v>
      </c>
      <c r="C67" s="276">
        <v>44475</v>
      </c>
      <c r="D67" s="257" t="s">
        <v>1273</v>
      </c>
      <c r="E67" s="256" t="s">
        <v>1829</v>
      </c>
      <c r="F67" s="256" t="s">
        <v>1883</v>
      </c>
      <c r="G67" s="258">
        <v>64735000000</v>
      </c>
      <c r="H67" s="265">
        <v>0.1</v>
      </c>
      <c r="I67" s="258">
        <v>6473500000</v>
      </c>
      <c r="J67" s="258">
        <v>71208500000</v>
      </c>
      <c r="K67" s="256" t="s">
        <v>1346</v>
      </c>
    </row>
    <row r="68" spans="1:11" x14ac:dyDescent="0.3">
      <c r="A68" s="256">
        <v>7</v>
      </c>
      <c r="B68" s="257" t="s">
        <v>1360</v>
      </c>
      <c r="C68" s="276">
        <v>44476</v>
      </c>
      <c r="D68" s="257" t="s">
        <v>1302</v>
      </c>
      <c r="E68" s="256" t="s">
        <v>1784</v>
      </c>
      <c r="F68" s="256" t="s">
        <v>1882</v>
      </c>
      <c r="G68" s="258">
        <v>75105000000</v>
      </c>
      <c r="H68" s="265">
        <v>0.1</v>
      </c>
      <c r="I68" s="258">
        <v>7510500000</v>
      </c>
      <c r="J68" s="258">
        <v>82615500000</v>
      </c>
      <c r="K68" s="256" t="s">
        <v>1346</v>
      </c>
    </row>
    <row r="69" spans="1:11" x14ac:dyDescent="0.3">
      <c r="A69" s="256">
        <v>8</v>
      </c>
      <c r="B69" s="257" t="s">
        <v>1362</v>
      </c>
      <c r="C69" s="276">
        <v>44477</v>
      </c>
      <c r="D69" s="257" t="s">
        <v>1265</v>
      </c>
      <c r="E69" s="256" t="s">
        <v>1830</v>
      </c>
      <c r="F69" s="256" t="s">
        <v>1884</v>
      </c>
      <c r="G69" s="258">
        <v>37917000000</v>
      </c>
      <c r="H69" s="265">
        <v>0.1</v>
      </c>
      <c r="I69" s="258">
        <v>3791700000</v>
      </c>
      <c r="J69" s="258">
        <v>41708700000</v>
      </c>
      <c r="K69" s="256" t="s">
        <v>1346</v>
      </c>
    </row>
    <row r="70" spans="1:11" x14ac:dyDescent="0.3">
      <c r="A70" s="256">
        <v>9</v>
      </c>
      <c r="B70" s="257" t="s">
        <v>1364</v>
      </c>
      <c r="C70" s="276">
        <v>44478</v>
      </c>
      <c r="D70" s="257" t="s">
        <v>1280</v>
      </c>
      <c r="E70" s="256" t="s">
        <v>1777</v>
      </c>
      <c r="F70" s="256" t="s">
        <v>1882</v>
      </c>
      <c r="G70" s="258">
        <v>49150000000</v>
      </c>
      <c r="H70" s="265">
        <v>0.1</v>
      </c>
      <c r="I70" s="258">
        <v>4915000000</v>
      </c>
      <c r="J70" s="258">
        <v>54065000000</v>
      </c>
      <c r="K70" s="256" t="s">
        <v>1346</v>
      </c>
    </row>
    <row r="71" spans="1:11" x14ac:dyDescent="0.3">
      <c r="A71" s="256">
        <v>10</v>
      </c>
      <c r="B71" s="257" t="s">
        <v>1366</v>
      </c>
      <c r="C71" s="276">
        <v>44479</v>
      </c>
      <c r="D71" s="257" t="s">
        <v>1300</v>
      </c>
      <c r="E71" s="256" t="s">
        <v>1818</v>
      </c>
      <c r="F71" s="256" t="s">
        <v>1882</v>
      </c>
      <c r="G71" s="258">
        <v>23849000000</v>
      </c>
      <c r="H71" s="265">
        <v>0.1</v>
      </c>
      <c r="I71" s="258">
        <v>2384900000</v>
      </c>
      <c r="J71" s="258">
        <v>26233900000</v>
      </c>
      <c r="K71" s="256" t="s">
        <v>1346</v>
      </c>
    </row>
    <row r="72" spans="1:11" x14ac:dyDescent="0.3">
      <c r="A72" s="256">
        <v>11</v>
      </c>
      <c r="B72" s="257" t="s">
        <v>1368</v>
      </c>
      <c r="C72" s="276">
        <v>44480</v>
      </c>
      <c r="D72" s="257" t="s">
        <v>1258</v>
      </c>
      <c r="E72" s="256" t="s">
        <v>1833</v>
      </c>
      <c r="F72" s="256" t="s">
        <v>1884</v>
      </c>
      <c r="G72" s="258">
        <v>69064000000</v>
      </c>
      <c r="H72" s="265">
        <v>0</v>
      </c>
      <c r="I72" s="258">
        <v>0</v>
      </c>
      <c r="J72" s="258">
        <v>69064000000</v>
      </c>
      <c r="K72" s="256" t="s">
        <v>1346</v>
      </c>
    </row>
    <row r="73" spans="1:11" x14ac:dyDescent="0.3">
      <c r="A73" s="256">
        <v>12</v>
      </c>
      <c r="B73" s="257" t="s">
        <v>1371</v>
      </c>
      <c r="C73" s="276">
        <v>44481</v>
      </c>
      <c r="D73" s="257" t="s">
        <v>1256</v>
      </c>
      <c r="E73" s="256" t="s">
        <v>1802</v>
      </c>
      <c r="F73" s="256" t="s">
        <v>1881</v>
      </c>
      <c r="G73" s="258">
        <v>25638000000</v>
      </c>
      <c r="H73" s="265">
        <v>0.1</v>
      </c>
      <c r="I73" s="258">
        <v>2563800000</v>
      </c>
      <c r="J73" s="258">
        <v>28201800000</v>
      </c>
      <c r="K73" s="256" t="s">
        <v>1346</v>
      </c>
    </row>
    <row r="74" spans="1:11" x14ac:dyDescent="0.3">
      <c r="A74" s="256">
        <v>13</v>
      </c>
      <c r="B74" s="257" t="s">
        <v>1373</v>
      </c>
      <c r="C74" s="276">
        <v>44211</v>
      </c>
      <c r="D74" s="257" t="s">
        <v>1264</v>
      </c>
      <c r="E74" s="256" t="s">
        <v>1779</v>
      </c>
      <c r="F74" s="256" t="s">
        <v>1881</v>
      </c>
      <c r="G74" s="258">
        <v>43103000000</v>
      </c>
      <c r="H74" s="265">
        <v>0.1</v>
      </c>
      <c r="I74" s="258">
        <v>4310300000</v>
      </c>
      <c r="J74" s="258">
        <v>47413300000</v>
      </c>
      <c r="K74" s="256" t="s">
        <v>1346</v>
      </c>
    </row>
    <row r="75" spans="1:11" x14ac:dyDescent="0.3">
      <c r="A75" s="256">
        <v>14</v>
      </c>
      <c r="B75" s="257" t="s">
        <v>1374</v>
      </c>
      <c r="C75" s="276">
        <v>44242</v>
      </c>
      <c r="D75" s="257" t="s">
        <v>1256</v>
      </c>
      <c r="E75" s="256" t="s">
        <v>1802</v>
      </c>
      <c r="F75" s="256" t="s">
        <v>1881</v>
      </c>
      <c r="G75" s="258">
        <v>71318000000</v>
      </c>
      <c r="H75" s="265">
        <v>0.1</v>
      </c>
      <c r="I75" s="258">
        <v>7131800000</v>
      </c>
      <c r="J75" s="258">
        <v>78449800000</v>
      </c>
      <c r="K75" s="256" t="s">
        <v>1346</v>
      </c>
    </row>
    <row r="76" spans="1:11" x14ac:dyDescent="0.3">
      <c r="A76" s="256">
        <v>15</v>
      </c>
      <c r="B76" s="257" t="s">
        <v>1376</v>
      </c>
      <c r="C76" s="276">
        <v>44275</v>
      </c>
      <c r="D76" s="257" t="s">
        <v>1268</v>
      </c>
      <c r="E76" s="256" t="s">
        <v>1821</v>
      </c>
      <c r="F76" s="256" t="s">
        <v>1881</v>
      </c>
      <c r="G76" s="258">
        <v>45469000000</v>
      </c>
      <c r="H76" s="265">
        <v>0.1</v>
      </c>
      <c r="I76" s="258">
        <v>4546900000</v>
      </c>
      <c r="J76" s="258">
        <v>50015900000</v>
      </c>
      <c r="K76" s="256" t="s">
        <v>1346</v>
      </c>
    </row>
    <row r="77" spans="1:11" x14ac:dyDescent="0.3">
      <c r="A77" s="256">
        <v>16</v>
      </c>
      <c r="B77" s="257" t="s">
        <v>1378</v>
      </c>
      <c r="C77" s="276">
        <v>44306</v>
      </c>
      <c r="D77" s="257" t="s">
        <v>1275</v>
      </c>
      <c r="E77" s="256" t="s">
        <v>1808</v>
      </c>
      <c r="F77" s="256" t="s">
        <v>1883</v>
      </c>
      <c r="G77" s="258">
        <v>70337000000</v>
      </c>
      <c r="H77" s="265">
        <v>0.1</v>
      </c>
      <c r="I77" s="258">
        <v>7033700000</v>
      </c>
      <c r="J77" s="258">
        <v>77370700000</v>
      </c>
      <c r="K77" s="256" t="s">
        <v>1346</v>
      </c>
    </row>
    <row r="78" spans="1:11" x14ac:dyDescent="0.3">
      <c r="A78" s="256">
        <v>17</v>
      </c>
      <c r="B78" s="257" t="s">
        <v>1379</v>
      </c>
      <c r="C78" s="276">
        <v>44336</v>
      </c>
      <c r="D78" s="257" t="s">
        <v>1287</v>
      </c>
      <c r="E78" s="256" t="s">
        <v>1801</v>
      </c>
      <c r="F78" s="256" t="s">
        <v>1884</v>
      </c>
      <c r="G78" s="258">
        <v>46093000000</v>
      </c>
      <c r="H78" s="265">
        <v>0.1</v>
      </c>
      <c r="I78" s="258">
        <v>4609300000</v>
      </c>
      <c r="J78" s="258">
        <v>50702300000</v>
      </c>
      <c r="K78" s="256" t="s">
        <v>1346</v>
      </c>
    </row>
    <row r="79" spans="1:11" x14ac:dyDescent="0.3">
      <c r="A79" s="256">
        <v>18</v>
      </c>
      <c r="B79" s="257" t="s">
        <v>1381</v>
      </c>
      <c r="C79" s="276">
        <v>44367</v>
      </c>
      <c r="D79" s="257" t="s">
        <v>1281</v>
      </c>
      <c r="E79" s="256" t="s">
        <v>1806</v>
      </c>
      <c r="F79" s="256" t="s">
        <v>1881</v>
      </c>
      <c r="G79" s="258">
        <v>47817000000</v>
      </c>
      <c r="H79" s="265">
        <v>0</v>
      </c>
      <c r="I79" s="258">
        <v>0</v>
      </c>
      <c r="J79" s="258">
        <v>47817000000</v>
      </c>
      <c r="K79" s="256" t="s">
        <v>1346</v>
      </c>
    </row>
    <row r="80" spans="1:11" x14ac:dyDescent="0.3">
      <c r="A80" s="256">
        <v>19</v>
      </c>
      <c r="B80" s="257" t="s">
        <v>1382</v>
      </c>
      <c r="C80" s="276">
        <v>44397</v>
      </c>
      <c r="D80" s="257" t="s">
        <v>1256</v>
      </c>
      <c r="E80" s="256" t="s">
        <v>1802</v>
      </c>
      <c r="F80" s="256" t="s">
        <v>1884</v>
      </c>
      <c r="G80" s="258">
        <v>30055000000</v>
      </c>
      <c r="H80" s="265">
        <v>0</v>
      </c>
      <c r="I80" s="258">
        <v>0</v>
      </c>
      <c r="J80" s="258">
        <v>30055000000</v>
      </c>
      <c r="K80" s="256" t="s">
        <v>1346</v>
      </c>
    </row>
    <row r="81" spans="1:11" x14ac:dyDescent="0.3">
      <c r="A81" s="256">
        <v>20</v>
      </c>
      <c r="B81" s="257" t="s">
        <v>1383</v>
      </c>
      <c r="C81" s="276">
        <v>44428</v>
      </c>
      <c r="D81" s="257" t="s">
        <v>1281</v>
      </c>
      <c r="E81" s="256" t="s">
        <v>1806</v>
      </c>
      <c r="F81" s="256" t="s">
        <v>1881</v>
      </c>
      <c r="G81" s="258">
        <v>42404000000</v>
      </c>
      <c r="H81" s="265">
        <v>0.1</v>
      </c>
      <c r="I81" s="258">
        <v>4240400000</v>
      </c>
      <c r="J81" s="258">
        <v>46644400000</v>
      </c>
      <c r="K81" s="256" t="s">
        <v>1346</v>
      </c>
    </row>
    <row r="82" spans="1:11" x14ac:dyDescent="0.3">
      <c r="A82" s="256">
        <v>21</v>
      </c>
      <c r="B82" s="257" t="s">
        <v>1203</v>
      </c>
      <c r="C82" s="276">
        <v>44459</v>
      </c>
      <c r="D82" s="257" t="s">
        <v>1267</v>
      </c>
      <c r="E82" s="256" t="s">
        <v>1810</v>
      </c>
      <c r="F82" s="256" t="s">
        <v>1882</v>
      </c>
      <c r="G82" s="258">
        <v>74134000000</v>
      </c>
      <c r="H82" s="265">
        <v>0.1</v>
      </c>
      <c r="I82" s="258">
        <v>7413400000</v>
      </c>
      <c r="J82" s="258">
        <v>81547400000</v>
      </c>
      <c r="K82" s="256" t="s">
        <v>1346</v>
      </c>
    </row>
    <row r="83" spans="1:11" x14ac:dyDescent="0.3">
      <c r="A83" s="256">
        <v>22</v>
      </c>
      <c r="B83" s="257" t="s">
        <v>1204</v>
      </c>
      <c r="C83" s="276">
        <v>44489</v>
      </c>
      <c r="D83" s="257" t="s">
        <v>1302</v>
      </c>
      <c r="E83" s="256" t="s">
        <v>1784</v>
      </c>
      <c r="F83" s="256" t="s">
        <v>1881</v>
      </c>
      <c r="G83" s="258">
        <v>37439000000</v>
      </c>
      <c r="H83" s="265">
        <v>0</v>
      </c>
      <c r="I83" s="258">
        <v>0</v>
      </c>
      <c r="J83" s="258">
        <v>37439000000</v>
      </c>
      <c r="K83" s="256" t="s">
        <v>1346</v>
      </c>
    </row>
    <row r="84" spans="1:11" x14ac:dyDescent="0.3">
      <c r="A84" s="256">
        <v>23</v>
      </c>
      <c r="B84" s="257" t="s">
        <v>1205</v>
      </c>
      <c r="C84" s="276">
        <v>44520</v>
      </c>
      <c r="D84" s="257" t="s">
        <v>1300</v>
      </c>
      <c r="E84" s="256" t="s">
        <v>1818</v>
      </c>
      <c r="F84" s="256" t="s">
        <v>1884</v>
      </c>
      <c r="G84" s="258">
        <v>66626000000</v>
      </c>
      <c r="H84" s="265">
        <v>0.1</v>
      </c>
      <c r="I84" s="258">
        <v>6662600000</v>
      </c>
      <c r="J84" s="258">
        <v>73288600000</v>
      </c>
      <c r="K84" s="256" t="s">
        <v>1346</v>
      </c>
    </row>
    <row r="85" spans="1:11" x14ac:dyDescent="0.3">
      <c r="A85" s="256">
        <v>24</v>
      </c>
      <c r="B85" s="257" t="s">
        <v>1385</v>
      </c>
      <c r="C85" s="276">
        <v>44550</v>
      </c>
      <c r="D85" s="257" t="s">
        <v>1297</v>
      </c>
      <c r="E85" s="256" t="s">
        <v>1820</v>
      </c>
      <c r="F85" s="256" t="s">
        <v>1881</v>
      </c>
      <c r="G85" s="258">
        <v>25695000000</v>
      </c>
      <c r="H85" s="265">
        <v>0.1</v>
      </c>
      <c r="I85" s="258">
        <v>2569500000</v>
      </c>
      <c r="J85" s="258">
        <v>28264500000</v>
      </c>
      <c r="K85" s="256" t="s">
        <v>1348</v>
      </c>
    </row>
    <row r="86" spans="1:11" x14ac:dyDescent="0.3">
      <c r="A86" s="256">
        <v>25</v>
      </c>
      <c r="B86" s="257" t="s">
        <v>1387</v>
      </c>
      <c r="C86" s="276">
        <v>44221</v>
      </c>
      <c r="D86" s="257" t="s">
        <v>1296</v>
      </c>
      <c r="E86" s="256" t="s">
        <v>1807</v>
      </c>
      <c r="F86" s="256" t="s">
        <v>1884</v>
      </c>
      <c r="G86" s="258">
        <v>20069000000</v>
      </c>
      <c r="H86" s="265">
        <v>0.1</v>
      </c>
      <c r="I86" s="258">
        <v>2006900000</v>
      </c>
      <c r="J86" s="258">
        <v>22075900000</v>
      </c>
      <c r="K86" s="256" t="s">
        <v>1346</v>
      </c>
    </row>
    <row r="87" spans="1:11" x14ac:dyDescent="0.3">
      <c r="A87" s="256">
        <v>26</v>
      </c>
      <c r="B87" s="257" t="s">
        <v>1388</v>
      </c>
      <c r="C87" s="276">
        <v>44255</v>
      </c>
      <c r="D87" s="257" t="s">
        <v>1264</v>
      </c>
      <c r="E87" s="256" t="s">
        <v>1779</v>
      </c>
      <c r="F87" s="256" t="s">
        <v>1883</v>
      </c>
      <c r="G87" s="258">
        <v>65997000000</v>
      </c>
      <c r="H87" s="265">
        <v>0</v>
      </c>
      <c r="I87" s="258">
        <v>0</v>
      </c>
      <c r="J87" s="258">
        <v>65997000000</v>
      </c>
      <c r="K87" s="256" t="s">
        <v>1346</v>
      </c>
    </row>
    <row r="88" spans="1:11" x14ac:dyDescent="0.3">
      <c r="A88" s="256">
        <v>27</v>
      </c>
      <c r="B88" s="257" t="s">
        <v>1391</v>
      </c>
      <c r="C88" s="276">
        <v>44316</v>
      </c>
      <c r="D88" s="257" t="s">
        <v>1269</v>
      </c>
      <c r="E88" s="256" t="s">
        <v>1823</v>
      </c>
      <c r="F88" s="256" t="s">
        <v>1884</v>
      </c>
      <c r="G88" s="258">
        <v>62169000000</v>
      </c>
      <c r="H88" s="265">
        <v>0.1</v>
      </c>
      <c r="I88" s="258">
        <v>6216900000</v>
      </c>
      <c r="J88" s="258">
        <v>68385900000</v>
      </c>
      <c r="K88" s="256" t="s">
        <v>1346</v>
      </c>
    </row>
    <row r="89" spans="1:11" x14ac:dyDescent="0.3">
      <c r="A89" s="256">
        <v>28</v>
      </c>
      <c r="B89" s="257" t="s">
        <v>1392</v>
      </c>
      <c r="C89" s="276">
        <v>44377</v>
      </c>
      <c r="D89" s="257" t="s">
        <v>1264</v>
      </c>
      <c r="E89" s="256" t="s">
        <v>1779</v>
      </c>
      <c r="F89" s="256" t="s">
        <v>1881</v>
      </c>
      <c r="G89" s="258">
        <v>53329000000</v>
      </c>
      <c r="H89" s="265">
        <v>0</v>
      </c>
      <c r="I89" s="258">
        <v>0</v>
      </c>
      <c r="J89" s="258">
        <v>53329000000</v>
      </c>
      <c r="K89" s="256" t="s">
        <v>1346</v>
      </c>
    </row>
    <row r="90" spans="1:11" x14ac:dyDescent="0.3">
      <c r="A90" s="256">
        <v>29</v>
      </c>
      <c r="B90" s="257" t="s">
        <v>1394</v>
      </c>
      <c r="C90" s="276">
        <v>44469</v>
      </c>
      <c r="D90" s="257" t="s">
        <v>1297</v>
      </c>
      <c r="E90" s="256" t="s">
        <v>1820</v>
      </c>
      <c r="F90" s="256" t="s">
        <v>1884</v>
      </c>
      <c r="G90" s="258">
        <v>69996000000</v>
      </c>
      <c r="H90" s="265">
        <v>0.1</v>
      </c>
      <c r="I90" s="258">
        <v>6999600000</v>
      </c>
      <c r="J90" s="258">
        <v>76995600000</v>
      </c>
      <c r="K90" s="256" t="s">
        <v>1346</v>
      </c>
    </row>
    <row r="91" spans="1:11" x14ac:dyDescent="0.3">
      <c r="A91" s="256">
        <v>30</v>
      </c>
      <c r="B91" s="257" t="s">
        <v>1396</v>
      </c>
      <c r="C91" s="276">
        <v>44530</v>
      </c>
      <c r="D91" s="257" t="s">
        <v>1277</v>
      </c>
      <c r="E91" s="256" t="s">
        <v>1783</v>
      </c>
      <c r="F91" s="256" t="s">
        <v>1884</v>
      </c>
      <c r="G91" s="258">
        <v>76395000000</v>
      </c>
      <c r="H91" s="265">
        <v>0.1</v>
      </c>
      <c r="I91" s="258">
        <v>7639500000</v>
      </c>
      <c r="J91" s="258">
        <v>84034500000</v>
      </c>
      <c r="K91" s="256" t="s">
        <v>1346</v>
      </c>
    </row>
    <row r="92" spans="1:11" x14ac:dyDescent="0.3">
      <c r="A92" s="256">
        <v>31</v>
      </c>
      <c r="B92" s="257" t="s">
        <v>1397</v>
      </c>
      <c r="C92" s="276">
        <v>44286</v>
      </c>
      <c r="D92" s="257" t="s">
        <v>1300</v>
      </c>
      <c r="E92" s="256" t="s">
        <v>1818</v>
      </c>
      <c r="F92" s="256" t="s">
        <v>1883</v>
      </c>
      <c r="G92" s="258">
        <v>30520000000</v>
      </c>
      <c r="H92" s="265">
        <v>0.1</v>
      </c>
      <c r="I92" s="258">
        <v>3052000000</v>
      </c>
      <c r="J92" s="258">
        <v>33572000000</v>
      </c>
      <c r="K92" s="256" t="s">
        <v>1346</v>
      </c>
    </row>
    <row r="93" spans="1:11" x14ac:dyDescent="0.3">
      <c r="A93" s="256">
        <v>32</v>
      </c>
      <c r="B93" s="257" t="s">
        <v>1398</v>
      </c>
      <c r="C93" s="276">
        <v>44347</v>
      </c>
      <c r="D93" s="257" t="s">
        <v>1276</v>
      </c>
      <c r="E93" s="256" t="s">
        <v>1822</v>
      </c>
      <c r="F93" s="256" t="s">
        <v>1883</v>
      </c>
      <c r="G93" s="258">
        <v>29364000000</v>
      </c>
      <c r="H93" s="265">
        <v>0.1</v>
      </c>
      <c r="I93" s="258">
        <v>2936400000</v>
      </c>
      <c r="J93" s="258">
        <v>32300400000</v>
      </c>
      <c r="K93" s="256" t="s">
        <v>1346</v>
      </c>
    </row>
    <row r="94" spans="1:11" x14ac:dyDescent="0.3">
      <c r="A94" s="256">
        <v>33</v>
      </c>
      <c r="B94" s="257" t="s">
        <v>1399</v>
      </c>
      <c r="C94" s="276">
        <v>44408</v>
      </c>
      <c r="D94" s="257" t="s">
        <v>1276</v>
      </c>
      <c r="E94" s="256" t="s">
        <v>1822</v>
      </c>
      <c r="F94" s="256" t="s">
        <v>1884</v>
      </c>
      <c r="G94" s="258">
        <v>30627000000</v>
      </c>
      <c r="H94" s="265">
        <v>0.1</v>
      </c>
      <c r="I94" s="258">
        <v>3062700000</v>
      </c>
      <c r="J94" s="258">
        <v>33689700000</v>
      </c>
      <c r="K94" s="256" t="s">
        <v>1346</v>
      </c>
    </row>
    <row r="95" spans="1:11" x14ac:dyDescent="0.3">
      <c r="A95" s="256">
        <v>34</v>
      </c>
      <c r="B95" s="257" t="s">
        <v>1401</v>
      </c>
      <c r="C95" s="276">
        <v>44439</v>
      </c>
      <c r="D95" s="257" t="s">
        <v>1280</v>
      </c>
      <c r="E95" s="256" t="s">
        <v>1777</v>
      </c>
      <c r="F95" s="256" t="s">
        <v>1882</v>
      </c>
      <c r="G95" s="258">
        <v>27580000000</v>
      </c>
      <c r="H95" s="265">
        <v>0.1</v>
      </c>
      <c r="I95" s="258">
        <v>2758000000</v>
      </c>
      <c r="J95" s="258">
        <v>30338000000</v>
      </c>
      <c r="K95" s="256" t="s">
        <v>1346</v>
      </c>
    </row>
    <row r="96" spans="1:11" x14ac:dyDescent="0.3">
      <c r="A96" s="256">
        <v>35</v>
      </c>
      <c r="B96" s="257" t="s">
        <v>1402</v>
      </c>
      <c r="C96" s="276">
        <v>44500</v>
      </c>
      <c r="D96" s="257" t="s">
        <v>1294</v>
      </c>
      <c r="E96" s="256" t="s">
        <v>1795</v>
      </c>
      <c r="F96" s="256" t="s">
        <v>1882</v>
      </c>
      <c r="G96" s="258">
        <v>61619000000</v>
      </c>
      <c r="H96" s="265">
        <v>0.1</v>
      </c>
      <c r="I96" s="258">
        <v>6161900000</v>
      </c>
      <c r="J96" s="258">
        <v>67780900000</v>
      </c>
      <c r="K96" s="256" t="s">
        <v>1346</v>
      </c>
    </row>
    <row r="97" spans="1:11" x14ac:dyDescent="0.3">
      <c r="A97" s="256">
        <v>36</v>
      </c>
      <c r="B97" s="257" t="s">
        <v>1403</v>
      </c>
      <c r="C97" s="276">
        <v>44561</v>
      </c>
      <c r="D97" s="257" t="s">
        <v>1290</v>
      </c>
      <c r="E97" s="256" t="s">
        <v>1796</v>
      </c>
      <c r="F97" s="256" t="s">
        <v>1884</v>
      </c>
      <c r="G97" s="258">
        <v>65876000000</v>
      </c>
      <c r="H97" s="265">
        <v>0</v>
      </c>
      <c r="I97" s="258">
        <v>0</v>
      </c>
      <c r="J97" s="258">
        <v>65876000000</v>
      </c>
      <c r="K97" s="256" t="s">
        <v>1348</v>
      </c>
    </row>
    <row r="98" spans="1:11" x14ac:dyDescent="0.3">
      <c r="A98" s="256">
        <v>37</v>
      </c>
      <c r="B98" s="257" t="s">
        <v>1404</v>
      </c>
      <c r="C98" s="276">
        <v>44561</v>
      </c>
      <c r="D98" s="257" t="s">
        <v>1281</v>
      </c>
      <c r="E98" s="256" t="s">
        <v>1806</v>
      </c>
      <c r="F98" s="256" t="s">
        <v>1883</v>
      </c>
      <c r="G98" s="258">
        <v>64794000000</v>
      </c>
      <c r="H98" s="265">
        <v>0.1</v>
      </c>
      <c r="I98" s="258">
        <v>6479400000</v>
      </c>
      <c r="J98" s="258">
        <v>71273400000</v>
      </c>
      <c r="K98" s="256" t="s">
        <v>1346</v>
      </c>
    </row>
    <row r="99" spans="1:11" x14ac:dyDescent="0.3">
      <c r="A99" s="256">
        <v>38</v>
      </c>
      <c r="B99" s="257" t="s">
        <v>1405</v>
      </c>
      <c r="C99" s="276">
        <v>44561</v>
      </c>
      <c r="D99" s="257" t="s">
        <v>1263</v>
      </c>
      <c r="E99" s="256" t="s">
        <v>1790</v>
      </c>
      <c r="F99" s="256" t="s">
        <v>1882</v>
      </c>
      <c r="G99" s="258">
        <v>41627000000</v>
      </c>
      <c r="H99" s="265">
        <v>0.1</v>
      </c>
      <c r="I99" s="258">
        <v>4162700000</v>
      </c>
      <c r="J99" s="258">
        <v>45789700000</v>
      </c>
      <c r="K99" s="256" t="s">
        <v>1346</v>
      </c>
    </row>
    <row r="100" spans="1:11" x14ac:dyDescent="0.3">
      <c r="A100" s="256">
        <v>39</v>
      </c>
      <c r="B100" s="257" t="s">
        <v>1406</v>
      </c>
      <c r="C100" s="276">
        <v>44561</v>
      </c>
      <c r="D100" s="257" t="s">
        <v>1259</v>
      </c>
      <c r="E100" s="256" t="s">
        <v>1788</v>
      </c>
      <c r="F100" s="256" t="s">
        <v>1884</v>
      </c>
      <c r="G100" s="258">
        <v>69119000000</v>
      </c>
      <c r="H100" s="265">
        <v>0.1</v>
      </c>
      <c r="I100" s="258">
        <v>6911900000</v>
      </c>
      <c r="J100" s="258">
        <v>76030900000</v>
      </c>
      <c r="K100" s="256" t="s">
        <v>1346</v>
      </c>
    </row>
    <row r="101" spans="1:11" x14ac:dyDescent="0.3">
      <c r="A101" s="256">
        <v>40</v>
      </c>
      <c r="B101" s="257" t="s">
        <v>1408</v>
      </c>
      <c r="C101" s="276">
        <v>44561</v>
      </c>
      <c r="D101" s="257" t="s">
        <v>1273</v>
      </c>
      <c r="E101" s="256" t="s">
        <v>1829</v>
      </c>
      <c r="F101" s="256" t="s">
        <v>1884</v>
      </c>
      <c r="G101" s="258">
        <v>52332000000</v>
      </c>
      <c r="H101" s="265">
        <v>0</v>
      </c>
      <c r="I101" s="258">
        <v>0</v>
      </c>
      <c r="J101" s="258">
        <v>52332000000</v>
      </c>
      <c r="K101" s="256" t="s">
        <v>1346</v>
      </c>
    </row>
    <row r="102" spans="1:11" x14ac:dyDescent="0.3">
      <c r="A102" s="256">
        <v>41</v>
      </c>
      <c r="B102" s="257" t="s">
        <v>1409</v>
      </c>
      <c r="C102" s="276">
        <v>44561</v>
      </c>
      <c r="D102" s="257" t="s">
        <v>1302</v>
      </c>
      <c r="E102" s="256" t="s">
        <v>1784</v>
      </c>
      <c r="F102" s="256" t="s">
        <v>1884</v>
      </c>
      <c r="G102" s="258">
        <v>65847000000</v>
      </c>
      <c r="H102" s="265">
        <v>0.1</v>
      </c>
      <c r="I102" s="258">
        <v>6584700000</v>
      </c>
      <c r="J102" s="258">
        <v>72431700000</v>
      </c>
      <c r="K102" s="256" t="s">
        <v>1348</v>
      </c>
    </row>
    <row r="103" spans="1:11" x14ac:dyDescent="0.3">
      <c r="A103" s="256">
        <v>42</v>
      </c>
      <c r="B103" s="257" t="s">
        <v>1411</v>
      </c>
      <c r="C103" s="276">
        <v>44561</v>
      </c>
      <c r="D103" s="257" t="s">
        <v>1288</v>
      </c>
      <c r="E103" s="256" t="s">
        <v>1797</v>
      </c>
      <c r="F103" s="256" t="s">
        <v>1883</v>
      </c>
      <c r="G103" s="258">
        <v>24766000000</v>
      </c>
      <c r="H103" s="265">
        <v>0.1</v>
      </c>
      <c r="I103" s="258">
        <v>2476600000</v>
      </c>
      <c r="J103" s="258">
        <v>27242600000</v>
      </c>
      <c r="K103" s="256" t="s">
        <v>1346</v>
      </c>
    </row>
    <row r="104" spans="1:11" x14ac:dyDescent="0.3">
      <c r="A104" s="256">
        <v>43</v>
      </c>
      <c r="B104" s="257" t="s">
        <v>1414</v>
      </c>
      <c r="C104" s="276">
        <v>44561</v>
      </c>
      <c r="D104" s="257" t="s">
        <v>1302</v>
      </c>
      <c r="E104" s="256" t="s">
        <v>1784</v>
      </c>
      <c r="F104" s="256" t="s">
        <v>1882</v>
      </c>
      <c r="G104" s="258">
        <v>32757000000</v>
      </c>
      <c r="H104" s="265">
        <v>0.1</v>
      </c>
      <c r="I104" s="258">
        <v>3275700000</v>
      </c>
      <c r="J104" s="258">
        <v>36032700000</v>
      </c>
      <c r="K104" s="256" t="s">
        <v>1346</v>
      </c>
    </row>
    <row r="105" spans="1:11" x14ac:dyDescent="0.3">
      <c r="A105" s="256">
        <v>44</v>
      </c>
      <c r="B105" s="257" t="s">
        <v>1415</v>
      </c>
      <c r="C105" s="276">
        <v>44561</v>
      </c>
      <c r="D105" s="257" t="s">
        <v>1257</v>
      </c>
      <c r="E105" s="256" t="s">
        <v>1815</v>
      </c>
      <c r="F105" s="256" t="s">
        <v>1881</v>
      </c>
      <c r="G105" s="258">
        <v>35497000000</v>
      </c>
      <c r="H105" s="265">
        <v>0.1</v>
      </c>
      <c r="I105" s="258">
        <v>3549700000</v>
      </c>
      <c r="J105" s="258">
        <v>39046700000</v>
      </c>
      <c r="K105" s="256" t="s">
        <v>1346</v>
      </c>
    </row>
    <row r="106" spans="1:11" x14ac:dyDescent="0.3">
      <c r="A106" s="256">
        <v>45</v>
      </c>
      <c r="B106" s="257" t="s">
        <v>1206</v>
      </c>
      <c r="C106" s="276">
        <v>44561</v>
      </c>
      <c r="D106" s="257" t="s">
        <v>1297</v>
      </c>
      <c r="E106" s="256" t="s">
        <v>1820</v>
      </c>
      <c r="F106" s="256" t="s">
        <v>1883</v>
      </c>
      <c r="G106" s="258">
        <v>64028000000</v>
      </c>
      <c r="H106" s="265">
        <v>0.1</v>
      </c>
      <c r="I106" s="258">
        <v>6402800000</v>
      </c>
      <c r="J106" s="258">
        <v>70430800000</v>
      </c>
      <c r="K106" s="256" t="s">
        <v>1346</v>
      </c>
    </row>
    <row r="107" spans="1:11" x14ac:dyDescent="0.3">
      <c r="A107" s="256">
        <v>46</v>
      </c>
      <c r="B107" s="257" t="s">
        <v>1207</v>
      </c>
      <c r="C107" s="276">
        <v>44561</v>
      </c>
      <c r="D107" s="257" t="s">
        <v>1291</v>
      </c>
      <c r="E107" s="256" t="s">
        <v>1800</v>
      </c>
      <c r="F107" s="256" t="s">
        <v>1883</v>
      </c>
      <c r="G107" s="258">
        <v>51210000000</v>
      </c>
      <c r="H107" s="265">
        <v>0.1</v>
      </c>
      <c r="I107" s="258">
        <v>5121000000</v>
      </c>
      <c r="J107" s="258">
        <v>56331000000</v>
      </c>
      <c r="K107" s="256" t="s">
        <v>1346</v>
      </c>
    </row>
    <row r="108" spans="1:11" x14ac:dyDescent="0.3">
      <c r="A108" s="256">
        <v>47</v>
      </c>
      <c r="B108" s="257" t="s">
        <v>1208</v>
      </c>
      <c r="C108" s="276">
        <v>44561</v>
      </c>
      <c r="D108" s="257" t="s">
        <v>1303</v>
      </c>
      <c r="E108" s="256" t="s">
        <v>1817</v>
      </c>
      <c r="F108" s="256" t="s">
        <v>1883</v>
      </c>
      <c r="G108" s="258">
        <v>49086000000</v>
      </c>
      <c r="H108" s="265">
        <v>0.1</v>
      </c>
      <c r="I108" s="258">
        <v>4908600000</v>
      </c>
      <c r="J108" s="258">
        <v>53994600000</v>
      </c>
      <c r="K108" s="256" t="s">
        <v>1346</v>
      </c>
    </row>
    <row r="109" spans="1:11" x14ac:dyDescent="0.3">
      <c r="A109" s="256">
        <v>48</v>
      </c>
      <c r="B109" s="257" t="s">
        <v>1209</v>
      </c>
      <c r="C109" s="276">
        <v>44561</v>
      </c>
      <c r="D109" s="257" t="s">
        <v>1278</v>
      </c>
      <c r="E109" s="256" t="s">
        <v>1785</v>
      </c>
      <c r="F109" s="256" t="s">
        <v>1884</v>
      </c>
      <c r="G109" s="258">
        <v>43723000000</v>
      </c>
      <c r="H109" s="265">
        <v>0.1</v>
      </c>
      <c r="I109" s="258">
        <v>4372300000</v>
      </c>
      <c r="J109" s="258">
        <v>48095300000</v>
      </c>
      <c r="K109" s="256" t="s">
        <v>1346</v>
      </c>
    </row>
    <row r="110" spans="1:11" x14ac:dyDescent="0.3">
      <c r="A110" s="256">
        <v>49</v>
      </c>
      <c r="B110" s="257" t="s">
        <v>1418</v>
      </c>
      <c r="C110" s="276">
        <v>44561</v>
      </c>
      <c r="D110" s="257" t="s">
        <v>1283</v>
      </c>
      <c r="E110" s="256" t="s">
        <v>1798</v>
      </c>
      <c r="F110" s="256" t="s">
        <v>1881</v>
      </c>
      <c r="G110" s="258">
        <v>43785000000</v>
      </c>
      <c r="H110" s="265">
        <v>0.1</v>
      </c>
      <c r="I110" s="258">
        <v>4378500000</v>
      </c>
      <c r="J110" s="258">
        <v>48163500000</v>
      </c>
      <c r="K110" s="256" t="s">
        <v>1346</v>
      </c>
    </row>
    <row r="111" spans="1:11" x14ac:dyDescent="0.3">
      <c r="A111" s="256">
        <v>50</v>
      </c>
      <c r="B111" s="257" t="s">
        <v>1419</v>
      </c>
      <c r="C111" s="276">
        <v>44561</v>
      </c>
      <c r="D111" s="257" t="s">
        <v>1258</v>
      </c>
      <c r="E111" s="256" t="s">
        <v>1833</v>
      </c>
      <c r="F111" s="256" t="s">
        <v>1883</v>
      </c>
      <c r="G111" s="258">
        <v>73959000000</v>
      </c>
      <c r="H111" s="265">
        <v>0.1</v>
      </c>
      <c r="I111" s="258">
        <v>7395900000</v>
      </c>
      <c r="J111" s="258">
        <v>81354900000</v>
      </c>
      <c r="K111" s="256" t="s">
        <v>1346</v>
      </c>
    </row>
    <row r="112" spans="1:11" x14ac:dyDescent="0.3">
      <c r="A112" s="266" t="s">
        <v>1351</v>
      </c>
      <c r="B112" s="266"/>
      <c r="C112" s="266"/>
      <c r="D112" s="266"/>
      <c r="E112" s="266"/>
      <c r="F112" s="266"/>
      <c r="G112" s="267">
        <f>SUM(G62:G111)</f>
        <v>2549150000000</v>
      </c>
      <c r="H112" s="266"/>
      <c r="I112" s="267">
        <f>SUM(I62:I111)</f>
        <v>212724100000</v>
      </c>
      <c r="J112" s="267">
        <f>SUM(J62:J111)</f>
        <v>2761874100000</v>
      </c>
      <c r="K112" s="266"/>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792</v>
      </c>
      <c r="C1" s="256"/>
      <c r="D1" s="256"/>
      <c r="E1" s="256"/>
      <c r="F1" s="256"/>
      <c r="G1" s="256"/>
      <c r="H1" s="256"/>
      <c r="I1" s="256"/>
      <c r="J1" s="256"/>
      <c r="K1" s="256"/>
    </row>
    <row r="2" spans="1:11" x14ac:dyDescent="0.3">
      <c r="A2" s="256" t="s">
        <v>1339</v>
      </c>
      <c r="B2" s="257">
        <v>106116043</v>
      </c>
      <c r="C2" s="256"/>
      <c r="D2" s="256"/>
      <c r="E2" s="256"/>
      <c r="F2" s="256"/>
      <c r="G2" s="256"/>
      <c r="H2" s="256"/>
      <c r="I2" s="256"/>
      <c r="J2" s="256"/>
      <c r="K2" s="256"/>
    </row>
    <row r="3" spans="1:11" x14ac:dyDescent="0.3">
      <c r="A3" s="256" t="s">
        <v>1343</v>
      </c>
      <c r="B3" s="258">
        <v>1538175184153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1461</v>
      </c>
      <c r="C8" s="276">
        <v>44317</v>
      </c>
      <c r="D8" s="257" t="s">
        <v>1256</v>
      </c>
      <c r="E8" s="256" t="s">
        <v>1802</v>
      </c>
      <c r="F8" s="256" t="s">
        <v>1894</v>
      </c>
      <c r="G8" s="258">
        <v>12465000000</v>
      </c>
      <c r="H8" s="265">
        <v>0.1</v>
      </c>
      <c r="I8" s="258">
        <v>1246500000</v>
      </c>
      <c r="J8" s="258">
        <v>13711500000</v>
      </c>
      <c r="K8" s="256" t="s">
        <v>1346</v>
      </c>
    </row>
    <row r="9" spans="1:11" x14ac:dyDescent="0.3">
      <c r="A9" s="256">
        <v>2</v>
      </c>
      <c r="B9" s="257" t="s">
        <v>1394</v>
      </c>
      <c r="C9" s="276">
        <v>44318</v>
      </c>
      <c r="D9" s="257" t="s">
        <v>1287</v>
      </c>
      <c r="E9" s="256" t="s">
        <v>1801</v>
      </c>
      <c r="F9" s="256" t="s">
        <v>1894</v>
      </c>
      <c r="G9" s="258">
        <v>30423000000</v>
      </c>
      <c r="H9" s="265">
        <v>0.1</v>
      </c>
      <c r="I9" s="258">
        <v>3042300000</v>
      </c>
      <c r="J9" s="258">
        <v>33465300000</v>
      </c>
      <c r="K9" s="256" t="s">
        <v>1346</v>
      </c>
    </row>
    <row r="10" spans="1:11" x14ac:dyDescent="0.3">
      <c r="A10" s="256">
        <v>3</v>
      </c>
      <c r="B10" s="257" t="s">
        <v>1459</v>
      </c>
      <c r="C10" s="276">
        <v>44472</v>
      </c>
      <c r="D10" s="257" t="s">
        <v>1272</v>
      </c>
      <c r="E10" s="256" t="s">
        <v>1805</v>
      </c>
      <c r="F10" s="256" t="s">
        <v>1895</v>
      </c>
      <c r="G10" s="258">
        <v>19352000000</v>
      </c>
      <c r="H10" s="265">
        <v>0.1</v>
      </c>
      <c r="I10" s="258">
        <v>1935200000</v>
      </c>
      <c r="J10" s="258">
        <v>21287200000</v>
      </c>
      <c r="K10" s="256" t="s">
        <v>1346</v>
      </c>
    </row>
    <row r="11" spans="1:11" x14ac:dyDescent="0.3">
      <c r="A11" s="256">
        <v>4</v>
      </c>
      <c r="B11" s="257" t="s">
        <v>1408</v>
      </c>
      <c r="C11" s="276">
        <v>44473</v>
      </c>
      <c r="D11" s="257" t="s">
        <v>1255</v>
      </c>
      <c r="E11" s="273">
        <v>46152</v>
      </c>
      <c r="F11" s="256" t="s">
        <v>1850</v>
      </c>
      <c r="G11" s="258">
        <v>24639000000</v>
      </c>
      <c r="H11" s="265">
        <v>0.1</v>
      </c>
      <c r="I11" s="258">
        <v>2463900000</v>
      </c>
      <c r="J11" s="258">
        <v>27102900000</v>
      </c>
      <c r="K11" s="256" t="s">
        <v>1346</v>
      </c>
    </row>
    <row r="12" spans="1:11" x14ac:dyDescent="0.3">
      <c r="A12" s="256">
        <v>5</v>
      </c>
      <c r="B12" s="257" t="s">
        <v>1406</v>
      </c>
      <c r="C12" s="276">
        <v>44474</v>
      </c>
      <c r="D12" s="257" t="s">
        <v>1265</v>
      </c>
      <c r="E12" s="256" t="s">
        <v>1830</v>
      </c>
      <c r="F12" s="256" t="s">
        <v>1896</v>
      </c>
      <c r="G12" s="258">
        <v>24361000000</v>
      </c>
      <c r="H12" s="265">
        <v>0.1</v>
      </c>
      <c r="I12" s="258">
        <v>2436100000</v>
      </c>
      <c r="J12" s="258">
        <v>26797100000</v>
      </c>
      <c r="K12" s="256" t="s">
        <v>1346</v>
      </c>
    </row>
    <row r="13" spans="1:11" x14ac:dyDescent="0.3">
      <c r="A13" s="256">
        <v>6</v>
      </c>
      <c r="B13" s="257" t="s">
        <v>1465</v>
      </c>
      <c r="C13" s="276">
        <v>44475</v>
      </c>
      <c r="D13" s="257" t="s">
        <v>1276</v>
      </c>
      <c r="E13" s="256" t="s">
        <v>1822</v>
      </c>
      <c r="F13" s="256" t="s">
        <v>1769</v>
      </c>
      <c r="G13" s="258">
        <v>19433000000</v>
      </c>
      <c r="H13" s="265">
        <v>0.1</v>
      </c>
      <c r="I13" s="258">
        <v>1943300000</v>
      </c>
      <c r="J13" s="258">
        <v>21376300000</v>
      </c>
      <c r="K13" s="256" t="s">
        <v>1346</v>
      </c>
    </row>
    <row r="14" spans="1:11" x14ac:dyDescent="0.3">
      <c r="A14" s="256">
        <v>7</v>
      </c>
      <c r="B14" s="257" t="s">
        <v>1460</v>
      </c>
      <c r="C14" s="276">
        <v>44476</v>
      </c>
      <c r="D14" s="257" t="s">
        <v>1263</v>
      </c>
      <c r="E14" s="256" t="s">
        <v>1790</v>
      </c>
      <c r="F14" s="256" t="s">
        <v>1850</v>
      </c>
      <c r="G14" s="258">
        <v>18754000000</v>
      </c>
      <c r="H14" s="265">
        <v>0.1</v>
      </c>
      <c r="I14" s="258">
        <v>1875400000</v>
      </c>
      <c r="J14" s="258">
        <v>20629400000</v>
      </c>
      <c r="K14" s="256" t="s">
        <v>1346</v>
      </c>
    </row>
    <row r="15" spans="1:11" x14ac:dyDescent="0.3">
      <c r="A15" s="256">
        <v>8</v>
      </c>
      <c r="B15" s="257" t="s">
        <v>1409</v>
      </c>
      <c r="C15" s="276">
        <v>44477</v>
      </c>
      <c r="D15" s="257" t="s">
        <v>1267</v>
      </c>
      <c r="E15" s="256" t="s">
        <v>1810</v>
      </c>
      <c r="F15" s="256" t="s">
        <v>1897</v>
      </c>
      <c r="G15" s="258">
        <v>12508000000</v>
      </c>
      <c r="H15" s="265">
        <v>0.1</v>
      </c>
      <c r="I15" s="258">
        <v>1250800000</v>
      </c>
      <c r="J15" s="258">
        <v>13758800000</v>
      </c>
      <c r="K15" s="256" t="s">
        <v>1346</v>
      </c>
    </row>
    <row r="16" spans="1:11" x14ac:dyDescent="0.3">
      <c r="A16" s="256">
        <v>9</v>
      </c>
      <c r="B16" s="257" t="s">
        <v>1462</v>
      </c>
      <c r="C16" s="276">
        <v>44478</v>
      </c>
      <c r="D16" s="257" t="s">
        <v>1270</v>
      </c>
      <c r="E16" s="256" t="s">
        <v>1782</v>
      </c>
      <c r="F16" s="256" t="s">
        <v>1769</v>
      </c>
      <c r="G16" s="258">
        <v>14085000000</v>
      </c>
      <c r="H16" s="265">
        <v>0</v>
      </c>
      <c r="I16" s="258">
        <v>0</v>
      </c>
      <c r="J16" s="258">
        <v>14085000000</v>
      </c>
      <c r="K16" s="256" t="s">
        <v>1346</v>
      </c>
    </row>
    <row r="17" spans="1:11" x14ac:dyDescent="0.3">
      <c r="A17" s="256">
        <v>10</v>
      </c>
      <c r="B17" s="257" t="s">
        <v>1394</v>
      </c>
      <c r="C17" s="276">
        <v>44479</v>
      </c>
      <c r="D17" s="257" t="s">
        <v>1292</v>
      </c>
      <c r="E17" s="256" t="s">
        <v>1792</v>
      </c>
      <c r="F17" s="256" t="s">
        <v>1896</v>
      </c>
      <c r="G17" s="258">
        <v>34201000000</v>
      </c>
      <c r="H17" s="265">
        <v>0.1</v>
      </c>
      <c r="I17" s="258">
        <v>3420100000</v>
      </c>
      <c r="J17" s="258">
        <v>37621100000</v>
      </c>
      <c r="K17" s="256" t="s">
        <v>1346</v>
      </c>
    </row>
    <row r="18" spans="1:11" x14ac:dyDescent="0.3">
      <c r="A18" s="256">
        <v>11</v>
      </c>
      <c r="B18" s="257" t="s">
        <v>1392</v>
      </c>
      <c r="C18" s="276">
        <v>44480</v>
      </c>
      <c r="D18" s="257" t="s">
        <v>1297</v>
      </c>
      <c r="E18" s="256" t="s">
        <v>1820</v>
      </c>
      <c r="F18" s="256" t="s">
        <v>1896</v>
      </c>
      <c r="G18" s="258">
        <v>35705000000</v>
      </c>
      <c r="H18" s="265">
        <v>0.1</v>
      </c>
      <c r="I18" s="258">
        <v>3570500000</v>
      </c>
      <c r="J18" s="258">
        <v>39275500000</v>
      </c>
      <c r="K18" s="256" t="s">
        <v>1346</v>
      </c>
    </row>
    <row r="19" spans="1:11" x14ac:dyDescent="0.3">
      <c r="A19" s="256">
        <v>12</v>
      </c>
      <c r="B19" s="257" t="s">
        <v>1461</v>
      </c>
      <c r="C19" s="276">
        <v>44481</v>
      </c>
      <c r="D19" s="257" t="s">
        <v>1263</v>
      </c>
      <c r="E19" s="256" t="s">
        <v>1790</v>
      </c>
      <c r="F19" s="256" t="s">
        <v>1769</v>
      </c>
      <c r="G19" s="258">
        <v>10448000000</v>
      </c>
      <c r="H19" s="265">
        <v>0.1</v>
      </c>
      <c r="I19" s="258">
        <v>1044800000</v>
      </c>
      <c r="J19" s="258">
        <v>11492800000</v>
      </c>
      <c r="K19" s="256" t="s">
        <v>1348</v>
      </c>
    </row>
    <row r="20" spans="1:11" x14ac:dyDescent="0.3">
      <c r="A20" s="256">
        <v>13</v>
      </c>
      <c r="B20" s="257" t="s">
        <v>1419</v>
      </c>
      <c r="C20" s="276">
        <v>44211</v>
      </c>
      <c r="D20" s="257" t="s">
        <v>1278</v>
      </c>
      <c r="E20" s="256" t="s">
        <v>1785</v>
      </c>
      <c r="F20" s="256" t="s">
        <v>1896</v>
      </c>
      <c r="G20" s="258">
        <v>16935000000</v>
      </c>
      <c r="H20" s="265">
        <v>0.1</v>
      </c>
      <c r="I20" s="258">
        <v>1693500000</v>
      </c>
      <c r="J20" s="258">
        <v>18628500000</v>
      </c>
      <c r="K20" s="256" t="s">
        <v>1346</v>
      </c>
    </row>
    <row r="21" spans="1:11" x14ac:dyDescent="0.3">
      <c r="A21" s="256">
        <v>14</v>
      </c>
      <c r="B21" s="257" t="s">
        <v>1379</v>
      </c>
      <c r="C21" s="276">
        <v>44242</v>
      </c>
      <c r="D21" s="257" t="s">
        <v>1294</v>
      </c>
      <c r="E21" s="256" t="s">
        <v>1795</v>
      </c>
      <c r="F21" s="256" t="s">
        <v>1894</v>
      </c>
      <c r="G21" s="258">
        <v>10157000000</v>
      </c>
      <c r="H21" s="265">
        <v>0.1</v>
      </c>
      <c r="I21" s="258">
        <v>1015700000</v>
      </c>
      <c r="J21" s="258">
        <v>11172700000</v>
      </c>
      <c r="K21" s="256" t="s">
        <v>1348</v>
      </c>
    </row>
    <row r="22" spans="1:11" x14ac:dyDescent="0.3">
      <c r="A22" s="256">
        <v>15</v>
      </c>
      <c r="B22" s="257" t="s">
        <v>1403</v>
      </c>
      <c r="C22" s="276">
        <v>44275</v>
      </c>
      <c r="D22" s="257" t="s">
        <v>1293</v>
      </c>
      <c r="E22" s="256" t="s">
        <v>1826</v>
      </c>
      <c r="F22" s="256" t="s">
        <v>1897</v>
      </c>
      <c r="G22" s="258">
        <v>34410000000</v>
      </c>
      <c r="H22" s="265">
        <v>0.1</v>
      </c>
      <c r="I22" s="258">
        <v>3441000000</v>
      </c>
      <c r="J22" s="258">
        <v>37851000000</v>
      </c>
      <c r="K22" s="256" t="s">
        <v>1346</v>
      </c>
    </row>
    <row r="23" spans="1:11" x14ac:dyDescent="0.3">
      <c r="A23" s="256">
        <v>16</v>
      </c>
      <c r="B23" s="257" t="s">
        <v>1207</v>
      </c>
      <c r="C23" s="276">
        <v>44306</v>
      </c>
      <c r="D23" s="257" t="s">
        <v>1280</v>
      </c>
      <c r="E23" s="256" t="s">
        <v>1777</v>
      </c>
      <c r="F23" s="256" t="s">
        <v>1895</v>
      </c>
      <c r="G23" s="258">
        <v>31543000000</v>
      </c>
      <c r="H23" s="265">
        <v>0.1</v>
      </c>
      <c r="I23" s="258">
        <v>3154300000</v>
      </c>
      <c r="J23" s="258">
        <v>34697300000</v>
      </c>
      <c r="K23" s="256" t="s">
        <v>1346</v>
      </c>
    </row>
    <row r="24" spans="1:11" x14ac:dyDescent="0.3">
      <c r="A24" s="256">
        <v>17</v>
      </c>
      <c r="B24" s="257" t="s">
        <v>1466</v>
      </c>
      <c r="C24" s="276">
        <v>44336</v>
      </c>
      <c r="D24" s="257" t="s">
        <v>1281</v>
      </c>
      <c r="E24" s="256" t="s">
        <v>1806</v>
      </c>
      <c r="F24" s="256" t="s">
        <v>1897</v>
      </c>
      <c r="G24" s="258">
        <v>14200000000</v>
      </c>
      <c r="H24" s="265">
        <v>0.1</v>
      </c>
      <c r="I24" s="258">
        <v>1420000000</v>
      </c>
      <c r="J24" s="258">
        <v>15620000000</v>
      </c>
      <c r="K24" s="256" t="s">
        <v>1348</v>
      </c>
    </row>
    <row r="25" spans="1:11" x14ac:dyDescent="0.3">
      <c r="A25" s="256">
        <v>18</v>
      </c>
      <c r="B25" s="257" t="s">
        <v>1205</v>
      </c>
      <c r="C25" s="276">
        <v>44367</v>
      </c>
      <c r="D25" s="257" t="s">
        <v>1295</v>
      </c>
      <c r="E25" s="256" t="s">
        <v>1825</v>
      </c>
      <c r="F25" s="256" t="s">
        <v>1769</v>
      </c>
      <c r="G25" s="258">
        <v>25693000000</v>
      </c>
      <c r="H25" s="265">
        <v>0.1</v>
      </c>
      <c r="I25" s="258">
        <v>2569300000</v>
      </c>
      <c r="J25" s="258">
        <v>28262300000</v>
      </c>
      <c r="K25" s="256" t="s">
        <v>1346</v>
      </c>
    </row>
    <row r="26" spans="1:11" x14ac:dyDescent="0.3">
      <c r="A26" s="256">
        <v>19</v>
      </c>
      <c r="B26" s="257" t="s">
        <v>1466</v>
      </c>
      <c r="C26" s="276">
        <v>44397</v>
      </c>
      <c r="D26" s="257" t="s">
        <v>1259</v>
      </c>
      <c r="E26" s="256" t="s">
        <v>1788</v>
      </c>
      <c r="F26" s="256" t="s">
        <v>1896</v>
      </c>
      <c r="G26" s="258">
        <v>13313000000</v>
      </c>
      <c r="H26" s="265">
        <v>0.1</v>
      </c>
      <c r="I26" s="258">
        <v>1331300000</v>
      </c>
      <c r="J26" s="258">
        <v>14644300000</v>
      </c>
      <c r="K26" s="256" t="s">
        <v>1346</v>
      </c>
    </row>
    <row r="27" spans="1:11" x14ac:dyDescent="0.3">
      <c r="A27" s="256">
        <v>20</v>
      </c>
      <c r="B27" s="257" t="s">
        <v>1208</v>
      </c>
      <c r="C27" s="276">
        <v>44428</v>
      </c>
      <c r="D27" s="257" t="s">
        <v>1283</v>
      </c>
      <c r="E27" s="256" t="s">
        <v>1798</v>
      </c>
      <c r="F27" s="256" t="s">
        <v>1894</v>
      </c>
      <c r="G27" s="258">
        <v>22920000000</v>
      </c>
      <c r="H27" s="265">
        <v>0.1</v>
      </c>
      <c r="I27" s="258">
        <v>2292000000</v>
      </c>
      <c r="J27" s="258">
        <v>25212000000</v>
      </c>
      <c r="K27" s="256" t="s">
        <v>1346</v>
      </c>
    </row>
    <row r="28" spans="1:11" x14ac:dyDescent="0.3">
      <c r="A28" s="256">
        <v>21</v>
      </c>
      <c r="B28" s="257" t="s">
        <v>1462</v>
      </c>
      <c r="C28" s="276">
        <v>44459</v>
      </c>
      <c r="D28" s="257" t="s">
        <v>1263</v>
      </c>
      <c r="E28" s="256" t="s">
        <v>1790</v>
      </c>
      <c r="F28" s="256" t="s">
        <v>1897</v>
      </c>
      <c r="G28" s="258">
        <v>18497000000</v>
      </c>
      <c r="H28" s="265">
        <v>0.1</v>
      </c>
      <c r="I28" s="258">
        <v>1849700000</v>
      </c>
      <c r="J28" s="258">
        <v>20346700000</v>
      </c>
      <c r="K28" s="256" t="s">
        <v>1346</v>
      </c>
    </row>
    <row r="29" spans="1:11" x14ac:dyDescent="0.3">
      <c r="A29" s="256">
        <v>22</v>
      </c>
      <c r="B29" s="257" t="s">
        <v>1411</v>
      </c>
      <c r="C29" s="276">
        <v>44489</v>
      </c>
      <c r="D29" s="257" t="s">
        <v>1267</v>
      </c>
      <c r="E29" s="256" t="s">
        <v>1810</v>
      </c>
      <c r="F29" s="256" t="s">
        <v>1850</v>
      </c>
      <c r="G29" s="258">
        <v>13974000000</v>
      </c>
      <c r="H29" s="265">
        <v>0.1</v>
      </c>
      <c r="I29" s="258">
        <v>1397400000</v>
      </c>
      <c r="J29" s="258">
        <v>15371400000</v>
      </c>
      <c r="K29" s="256" t="s">
        <v>1346</v>
      </c>
    </row>
    <row r="30" spans="1:11" x14ac:dyDescent="0.3">
      <c r="A30" s="256">
        <v>23</v>
      </c>
      <c r="B30" s="257" t="s">
        <v>1396</v>
      </c>
      <c r="C30" s="276">
        <v>44520</v>
      </c>
      <c r="D30" s="257" t="s">
        <v>1287</v>
      </c>
      <c r="E30" s="256" t="s">
        <v>1801</v>
      </c>
      <c r="F30" s="256" t="s">
        <v>1897</v>
      </c>
      <c r="G30" s="258">
        <v>32495000000</v>
      </c>
      <c r="H30" s="265">
        <v>0</v>
      </c>
      <c r="I30" s="258">
        <v>0</v>
      </c>
      <c r="J30" s="258">
        <v>32495000000</v>
      </c>
      <c r="K30" s="256" t="s">
        <v>1346</v>
      </c>
    </row>
    <row r="31" spans="1:11" x14ac:dyDescent="0.3">
      <c r="A31" s="256">
        <v>24</v>
      </c>
      <c r="B31" s="257" t="s">
        <v>1392</v>
      </c>
      <c r="C31" s="276">
        <v>44550</v>
      </c>
      <c r="D31" s="257" t="s">
        <v>1301</v>
      </c>
      <c r="E31" s="256" t="s">
        <v>1781</v>
      </c>
      <c r="F31" s="256" t="s">
        <v>1896</v>
      </c>
      <c r="G31" s="258">
        <v>24046000000</v>
      </c>
      <c r="H31" s="265">
        <v>0.1</v>
      </c>
      <c r="I31" s="258">
        <v>2404600000</v>
      </c>
      <c r="J31" s="258">
        <v>26450600000</v>
      </c>
      <c r="K31" s="256" t="s">
        <v>1346</v>
      </c>
    </row>
    <row r="32" spans="1:11" x14ac:dyDescent="0.3">
      <c r="A32" s="256">
        <v>25</v>
      </c>
      <c r="B32" s="257" t="s">
        <v>1394</v>
      </c>
      <c r="C32" s="276">
        <v>44221</v>
      </c>
      <c r="D32" s="257" t="s">
        <v>1301</v>
      </c>
      <c r="E32" s="256" t="s">
        <v>1781</v>
      </c>
      <c r="F32" s="256" t="s">
        <v>1895</v>
      </c>
      <c r="G32" s="258">
        <v>35742000000</v>
      </c>
      <c r="H32" s="265">
        <v>0.1</v>
      </c>
      <c r="I32" s="258">
        <v>3574200000</v>
      </c>
      <c r="J32" s="258">
        <v>39316200000</v>
      </c>
      <c r="K32" s="256" t="s">
        <v>1346</v>
      </c>
    </row>
    <row r="33" spans="1:11" x14ac:dyDescent="0.3">
      <c r="A33" s="256">
        <v>26</v>
      </c>
      <c r="B33" s="257" t="s">
        <v>1460</v>
      </c>
      <c r="C33" s="276">
        <v>44255</v>
      </c>
      <c r="D33" s="257" t="s">
        <v>1273</v>
      </c>
      <c r="E33" s="256" t="s">
        <v>1829</v>
      </c>
      <c r="F33" s="256" t="s">
        <v>1894</v>
      </c>
      <c r="G33" s="258">
        <v>28893000000</v>
      </c>
      <c r="H33" s="265">
        <v>0.1</v>
      </c>
      <c r="I33" s="258">
        <v>2889300000</v>
      </c>
      <c r="J33" s="258">
        <v>31782300000</v>
      </c>
      <c r="K33" s="256" t="s">
        <v>1346</v>
      </c>
    </row>
    <row r="34" spans="1:11" x14ac:dyDescent="0.3">
      <c r="A34" s="256">
        <v>27</v>
      </c>
      <c r="B34" s="257" t="s">
        <v>1414</v>
      </c>
      <c r="C34" s="276">
        <v>44316</v>
      </c>
      <c r="D34" s="257" t="s">
        <v>1304</v>
      </c>
      <c r="E34" s="256" t="s">
        <v>1831</v>
      </c>
      <c r="F34" s="256" t="s">
        <v>1895</v>
      </c>
      <c r="G34" s="258">
        <v>31780000000</v>
      </c>
      <c r="H34" s="265">
        <v>0.1</v>
      </c>
      <c r="I34" s="258">
        <v>3178000000</v>
      </c>
      <c r="J34" s="258">
        <v>34958000000</v>
      </c>
      <c r="K34" s="256" t="s">
        <v>1346</v>
      </c>
    </row>
    <row r="35" spans="1:11" x14ac:dyDescent="0.3">
      <c r="A35" s="256">
        <v>28</v>
      </c>
      <c r="B35" s="257" t="s">
        <v>1457</v>
      </c>
      <c r="C35" s="276">
        <v>44377</v>
      </c>
      <c r="D35" s="257" t="s">
        <v>1271</v>
      </c>
      <c r="E35" s="256" t="s">
        <v>1799</v>
      </c>
      <c r="F35" s="256" t="s">
        <v>1896</v>
      </c>
      <c r="G35" s="258">
        <v>27246000000</v>
      </c>
      <c r="H35" s="265">
        <v>0.1</v>
      </c>
      <c r="I35" s="258">
        <v>2724600000</v>
      </c>
      <c r="J35" s="258">
        <v>29970600000</v>
      </c>
      <c r="K35" s="256" t="s">
        <v>1346</v>
      </c>
    </row>
    <row r="36" spans="1:11" x14ac:dyDescent="0.3">
      <c r="A36" s="256">
        <v>29</v>
      </c>
      <c r="B36" s="257" t="s">
        <v>1408</v>
      </c>
      <c r="C36" s="276">
        <v>44469</v>
      </c>
      <c r="D36" s="257" t="s">
        <v>1265</v>
      </c>
      <c r="E36" s="256" t="s">
        <v>1830</v>
      </c>
      <c r="F36" s="256" t="s">
        <v>1894</v>
      </c>
      <c r="G36" s="258">
        <v>25851000000</v>
      </c>
      <c r="H36" s="265">
        <v>0.1</v>
      </c>
      <c r="I36" s="258">
        <v>2585100000</v>
      </c>
      <c r="J36" s="258">
        <v>28436100000</v>
      </c>
      <c r="K36" s="256" t="s">
        <v>1348</v>
      </c>
    </row>
    <row r="37" spans="1:11" x14ac:dyDescent="0.3">
      <c r="A37" s="256">
        <v>30</v>
      </c>
      <c r="B37" s="257" t="s">
        <v>1394</v>
      </c>
      <c r="C37" s="276">
        <v>44530</v>
      </c>
      <c r="D37" s="257" t="s">
        <v>1297</v>
      </c>
      <c r="E37" s="256" t="s">
        <v>1820</v>
      </c>
      <c r="F37" s="256" t="s">
        <v>1896</v>
      </c>
      <c r="G37" s="258">
        <v>34682000000</v>
      </c>
      <c r="H37" s="265">
        <v>0.1</v>
      </c>
      <c r="I37" s="258">
        <v>3468200000</v>
      </c>
      <c r="J37" s="258">
        <v>38150200000</v>
      </c>
      <c r="K37" s="256" t="s">
        <v>1346</v>
      </c>
    </row>
    <row r="38" spans="1:11" x14ac:dyDescent="0.3">
      <c r="A38" s="256">
        <v>31</v>
      </c>
      <c r="B38" s="257" t="s">
        <v>1466</v>
      </c>
      <c r="C38" s="276">
        <v>44286</v>
      </c>
      <c r="D38" s="257" t="s">
        <v>1276</v>
      </c>
      <c r="E38" s="256" t="s">
        <v>1822</v>
      </c>
      <c r="F38" s="256" t="s">
        <v>1897</v>
      </c>
      <c r="G38" s="258">
        <v>14704000000</v>
      </c>
      <c r="H38" s="265">
        <v>0.1</v>
      </c>
      <c r="I38" s="258">
        <v>1470400000</v>
      </c>
      <c r="J38" s="258">
        <v>16174400000</v>
      </c>
      <c r="K38" s="256" t="s">
        <v>1346</v>
      </c>
    </row>
    <row r="39" spans="1:11" x14ac:dyDescent="0.3">
      <c r="A39" s="256">
        <v>32</v>
      </c>
      <c r="B39" s="257" t="s">
        <v>1466</v>
      </c>
      <c r="C39" s="276">
        <v>44347</v>
      </c>
      <c r="D39" s="257" t="s">
        <v>1274</v>
      </c>
      <c r="E39" s="256" t="s">
        <v>1794</v>
      </c>
      <c r="F39" s="256" t="s">
        <v>1897</v>
      </c>
      <c r="G39" s="258">
        <v>21715000000</v>
      </c>
      <c r="H39" s="265">
        <v>0.1</v>
      </c>
      <c r="I39" s="258">
        <v>2171500000</v>
      </c>
      <c r="J39" s="258">
        <v>23886500000</v>
      </c>
      <c r="K39" s="256" t="s">
        <v>1346</v>
      </c>
    </row>
    <row r="40" spans="1:11" x14ac:dyDescent="0.3">
      <c r="A40" s="256">
        <v>33</v>
      </c>
      <c r="B40" s="257" t="s">
        <v>1382</v>
      </c>
      <c r="C40" s="276">
        <v>44408</v>
      </c>
      <c r="D40" s="257" t="s">
        <v>1303</v>
      </c>
      <c r="E40" s="256" t="s">
        <v>1817</v>
      </c>
      <c r="F40" s="256" t="s">
        <v>1850</v>
      </c>
      <c r="G40" s="258">
        <v>31747000000</v>
      </c>
      <c r="H40" s="265">
        <v>0.1</v>
      </c>
      <c r="I40" s="258">
        <v>3174700000</v>
      </c>
      <c r="J40" s="258">
        <v>34921700000</v>
      </c>
      <c r="K40" s="256" t="s">
        <v>1346</v>
      </c>
    </row>
    <row r="41" spans="1:11" x14ac:dyDescent="0.3">
      <c r="A41" s="256">
        <v>34</v>
      </c>
      <c r="B41" s="257" t="s">
        <v>1458</v>
      </c>
      <c r="C41" s="276">
        <v>44439</v>
      </c>
      <c r="D41" s="257" t="s">
        <v>1271</v>
      </c>
      <c r="E41" s="256" t="s">
        <v>1799</v>
      </c>
      <c r="F41" s="256" t="s">
        <v>1895</v>
      </c>
      <c r="G41" s="258">
        <v>16912000000</v>
      </c>
      <c r="H41" s="265">
        <v>0.1</v>
      </c>
      <c r="I41" s="258">
        <v>1691200000</v>
      </c>
      <c r="J41" s="258">
        <v>18603200000</v>
      </c>
      <c r="K41" s="256" t="s">
        <v>1346</v>
      </c>
    </row>
    <row r="42" spans="1:11" x14ac:dyDescent="0.3">
      <c r="A42" s="256">
        <v>35</v>
      </c>
      <c r="B42" s="257" t="s">
        <v>1463</v>
      </c>
      <c r="C42" s="276">
        <v>44500</v>
      </c>
      <c r="D42" s="257" t="s">
        <v>1275</v>
      </c>
      <c r="E42" s="256" t="s">
        <v>1808</v>
      </c>
      <c r="F42" s="256" t="s">
        <v>1894</v>
      </c>
      <c r="G42" s="258">
        <v>27688000000</v>
      </c>
      <c r="H42" s="265">
        <v>0.1</v>
      </c>
      <c r="I42" s="258">
        <v>2768800000</v>
      </c>
      <c r="J42" s="258">
        <v>30456800000</v>
      </c>
      <c r="K42" s="256" t="s">
        <v>1346</v>
      </c>
    </row>
    <row r="43" spans="1:11" x14ac:dyDescent="0.3">
      <c r="A43" s="256">
        <v>36</v>
      </c>
      <c r="B43" s="257" t="s">
        <v>1396</v>
      </c>
      <c r="C43" s="276">
        <v>44561</v>
      </c>
      <c r="D43" s="257" t="s">
        <v>1301</v>
      </c>
      <c r="E43" s="256" t="s">
        <v>1781</v>
      </c>
      <c r="F43" s="256" t="s">
        <v>1895</v>
      </c>
      <c r="G43" s="258">
        <v>27156000000</v>
      </c>
      <c r="H43" s="265">
        <v>0</v>
      </c>
      <c r="I43" s="258">
        <v>0</v>
      </c>
      <c r="J43" s="258">
        <v>27156000000</v>
      </c>
      <c r="K43" s="256" t="s">
        <v>1346</v>
      </c>
    </row>
    <row r="44" spans="1:11" x14ac:dyDescent="0.3">
      <c r="A44" s="256">
        <v>37</v>
      </c>
      <c r="B44" s="257" t="s">
        <v>1469</v>
      </c>
      <c r="C44" s="276">
        <v>44561</v>
      </c>
      <c r="D44" s="257" t="s">
        <v>1277</v>
      </c>
      <c r="E44" s="256" t="s">
        <v>1783</v>
      </c>
      <c r="F44" s="256" t="s">
        <v>1897</v>
      </c>
      <c r="G44" s="258">
        <v>14236000000</v>
      </c>
      <c r="H44" s="265">
        <v>0.1</v>
      </c>
      <c r="I44" s="258">
        <v>1423600000</v>
      </c>
      <c r="J44" s="258">
        <v>15659600000</v>
      </c>
      <c r="K44" s="256" t="s">
        <v>1348</v>
      </c>
    </row>
    <row r="45" spans="1:11" x14ac:dyDescent="0.3">
      <c r="A45" s="256">
        <v>38</v>
      </c>
      <c r="B45" s="257" t="s">
        <v>1385</v>
      </c>
      <c r="C45" s="276">
        <v>44561</v>
      </c>
      <c r="D45" s="257" t="s">
        <v>1295</v>
      </c>
      <c r="E45" s="256" t="s">
        <v>1825</v>
      </c>
      <c r="F45" s="256" t="s">
        <v>1897</v>
      </c>
      <c r="G45" s="258">
        <v>12141000000</v>
      </c>
      <c r="H45" s="265">
        <v>0.1</v>
      </c>
      <c r="I45" s="258">
        <v>1214100000</v>
      </c>
      <c r="J45" s="258">
        <v>13355100000</v>
      </c>
      <c r="K45" s="256" t="s">
        <v>1346</v>
      </c>
    </row>
    <row r="46" spans="1:11" x14ac:dyDescent="0.3">
      <c r="A46" s="256">
        <v>39</v>
      </c>
      <c r="B46" s="257" t="s">
        <v>1397</v>
      </c>
      <c r="C46" s="276">
        <v>44561</v>
      </c>
      <c r="D46" s="257" t="s">
        <v>1299</v>
      </c>
      <c r="E46" s="256" t="s">
        <v>1776</v>
      </c>
      <c r="F46" s="256" t="s">
        <v>1769</v>
      </c>
      <c r="G46" s="258">
        <v>30214000000</v>
      </c>
      <c r="H46" s="265">
        <v>0.1</v>
      </c>
      <c r="I46" s="258">
        <v>3021400000</v>
      </c>
      <c r="J46" s="258">
        <v>33235400000</v>
      </c>
      <c r="K46" s="256" t="s">
        <v>1346</v>
      </c>
    </row>
    <row r="47" spans="1:11" x14ac:dyDescent="0.3">
      <c r="A47" s="256">
        <v>40</v>
      </c>
      <c r="B47" s="257" t="s">
        <v>1459</v>
      </c>
      <c r="C47" s="276">
        <v>44561</v>
      </c>
      <c r="D47" s="257" t="s">
        <v>1271</v>
      </c>
      <c r="E47" s="256" t="s">
        <v>1799</v>
      </c>
      <c r="F47" s="256" t="s">
        <v>1897</v>
      </c>
      <c r="G47" s="258">
        <v>17741000000</v>
      </c>
      <c r="H47" s="265">
        <v>0.1</v>
      </c>
      <c r="I47" s="258">
        <v>1774100000</v>
      </c>
      <c r="J47" s="258">
        <v>19515100000</v>
      </c>
      <c r="K47" s="256" t="s">
        <v>1348</v>
      </c>
    </row>
    <row r="48" spans="1:11" x14ac:dyDescent="0.3">
      <c r="A48" s="256">
        <v>41</v>
      </c>
      <c r="B48" s="257" t="s">
        <v>1205</v>
      </c>
      <c r="C48" s="276">
        <v>44561</v>
      </c>
      <c r="D48" s="257" t="s">
        <v>1296</v>
      </c>
      <c r="E48" s="256" t="s">
        <v>1807</v>
      </c>
      <c r="F48" s="256" t="s">
        <v>1894</v>
      </c>
      <c r="G48" s="258">
        <v>27702000000</v>
      </c>
      <c r="H48" s="265">
        <v>0.1</v>
      </c>
      <c r="I48" s="258">
        <v>2770200000</v>
      </c>
      <c r="J48" s="258">
        <v>30472200000</v>
      </c>
      <c r="K48" s="256" t="s">
        <v>1346</v>
      </c>
    </row>
    <row r="49" spans="1:11" x14ac:dyDescent="0.3">
      <c r="A49" s="256">
        <v>42</v>
      </c>
      <c r="B49" s="257" t="s">
        <v>1463</v>
      </c>
      <c r="C49" s="276">
        <v>44561</v>
      </c>
      <c r="D49" s="257" t="s">
        <v>1270</v>
      </c>
      <c r="E49" s="256" t="s">
        <v>1782</v>
      </c>
      <c r="F49" s="256" t="s">
        <v>1897</v>
      </c>
      <c r="G49" s="258">
        <v>30913000000</v>
      </c>
      <c r="H49" s="265">
        <v>0.1</v>
      </c>
      <c r="I49" s="258">
        <v>3091300000</v>
      </c>
      <c r="J49" s="258">
        <v>34004300000</v>
      </c>
      <c r="K49" s="256" t="s">
        <v>1346</v>
      </c>
    </row>
    <row r="50" spans="1:11" x14ac:dyDescent="0.3">
      <c r="A50" s="256">
        <v>43</v>
      </c>
      <c r="B50" s="257" t="s">
        <v>1415</v>
      </c>
      <c r="C50" s="276">
        <v>44561</v>
      </c>
      <c r="D50" s="257" t="s">
        <v>1288</v>
      </c>
      <c r="E50" s="256" t="s">
        <v>1797</v>
      </c>
      <c r="F50" s="256" t="s">
        <v>1769</v>
      </c>
      <c r="G50" s="258">
        <v>35042000000</v>
      </c>
      <c r="H50" s="265">
        <v>0.1</v>
      </c>
      <c r="I50" s="258">
        <v>3504200000</v>
      </c>
      <c r="J50" s="258">
        <v>38546200000</v>
      </c>
      <c r="K50" s="256" t="s">
        <v>1348</v>
      </c>
    </row>
    <row r="51" spans="1:11" x14ac:dyDescent="0.3">
      <c r="A51" s="256">
        <v>44</v>
      </c>
      <c r="B51" s="257" t="s">
        <v>1403</v>
      </c>
      <c r="C51" s="276">
        <v>44561</v>
      </c>
      <c r="D51" s="257" t="s">
        <v>1264</v>
      </c>
      <c r="E51" s="256" t="s">
        <v>1779</v>
      </c>
      <c r="F51" s="256" t="s">
        <v>1894</v>
      </c>
      <c r="G51" s="258">
        <v>35026000000</v>
      </c>
      <c r="H51" s="265">
        <v>0.1</v>
      </c>
      <c r="I51" s="258">
        <v>3502600000</v>
      </c>
      <c r="J51" s="258">
        <v>38528600000</v>
      </c>
      <c r="K51" s="256" t="s">
        <v>1346</v>
      </c>
    </row>
    <row r="52" spans="1:11" x14ac:dyDescent="0.3">
      <c r="A52" s="256">
        <v>45</v>
      </c>
      <c r="B52" s="257" t="s">
        <v>1206</v>
      </c>
      <c r="C52" s="276">
        <v>44561</v>
      </c>
      <c r="D52" s="257" t="s">
        <v>1288</v>
      </c>
      <c r="E52" s="256" t="s">
        <v>1797</v>
      </c>
      <c r="F52" s="256" t="s">
        <v>1897</v>
      </c>
      <c r="G52" s="258">
        <v>25553000000</v>
      </c>
      <c r="H52" s="265">
        <v>0</v>
      </c>
      <c r="I52" s="258">
        <v>0</v>
      </c>
      <c r="J52" s="258">
        <v>25553000000</v>
      </c>
      <c r="K52" s="256" t="s">
        <v>1346</v>
      </c>
    </row>
    <row r="53" spans="1:11" x14ac:dyDescent="0.3">
      <c r="A53" s="256">
        <v>46</v>
      </c>
      <c r="B53" s="257" t="s">
        <v>1409</v>
      </c>
      <c r="C53" s="276">
        <v>44561</v>
      </c>
      <c r="D53" s="257" t="s">
        <v>1265</v>
      </c>
      <c r="E53" s="256" t="s">
        <v>1830</v>
      </c>
      <c r="F53" s="256" t="s">
        <v>1897</v>
      </c>
      <c r="G53" s="258">
        <v>20329000000</v>
      </c>
      <c r="H53" s="265">
        <v>0.1</v>
      </c>
      <c r="I53" s="258">
        <v>2032900000</v>
      </c>
      <c r="J53" s="258">
        <v>22361900000</v>
      </c>
      <c r="K53" s="256" t="s">
        <v>1346</v>
      </c>
    </row>
    <row r="54" spans="1:11" x14ac:dyDescent="0.3">
      <c r="A54" s="256">
        <v>47</v>
      </c>
      <c r="B54" s="257" t="s">
        <v>1397</v>
      </c>
      <c r="C54" s="276">
        <v>44561</v>
      </c>
      <c r="D54" s="257" t="s">
        <v>1287</v>
      </c>
      <c r="E54" s="256" t="s">
        <v>1801</v>
      </c>
      <c r="F54" s="256" t="s">
        <v>1895</v>
      </c>
      <c r="G54" s="258">
        <v>29637000000</v>
      </c>
      <c r="H54" s="265">
        <v>0.1</v>
      </c>
      <c r="I54" s="258">
        <v>2963700000</v>
      </c>
      <c r="J54" s="258">
        <v>32600700000</v>
      </c>
      <c r="K54" s="256" t="s">
        <v>1346</v>
      </c>
    </row>
    <row r="55" spans="1:11" x14ac:dyDescent="0.3">
      <c r="A55" s="256">
        <v>48</v>
      </c>
      <c r="B55" s="257" t="s">
        <v>1398</v>
      </c>
      <c r="C55" s="276">
        <v>44561</v>
      </c>
      <c r="D55" s="257" t="s">
        <v>1287</v>
      </c>
      <c r="E55" s="256" t="s">
        <v>1801</v>
      </c>
      <c r="F55" s="256" t="s">
        <v>1897</v>
      </c>
      <c r="G55" s="258">
        <v>23132000000</v>
      </c>
      <c r="H55" s="265">
        <v>0.1</v>
      </c>
      <c r="I55" s="258">
        <v>2313200000</v>
      </c>
      <c r="J55" s="258">
        <v>25445200000</v>
      </c>
      <c r="K55" s="256" t="s">
        <v>1346</v>
      </c>
    </row>
    <row r="56" spans="1:11" x14ac:dyDescent="0.3">
      <c r="A56" s="256">
        <v>49</v>
      </c>
      <c r="B56" s="257" t="s">
        <v>1383</v>
      </c>
      <c r="C56" s="276">
        <v>44561</v>
      </c>
      <c r="D56" s="257" t="s">
        <v>1298</v>
      </c>
      <c r="E56" s="256" t="s">
        <v>1819</v>
      </c>
      <c r="F56" s="256" t="s">
        <v>1895</v>
      </c>
      <c r="G56" s="258">
        <v>24567000000</v>
      </c>
      <c r="H56" s="265">
        <v>0.1</v>
      </c>
      <c r="I56" s="258">
        <v>2456700000</v>
      </c>
      <c r="J56" s="258">
        <v>27023700000</v>
      </c>
      <c r="K56" s="256" t="s">
        <v>1346</v>
      </c>
    </row>
    <row r="57" spans="1:11" x14ac:dyDescent="0.3">
      <c r="A57" s="256">
        <v>50</v>
      </c>
      <c r="B57" s="257" t="s">
        <v>1392</v>
      </c>
      <c r="C57" s="276">
        <v>44561</v>
      </c>
      <c r="D57" s="257" t="s">
        <v>1291</v>
      </c>
      <c r="E57" s="256" t="s">
        <v>1800</v>
      </c>
      <c r="F57" s="256" t="s">
        <v>1850</v>
      </c>
      <c r="G57" s="258">
        <v>30121000000</v>
      </c>
      <c r="H57" s="265">
        <v>0.1</v>
      </c>
      <c r="I57" s="258">
        <v>3012100000</v>
      </c>
      <c r="J57" s="258">
        <v>33133100000</v>
      </c>
      <c r="K57" s="256" t="s">
        <v>1348</v>
      </c>
    </row>
    <row r="58" spans="1:11" x14ac:dyDescent="0.3">
      <c r="A58" s="266" t="s">
        <v>1351</v>
      </c>
      <c r="B58" s="266"/>
      <c r="C58" s="266"/>
      <c r="D58" s="266"/>
      <c r="E58" s="266"/>
      <c r="F58" s="266"/>
      <c r="G58" s="267">
        <f>SUM(G8:G57)</f>
        <v>1195027000000</v>
      </c>
      <c r="H58" s="266"/>
      <c r="I58" s="267">
        <f>SUM(I8:I57)</f>
        <v>109573800000</v>
      </c>
      <c r="J58" s="267">
        <f>SUM(J8:J57)</f>
        <v>1304600800000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1302</v>
      </c>
      <c r="E62" s="256" t="s">
        <v>1784</v>
      </c>
      <c r="F62" s="256" t="s">
        <v>1898</v>
      </c>
      <c r="G62" s="258">
        <v>16172000000</v>
      </c>
      <c r="H62" s="265">
        <v>0.1</v>
      </c>
      <c r="I62" s="258">
        <v>1617200000</v>
      </c>
      <c r="J62" s="258">
        <v>17789200000</v>
      </c>
      <c r="K62" s="256" t="s">
        <v>1346</v>
      </c>
    </row>
    <row r="63" spans="1:11" x14ac:dyDescent="0.3">
      <c r="A63" s="256">
        <v>2</v>
      </c>
      <c r="B63" s="257" t="s">
        <v>1201</v>
      </c>
      <c r="C63" s="276">
        <v>44318</v>
      </c>
      <c r="D63" s="257" t="s">
        <v>1288</v>
      </c>
      <c r="E63" s="256" t="s">
        <v>1797</v>
      </c>
      <c r="F63" s="256" t="s">
        <v>1771</v>
      </c>
      <c r="G63" s="258">
        <v>21775000000</v>
      </c>
      <c r="H63" s="265">
        <v>0.1</v>
      </c>
      <c r="I63" s="258">
        <v>2177500000</v>
      </c>
      <c r="J63" s="258">
        <v>23952500000</v>
      </c>
      <c r="K63" s="256" t="s">
        <v>1346</v>
      </c>
    </row>
    <row r="64" spans="1:11" x14ac:dyDescent="0.3">
      <c r="A64" s="256">
        <v>3</v>
      </c>
      <c r="B64" s="257" t="s">
        <v>1202</v>
      </c>
      <c r="C64" s="276">
        <v>44472</v>
      </c>
      <c r="D64" s="257" t="s">
        <v>1292</v>
      </c>
      <c r="E64" s="256" t="s">
        <v>1792</v>
      </c>
      <c r="F64" s="256" t="s">
        <v>1899</v>
      </c>
      <c r="G64" s="258">
        <v>32272000000</v>
      </c>
      <c r="H64" s="265">
        <v>0.1</v>
      </c>
      <c r="I64" s="258">
        <v>3227200000</v>
      </c>
      <c r="J64" s="258">
        <v>35499200000</v>
      </c>
      <c r="K64" s="256" t="s">
        <v>1346</v>
      </c>
    </row>
    <row r="65" spans="1:11" x14ac:dyDescent="0.3">
      <c r="A65" s="256">
        <v>4</v>
      </c>
      <c r="B65" s="257" t="s">
        <v>1355</v>
      </c>
      <c r="C65" s="276">
        <v>44473</v>
      </c>
      <c r="D65" s="257" t="s">
        <v>1296</v>
      </c>
      <c r="E65" s="256" t="s">
        <v>1807</v>
      </c>
      <c r="F65" s="256" t="s">
        <v>1771</v>
      </c>
      <c r="G65" s="258">
        <v>38801000000</v>
      </c>
      <c r="H65" s="265">
        <v>0.1</v>
      </c>
      <c r="I65" s="258">
        <v>3880100000</v>
      </c>
      <c r="J65" s="258">
        <v>42681100000</v>
      </c>
      <c r="K65" s="256" t="s">
        <v>1348</v>
      </c>
    </row>
    <row r="66" spans="1:11" x14ac:dyDescent="0.3">
      <c r="A66" s="256">
        <v>5</v>
      </c>
      <c r="B66" s="257" t="s">
        <v>1356</v>
      </c>
      <c r="C66" s="276">
        <v>44474</v>
      </c>
      <c r="D66" s="257" t="s">
        <v>1272</v>
      </c>
      <c r="E66" s="256" t="s">
        <v>1805</v>
      </c>
      <c r="F66" s="256" t="s">
        <v>1900</v>
      </c>
      <c r="G66" s="258">
        <v>44279000000</v>
      </c>
      <c r="H66" s="265">
        <v>0.1</v>
      </c>
      <c r="I66" s="258">
        <v>4427900000</v>
      </c>
      <c r="J66" s="258">
        <v>48706900000</v>
      </c>
      <c r="K66" s="256" t="s">
        <v>1346</v>
      </c>
    </row>
    <row r="67" spans="1:11" x14ac:dyDescent="0.3">
      <c r="A67" s="256">
        <v>6</v>
      </c>
      <c r="B67" s="257" t="s">
        <v>1358</v>
      </c>
      <c r="C67" s="276">
        <v>44475</v>
      </c>
      <c r="D67" s="257" t="s">
        <v>1295</v>
      </c>
      <c r="E67" s="256" t="s">
        <v>1825</v>
      </c>
      <c r="F67" s="256" t="s">
        <v>1899</v>
      </c>
      <c r="G67" s="258">
        <v>17740000000</v>
      </c>
      <c r="H67" s="265">
        <v>0.1</v>
      </c>
      <c r="I67" s="258">
        <v>1774000000</v>
      </c>
      <c r="J67" s="258">
        <v>19514000000</v>
      </c>
      <c r="K67" s="256" t="s">
        <v>1346</v>
      </c>
    </row>
    <row r="68" spans="1:11" x14ac:dyDescent="0.3">
      <c r="A68" s="256">
        <v>7</v>
      </c>
      <c r="B68" s="257" t="s">
        <v>1360</v>
      </c>
      <c r="C68" s="276">
        <v>44476</v>
      </c>
      <c r="D68" s="257" t="s">
        <v>1287</v>
      </c>
      <c r="E68" s="256" t="s">
        <v>1801</v>
      </c>
      <c r="F68" s="256" t="s">
        <v>1771</v>
      </c>
      <c r="G68" s="258">
        <v>34044000000</v>
      </c>
      <c r="H68" s="265">
        <v>0</v>
      </c>
      <c r="I68" s="258">
        <v>0</v>
      </c>
      <c r="J68" s="258">
        <v>34044000000</v>
      </c>
      <c r="K68" s="256" t="s">
        <v>1348</v>
      </c>
    </row>
    <row r="69" spans="1:11" x14ac:dyDescent="0.3">
      <c r="A69" s="256">
        <v>8</v>
      </c>
      <c r="B69" s="257" t="s">
        <v>1362</v>
      </c>
      <c r="C69" s="276">
        <v>44477</v>
      </c>
      <c r="D69" s="257" t="s">
        <v>1261</v>
      </c>
      <c r="E69" s="256" t="s">
        <v>1813</v>
      </c>
      <c r="F69" s="256" t="s">
        <v>1771</v>
      </c>
      <c r="G69" s="258">
        <v>44532000000</v>
      </c>
      <c r="H69" s="265">
        <v>0.1</v>
      </c>
      <c r="I69" s="258">
        <v>4453200000</v>
      </c>
      <c r="J69" s="258">
        <v>48985200000</v>
      </c>
      <c r="K69" s="256" t="s">
        <v>1346</v>
      </c>
    </row>
    <row r="70" spans="1:11" x14ac:dyDescent="0.3">
      <c r="A70" s="256">
        <v>9</v>
      </c>
      <c r="B70" s="257" t="s">
        <v>1364</v>
      </c>
      <c r="C70" s="276">
        <v>44478</v>
      </c>
      <c r="D70" s="257" t="s">
        <v>1281</v>
      </c>
      <c r="E70" s="256" t="s">
        <v>1806</v>
      </c>
      <c r="F70" s="256" t="s">
        <v>1900</v>
      </c>
      <c r="G70" s="258">
        <v>45016000000</v>
      </c>
      <c r="H70" s="265">
        <v>0.1</v>
      </c>
      <c r="I70" s="258">
        <v>4501600000</v>
      </c>
      <c r="J70" s="258">
        <v>49517600000</v>
      </c>
      <c r="K70" s="256" t="s">
        <v>1346</v>
      </c>
    </row>
    <row r="71" spans="1:11" x14ac:dyDescent="0.3">
      <c r="A71" s="256">
        <v>10</v>
      </c>
      <c r="B71" s="257" t="s">
        <v>1366</v>
      </c>
      <c r="C71" s="276">
        <v>44479</v>
      </c>
      <c r="D71" s="257" t="s">
        <v>1291</v>
      </c>
      <c r="E71" s="256" t="s">
        <v>1800</v>
      </c>
      <c r="F71" s="256" t="s">
        <v>1898</v>
      </c>
      <c r="G71" s="258">
        <v>21165000000</v>
      </c>
      <c r="H71" s="265">
        <v>0.1</v>
      </c>
      <c r="I71" s="258">
        <v>2116500000</v>
      </c>
      <c r="J71" s="258">
        <v>23281500000</v>
      </c>
      <c r="K71" s="256" t="s">
        <v>1346</v>
      </c>
    </row>
    <row r="72" spans="1:11" x14ac:dyDescent="0.3">
      <c r="A72" s="256">
        <v>11</v>
      </c>
      <c r="B72" s="257" t="s">
        <v>1368</v>
      </c>
      <c r="C72" s="276">
        <v>44480</v>
      </c>
      <c r="D72" s="257" t="s">
        <v>1257</v>
      </c>
      <c r="E72" s="256" t="s">
        <v>1815</v>
      </c>
      <c r="F72" s="256" t="s">
        <v>1898</v>
      </c>
      <c r="G72" s="258">
        <v>33402000000</v>
      </c>
      <c r="H72" s="265">
        <v>0.1</v>
      </c>
      <c r="I72" s="258">
        <v>3340200000</v>
      </c>
      <c r="J72" s="258">
        <v>36742200000</v>
      </c>
      <c r="K72" s="256" t="s">
        <v>1346</v>
      </c>
    </row>
    <row r="73" spans="1:11" x14ac:dyDescent="0.3">
      <c r="A73" s="256">
        <v>12</v>
      </c>
      <c r="B73" s="257" t="s">
        <v>1371</v>
      </c>
      <c r="C73" s="276">
        <v>44481</v>
      </c>
      <c r="D73" s="257" t="s">
        <v>1284</v>
      </c>
      <c r="E73" s="256" t="s">
        <v>1786</v>
      </c>
      <c r="F73" s="256" t="s">
        <v>1899</v>
      </c>
      <c r="G73" s="258">
        <v>22590000000</v>
      </c>
      <c r="H73" s="265">
        <v>0.1</v>
      </c>
      <c r="I73" s="258">
        <v>2259000000</v>
      </c>
      <c r="J73" s="258">
        <v>24849000000</v>
      </c>
      <c r="K73" s="256" t="s">
        <v>1346</v>
      </c>
    </row>
    <row r="74" spans="1:11" x14ac:dyDescent="0.3">
      <c r="A74" s="256">
        <v>13</v>
      </c>
      <c r="B74" s="257" t="s">
        <v>1373</v>
      </c>
      <c r="C74" s="276">
        <v>44211</v>
      </c>
      <c r="D74" s="257" t="s">
        <v>1276</v>
      </c>
      <c r="E74" s="256" t="s">
        <v>1822</v>
      </c>
      <c r="F74" s="256" t="s">
        <v>1900</v>
      </c>
      <c r="G74" s="258">
        <v>37512000000</v>
      </c>
      <c r="H74" s="265">
        <v>0.1</v>
      </c>
      <c r="I74" s="258">
        <v>3751200000</v>
      </c>
      <c r="J74" s="258">
        <v>41263200000</v>
      </c>
      <c r="K74" s="256" t="s">
        <v>1346</v>
      </c>
    </row>
    <row r="75" spans="1:11" x14ac:dyDescent="0.3">
      <c r="A75" s="256">
        <v>14</v>
      </c>
      <c r="B75" s="257" t="s">
        <v>1374</v>
      </c>
      <c r="C75" s="276">
        <v>44242</v>
      </c>
      <c r="D75" s="257" t="s">
        <v>1278</v>
      </c>
      <c r="E75" s="256" t="s">
        <v>1785</v>
      </c>
      <c r="F75" s="256" t="s">
        <v>1900</v>
      </c>
      <c r="G75" s="258">
        <v>27969000000</v>
      </c>
      <c r="H75" s="265">
        <v>0.1</v>
      </c>
      <c r="I75" s="258">
        <v>2796900000</v>
      </c>
      <c r="J75" s="258">
        <v>30765900000</v>
      </c>
      <c r="K75" s="256" t="s">
        <v>1346</v>
      </c>
    </row>
    <row r="76" spans="1:11" x14ac:dyDescent="0.3">
      <c r="A76" s="256">
        <v>15</v>
      </c>
      <c r="B76" s="257" t="s">
        <v>1376</v>
      </c>
      <c r="C76" s="276">
        <v>44275</v>
      </c>
      <c r="D76" s="257" t="s">
        <v>1298</v>
      </c>
      <c r="E76" s="256" t="s">
        <v>1819</v>
      </c>
      <c r="F76" s="256" t="s">
        <v>1898</v>
      </c>
      <c r="G76" s="258">
        <v>19115000000</v>
      </c>
      <c r="H76" s="265">
        <v>0.1</v>
      </c>
      <c r="I76" s="258">
        <v>1911500000</v>
      </c>
      <c r="J76" s="258">
        <v>21026500000</v>
      </c>
      <c r="K76" s="256" t="s">
        <v>1346</v>
      </c>
    </row>
    <row r="77" spans="1:11" x14ac:dyDescent="0.3">
      <c r="A77" s="256">
        <v>16</v>
      </c>
      <c r="B77" s="257" t="s">
        <v>1378</v>
      </c>
      <c r="C77" s="276">
        <v>44306</v>
      </c>
      <c r="D77" s="257" t="s">
        <v>1298</v>
      </c>
      <c r="E77" s="256" t="s">
        <v>1819</v>
      </c>
      <c r="F77" s="256" t="s">
        <v>1899</v>
      </c>
      <c r="G77" s="258">
        <v>17310000000</v>
      </c>
      <c r="H77" s="265">
        <v>0.1</v>
      </c>
      <c r="I77" s="258">
        <v>1731000000</v>
      </c>
      <c r="J77" s="258">
        <v>19041000000</v>
      </c>
      <c r="K77" s="256" t="s">
        <v>1346</v>
      </c>
    </row>
    <row r="78" spans="1:11" x14ac:dyDescent="0.3">
      <c r="A78" s="256">
        <v>17</v>
      </c>
      <c r="B78" s="257" t="s">
        <v>1379</v>
      </c>
      <c r="C78" s="276">
        <v>44336</v>
      </c>
      <c r="D78" s="257" t="s">
        <v>1268</v>
      </c>
      <c r="E78" s="256" t="s">
        <v>1821</v>
      </c>
      <c r="F78" s="256" t="s">
        <v>1899</v>
      </c>
      <c r="G78" s="258">
        <v>21598000000</v>
      </c>
      <c r="H78" s="265">
        <v>0.1</v>
      </c>
      <c r="I78" s="258">
        <v>2159800000</v>
      </c>
      <c r="J78" s="258">
        <v>23757800000</v>
      </c>
      <c r="K78" s="256" t="s">
        <v>1346</v>
      </c>
    </row>
    <row r="79" spans="1:11" x14ac:dyDescent="0.3">
      <c r="A79" s="256">
        <v>18</v>
      </c>
      <c r="B79" s="257" t="s">
        <v>1381</v>
      </c>
      <c r="C79" s="276">
        <v>44367</v>
      </c>
      <c r="D79" s="257" t="s">
        <v>1258</v>
      </c>
      <c r="E79" s="256" t="s">
        <v>1833</v>
      </c>
      <c r="F79" s="256" t="s">
        <v>1771</v>
      </c>
      <c r="G79" s="258">
        <v>18206000000</v>
      </c>
      <c r="H79" s="265">
        <v>0.1</v>
      </c>
      <c r="I79" s="258">
        <v>1820600000</v>
      </c>
      <c r="J79" s="258">
        <v>20026600000</v>
      </c>
      <c r="K79" s="256" t="s">
        <v>1346</v>
      </c>
    </row>
    <row r="80" spans="1:11" x14ac:dyDescent="0.3">
      <c r="A80" s="256">
        <v>19</v>
      </c>
      <c r="B80" s="257" t="s">
        <v>1382</v>
      </c>
      <c r="C80" s="276">
        <v>44397</v>
      </c>
      <c r="D80" s="257" t="s">
        <v>1257</v>
      </c>
      <c r="E80" s="256" t="s">
        <v>1815</v>
      </c>
      <c r="F80" s="256" t="s">
        <v>1898</v>
      </c>
      <c r="G80" s="258">
        <v>30211000000</v>
      </c>
      <c r="H80" s="265">
        <v>0.1</v>
      </c>
      <c r="I80" s="258">
        <v>3021100000</v>
      </c>
      <c r="J80" s="258">
        <v>33232100000</v>
      </c>
      <c r="K80" s="256" t="s">
        <v>1346</v>
      </c>
    </row>
    <row r="81" spans="1:11" x14ac:dyDescent="0.3">
      <c r="A81" s="256">
        <v>20</v>
      </c>
      <c r="B81" s="257" t="s">
        <v>1383</v>
      </c>
      <c r="C81" s="276">
        <v>44428</v>
      </c>
      <c r="D81" s="257" t="s">
        <v>1266</v>
      </c>
      <c r="E81" s="256" t="s">
        <v>1824</v>
      </c>
      <c r="F81" s="256" t="s">
        <v>1900</v>
      </c>
      <c r="G81" s="258">
        <v>46121000000</v>
      </c>
      <c r="H81" s="265">
        <v>0.1</v>
      </c>
      <c r="I81" s="258">
        <v>4612100000</v>
      </c>
      <c r="J81" s="258">
        <v>50733100000</v>
      </c>
      <c r="K81" s="256" t="s">
        <v>1346</v>
      </c>
    </row>
    <row r="82" spans="1:11" x14ac:dyDescent="0.3">
      <c r="A82" s="256">
        <v>21</v>
      </c>
      <c r="B82" s="257" t="s">
        <v>1203</v>
      </c>
      <c r="C82" s="276">
        <v>44459</v>
      </c>
      <c r="D82" s="257" t="s">
        <v>1304</v>
      </c>
      <c r="E82" s="256" t="s">
        <v>1831</v>
      </c>
      <c r="F82" s="256" t="s">
        <v>1898</v>
      </c>
      <c r="G82" s="258">
        <v>22239000000</v>
      </c>
      <c r="H82" s="265">
        <v>0.1</v>
      </c>
      <c r="I82" s="258">
        <v>2223900000</v>
      </c>
      <c r="J82" s="258">
        <v>24462900000</v>
      </c>
      <c r="K82" s="256" t="s">
        <v>1346</v>
      </c>
    </row>
    <row r="83" spans="1:11" x14ac:dyDescent="0.3">
      <c r="A83" s="256">
        <v>22</v>
      </c>
      <c r="B83" s="257" t="s">
        <v>1204</v>
      </c>
      <c r="C83" s="276">
        <v>44489</v>
      </c>
      <c r="D83" s="257" t="s">
        <v>1257</v>
      </c>
      <c r="E83" s="256" t="s">
        <v>1815</v>
      </c>
      <c r="F83" s="256" t="s">
        <v>1771</v>
      </c>
      <c r="G83" s="258">
        <v>19723000000</v>
      </c>
      <c r="H83" s="265">
        <v>0.1</v>
      </c>
      <c r="I83" s="258">
        <v>1972300000</v>
      </c>
      <c r="J83" s="258">
        <v>21695300000</v>
      </c>
      <c r="K83" s="256" t="s">
        <v>1346</v>
      </c>
    </row>
    <row r="84" spans="1:11" x14ac:dyDescent="0.3">
      <c r="A84" s="256">
        <v>23</v>
      </c>
      <c r="B84" s="257" t="s">
        <v>1205</v>
      </c>
      <c r="C84" s="276">
        <v>44520</v>
      </c>
      <c r="D84" s="257" t="s">
        <v>1297</v>
      </c>
      <c r="E84" s="256" t="s">
        <v>1820</v>
      </c>
      <c r="F84" s="256" t="s">
        <v>1900</v>
      </c>
      <c r="G84" s="258">
        <v>46271000000</v>
      </c>
      <c r="H84" s="265">
        <v>0.1</v>
      </c>
      <c r="I84" s="258">
        <v>4627100000</v>
      </c>
      <c r="J84" s="258">
        <v>50898100000</v>
      </c>
      <c r="K84" s="256" t="s">
        <v>1346</v>
      </c>
    </row>
    <row r="85" spans="1:11" x14ac:dyDescent="0.3">
      <c r="A85" s="256">
        <v>24</v>
      </c>
      <c r="B85" s="257" t="s">
        <v>1385</v>
      </c>
      <c r="C85" s="276">
        <v>44550</v>
      </c>
      <c r="D85" s="257" t="s">
        <v>1262</v>
      </c>
      <c r="E85" s="256" t="s">
        <v>1816</v>
      </c>
      <c r="F85" s="256" t="s">
        <v>1771</v>
      </c>
      <c r="G85" s="258">
        <v>13144000000</v>
      </c>
      <c r="H85" s="265">
        <v>0.1</v>
      </c>
      <c r="I85" s="258">
        <v>1314400000</v>
      </c>
      <c r="J85" s="258">
        <v>14458400000</v>
      </c>
      <c r="K85" s="256" t="s">
        <v>1348</v>
      </c>
    </row>
    <row r="86" spans="1:11" x14ac:dyDescent="0.3">
      <c r="A86" s="256">
        <v>25</v>
      </c>
      <c r="B86" s="257" t="s">
        <v>1387</v>
      </c>
      <c r="C86" s="276">
        <v>44221</v>
      </c>
      <c r="D86" s="257" t="s">
        <v>1287</v>
      </c>
      <c r="E86" s="256" t="s">
        <v>1801</v>
      </c>
      <c r="F86" s="256" t="s">
        <v>1899</v>
      </c>
      <c r="G86" s="258">
        <v>20295000000</v>
      </c>
      <c r="H86" s="265">
        <v>0.1</v>
      </c>
      <c r="I86" s="258">
        <v>2029500000</v>
      </c>
      <c r="J86" s="258">
        <v>22324500000</v>
      </c>
      <c r="K86" s="256" t="s">
        <v>1346</v>
      </c>
    </row>
    <row r="87" spans="1:11" x14ac:dyDescent="0.3">
      <c r="A87" s="256">
        <v>26</v>
      </c>
      <c r="B87" s="257" t="s">
        <v>1388</v>
      </c>
      <c r="C87" s="276">
        <v>44255</v>
      </c>
      <c r="D87" s="257" t="s">
        <v>1258</v>
      </c>
      <c r="E87" s="256" t="s">
        <v>1833</v>
      </c>
      <c r="F87" s="256" t="s">
        <v>1900</v>
      </c>
      <c r="G87" s="258">
        <v>48025000000</v>
      </c>
      <c r="H87" s="265">
        <v>0.1</v>
      </c>
      <c r="I87" s="258">
        <v>4802500000</v>
      </c>
      <c r="J87" s="258">
        <v>52827500000</v>
      </c>
      <c r="K87" s="256" t="s">
        <v>1346</v>
      </c>
    </row>
    <row r="88" spans="1:11" x14ac:dyDescent="0.3">
      <c r="A88" s="256">
        <v>27</v>
      </c>
      <c r="B88" s="257" t="s">
        <v>1391</v>
      </c>
      <c r="C88" s="276">
        <v>44316</v>
      </c>
      <c r="D88" s="257" t="s">
        <v>1266</v>
      </c>
      <c r="E88" s="256" t="s">
        <v>1824</v>
      </c>
      <c r="F88" s="256" t="s">
        <v>1899</v>
      </c>
      <c r="G88" s="258">
        <v>24695000000</v>
      </c>
      <c r="H88" s="265">
        <v>0.1</v>
      </c>
      <c r="I88" s="258">
        <v>2469500000</v>
      </c>
      <c r="J88" s="258">
        <v>27164500000</v>
      </c>
      <c r="K88" s="256" t="s">
        <v>1346</v>
      </c>
    </row>
    <row r="89" spans="1:11" x14ac:dyDescent="0.3">
      <c r="A89" s="256">
        <v>28</v>
      </c>
      <c r="B89" s="257" t="s">
        <v>1392</v>
      </c>
      <c r="C89" s="276">
        <v>44377</v>
      </c>
      <c r="D89" s="257" t="s">
        <v>1258</v>
      </c>
      <c r="E89" s="256" t="s">
        <v>1833</v>
      </c>
      <c r="F89" s="256" t="s">
        <v>1899</v>
      </c>
      <c r="G89" s="258">
        <v>47205000000</v>
      </c>
      <c r="H89" s="265">
        <v>0.1</v>
      </c>
      <c r="I89" s="258">
        <v>4720500000</v>
      </c>
      <c r="J89" s="258">
        <v>51925500000</v>
      </c>
      <c r="K89" s="256" t="s">
        <v>1346</v>
      </c>
    </row>
    <row r="90" spans="1:11" x14ac:dyDescent="0.3">
      <c r="A90" s="256">
        <v>29</v>
      </c>
      <c r="B90" s="257" t="s">
        <v>1394</v>
      </c>
      <c r="C90" s="276">
        <v>44469</v>
      </c>
      <c r="D90" s="257" t="s">
        <v>1296</v>
      </c>
      <c r="E90" s="256" t="s">
        <v>1807</v>
      </c>
      <c r="F90" s="256" t="s">
        <v>1771</v>
      </c>
      <c r="G90" s="258">
        <v>44827000000</v>
      </c>
      <c r="H90" s="265">
        <v>0.1</v>
      </c>
      <c r="I90" s="258">
        <v>4482700000</v>
      </c>
      <c r="J90" s="258">
        <v>49309700000</v>
      </c>
      <c r="K90" s="256" t="s">
        <v>1346</v>
      </c>
    </row>
    <row r="91" spans="1:11" x14ac:dyDescent="0.3">
      <c r="A91" s="256">
        <v>30</v>
      </c>
      <c r="B91" s="257" t="s">
        <v>1396</v>
      </c>
      <c r="C91" s="276">
        <v>44530</v>
      </c>
      <c r="D91" s="257" t="s">
        <v>1301</v>
      </c>
      <c r="E91" s="256" t="s">
        <v>1781</v>
      </c>
      <c r="F91" s="256" t="s">
        <v>1898</v>
      </c>
      <c r="G91" s="258">
        <v>42495000000</v>
      </c>
      <c r="H91" s="265">
        <v>0</v>
      </c>
      <c r="I91" s="258">
        <v>0</v>
      </c>
      <c r="J91" s="258">
        <v>42495000000</v>
      </c>
      <c r="K91" s="256" t="s">
        <v>1346</v>
      </c>
    </row>
    <row r="92" spans="1:11" x14ac:dyDescent="0.3">
      <c r="A92" s="256">
        <v>31</v>
      </c>
      <c r="B92" s="257" t="s">
        <v>1397</v>
      </c>
      <c r="C92" s="276">
        <v>44286</v>
      </c>
      <c r="D92" s="257" t="s">
        <v>1297</v>
      </c>
      <c r="E92" s="256" t="s">
        <v>1820</v>
      </c>
      <c r="F92" s="256" t="s">
        <v>1899</v>
      </c>
      <c r="G92" s="258">
        <v>45354000000</v>
      </c>
      <c r="H92" s="265">
        <v>0.1</v>
      </c>
      <c r="I92" s="258">
        <v>4535400000</v>
      </c>
      <c r="J92" s="258">
        <v>49889400000</v>
      </c>
      <c r="K92" s="256" t="s">
        <v>1346</v>
      </c>
    </row>
    <row r="93" spans="1:11" x14ac:dyDescent="0.3">
      <c r="A93" s="256">
        <v>32</v>
      </c>
      <c r="B93" s="257" t="s">
        <v>1398</v>
      </c>
      <c r="C93" s="276">
        <v>44347</v>
      </c>
      <c r="D93" s="257" t="s">
        <v>1300</v>
      </c>
      <c r="E93" s="256" t="s">
        <v>1818</v>
      </c>
      <c r="F93" s="256" t="s">
        <v>1771</v>
      </c>
      <c r="G93" s="258">
        <v>48613000000</v>
      </c>
      <c r="H93" s="265">
        <v>0.1</v>
      </c>
      <c r="I93" s="258">
        <v>4861300000</v>
      </c>
      <c r="J93" s="258">
        <v>53474300000</v>
      </c>
      <c r="K93" s="256" t="s">
        <v>1346</v>
      </c>
    </row>
    <row r="94" spans="1:11" x14ac:dyDescent="0.3">
      <c r="A94" s="256">
        <v>33</v>
      </c>
      <c r="B94" s="257" t="s">
        <v>1399</v>
      </c>
      <c r="C94" s="276">
        <v>44408</v>
      </c>
      <c r="D94" s="257" t="s">
        <v>1274</v>
      </c>
      <c r="E94" s="256" t="s">
        <v>1794</v>
      </c>
      <c r="F94" s="256" t="s">
        <v>1771</v>
      </c>
      <c r="G94" s="258">
        <v>23164000000</v>
      </c>
      <c r="H94" s="265">
        <v>0.1</v>
      </c>
      <c r="I94" s="258">
        <v>2316400000</v>
      </c>
      <c r="J94" s="258">
        <v>25480400000</v>
      </c>
      <c r="K94" s="256" t="s">
        <v>1346</v>
      </c>
    </row>
    <row r="95" spans="1:11" x14ac:dyDescent="0.3">
      <c r="A95" s="256">
        <v>34</v>
      </c>
      <c r="B95" s="257" t="s">
        <v>1401</v>
      </c>
      <c r="C95" s="276">
        <v>44439</v>
      </c>
      <c r="D95" s="257" t="s">
        <v>1303</v>
      </c>
      <c r="E95" s="256" t="s">
        <v>1817</v>
      </c>
      <c r="F95" s="256" t="s">
        <v>1898</v>
      </c>
      <c r="G95" s="258">
        <v>22348000000</v>
      </c>
      <c r="H95" s="265">
        <v>0.1</v>
      </c>
      <c r="I95" s="258">
        <v>2234800000</v>
      </c>
      <c r="J95" s="258">
        <v>24582800000</v>
      </c>
      <c r="K95" s="256" t="s">
        <v>1346</v>
      </c>
    </row>
    <row r="96" spans="1:11" x14ac:dyDescent="0.3">
      <c r="A96" s="256">
        <v>35</v>
      </c>
      <c r="B96" s="257" t="s">
        <v>1402</v>
      </c>
      <c r="C96" s="276">
        <v>44500</v>
      </c>
      <c r="D96" s="257" t="s">
        <v>1267</v>
      </c>
      <c r="E96" s="256" t="s">
        <v>1810</v>
      </c>
      <c r="F96" s="256" t="s">
        <v>1900</v>
      </c>
      <c r="G96" s="258">
        <v>29743000000</v>
      </c>
      <c r="H96" s="265">
        <v>0.1</v>
      </c>
      <c r="I96" s="258">
        <v>2974300000</v>
      </c>
      <c r="J96" s="258">
        <v>32717300000</v>
      </c>
      <c r="K96" s="256" t="s">
        <v>1346</v>
      </c>
    </row>
    <row r="97" spans="1:11" x14ac:dyDescent="0.3">
      <c r="A97" s="256">
        <v>36</v>
      </c>
      <c r="B97" s="257" t="s">
        <v>1403</v>
      </c>
      <c r="C97" s="276">
        <v>44561</v>
      </c>
      <c r="D97" s="257" t="s">
        <v>1256</v>
      </c>
      <c r="E97" s="256" t="s">
        <v>1802</v>
      </c>
      <c r="F97" s="256" t="s">
        <v>1898</v>
      </c>
      <c r="G97" s="258">
        <v>16593000000</v>
      </c>
      <c r="H97" s="265">
        <v>0.1</v>
      </c>
      <c r="I97" s="258">
        <v>1659300000</v>
      </c>
      <c r="J97" s="258">
        <v>18252300000</v>
      </c>
      <c r="K97" s="256" t="s">
        <v>1346</v>
      </c>
    </row>
    <row r="98" spans="1:11" x14ac:dyDescent="0.3">
      <c r="A98" s="256">
        <v>37</v>
      </c>
      <c r="B98" s="257" t="s">
        <v>1404</v>
      </c>
      <c r="C98" s="276">
        <v>44561</v>
      </c>
      <c r="D98" s="257" t="s">
        <v>1286</v>
      </c>
      <c r="E98" s="256" t="s">
        <v>1828</v>
      </c>
      <c r="F98" s="256" t="s">
        <v>1898</v>
      </c>
      <c r="G98" s="258">
        <v>49157000000</v>
      </c>
      <c r="H98" s="265">
        <v>0.1</v>
      </c>
      <c r="I98" s="258">
        <v>4915700000</v>
      </c>
      <c r="J98" s="258">
        <v>54072700000</v>
      </c>
      <c r="K98" s="256" t="s">
        <v>1346</v>
      </c>
    </row>
    <row r="99" spans="1:11" x14ac:dyDescent="0.3">
      <c r="A99" s="256">
        <v>38</v>
      </c>
      <c r="B99" s="257" t="s">
        <v>1405</v>
      </c>
      <c r="C99" s="276">
        <v>44561</v>
      </c>
      <c r="D99" s="257" t="s">
        <v>1299</v>
      </c>
      <c r="E99" s="256" t="s">
        <v>1776</v>
      </c>
      <c r="F99" s="256" t="s">
        <v>1771</v>
      </c>
      <c r="G99" s="258">
        <v>23493000000</v>
      </c>
      <c r="H99" s="265">
        <v>0.1</v>
      </c>
      <c r="I99" s="258">
        <v>2349300000</v>
      </c>
      <c r="J99" s="258">
        <v>25842300000</v>
      </c>
      <c r="K99" s="256" t="s">
        <v>1348</v>
      </c>
    </row>
    <row r="100" spans="1:11" x14ac:dyDescent="0.3">
      <c r="A100" s="256">
        <v>39</v>
      </c>
      <c r="B100" s="257" t="s">
        <v>1406</v>
      </c>
      <c r="C100" s="276">
        <v>44561</v>
      </c>
      <c r="D100" s="257" t="s">
        <v>1290</v>
      </c>
      <c r="E100" s="256" t="s">
        <v>1796</v>
      </c>
      <c r="F100" s="256" t="s">
        <v>1898</v>
      </c>
      <c r="G100" s="258">
        <v>49005000000</v>
      </c>
      <c r="H100" s="265">
        <v>0</v>
      </c>
      <c r="I100" s="258">
        <v>0</v>
      </c>
      <c r="J100" s="258">
        <v>49005000000</v>
      </c>
      <c r="K100" s="256" t="s">
        <v>1346</v>
      </c>
    </row>
    <row r="101" spans="1:11" x14ac:dyDescent="0.3">
      <c r="A101" s="256">
        <v>40</v>
      </c>
      <c r="B101" s="257" t="s">
        <v>1408</v>
      </c>
      <c r="C101" s="276">
        <v>44561</v>
      </c>
      <c r="D101" s="257" t="s">
        <v>1256</v>
      </c>
      <c r="E101" s="256" t="s">
        <v>1802</v>
      </c>
      <c r="F101" s="256" t="s">
        <v>1899</v>
      </c>
      <c r="G101" s="258">
        <v>29545000000</v>
      </c>
      <c r="H101" s="265">
        <v>0.1</v>
      </c>
      <c r="I101" s="258">
        <v>2954500000</v>
      </c>
      <c r="J101" s="258">
        <v>32499500000</v>
      </c>
      <c r="K101" s="256" t="s">
        <v>1346</v>
      </c>
    </row>
    <row r="102" spans="1:11" x14ac:dyDescent="0.3">
      <c r="A102" s="256">
        <v>41</v>
      </c>
      <c r="B102" s="257" t="s">
        <v>1409</v>
      </c>
      <c r="C102" s="276">
        <v>44561</v>
      </c>
      <c r="D102" s="257" t="s">
        <v>1286</v>
      </c>
      <c r="E102" s="256" t="s">
        <v>1828</v>
      </c>
      <c r="F102" s="256" t="s">
        <v>1771</v>
      </c>
      <c r="G102" s="258">
        <v>16460000000</v>
      </c>
      <c r="H102" s="265">
        <v>0.1</v>
      </c>
      <c r="I102" s="258">
        <v>1646000000</v>
      </c>
      <c r="J102" s="258">
        <v>18106000000</v>
      </c>
      <c r="K102" s="256" t="s">
        <v>1346</v>
      </c>
    </row>
    <row r="103" spans="1:11" x14ac:dyDescent="0.3">
      <c r="A103" s="256">
        <v>42</v>
      </c>
      <c r="B103" s="257" t="s">
        <v>1411</v>
      </c>
      <c r="C103" s="276">
        <v>44561</v>
      </c>
      <c r="D103" s="257" t="s">
        <v>1295</v>
      </c>
      <c r="E103" s="256" t="s">
        <v>1825</v>
      </c>
      <c r="F103" s="256" t="s">
        <v>1771</v>
      </c>
      <c r="G103" s="258">
        <v>40162000000</v>
      </c>
      <c r="H103" s="265">
        <v>0.1</v>
      </c>
      <c r="I103" s="258">
        <v>4016200000</v>
      </c>
      <c r="J103" s="258">
        <v>44178200000</v>
      </c>
      <c r="K103" s="256" t="s">
        <v>1346</v>
      </c>
    </row>
    <row r="104" spans="1:11" x14ac:dyDescent="0.3">
      <c r="A104" s="256">
        <v>43</v>
      </c>
      <c r="B104" s="257" t="s">
        <v>1414</v>
      </c>
      <c r="C104" s="276">
        <v>44561</v>
      </c>
      <c r="D104" s="257" t="s">
        <v>1304</v>
      </c>
      <c r="E104" s="256" t="s">
        <v>1831</v>
      </c>
      <c r="F104" s="256" t="s">
        <v>1898</v>
      </c>
      <c r="G104" s="258">
        <v>27182000000</v>
      </c>
      <c r="H104" s="265">
        <v>0.1</v>
      </c>
      <c r="I104" s="258">
        <v>2718200000</v>
      </c>
      <c r="J104" s="258">
        <v>29900200000</v>
      </c>
      <c r="K104" s="256" t="s">
        <v>1346</v>
      </c>
    </row>
    <row r="105" spans="1:11" x14ac:dyDescent="0.3">
      <c r="A105" s="256">
        <v>44</v>
      </c>
      <c r="B105" s="257" t="s">
        <v>1415</v>
      </c>
      <c r="C105" s="276">
        <v>44561</v>
      </c>
      <c r="D105" s="257" t="s">
        <v>1272</v>
      </c>
      <c r="E105" s="256" t="s">
        <v>1805</v>
      </c>
      <c r="F105" s="256" t="s">
        <v>1771</v>
      </c>
      <c r="G105" s="258">
        <v>36693000000</v>
      </c>
      <c r="H105" s="265">
        <v>0.1</v>
      </c>
      <c r="I105" s="258">
        <v>3669300000</v>
      </c>
      <c r="J105" s="258">
        <v>40362300000</v>
      </c>
      <c r="K105" s="256" t="s">
        <v>1346</v>
      </c>
    </row>
    <row r="106" spans="1:11" x14ac:dyDescent="0.3">
      <c r="A106" s="256">
        <v>45</v>
      </c>
      <c r="B106" s="257" t="s">
        <v>1206</v>
      </c>
      <c r="C106" s="276">
        <v>44561</v>
      </c>
      <c r="D106" s="257" t="s">
        <v>1274</v>
      </c>
      <c r="E106" s="256" t="s">
        <v>1794</v>
      </c>
      <c r="F106" s="256" t="s">
        <v>1900</v>
      </c>
      <c r="G106" s="258">
        <v>43620000000</v>
      </c>
      <c r="H106" s="265">
        <v>0.1</v>
      </c>
      <c r="I106" s="258">
        <v>4362000000</v>
      </c>
      <c r="J106" s="258">
        <v>47982000000</v>
      </c>
      <c r="K106" s="256" t="s">
        <v>1346</v>
      </c>
    </row>
    <row r="107" spans="1:11" x14ac:dyDescent="0.3">
      <c r="A107" s="256">
        <v>46</v>
      </c>
      <c r="B107" s="257" t="s">
        <v>1207</v>
      </c>
      <c r="C107" s="276">
        <v>44561</v>
      </c>
      <c r="D107" s="257" t="s">
        <v>1298</v>
      </c>
      <c r="E107" s="256" t="s">
        <v>1819</v>
      </c>
      <c r="F107" s="256" t="s">
        <v>1898</v>
      </c>
      <c r="G107" s="258">
        <v>27232000000</v>
      </c>
      <c r="H107" s="265">
        <v>0</v>
      </c>
      <c r="I107" s="258">
        <v>0</v>
      </c>
      <c r="J107" s="258">
        <v>27232000000</v>
      </c>
      <c r="K107" s="256" t="s">
        <v>1346</v>
      </c>
    </row>
    <row r="108" spans="1:11" x14ac:dyDescent="0.3">
      <c r="A108" s="256">
        <v>47</v>
      </c>
      <c r="B108" s="257" t="s">
        <v>1208</v>
      </c>
      <c r="C108" s="276">
        <v>44561</v>
      </c>
      <c r="D108" s="257" t="s">
        <v>1269</v>
      </c>
      <c r="E108" s="256" t="s">
        <v>1823</v>
      </c>
      <c r="F108" s="256" t="s">
        <v>1899</v>
      </c>
      <c r="G108" s="258">
        <v>24394000000</v>
      </c>
      <c r="H108" s="265">
        <v>0.1</v>
      </c>
      <c r="I108" s="258">
        <v>2439400000</v>
      </c>
      <c r="J108" s="258">
        <v>26833400000</v>
      </c>
      <c r="K108" s="256" t="s">
        <v>1346</v>
      </c>
    </row>
    <row r="109" spans="1:11" x14ac:dyDescent="0.3">
      <c r="A109" s="256">
        <v>48</v>
      </c>
      <c r="B109" s="257" t="s">
        <v>1209</v>
      </c>
      <c r="C109" s="276">
        <v>44561</v>
      </c>
      <c r="D109" s="257" t="s">
        <v>1304</v>
      </c>
      <c r="E109" s="256" t="s">
        <v>1831</v>
      </c>
      <c r="F109" s="256" t="s">
        <v>1900</v>
      </c>
      <c r="G109" s="258">
        <v>23780000000</v>
      </c>
      <c r="H109" s="265">
        <v>0.1</v>
      </c>
      <c r="I109" s="258">
        <v>2378000000</v>
      </c>
      <c r="J109" s="258">
        <v>26158000000</v>
      </c>
      <c r="K109" s="256" t="s">
        <v>1346</v>
      </c>
    </row>
    <row r="110" spans="1:11" x14ac:dyDescent="0.3">
      <c r="A110" s="256">
        <v>49</v>
      </c>
      <c r="B110" s="257" t="s">
        <v>1418</v>
      </c>
      <c r="C110" s="276">
        <v>44561</v>
      </c>
      <c r="D110" s="257" t="s">
        <v>1259</v>
      </c>
      <c r="E110" s="256" t="s">
        <v>1788</v>
      </c>
      <c r="F110" s="256" t="s">
        <v>1898</v>
      </c>
      <c r="G110" s="258">
        <v>43595000000</v>
      </c>
      <c r="H110" s="265">
        <v>0.1</v>
      </c>
      <c r="I110" s="258">
        <v>4359500000</v>
      </c>
      <c r="J110" s="258">
        <v>47954500000</v>
      </c>
      <c r="K110" s="256" t="s">
        <v>1346</v>
      </c>
    </row>
    <row r="111" spans="1:11" x14ac:dyDescent="0.3">
      <c r="A111" s="256">
        <v>50</v>
      </c>
      <c r="B111" s="257" t="s">
        <v>1419</v>
      </c>
      <c r="C111" s="276">
        <v>44561</v>
      </c>
      <c r="D111" s="257" t="s">
        <v>1259</v>
      </c>
      <c r="E111" s="256" t="s">
        <v>1788</v>
      </c>
      <c r="F111" s="256" t="s">
        <v>1898</v>
      </c>
      <c r="G111" s="258">
        <v>47791000000</v>
      </c>
      <c r="H111" s="265">
        <v>0.1</v>
      </c>
      <c r="I111" s="258">
        <v>4779100000</v>
      </c>
      <c r="J111" s="258">
        <v>52570100000</v>
      </c>
      <c r="K111" s="256" t="s">
        <v>1346</v>
      </c>
    </row>
    <row r="112" spans="1:11" x14ac:dyDescent="0.3">
      <c r="A112" s="266" t="s">
        <v>1351</v>
      </c>
      <c r="B112" s="266"/>
      <c r="C112" s="266"/>
      <c r="D112" s="266"/>
      <c r="E112" s="266"/>
      <c r="F112" s="266"/>
      <c r="G112" s="267">
        <f>SUM(G62:G111)</f>
        <v>1586673000000</v>
      </c>
      <c r="H112" s="266"/>
      <c r="I112" s="267">
        <f>SUM(I62:I111)</f>
        <v>143389700000</v>
      </c>
      <c r="J112" s="267">
        <f>SUM(J62:J111)</f>
        <v>1730062700000</v>
      </c>
      <c r="K112" s="266"/>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800</v>
      </c>
      <c r="C1" s="256"/>
      <c r="D1" s="256"/>
      <c r="E1" s="256"/>
      <c r="F1" s="256"/>
      <c r="G1" s="256"/>
      <c r="H1" s="256"/>
      <c r="I1" s="256"/>
      <c r="J1" s="256"/>
      <c r="K1" s="256"/>
    </row>
    <row r="2" spans="1:11" x14ac:dyDescent="0.3">
      <c r="A2" s="256" t="s">
        <v>1339</v>
      </c>
      <c r="B2" s="257">
        <v>106187171</v>
      </c>
      <c r="C2" s="256"/>
      <c r="D2" s="256"/>
      <c r="E2" s="256"/>
      <c r="F2" s="256"/>
      <c r="G2" s="256"/>
      <c r="H2" s="256"/>
      <c r="I2" s="256"/>
      <c r="J2" s="256"/>
      <c r="K2" s="256"/>
    </row>
    <row r="3" spans="1:11" x14ac:dyDescent="0.3">
      <c r="A3" s="256" t="s">
        <v>1343</v>
      </c>
      <c r="B3" s="258">
        <v>1066323841344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1467</v>
      </c>
      <c r="C8" s="276">
        <v>44317</v>
      </c>
      <c r="D8" s="257" t="s">
        <v>1281</v>
      </c>
      <c r="E8" s="256" t="s">
        <v>1806</v>
      </c>
      <c r="F8" s="256" t="s">
        <v>1878</v>
      </c>
      <c r="G8" s="258">
        <v>14016000000</v>
      </c>
      <c r="H8" s="265">
        <v>0.1</v>
      </c>
      <c r="I8" s="258">
        <v>1401600000</v>
      </c>
      <c r="J8" s="258">
        <v>15417600000</v>
      </c>
      <c r="K8" s="256" t="s">
        <v>1346</v>
      </c>
    </row>
    <row r="9" spans="1:11" x14ac:dyDescent="0.3">
      <c r="A9" s="256">
        <v>2</v>
      </c>
      <c r="B9" s="257" t="s">
        <v>1209</v>
      </c>
      <c r="C9" s="276">
        <v>44318</v>
      </c>
      <c r="D9" s="257" t="s">
        <v>1283</v>
      </c>
      <c r="E9" s="256" t="s">
        <v>1798</v>
      </c>
      <c r="F9" s="256" t="s">
        <v>1609</v>
      </c>
      <c r="G9" s="258">
        <v>20618000000</v>
      </c>
      <c r="H9" s="265">
        <v>0</v>
      </c>
      <c r="I9" s="258">
        <v>0</v>
      </c>
      <c r="J9" s="258">
        <v>20618000000</v>
      </c>
      <c r="K9" s="256" t="s">
        <v>1346</v>
      </c>
    </row>
    <row r="10" spans="1:11" x14ac:dyDescent="0.3">
      <c r="A10" s="256">
        <v>3</v>
      </c>
      <c r="B10" s="257" t="s">
        <v>1460</v>
      </c>
      <c r="C10" s="276">
        <v>44472</v>
      </c>
      <c r="D10" s="257" t="s">
        <v>1272</v>
      </c>
      <c r="E10" s="256" t="s">
        <v>1805</v>
      </c>
      <c r="F10" s="256" t="s">
        <v>1879</v>
      </c>
      <c r="G10" s="258">
        <v>13470000000</v>
      </c>
      <c r="H10" s="265">
        <v>0.1</v>
      </c>
      <c r="I10" s="258">
        <v>1347000000</v>
      </c>
      <c r="J10" s="258">
        <v>14817000000</v>
      </c>
      <c r="K10" s="256" t="s">
        <v>1348</v>
      </c>
    </row>
    <row r="11" spans="1:11" x14ac:dyDescent="0.3">
      <c r="A11" s="256">
        <v>4</v>
      </c>
      <c r="B11" s="257" t="s">
        <v>1460</v>
      </c>
      <c r="C11" s="276">
        <v>44473</v>
      </c>
      <c r="D11" s="257" t="s">
        <v>1271</v>
      </c>
      <c r="E11" s="256" t="s">
        <v>1799</v>
      </c>
      <c r="F11" s="256" t="s">
        <v>1877</v>
      </c>
      <c r="G11" s="258">
        <v>14172000000</v>
      </c>
      <c r="H11" s="265">
        <v>0.1</v>
      </c>
      <c r="I11" s="258">
        <v>1417200000</v>
      </c>
      <c r="J11" s="258">
        <v>15589200000</v>
      </c>
      <c r="K11" s="256" t="s">
        <v>1346</v>
      </c>
    </row>
    <row r="12" spans="1:11" x14ac:dyDescent="0.3">
      <c r="A12" s="256">
        <v>5</v>
      </c>
      <c r="B12" s="257" t="s">
        <v>1206</v>
      </c>
      <c r="C12" s="276">
        <v>44474</v>
      </c>
      <c r="D12" s="257" t="s">
        <v>1285</v>
      </c>
      <c r="E12" s="256" t="s">
        <v>1793</v>
      </c>
      <c r="F12" s="256" t="s">
        <v>1880</v>
      </c>
      <c r="G12" s="258">
        <v>21654000000</v>
      </c>
      <c r="H12" s="265">
        <v>0</v>
      </c>
      <c r="I12" s="258">
        <v>0</v>
      </c>
      <c r="J12" s="258">
        <v>21654000000</v>
      </c>
      <c r="K12" s="256" t="s">
        <v>1346</v>
      </c>
    </row>
    <row r="13" spans="1:11" x14ac:dyDescent="0.3">
      <c r="A13" s="256">
        <v>6</v>
      </c>
      <c r="B13" s="257" t="s">
        <v>1381</v>
      </c>
      <c r="C13" s="276">
        <v>44475</v>
      </c>
      <c r="D13" s="257" t="s">
        <v>1294</v>
      </c>
      <c r="E13" s="256" t="s">
        <v>1795</v>
      </c>
      <c r="F13" s="256" t="s">
        <v>1877</v>
      </c>
      <c r="G13" s="258">
        <v>18588000000</v>
      </c>
      <c r="H13" s="265">
        <v>0.1</v>
      </c>
      <c r="I13" s="258">
        <v>1858800000</v>
      </c>
      <c r="J13" s="258">
        <v>20446800000</v>
      </c>
      <c r="K13" s="256" t="s">
        <v>1346</v>
      </c>
    </row>
    <row r="14" spans="1:11" x14ac:dyDescent="0.3">
      <c r="A14" s="256">
        <v>7</v>
      </c>
      <c r="B14" s="257" t="s">
        <v>1207</v>
      </c>
      <c r="C14" s="276">
        <v>44476</v>
      </c>
      <c r="D14" s="257" t="s">
        <v>1288</v>
      </c>
      <c r="E14" s="256" t="s">
        <v>1797</v>
      </c>
      <c r="F14" s="256" t="s">
        <v>1880</v>
      </c>
      <c r="G14" s="258">
        <v>10917000000</v>
      </c>
      <c r="H14" s="265">
        <v>0.1</v>
      </c>
      <c r="I14" s="258">
        <v>1091700000</v>
      </c>
      <c r="J14" s="258">
        <v>12008700000</v>
      </c>
      <c r="K14" s="256" t="s">
        <v>1346</v>
      </c>
    </row>
    <row r="15" spans="1:11" x14ac:dyDescent="0.3">
      <c r="A15" s="256">
        <v>8</v>
      </c>
      <c r="B15" s="257" t="s">
        <v>1474</v>
      </c>
      <c r="C15" s="276">
        <v>44477</v>
      </c>
      <c r="D15" s="257" t="s">
        <v>1284</v>
      </c>
      <c r="E15" s="256" t="s">
        <v>1786</v>
      </c>
      <c r="F15" s="256" t="s">
        <v>1878</v>
      </c>
      <c r="G15" s="258">
        <v>10126000000</v>
      </c>
      <c r="H15" s="265">
        <v>0.1</v>
      </c>
      <c r="I15" s="258">
        <v>1012600000</v>
      </c>
      <c r="J15" s="258">
        <v>11138600000</v>
      </c>
      <c r="K15" s="256" t="s">
        <v>1346</v>
      </c>
    </row>
    <row r="16" spans="1:11" x14ac:dyDescent="0.3">
      <c r="A16" s="256">
        <v>9</v>
      </c>
      <c r="B16" s="257" t="s">
        <v>1461</v>
      </c>
      <c r="C16" s="276">
        <v>44478</v>
      </c>
      <c r="D16" s="257" t="s">
        <v>1271</v>
      </c>
      <c r="E16" s="256" t="s">
        <v>1799</v>
      </c>
      <c r="F16" s="256" t="s">
        <v>1876</v>
      </c>
      <c r="G16" s="258">
        <v>15722000000</v>
      </c>
      <c r="H16" s="265">
        <v>0.1</v>
      </c>
      <c r="I16" s="258">
        <v>1572200000</v>
      </c>
      <c r="J16" s="258">
        <v>17294200000</v>
      </c>
      <c r="K16" s="256" t="s">
        <v>1346</v>
      </c>
    </row>
    <row r="17" spans="1:11" x14ac:dyDescent="0.3">
      <c r="A17" s="256">
        <v>10</v>
      </c>
      <c r="B17" s="257" t="s">
        <v>1415</v>
      </c>
      <c r="C17" s="276">
        <v>44479</v>
      </c>
      <c r="D17" s="257" t="s">
        <v>1304</v>
      </c>
      <c r="E17" s="256" t="s">
        <v>1831</v>
      </c>
      <c r="F17" s="256" t="s">
        <v>1877</v>
      </c>
      <c r="G17" s="258">
        <v>10352000000</v>
      </c>
      <c r="H17" s="265">
        <v>0.1</v>
      </c>
      <c r="I17" s="258">
        <v>1035200000</v>
      </c>
      <c r="J17" s="258">
        <v>11387200000</v>
      </c>
      <c r="K17" s="256" t="s">
        <v>1348</v>
      </c>
    </row>
    <row r="18" spans="1:11" x14ac:dyDescent="0.3">
      <c r="A18" s="256">
        <v>11</v>
      </c>
      <c r="B18" s="257" t="s">
        <v>1411</v>
      </c>
      <c r="C18" s="276">
        <v>44480</v>
      </c>
      <c r="D18" s="257" t="s">
        <v>1265</v>
      </c>
      <c r="E18" s="256" t="s">
        <v>1830</v>
      </c>
      <c r="F18" s="256" t="s">
        <v>1878</v>
      </c>
      <c r="G18" s="258">
        <v>9587000000</v>
      </c>
      <c r="H18" s="265">
        <v>0.1</v>
      </c>
      <c r="I18" s="258">
        <v>958700000</v>
      </c>
      <c r="J18" s="258">
        <v>10545700000</v>
      </c>
      <c r="K18" s="256" t="s">
        <v>1346</v>
      </c>
    </row>
    <row r="19" spans="1:11" x14ac:dyDescent="0.3">
      <c r="A19" s="256">
        <v>12</v>
      </c>
      <c r="B19" s="257" t="s">
        <v>1398</v>
      </c>
      <c r="C19" s="276">
        <v>44481</v>
      </c>
      <c r="D19" s="257" t="s">
        <v>1299</v>
      </c>
      <c r="E19" s="256" t="s">
        <v>1776</v>
      </c>
      <c r="F19" s="256" t="s">
        <v>1880</v>
      </c>
      <c r="G19" s="258">
        <v>9864000000</v>
      </c>
      <c r="H19" s="265">
        <v>0.1</v>
      </c>
      <c r="I19" s="258">
        <v>986400000</v>
      </c>
      <c r="J19" s="258">
        <v>10850400000</v>
      </c>
      <c r="K19" s="256" t="s">
        <v>1346</v>
      </c>
    </row>
    <row r="20" spans="1:11" x14ac:dyDescent="0.3">
      <c r="A20" s="256">
        <v>13</v>
      </c>
      <c r="B20" s="257" t="s">
        <v>1467</v>
      </c>
      <c r="C20" s="276">
        <v>44211</v>
      </c>
      <c r="D20" s="257" t="s">
        <v>1274</v>
      </c>
      <c r="E20" s="256" t="s">
        <v>1794</v>
      </c>
      <c r="F20" s="256" t="s">
        <v>1877</v>
      </c>
      <c r="G20" s="258">
        <v>15243000000</v>
      </c>
      <c r="H20" s="265">
        <v>0.1</v>
      </c>
      <c r="I20" s="258">
        <v>1524300000</v>
      </c>
      <c r="J20" s="258">
        <v>16767300000</v>
      </c>
      <c r="K20" s="256" t="s">
        <v>1348</v>
      </c>
    </row>
    <row r="21" spans="1:11" x14ac:dyDescent="0.3">
      <c r="A21" s="256">
        <v>14</v>
      </c>
      <c r="B21" s="257" t="s">
        <v>1209</v>
      </c>
      <c r="C21" s="276">
        <v>44242</v>
      </c>
      <c r="D21" s="257" t="s">
        <v>1266</v>
      </c>
      <c r="E21" s="256" t="s">
        <v>1824</v>
      </c>
      <c r="F21" s="256" t="s">
        <v>1609</v>
      </c>
      <c r="G21" s="258">
        <v>20664000000</v>
      </c>
      <c r="H21" s="265">
        <v>0.1</v>
      </c>
      <c r="I21" s="258">
        <v>2066400000</v>
      </c>
      <c r="J21" s="258">
        <v>22730400000</v>
      </c>
      <c r="K21" s="256" t="s">
        <v>1346</v>
      </c>
    </row>
    <row r="22" spans="1:11" x14ac:dyDescent="0.3">
      <c r="A22" s="256">
        <v>15</v>
      </c>
      <c r="B22" s="257" t="s">
        <v>1206</v>
      </c>
      <c r="C22" s="276">
        <v>44275</v>
      </c>
      <c r="D22" s="257" t="s">
        <v>1304</v>
      </c>
      <c r="E22" s="256" t="s">
        <v>1831</v>
      </c>
      <c r="F22" s="256" t="s">
        <v>1609</v>
      </c>
      <c r="G22" s="258">
        <v>16426000000</v>
      </c>
      <c r="H22" s="265">
        <v>0.1</v>
      </c>
      <c r="I22" s="258">
        <v>1642600000</v>
      </c>
      <c r="J22" s="258">
        <v>18068600000</v>
      </c>
      <c r="K22" s="256" t="s">
        <v>1346</v>
      </c>
    </row>
    <row r="23" spans="1:11" x14ac:dyDescent="0.3">
      <c r="A23" s="256">
        <v>16</v>
      </c>
      <c r="B23" s="257" t="s">
        <v>1468</v>
      </c>
      <c r="C23" s="276">
        <v>44306</v>
      </c>
      <c r="D23" s="257" t="s">
        <v>1281</v>
      </c>
      <c r="E23" s="256" t="s">
        <v>1806</v>
      </c>
      <c r="F23" s="256" t="s">
        <v>1609</v>
      </c>
      <c r="G23" s="258">
        <v>20843000000</v>
      </c>
      <c r="H23" s="265">
        <v>0.1</v>
      </c>
      <c r="I23" s="258">
        <v>2084300000</v>
      </c>
      <c r="J23" s="258">
        <v>22927300000</v>
      </c>
      <c r="K23" s="256" t="s">
        <v>1346</v>
      </c>
    </row>
    <row r="24" spans="1:11" x14ac:dyDescent="0.3">
      <c r="A24" s="256">
        <v>17</v>
      </c>
      <c r="B24" s="257" t="s">
        <v>1469</v>
      </c>
      <c r="C24" s="276">
        <v>44336</v>
      </c>
      <c r="D24" s="257" t="s">
        <v>1281</v>
      </c>
      <c r="E24" s="256" t="s">
        <v>1806</v>
      </c>
      <c r="F24" s="256" t="s">
        <v>1878</v>
      </c>
      <c r="G24" s="258">
        <v>9427000000</v>
      </c>
      <c r="H24" s="265">
        <v>0.1</v>
      </c>
      <c r="I24" s="258">
        <v>942700000</v>
      </c>
      <c r="J24" s="258">
        <v>10369700000</v>
      </c>
      <c r="K24" s="256" t="s">
        <v>1346</v>
      </c>
    </row>
    <row r="25" spans="1:11" x14ac:dyDescent="0.3">
      <c r="A25" s="256">
        <v>18</v>
      </c>
      <c r="B25" s="257" t="s">
        <v>1461</v>
      </c>
      <c r="C25" s="276">
        <v>44367</v>
      </c>
      <c r="D25" s="257" t="s">
        <v>1273</v>
      </c>
      <c r="E25" s="256" t="s">
        <v>1829</v>
      </c>
      <c r="F25" s="256" t="s">
        <v>1876</v>
      </c>
      <c r="G25" s="258">
        <v>15159000000</v>
      </c>
      <c r="H25" s="265">
        <v>0.1</v>
      </c>
      <c r="I25" s="258">
        <v>1515900000</v>
      </c>
      <c r="J25" s="258">
        <v>16674900000</v>
      </c>
      <c r="K25" s="256" t="s">
        <v>1346</v>
      </c>
    </row>
    <row r="26" spans="1:11" x14ac:dyDescent="0.3">
      <c r="A26" s="256">
        <v>19</v>
      </c>
      <c r="B26" s="257" t="s">
        <v>1475</v>
      </c>
      <c r="C26" s="276">
        <v>44397</v>
      </c>
      <c r="D26" s="257" t="s">
        <v>1284</v>
      </c>
      <c r="E26" s="256" t="s">
        <v>1786</v>
      </c>
      <c r="F26" s="256" t="s">
        <v>1877</v>
      </c>
      <c r="G26" s="258">
        <v>8660000000</v>
      </c>
      <c r="H26" s="265">
        <v>0.1</v>
      </c>
      <c r="I26" s="258">
        <v>866000000</v>
      </c>
      <c r="J26" s="258">
        <v>9526000000</v>
      </c>
      <c r="K26" s="256" t="s">
        <v>1346</v>
      </c>
    </row>
    <row r="27" spans="1:11" x14ac:dyDescent="0.3">
      <c r="A27" s="256">
        <v>20</v>
      </c>
      <c r="B27" s="257" t="s">
        <v>1476</v>
      </c>
      <c r="C27" s="276">
        <v>44428</v>
      </c>
      <c r="D27" s="257" t="s">
        <v>1284</v>
      </c>
      <c r="E27" s="256" t="s">
        <v>1786</v>
      </c>
      <c r="F27" s="256" t="s">
        <v>1880</v>
      </c>
      <c r="G27" s="258">
        <v>19691000000</v>
      </c>
      <c r="H27" s="265">
        <v>0.1</v>
      </c>
      <c r="I27" s="258">
        <v>1969100000</v>
      </c>
      <c r="J27" s="258">
        <v>21660100000</v>
      </c>
      <c r="K27" s="256" t="s">
        <v>1346</v>
      </c>
    </row>
    <row r="28" spans="1:11" x14ac:dyDescent="0.3">
      <c r="A28" s="256">
        <v>21</v>
      </c>
      <c r="B28" s="257" t="s">
        <v>1402</v>
      </c>
      <c r="C28" s="276">
        <v>44459</v>
      </c>
      <c r="D28" s="257" t="s">
        <v>1290</v>
      </c>
      <c r="E28" s="256" t="s">
        <v>1796</v>
      </c>
      <c r="F28" s="256" t="s">
        <v>1609</v>
      </c>
      <c r="G28" s="258">
        <v>17104000000</v>
      </c>
      <c r="H28" s="265">
        <v>0.1</v>
      </c>
      <c r="I28" s="258">
        <v>1710400000</v>
      </c>
      <c r="J28" s="258">
        <v>18814400000</v>
      </c>
      <c r="K28" s="256" t="s">
        <v>1346</v>
      </c>
    </row>
    <row r="29" spans="1:11" x14ac:dyDescent="0.3">
      <c r="A29" s="256">
        <v>22</v>
      </c>
      <c r="B29" s="257" t="s">
        <v>1391</v>
      </c>
      <c r="C29" s="276">
        <v>44489</v>
      </c>
      <c r="D29" s="257" t="s">
        <v>1300</v>
      </c>
      <c r="E29" s="256" t="s">
        <v>1818</v>
      </c>
      <c r="F29" s="256" t="s">
        <v>1879</v>
      </c>
      <c r="G29" s="258">
        <v>21933000000</v>
      </c>
      <c r="H29" s="265">
        <v>0.1</v>
      </c>
      <c r="I29" s="258">
        <v>2193300000</v>
      </c>
      <c r="J29" s="258">
        <v>24126300000</v>
      </c>
      <c r="K29" s="256" t="s">
        <v>1348</v>
      </c>
    </row>
    <row r="30" spans="1:11" x14ac:dyDescent="0.3">
      <c r="A30" s="256">
        <v>23</v>
      </c>
      <c r="B30" s="257" t="s">
        <v>1404</v>
      </c>
      <c r="C30" s="276">
        <v>44520</v>
      </c>
      <c r="D30" s="257" t="s">
        <v>1269</v>
      </c>
      <c r="E30" s="256" t="s">
        <v>1823</v>
      </c>
      <c r="F30" s="256" t="s">
        <v>1609</v>
      </c>
      <c r="G30" s="258">
        <v>21405000000</v>
      </c>
      <c r="H30" s="265">
        <v>0.1</v>
      </c>
      <c r="I30" s="258">
        <v>2140500000</v>
      </c>
      <c r="J30" s="258">
        <v>23545500000</v>
      </c>
      <c r="K30" s="256" t="s">
        <v>1346</v>
      </c>
    </row>
    <row r="31" spans="1:11" x14ac:dyDescent="0.3">
      <c r="A31" s="256">
        <v>24</v>
      </c>
      <c r="B31" s="257" t="s">
        <v>1414</v>
      </c>
      <c r="C31" s="276">
        <v>44550</v>
      </c>
      <c r="D31" s="257" t="s">
        <v>1265</v>
      </c>
      <c r="E31" s="256" t="s">
        <v>1830</v>
      </c>
      <c r="F31" s="256" t="s">
        <v>1879</v>
      </c>
      <c r="G31" s="258">
        <v>7677000000</v>
      </c>
      <c r="H31" s="265">
        <v>0.1</v>
      </c>
      <c r="I31" s="258">
        <v>767700000</v>
      </c>
      <c r="J31" s="258">
        <v>8444700000</v>
      </c>
      <c r="K31" s="256" t="s">
        <v>1346</v>
      </c>
    </row>
    <row r="32" spans="1:11" x14ac:dyDescent="0.3">
      <c r="A32" s="256">
        <v>25</v>
      </c>
      <c r="B32" s="257" t="s">
        <v>1207</v>
      </c>
      <c r="C32" s="276">
        <v>44221</v>
      </c>
      <c r="D32" s="257" t="s">
        <v>1304</v>
      </c>
      <c r="E32" s="256" t="s">
        <v>1831</v>
      </c>
      <c r="F32" s="256" t="s">
        <v>1880</v>
      </c>
      <c r="G32" s="258">
        <v>20823000000</v>
      </c>
      <c r="H32" s="265">
        <v>0.1</v>
      </c>
      <c r="I32" s="258">
        <v>2082300000</v>
      </c>
      <c r="J32" s="258">
        <v>22905300000</v>
      </c>
      <c r="K32" s="256" t="s">
        <v>1346</v>
      </c>
    </row>
    <row r="33" spans="1:11" x14ac:dyDescent="0.3">
      <c r="A33" s="256">
        <v>26</v>
      </c>
      <c r="B33" s="257" t="s">
        <v>1404</v>
      </c>
      <c r="C33" s="276">
        <v>44255</v>
      </c>
      <c r="D33" s="257" t="s">
        <v>1293</v>
      </c>
      <c r="E33" s="256" t="s">
        <v>1826</v>
      </c>
      <c r="F33" s="256" t="s">
        <v>1880</v>
      </c>
      <c r="G33" s="258">
        <v>20727000000</v>
      </c>
      <c r="H33" s="265">
        <v>0.1</v>
      </c>
      <c r="I33" s="258">
        <v>2072700000</v>
      </c>
      <c r="J33" s="258">
        <v>22799700000</v>
      </c>
      <c r="K33" s="256" t="s">
        <v>1346</v>
      </c>
    </row>
    <row r="34" spans="1:11" x14ac:dyDescent="0.3">
      <c r="A34" s="256">
        <v>27</v>
      </c>
      <c r="B34" s="257" t="s">
        <v>1418</v>
      </c>
      <c r="C34" s="276">
        <v>44316</v>
      </c>
      <c r="D34" s="257" t="s">
        <v>1262</v>
      </c>
      <c r="E34" s="256" t="s">
        <v>1816</v>
      </c>
      <c r="F34" s="256" t="s">
        <v>1877</v>
      </c>
      <c r="G34" s="258">
        <v>22575000000</v>
      </c>
      <c r="H34" s="265">
        <v>0.1</v>
      </c>
      <c r="I34" s="258">
        <v>2257500000</v>
      </c>
      <c r="J34" s="258">
        <v>24832500000</v>
      </c>
      <c r="K34" s="256" t="s">
        <v>1346</v>
      </c>
    </row>
    <row r="35" spans="1:11" x14ac:dyDescent="0.3">
      <c r="A35" s="256">
        <v>28</v>
      </c>
      <c r="B35" s="257" t="s">
        <v>1387</v>
      </c>
      <c r="C35" s="276">
        <v>44377</v>
      </c>
      <c r="D35" s="257" t="s">
        <v>1286</v>
      </c>
      <c r="E35" s="256" t="s">
        <v>1828</v>
      </c>
      <c r="F35" s="256" t="s">
        <v>1609</v>
      </c>
      <c r="G35" s="258">
        <v>6563000000</v>
      </c>
      <c r="H35" s="265">
        <v>0.1</v>
      </c>
      <c r="I35" s="258">
        <v>656300000</v>
      </c>
      <c r="J35" s="258">
        <v>7219300000</v>
      </c>
      <c r="K35" s="256" t="s">
        <v>1348</v>
      </c>
    </row>
    <row r="36" spans="1:11" x14ac:dyDescent="0.3">
      <c r="A36" s="256">
        <v>29</v>
      </c>
      <c r="B36" s="257" t="s">
        <v>1208</v>
      </c>
      <c r="C36" s="276">
        <v>44469</v>
      </c>
      <c r="D36" s="257" t="s">
        <v>1304</v>
      </c>
      <c r="E36" s="256" t="s">
        <v>1831</v>
      </c>
      <c r="F36" s="256" t="s">
        <v>1878</v>
      </c>
      <c r="G36" s="258">
        <v>20714000000</v>
      </c>
      <c r="H36" s="265">
        <v>0.1</v>
      </c>
      <c r="I36" s="258">
        <v>2071400000</v>
      </c>
      <c r="J36" s="258">
        <v>22785400000</v>
      </c>
      <c r="K36" s="256" t="s">
        <v>1346</v>
      </c>
    </row>
    <row r="37" spans="1:11" x14ac:dyDescent="0.3">
      <c r="A37" s="256">
        <v>30</v>
      </c>
      <c r="B37" s="257" t="s">
        <v>1414</v>
      </c>
      <c r="C37" s="276">
        <v>44530</v>
      </c>
      <c r="D37" s="257" t="s">
        <v>1289</v>
      </c>
      <c r="E37" s="256" t="s">
        <v>1803</v>
      </c>
      <c r="F37" s="256" t="s">
        <v>1609</v>
      </c>
      <c r="G37" s="258">
        <v>11383000000</v>
      </c>
      <c r="H37" s="265">
        <v>0.1</v>
      </c>
      <c r="I37" s="258">
        <v>1138300000</v>
      </c>
      <c r="J37" s="258">
        <v>12521300000</v>
      </c>
      <c r="K37" s="256" t="s">
        <v>1346</v>
      </c>
    </row>
    <row r="38" spans="1:11" x14ac:dyDescent="0.3">
      <c r="A38" s="256">
        <v>31</v>
      </c>
      <c r="B38" s="257" t="s">
        <v>1415</v>
      </c>
      <c r="C38" s="276">
        <v>44286</v>
      </c>
      <c r="D38" s="257" t="s">
        <v>1289</v>
      </c>
      <c r="E38" s="256" t="s">
        <v>1803</v>
      </c>
      <c r="F38" s="256" t="s">
        <v>1879</v>
      </c>
      <c r="G38" s="258">
        <v>22959000000</v>
      </c>
      <c r="H38" s="265">
        <v>0.1</v>
      </c>
      <c r="I38" s="258">
        <v>2295900000</v>
      </c>
      <c r="J38" s="258">
        <v>25254900000</v>
      </c>
      <c r="K38" s="256" t="s">
        <v>1346</v>
      </c>
    </row>
    <row r="39" spans="1:11" x14ac:dyDescent="0.3">
      <c r="A39" s="256">
        <v>32</v>
      </c>
      <c r="B39" s="257" t="s">
        <v>1405</v>
      </c>
      <c r="C39" s="276">
        <v>44347</v>
      </c>
      <c r="D39" s="257" t="s">
        <v>1293</v>
      </c>
      <c r="E39" s="256" t="s">
        <v>1826</v>
      </c>
      <c r="F39" s="256" t="s">
        <v>1880</v>
      </c>
      <c r="G39" s="258">
        <v>15814000000</v>
      </c>
      <c r="H39" s="265">
        <v>0</v>
      </c>
      <c r="I39" s="258">
        <v>0</v>
      </c>
      <c r="J39" s="258">
        <v>15814000000</v>
      </c>
      <c r="K39" s="256" t="s">
        <v>1348</v>
      </c>
    </row>
    <row r="40" spans="1:11" x14ac:dyDescent="0.3">
      <c r="A40" s="256">
        <v>33</v>
      </c>
      <c r="B40" s="257" t="s">
        <v>1385</v>
      </c>
      <c r="C40" s="276">
        <v>44408</v>
      </c>
      <c r="D40" s="257" t="s">
        <v>1296</v>
      </c>
      <c r="E40" s="256" t="s">
        <v>1807</v>
      </c>
      <c r="F40" s="256" t="s">
        <v>1876</v>
      </c>
      <c r="G40" s="258">
        <v>10888000000</v>
      </c>
      <c r="H40" s="265">
        <v>0.1</v>
      </c>
      <c r="I40" s="258">
        <v>1088800000</v>
      </c>
      <c r="J40" s="258">
        <v>11976800000</v>
      </c>
      <c r="K40" s="256" t="s">
        <v>1346</v>
      </c>
    </row>
    <row r="41" spans="1:11" x14ac:dyDescent="0.3">
      <c r="A41" s="256">
        <v>34</v>
      </c>
      <c r="B41" s="257" t="s">
        <v>1461</v>
      </c>
      <c r="C41" s="276">
        <v>44439</v>
      </c>
      <c r="D41" s="257" t="s">
        <v>1272</v>
      </c>
      <c r="E41" s="256" t="s">
        <v>1805</v>
      </c>
      <c r="F41" s="256" t="s">
        <v>1609</v>
      </c>
      <c r="G41" s="258">
        <v>16062000000</v>
      </c>
      <c r="H41" s="265">
        <v>0.1</v>
      </c>
      <c r="I41" s="258">
        <v>1606200000</v>
      </c>
      <c r="J41" s="258">
        <v>17668200000</v>
      </c>
      <c r="K41" s="256" t="s">
        <v>1346</v>
      </c>
    </row>
    <row r="42" spans="1:11" x14ac:dyDescent="0.3">
      <c r="A42" s="256">
        <v>35</v>
      </c>
      <c r="B42" s="257" t="s">
        <v>1392</v>
      </c>
      <c r="C42" s="276">
        <v>44500</v>
      </c>
      <c r="D42" s="257" t="s">
        <v>1300</v>
      </c>
      <c r="E42" s="256" t="s">
        <v>1818</v>
      </c>
      <c r="F42" s="256" t="s">
        <v>1879</v>
      </c>
      <c r="G42" s="258">
        <v>22627000000</v>
      </c>
      <c r="H42" s="265">
        <v>0.1</v>
      </c>
      <c r="I42" s="258">
        <v>2262700000</v>
      </c>
      <c r="J42" s="258">
        <v>24889700000</v>
      </c>
      <c r="K42" s="256" t="s">
        <v>1346</v>
      </c>
    </row>
    <row r="43" spans="1:11" x14ac:dyDescent="0.3">
      <c r="A43" s="256">
        <v>36</v>
      </c>
      <c r="B43" s="257" t="s">
        <v>1467</v>
      </c>
      <c r="C43" s="276">
        <v>44561</v>
      </c>
      <c r="D43" s="257" t="s">
        <v>1259</v>
      </c>
      <c r="E43" s="256" t="s">
        <v>1788</v>
      </c>
      <c r="F43" s="256" t="s">
        <v>1880</v>
      </c>
      <c r="G43" s="258">
        <v>22009000000</v>
      </c>
      <c r="H43" s="265">
        <v>0.1</v>
      </c>
      <c r="I43" s="258">
        <v>2200900000</v>
      </c>
      <c r="J43" s="258">
        <v>24209900000</v>
      </c>
      <c r="K43" s="256" t="s">
        <v>1346</v>
      </c>
    </row>
    <row r="44" spans="1:11" x14ac:dyDescent="0.3">
      <c r="A44" s="256">
        <v>37</v>
      </c>
      <c r="B44" s="257" t="s">
        <v>1399</v>
      </c>
      <c r="C44" s="276">
        <v>44561</v>
      </c>
      <c r="D44" s="257" t="s">
        <v>1287</v>
      </c>
      <c r="E44" s="256" t="s">
        <v>1801</v>
      </c>
      <c r="F44" s="256" t="s">
        <v>1879</v>
      </c>
      <c r="G44" s="258">
        <v>24880000000</v>
      </c>
      <c r="H44" s="265">
        <v>0.1</v>
      </c>
      <c r="I44" s="258">
        <v>2488000000</v>
      </c>
      <c r="J44" s="258">
        <v>27368000000</v>
      </c>
      <c r="K44" s="256" t="s">
        <v>1346</v>
      </c>
    </row>
    <row r="45" spans="1:11" x14ac:dyDescent="0.3">
      <c r="A45" s="256">
        <v>38</v>
      </c>
      <c r="B45" s="257" t="s">
        <v>1419</v>
      </c>
      <c r="C45" s="276">
        <v>44561</v>
      </c>
      <c r="D45" s="257" t="s">
        <v>1268</v>
      </c>
      <c r="E45" s="256" t="s">
        <v>1821</v>
      </c>
      <c r="F45" s="256" t="s">
        <v>1877</v>
      </c>
      <c r="G45" s="258">
        <v>19747000000</v>
      </c>
      <c r="H45" s="265">
        <v>0.1</v>
      </c>
      <c r="I45" s="258">
        <v>1974700000</v>
      </c>
      <c r="J45" s="258">
        <v>21721700000</v>
      </c>
      <c r="K45" s="256" t="s">
        <v>1346</v>
      </c>
    </row>
    <row r="46" spans="1:11" x14ac:dyDescent="0.3">
      <c r="A46" s="256">
        <v>39</v>
      </c>
      <c r="B46" s="257" t="s">
        <v>1464</v>
      </c>
      <c r="C46" s="276">
        <v>44561</v>
      </c>
      <c r="D46" s="257" t="s">
        <v>1270</v>
      </c>
      <c r="E46" s="256" t="s">
        <v>1782</v>
      </c>
      <c r="F46" s="256" t="s">
        <v>1876</v>
      </c>
      <c r="G46" s="258">
        <v>16406000000</v>
      </c>
      <c r="H46" s="265">
        <v>0.1</v>
      </c>
      <c r="I46" s="258">
        <v>1640600000</v>
      </c>
      <c r="J46" s="258">
        <v>18046600000</v>
      </c>
      <c r="K46" s="256" t="s">
        <v>1346</v>
      </c>
    </row>
    <row r="47" spans="1:11" x14ac:dyDescent="0.3">
      <c r="A47" s="256">
        <v>40</v>
      </c>
      <c r="B47" s="257" t="s">
        <v>1403</v>
      </c>
      <c r="C47" s="276">
        <v>44561</v>
      </c>
      <c r="D47" s="257" t="s">
        <v>1290</v>
      </c>
      <c r="E47" s="256" t="s">
        <v>1796</v>
      </c>
      <c r="F47" s="256" t="s">
        <v>1877</v>
      </c>
      <c r="G47" s="258">
        <v>18472000000</v>
      </c>
      <c r="H47" s="265">
        <v>0.1</v>
      </c>
      <c r="I47" s="258">
        <v>1847200000</v>
      </c>
      <c r="J47" s="258">
        <v>20319200000</v>
      </c>
      <c r="K47" s="256" t="s">
        <v>1346</v>
      </c>
    </row>
    <row r="48" spans="1:11" x14ac:dyDescent="0.3">
      <c r="A48" s="256">
        <v>41</v>
      </c>
      <c r="B48" s="257" t="s">
        <v>1208</v>
      </c>
      <c r="C48" s="276">
        <v>44561</v>
      </c>
      <c r="D48" s="257" t="s">
        <v>1288</v>
      </c>
      <c r="E48" s="256" t="s">
        <v>1797</v>
      </c>
      <c r="F48" s="256" t="s">
        <v>1880</v>
      </c>
      <c r="G48" s="258">
        <v>13399000000</v>
      </c>
      <c r="H48" s="265">
        <v>0.1</v>
      </c>
      <c r="I48" s="258">
        <v>1339900000</v>
      </c>
      <c r="J48" s="258">
        <v>14738900000</v>
      </c>
      <c r="K48" s="256" t="s">
        <v>1346</v>
      </c>
    </row>
    <row r="49" spans="1:11" x14ac:dyDescent="0.3">
      <c r="A49" s="256">
        <v>42</v>
      </c>
      <c r="B49" s="257" t="s">
        <v>1409</v>
      </c>
      <c r="C49" s="276">
        <v>44561</v>
      </c>
      <c r="D49" s="257" t="s">
        <v>1282</v>
      </c>
      <c r="E49" s="256" t="s">
        <v>1789</v>
      </c>
      <c r="F49" s="256" t="s">
        <v>1880</v>
      </c>
      <c r="G49" s="258">
        <v>24374000000</v>
      </c>
      <c r="H49" s="265">
        <v>0.1</v>
      </c>
      <c r="I49" s="258">
        <v>2437400000</v>
      </c>
      <c r="J49" s="258">
        <v>26811400000</v>
      </c>
      <c r="K49" s="256" t="s">
        <v>1346</v>
      </c>
    </row>
    <row r="50" spans="1:11" x14ac:dyDescent="0.3">
      <c r="A50" s="256">
        <v>43</v>
      </c>
      <c r="B50" s="257" t="s">
        <v>1415</v>
      </c>
      <c r="C50" s="276">
        <v>44561</v>
      </c>
      <c r="D50" s="257" t="s">
        <v>1265</v>
      </c>
      <c r="E50" s="256" t="s">
        <v>1830</v>
      </c>
      <c r="F50" s="256" t="s">
        <v>1879</v>
      </c>
      <c r="G50" s="258">
        <v>6314000000</v>
      </c>
      <c r="H50" s="265">
        <v>0.1</v>
      </c>
      <c r="I50" s="258">
        <v>631400000</v>
      </c>
      <c r="J50" s="258">
        <v>6945400000</v>
      </c>
      <c r="K50" s="256" t="s">
        <v>1346</v>
      </c>
    </row>
    <row r="51" spans="1:11" x14ac:dyDescent="0.3">
      <c r="A51" s="256">
        <v>44</v>
      </c>
      <c r="B51" s="257" t="s">
        <v>1468</v>
      </c>
      <c r="C51" s="276">
        <v>44561</v>
      </c>
      <c r="D51" s="257" t="s">
        <v>1259</v>
      </c>
      <c r="E51" s="256" t="s">
        <v>1788</v>
      </c>
      <c r="F51" s="256" t="s">
        <v>1609</v>
      </c>
      <c r="G51" s="258">
        <v>17863000000</v>
      </c>
      <c r="H51" s="265">
        <v>0.1</v>
      </c>
      <c r="I51" s="258">
        <v>1786300000</v>
      </c>
      <c r="J51" s="258">
        <v>19649300000</v>
      </c>
      <c r="K51" s="256" t="s">
        <v>1346</v>
      </c>
    </row>
    <row r="52" spans="1:11" x14ac:dyDescent="0.3">
      <c r="A52" s="256">
        <v>45</v>
      </c>
      <c r="B52" s="257" t="s">
        <v>1394</v>
      </c>
      <c r="C52" s="276">
        <v>44561</v>
      </c>
      <c r="D52" s="257" t="s">
        <v>1258</v>
      </c>
      <c r="E52" s="256" t="s">
        <v>1833</v>
      </c>
      <c r="F52" s="256" t="s">
        <v>1880</v>
      </c>
      <c r="G52" s="258">
        <v>21066000000</v>
      </c>
      <c r="H52" s="265">
        <v>0.1</v>
      </c>
      <c r="I52" s="258">
        <v>2106600000</v>
      </c>
      <c r="J52" s="258">
        <v>23172600000</v>
      </c>
      <c r="K52" s="256" t="s">
        <v>1346</v>
      </c>
    </row>
    <row r="53" spans="1:11" x14ac:dyDescent="0.3">
      <c r="A53" s="256">
        <v>46</v>
      </c>
      <c r="B53" s="257" t="s">
        <v>1463</v>
      </c>
      <c r="C53" s="276">
        <v>44561</v>
      </c>
      <c r="D53" s="257" t="s">
        <v>1279</v>
      </c>
      <c r="E53" s="256" t="s">
        <v>1827</v>
      </c>
      <c r="F53" s="256" t="s">
        <v>1880</v>
      </c>
      <c r="G53" s="258">
        <v>9509000000</v>
      </c>
      <c r="H53" s="265">
        <v>0</v>
      </c>
      <c r="I53" s="258">
        <v>0</v>
      </c>
      <c r="J53" s="258">
        <v>9509000000</v>
      </c>
      <c r="K53" s="256" t="s">
        <v>1346</v>
      </c>
    </row>
    <row r="54" spans="1:11" x14ac:dyDescent="0.3">
      <c r="A54" s="256">
        <v>47</v>
      </c>
      <c r="B54" s="257" t="s">
        <v>1469</v>
      </c>
      <c r="C54" s="276">
        <v>44561</v>
      </c>
      <c r="D54" s="257" t="s">
        <v>1259</v>
      </c>
      <c r="E54" s="256" t="s">
        <v>1788</v>
      </c>
      <c r="F54" s="256" t="s">
        <v>1880</v>
      </c>
      <c r="G54" s="258">
        <v>17404000000</v>
      </c>
      <c r="H54" s="265">
        <v>0.1</v>
      </c>
      <c r="I54" s="258">
        <v>1740400000</v>
      </c>
      <c r="J54" s="258">
        <v>19144400000</v>
      </c>
      <c r="K54" s="256" t="s">
        <v>1346</v>
      </c>
    </row>
    <row r="55" spans="1:11" x14ac:dyDescent="0.3">
      <c r="A55" s="256">
        <v>48</v>
      </c>
      <c r="B55" s="257" t="s">
        <v>1462</v>
      </c>
      <c r="C55" s="276">
        <v>44561</v>
      </c>
      <c r="D55" s="257" t="s">
        <v>1273</v>
      </c>
      <c r="E55" s="256" t="s">
        <v>1829</v>
      </c>
      <c r="F55" s="256" t="s">
        <v>1876</v>
      </c>
      <c r="G55" s="258">
        <v>15901000000</v>
      </c>
      <c r="H55" s="265">
        <v>0.1</v>
      </c>
      <c r="I55" s="258">
        <v>1590100000</v>
      </c>
      <c r="J55" s="258">
        <v>17491100000</v>
      </c>
      <c r="K55" s="256" t="s">
        <v>1346</v>
      </c>
    </row>
    <row r="56" spans="1:11" x14ac:dyDescent="0.3">
      <c r="A56" s="256">
        <v>49</v>
      </c>
      <c r="B56" s="257" t="s">
        <v>1397</v>
      </c>
      <c r="C56" s="276">
        <v>44561</v>
      </c>
      <c r="D56" s="257" t="s">
        <v>1301</v>
      </c>
      <c r="E56" s="256" t="s">
        <v>1781</v>
      </c>
      <c r="F56" s="256" t="s">
        <v>1880</v>
      </c>
      <c r="G56" s="258">
        <v>12158000000</v>
      </c>
      <c r="H56" s="265">
        <v>0.1</v>
      </c>
      <c r="I56" s="258">
        <v>1215800000</v>
      </c>
      <c r="J56" s="258">
        <v>13373800000</v>
      </c>
      <c r="K56" s="256" t="s">
        <v>1346</v>
      </c>
    </row>
    <row r="57" spans="1:11" x14ac:dyDescent="0.3">
      <c r="A57" s="256">
        <v>50</v>
      </c>
      <c r="B57" s="257" t="s">
        <v>1399</v>
      </c>
      <c r="C57" s="276">
        <v>44561</v>
      </c>
      <c r="D57" s="257" t="s">
        <v>1299</v>
      </c>
      <c r="E57" s="256" t="s">
        <v>1776</v>
      </c>
      <c r="F57" s="256" t="s">
        <v>1879</v>
      </c>
      <c r="G57" s="258">
        <v>11735000000</v>
      </c>
      <c r="H57" s="265">
        <v>0.1</v>
      </c>
      <c r="I57" s="258">
        <v>1173500000</v>
      </c>
      <c r="J57" s="258">
        <v>12908500000</v>
      </c>
      <c r="K57" s="256" t="s">
        <v>1346</v>
      </c>
    </row>
    <row r="58" spans="1:11" x14ac:dyDescent="0.3">
      <c r="A58" s="266" t="s">
        <v>1351</v>
      </c>
      <c r="B58" s="266"/>
      <c r="C58" s="266"/>
      <c r="D58" s="266"/>
      <c r="E58" s="266"/>
      <c r="F58" s="266"/>
      <c r="G58" s="267">
        <f>SUM(G8:G57)</f>
        <v>805690000000</v>
      </c>
      <c r="H58" s="266"/>
      <c r="I58" s="267">
        <f>SUM(I8:I57)</f>
        <v>73809500000</v>
      </c>
      <c r="J58" s="267">
        <f>SUM(J8:J57)</f>
        <v>879499500000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1881</v>
      </c>
      <c r="G62" s="258">
        <v>16056000000</v>
      </c>
      <c r="H62" s="265">
        <v>0.1</v>
      </c>
      <c r="I62" s="258">
        <v>1605600000</v>
      </c>
      <c r="J62" s="258">
        <v>17661600000</v>
      </c>
      <c r="K62" s="256" t="s">
        <v>1346</v>
      </c>
    </row>
    <row r="63" spans="1:11" x14ac:dyDescent="0.3">
      <c r="A63" s="256">
        <v>2</v>
      </c>
      <c r="B63" s="257" t="s">
        <v>1201</v>
      </c>
      <c r="C63" s="276">
        <v>44318</v>
      </c>
      <c r="D63" s="257" t="s">
        <v>1259</v>
      </c>
      <c r="E63" s="256" t="s">
        <v>1788</v>
      </c>
      <c r="F63" s="256" t="s">
        <v>1883</v>
      </c>
      <c r="G63" s="258">
        <v>28637000000</v>
      </c>
      <c r="H63" s="265">
        <v>0.1</v>
      </c>
      <c r="I63" s="258">
        <v>2863700000</v>
      </c>
      <c r="J63" s="258">
        <v>31500700000</v>
      </c>
      <c r="K63" s="256" t="s">
        <v>1348</v>
      </c>
    </row>
    <row r="64" spans="1:11" x14ac:dyDescent="0.3">
      <c r="A64" s="256">
        <v>3</v>
      </c>
      <c r="B64" s="257" t="s">
        <v>1202</v>
      </c>
      <c r="C64" s="276">
        <v>44472</v>
      </c>
      <c r="D64" s="257" t="s">
        <v>1298</v>
      </c>
      <c r="E64" s="256" t="s">
        <v>1819</v>
      </c>
      <c r="F64" s="256" t="s">
        <v>1884</v>
      </c>
      <c r="G64" s="258">
        <v>15668000000</v>
      </c>
      <c r="H64" s="265">
        <v>0</v>
      </c>
      <c r="I64" s="258">
        <v>0</v>
      </c>
      <c r="J64" s="258">
        <v>15668000000</v>
      </c>
      <c r="K64" s="256" t="s">
        <v>1346</v>
      </c>
    </row>
    <row r="65" spans="1:11" x14ac:dyDescent="0.3">
      <c r="A65" s="256">
        <v>4</v>
      </c>
      <c r="B65" s="257" t="s">
        <v>1355</v>
      </c>
      <c r="C65" s="276">
        <v>44473</v>
      </c>
      <c r="D65" s="257" t="s">
        <v>1288</v>
      </c>
      <c r="E65" s="256" t="s">
        <v>1797</v>
      </c>
      <c r="F65" s="256" t="s">
        <v>1882</v>
      </c>
      <c r="G65" s="258">
        <v>15259000000</v>
      </c>
      <c r="H65" s="265">
        <v>0</v>
      </c>
      <c r="I65" s="258">
        <v>0</v>
      </c>
      <c r="J65" s="258">
        <v>15259000000</v>
      </c>
      <c r="K65" s="256" t="s">
        <v>1348</v>
      </c>
    </row>
    <row r="66" spans="1:11" x14ac:dyDescent="0.3">
      <c r="A66" s="256">
        <v>5</v>
      </c>
      <c r="B66" s="257" t="s">
        <v>1356</v>
      </c>
      <c r="C66" s="276">
        <v>44474</v>
      </c>
      <c r="D66" s="257" t="s">
        <v>1285</v>
      </c>
      <c r="E66" s="256" t="s">
        <v>1793</v>
      </c>
      <c r="F66" s="256" t="s">
        <v>1881</v>
      </c>
      <c r="G66" s="258">
        <v>10440000000</v>
      </c>
      <c r="H66" s="265">
        <v>0.1</v>
      </c>
      <c r="I66" s="258">
        <v>1044000000</v>
      </c>
      <c r="J66" s="258">
        <v>11484000000</v>
      </c>
      <c r="K66" s="256" t="s">
        <v>1346</v>
      </c>
    </row>
    <row r="67" spans="1:11" x14ac:dyDescent="0.3">
      <c r="A67" s="256">
        <v>6</v>
      </c>
      <c r="B67" s="257" t="s">
        <v>1358</v>
      </c>
      <c r="C67" s="276">
        <v>44475</v>
      </c>
      <c r="D67" s="257" t="s">
        <v>1286</v>
      </c>
      <c r="E67" s="256" t="s">
        <v>1828</v>
      </c>
      <c r="F67" s="256" t="s">
        <v>1883</v>
      </c>
      <c r="G67" s="258">
        <v>12998000000</v>
      </c>
      <c r="H67" s="265">
        <v>0</v>
      </c>
      <c r="I67" s="258">
        <v>0</v>
      </c>
      <c r="J67" s="258">
        <v>12998000000</v>
      </c>
      <c r="K67" s="256" t="s">
        <v>1346</v>
      </c>
    </row>
    <row r="68" spans="1:11" x14ac:dyDescent="0.3">
      <c r="A68" s="256">
        <v>7</v>
      </c>
      <c r="B68" s="257" t="s">
        <v>1360</v>
      </c>
      <c r="C68" s="276">
        <v>44476</v>
      </c>
      <c r="D68" s="257" t="s">
        <v>1256</v>
      </c>
      <c r="E68" s="256" t="s">
        <v>1802</v>
      </c>
      <c r="F68" s="256" t="s">
        <v>1883</v>
      </c>
      <c r="G68" s="258">
        <v>19748000000</v>
      </c>
      <c r="H68" s="265">
        <v>0.1</v>
      </c>
      <c r="I68" s="258">
        <v>1974800000</v>
      </c>
      <c r="J68" s="258">
        <v>21722800000</v>
      </c>
      <c r="K68" s="256" t="s">
        <v>1346</v>
      </c>
    </row>
    <row r="69" spans="1:11" x14ac:dyDescent="0.3">
      <c r="A69" s="256">
        <v>8</v>
      </c>
      <c r="B69" s="257" t="s">
        <v>1362</v>
      </c>
      <c r="C69" s="276">
        <v>44477</v>
      </c>
      <c r="D69" s="257" t="s">
        <v>1289</v>
      </c>
      <c r="E69" s="256" t="s">
        <v>1803</v>
      </c>
      <c r="F69" s="256" t="s">
        <v>1884</v>
      </c>
      <c r="G69" s="258">
        <v>13419000000</v>
      </c>
      <c r="H69" s="265">
        <v>0.1</v>
      </c>
      <c r="I69" s="258">
        <v>1341900000</v>
      </c>
      <c r="J69" s="258">
        <v>14760900000</v>
      </c>
      <c r="K69" s="256" t="s">
        <v>1346</v>
      </c>
    </row>
    <row r="70" spans="1:11" x14ac:dyDescent="0.3">
      <c r="A70" s="256">
        <v>9</v>
      </c>
      <c r="B70" s="257" t="s">
        <v>1364</v>
      </c>
      <c r="C70" s="276">
        <v>44478</v>
      </c>
      <c r="D70" s="257" t="s">
        <v>1301</v>
      </c>
      <c r="E70" s="256" t="s">
        <v>1781</v>
      </c>
      <c r="F70" s="256" t="s">
        <v>1882</v>
      </c>
      <c r="G70" s="258">
        <v>23856000000</v>
      </c>
      <c r="H70" s="265">
        <v>0.1</v>
      </c>
      <c r="I70" s="258">
        <v>2385600000</v>
      </c>
      <c r="J70" s="258">
        <v>26241600000</v>
      </c>
      <c r="K70" s="256" t="s">
        <v>1346</v>
      </c>
    </row>
    <row r="71" spans="1:11" x14ac:dyDescent="0.3">
      <c r="A71" s="256">
        <v>10</v>
      </c>
      <c r="B71" s="257" t="s">
        <v>1366</v>
      </c>
      <c r="C71" s="276">
        <v>44479</v>
      </c>
      <c r="D71" s="257" t="s">
        <v>1276</v>
      </c>
      <c r="E71" s="256" t="s">
        <v>1822</v>
      </c>
      <c r="F71" s="256" t="s">
        <v>1881</v>
      </c>
      <c r="G71" s="258">
        <v>10033000000</v>
      </c>
      <c r="H71" s="265">
        <v>0.1</v>
      </c>
      <c r="I71" s="258">
        <v>1003300000</v>
      </c>
      <c r="J71" s="258">
        <v>11036300000</v>
      </c>
      <c r="K71" s="256" t="s">
        <v>1346</v>
      </c>
    </row>
    <row r="72" spans="1:11" x14ac:dyDescent="0.3">
      <c r="A72" s="256">
        <v>11</v>
      </c>
      <c r="B72" s="257" t="s">
        <v>1368</v>
      </c>
      <c r="C72" s="276">
        <v>44480</v>
      </c>
      <c r="D72" s="257" t="s">
        <v>1263</v>
      </c>
      <c r="E72" s="256" t="s">
        <v>1790</v>
      </c>
      <c r="F72" s="256" t="s">
        <v>1883</v>
      </c>
      <c r="G72" s="258">
        <v>31529000000</v>
      </c>
      <c r="H72" s="265">
        <v>0</v>
      </c>
      <c r="I72" s="258">
        <v>0</v>
      </c>
      <c r="J72" s="258">
        <v>31529000000</v>
      </c>
      <c r="K72" s="256" t="s">
        <v>1346</v>
      </c>
    </row>
    <row r="73" spans="1:11" x14ac:dyDescent="0.3">
      <c r="A73" s="256">
        <v>12</v>
      </c>
      <c r="B73" s="257" t="s">
        <v>1371</v>
      </c>
      <c r="C73" s="276">
        <v>44481</v>
      </c>
      <c r="D73" s="257" t="s">
        <v>1284</v>
      </c>
      <c r="E73" s="256" t="s">
        <v>1786</v>
      </c>
      <c r="F73" s="256" t="s">
        <v>1883</v>
      </c>
      <c r="G73" s="258">
        <v>18634000000</v>
      </c>
      <c r="H73" s="265">
        <v>0.1</v>
      </c>
      <c r="I73" s="258">
        <v>1863400000</v>
      </c>
      <c r="J73" s="258">
        <v>20497400000</v>
      </c>
      <c r="K73" s="256" t="s">
        <v>1346</v>
      </c>
    </row>
    <row r="74" spans="1:11" x14ac:dyDescent="0.3">
      <c r="A74" s="256">
        <v>13</v>
      </c>
      <c r="B74" s="257" t="s">
        <v>1373</v>
      </c>
      <c r="C74" s="276">
        <v>44211</v>
      </c>
      <c r="D74" s="257" t="s">
        <v>1291</v>
      </c>
      <c r="E74" s="256" t="s">
        <v>1800</v>
      </c>
      <c r="F74" s="256" t="s">
        <v>1882</v>
      </c>
      <c r="G74" s="258">
        <v>31450000000</v>
      </c>
      <c r="H74" s="265">
        <v>0.1</v>
      </c>
      <c r="I74" s="258">
        <v>3145000000</v>
      </c>
      <c r="J74" s="258">
        <v>34595000000</v>
      </c>
      <c r="K74" s="256" t="s">
        <v>1346</v>
      </c>
    </row>
    <row r="75" spans="1:11" x14ac:dyDescent="0.3">
      <c r="A75" s="256">
        <v>14</v>
      </c>
      <c r="B75" s="257" t="s">
        <v>1374</v>
      </c>
      <c r="C75" s="276">
        <v>44242</v>
      </c>
      <c r="D75" s="257" t="s">
        <v>1255</v>
      </c>
      <c r="E75" s="273">
        <v>46152</v>
      </c>
      <c r="F75" s="256" t="s">
        <v>1882</v>
      </c>
      <c r="G75" s="258">
        <v>25170000000</v>
      </c>
      <c r="H75" s="265">
        <v>0.1</v>
      </c>
      <c r="I75" s="258">
        <v>2517000000</v>
      </c>
      <c r="J75" s="258">
        <v>27687000000</v>
      </c>
      <c r="K75" s="256" t="s">
        <v>1346</v>
      </c>
    </row>
    <row r="76" spans="1:11" x14ac:dyDescent="0.3">
      <c r="A76" s="256">
        <v>15</v>
      </c>
      <c r="B76" s="257" t="s">
        <v>1376</v>
      </c>
      <c r="C76" s="276">
        <v>44275</v>
      </c>
      <c r="D76" s="257" t="s">
        <v>1296</v>
      </c>
      <c r="E76" s="256" t="s">
        <v>1807</v>
      </c>
      <c r="F76" s="256" t="s">
        <v>1883</v>
      </c>
      <c r="G76" s="258">
        <v>22790000000</v>
      </c>
      <c r="H76" s="265">
        <v>0.1</v>
      </c>
      <c r="I76" s="258">
        <v>2279000000</v>
      </c>
      <c r="J76" s="258">
        <v>25069000000</v>
      </c>
      <c r="K76" s="256" t="s">
        <v>1346</v>
      </c>
    </row>
    <row r="77" spans="1:11" x14ac:dyDescent="0.3">
      <c r="A77" s="256">
        <v>16</v>
      </c>
      <c r="B77" s="257" t="s">
        <v>1378</v>
      </c>
      <c r="C77" s="276">
        <v>44306</v>
      </c>
      <c r="D77" s="257" t="s">
        <v>1298</v>
      </c>
      <c r="E77" s="256" t="s">
        <v>1819</v>
      </c>
      <c r="F77" s="256" t="s">
        <v>1884</v>
      </c>
      <c r="G77" s="258">
        <v>30111000000</v>
      </c>
      <c r="H77" s="265">
        <v>0.1</v>
      </c>
      <c r="I77" s="258">
        <v>3011100000</v>
      </c>
      <c r="J77" s="258">
        <v>33122100000</v>
      </c>
      <c r="K77" s="256" t="s">
        <v>1348</v>
      </c>
    </row>
    <row r="78" spans="1:11" x14ac:dyDescent="0.3">
      <c r="A78" s="256">
        <v>17</v>
      </c>
      <c r="B78" s="257" t="s">
        <v>1379</v>
      </c>
      <c r="C78" s="276">
        <v>44336</v>
      </c>
      <c r="D78" s="257" t="s">
        <v>1261</v>
      </c>
      <c r="E78" s="256" t="s">
        <v>1813</v>
      </c>
      <c r="F78" s="256" t="s">
        <v>1881</v>
      </c>
      <c r="G78" s="258">
        <v>13597000000</v>
      </c>
      <c r="H78" s="265">
        <v>0.1</v>
      </c>
      <c r="I78" s="258">
        <v>1359700000</v>
      </c>
      <c r="J78" s="258">
        <v>14956700000</v>
      </c>
      <c r="K78" s="256" t="s">
        <v>1348</v>
      </c>
    </row>
    <row r="79" spans="1:11" x14ac:dyDescent="0.3">
      <c r="A79" s="256">
        <v>18</v>
      </c>
      <c r="B79" s="257" t="s">
        <v>1381</v>
      </c>
      <c r="C79" s="276">
        <v>44367</v>
      </c>
      <c r="D79" s="257" t="s">
        <v>1299</v>
      </c>
      <c r="E79" s="256" t="s">
        <v>1776</v>
      </c>
      <c r="F79" s="256" t="s">
        <v>1883</v>
      </c>
      <c r="G79" s="258">
        <v>22414000000</v>
      </c>
      <c r="H79" s="265">
        <v>0.1</v>
      </c>
      <c r="I79" s="258">
        <v>2241400000</v>
      </c>
      <c r="J79" s="258">
        <v>24655400000</v>
      </c>
      <c r="K79" s="256" t="s">
        <v>1346</v>
      </c>
    </row>
    <row r="80" spans="1:11" x14ac:dyDescent="0.3">
      <c r="A80" s="256">
        <v>19</v>
      </c>
      <c r="B80" s="257" t="s">
        <v>1382</v>
      </c>
      <c r="C80" s="276">
        <v>44397</v>
      </c>
      <c r="D80" s="257" t="s">
        <v>1300</v>
      </c>
      <c r="E80" s="256" t="s">
        <v>1818</v>
      </c>
      <c r="F80" s="256" t="s">
        <v>1884</v>
      </c>
      <c r="G80" s="258">
        <v>14613000000</v>
      </c>
      <c r="H80" s="265">
        <v>0.1</v>
      </c>
      <c r="I80" s="258">
        <v>1461300000</v>
      </c>
      <c r="J80" s="258">
        <v>16074300000</v>
      </c>
      <c r="K80" s="256" t="s">
        <v>1346</v>
      </c>
    </row>
    <row r="81" spans="1:11" x14ac:dyDescent="0.3">
      <c r="A81" s="256">
        <v>20</v>
      </c>
      <c r="B81" s="257" t="s">
        <v>1383</v>
      </c>
      <c r="C81" s="276">
        <v>44428</v>
      </c>
      <c r="D81" s="257" t="s">
        <v>1275</v>
      </c>
      <c r="E81" s="256" t="s">
        <v>1808</v>
      </c>
      <c r="F81" s="256" t="s">
        <v>1881</v>
      </c>
      <c r="G81" s="258">
        <v>31469000000</v>
      </c>
      <c r="H81" s="265">
        <v>0.1</v>
      </c>
      <c r="I81" s="258">
        <v>3146900000</v>
      </c>
      <c r="J81" s="258">
        <v>34615900000</v>
      </c>
      <c r="K81" s="256" t="s">
        <v>1346</v>
      </c>
    </row>
    <row r="82" spans="1:11" x14ac:dyDescent="0.3">
      <c r="A82" s="256">
        <v>21</v>
      </c>
      <c r="B82" s="257" t="s">
        <v>1203</v>
      </c>
      <c r="C82" s="276">
        <v>44459</v>
      </c>
      <c r="D82" s="257" t="s">
        <v>1301</v>
      </c>
      <c r="E82" s="256" t="s">
        <v>1781</v>
      </c>
      <c r="F82" s="256" t="s">
        <v>1883</v>
      </c>
      <c r="G82" s="258">
        <v>33577000000</v>
      </c>
      <c r="H82" s="265">
        <v>0.1</v>
      </c>
      <c r="I82" s="258">
        <v>3357700000</v>
      </c>
      <c r="J82" s="258">
        <v>36934700000</v>
      </c>
      <c r="K82" s="256" t="s">
        <v>1346</v>
      </c>
    </row>
    <row r="83" spans="1:11" x14ac:dyDescent="0.3">
      <c r="A83" s="256">
        <v>22</v>
      </c>
      <c r="B83" s="257" t="s">
        <v>1204</v>
      </c>
      <c r="C83" s="276">
        <v>44489</v>
      </c>
      <c r="D83" s="257" t="s">
        <v>1265</v>
      </c>
      <c r="E83" s="256" t="s">
        <v>1830</v>
      </c>
      <c r="F83" s="256" t="s">
        <v>1881</v>
      </c>
      <c r="G83" s="258">
        <v>30234000000</v>
      </c>
      <c r="H83" s="265">
        <v>0.1</v>
      </c>
      <c r="I83" s="258">
        <v>3023400000</v>
      </c>
      <c r="J83" s="258">
        <v>33257400000</v>
      </c>
      <c r="K83" s="256" t="s">
        <v>1346</v>
      </c>
    </row>
    <row r="84" spans="1:11" x14ac:dyDescent="0.3">
      <c r="A84" s="256">
        <v>23</v>
      </c>
      <c r="B84" s="257" t="s">
        <v>1205</v>
      </c>
      <c r="C84" s="276">
        <v>44520</v>
      </c>
      <c r="D84" s="257" t="s">
        <v>1273</v>
      </c>
      <c r="E84" s="256" t="s">
        <v>1829</v>
      </c>
      <c r="F84" s="256" t="s">
        <v>1884</v>
      </c>
      <c r="G84" s="258">
        <v>15249000000</v>
      </c>
      <c r="H84" s="265">
        <v>0.1</v>
      </c>
      <c r="I84" s="258">
        <v>1524900000</v>
      </c>
      <c r="J84" s="258">
        <v>16773900000</v>
      </c>
      <c r="K84" s="256" t="s">
        <v>1346</v>
      </c>
    </row>
    <row r="85" spans="1:11" x14ac:dyDescent="0.3">
      <c r="A85" s="256">
        <v>24</v>
      </c>
      <c r="B85" s="257" t="s">
        <v>1385</v>
      </c>
      <c r="C85" s="276">
        <v>44550</v>
      </c>
      <c r="D85" s="257" t="s">
        <v>1279</v>
      </c>
      <c r="E85" s="256" t="s">
        <v>1827</v>
      </c>
      <c r="F85" s="256" t="s">
        <v>1883</v>
      </c>
      <c r="G85" s="258">
        <v>26084000000</v>
      </c>
      <c r="H85" s="265">
        <v>0.1</v>
      </c>
      <c r="I85" s="258">
        <v>2608400000</v>
      </c>
      <c r="J85" s="258">
        <v>28692400000</v>
      </c>
      <c r="K85" s="256" t="s">
        <v>1346</v>
      </c>
    </row>
    <row r="86" spans="1:11" x14ac:dyDescent="0.3">
      <c r="A86" s="256">
        <v>25</v>
      </c>
      <c r="B86" s="257" t="s">
        <v>1387</v>
      </c>
      <c r="C86" s="276">
        <v>44221</v>
      </c>
      <c r="D86" s="257" t="s">
        <v>1263</v>
      </c>
      <c r="E86" s="256" t="s">
        <v>1790</v>
      </c>
      <c r="F86" s="256" t="s">
        <v>1881</v>
      </c>
      <c r="G86" s="258">
        <v>30180000000</v>
      </c>
      <c r="H86" s="265">
        <v>0.1</v>
      </c>
      <c r="I86" s="258">
        <v>3018000000</v>
      </c>
      <c r="J86" s="258">
        <v>33198000000</v>
      </c>
      <c r="K86" s="256" t="s">
        <v>1346</v>
      </c>
    </row>
    <row r="87" spans="1:11" x14ac:dyDescent="0.3">
      <c r="A87" s="256">
        <v>26</v>
      </c>
      <c r="B87" s="257" t="s">
        <v>1388</v>
      </c>
      <c r="C87" s="276">
        <v>44255</v>
      </c>
      <c r="D87" s="257" t="s">
        <v>1288</v>
      </c>
      <c r="E87" s="256" t="s">
        <v>1797</v>
      </c>
      <c r="F87" s="256" t="s">
        <v>1883</v>
      </c>
      <c r="G87" s="258">
        <v>25220000000</v>
      </c>
      <c r="H87" s="265">
        <v>0.1</v>
      </c>
      <c r="I87" s="258">
        <v>2522000000</v>
      </c>
      <c r="J87" s="258">
        <v>27742000000</v>
      </c>
      <c r="K87" s="256" t="s">
        <v>1346</v>
      </c>
    </row>
    <row r="88" spans="1:11" x14ac:dyDescent="0.3">
      <c r="A88" s="256">
        <v>27</v>
      </c>
      <c r="B88" s="257" t="s">
        <v>1391</v>
      </c>
      <c r="C88" s="276">
        <v>44316</v>
      </c>
      <c r="D88" s="257" t="s">
        <v>1298</v>
      </c>
      <c r="E88" s="256" t="s">
        <v>1819</v>
      </c>
      <c r="F88" s="256" t="s">
        <v>1882</v>
      </c>
      <c r="G88" s="258">
        <v>8576000000</v>
      </c>
      <c r="H88" s="265">
        <v>0.1</v>
      </c>
      <c r="I88" s="258">
        <v>857600000</v>
      </c>
      <c r="J88" s="258">
        <v>9433600000</v>
      </c>
      <c r="K88" s="256" t="s">
        <v>1346</v>
      </c>
    </row>
    <row r="89" spans="1:11" x14ac:dyDescent="0.3">
      <c r="A89" s="256">
        <v>28</v>
      </c>
      <c r="B89" s="257" t="s">
        <v>1392</v>
      </c>
      <c r="C89" s="276">
        <v>44377</v>
      </c>
      <c r="D89" s="257" t="s">
        <v>1292</v>
      </c>
      <c r="E89" s="256" t="s">
        <v>1792</v>
      </c>
      <c r="F89" s="256" t="s">
        <v>1884</v>
      </c>
      <c r="G89" s="258">
        <v>30144000000</v>
      </c>
      <c r="H89" s="265">
        <v>0.1</v>
      </c>
      <c r="I89" s="258">
        <v>3014400000</v>
      </c>
      <c r="J89" s="258">
        <v>33158400000</v>
      </c>
      <c r="K89" s="256" t="s">
        <v>1346</v>
      </c>
    </row>
    <row r="90" spans="1:11" x14ac:dyDescent="0.3">
      <c r="A90" s="256">
        <v>29</v>
      </c>
      <c r="B90" s="257" t="s">
        <v>1394</v>
      </c>
      <c r="C90" s="276">
        <v>44469</v>
      </c>
      <c r="D90" s="257" t="s">
        <v>1295</v>
      </c>
      <c r="E90" s="256" t="s">
        <v>1825</v>
      </c>
      <c r="F90" s="256" t="s">
        <v>1882</v>
      </c>
      <c r="G90" s="258">
        <v>19636000000</v>
      </c>
      <c r="H90" s="265">
        <v>0.1</v>
      </c>
      <c r="I90" s="258">
        <v>1963600000</v>
      </c>
      <c r="J90" s="258">
        <v>21599600000</v>
      </c>
      <c r="K90" s="256" t="s">
        <v>1346</v>
      </c>
    </row>
    <row r="91" spans="1:11" x14ac:dyDescent="0.3">
      <c r="A91" s="256">
        <v>30</v>
      </c>
      <c r="B91" s="257" t="s">
        <v>1396</v>
      </c>
      <c r="C91" s="276">
        <v>44530</v>
      </c>
      <c r="D91" s="257" t="s">
        <v>1269</v>
      </c>
      <c r="E91" s="256" t="s">
        <v>1823</v>
      </c>
      <c r="F91" s="256" t="s">
        <v>1883</v>
      </c>
      <c r="G91" s="258">
        <v>10935000000</v>
      </c>
      <c r="H91" s="265">
        <v>0.1</v>
      </c>
      <c r="I91" s="258">
        <v>1093500000</v>
      </c>
      <c r="J91" s="258">
        <v>12028500000</v>
      </c>
      <c r="K91" s="256" t="s">
        <v>1346</v>
      </c>
    </row>
    <row r="92" spans="1:11" x14ac:dyDescent="0.3">
      <c r="A92" s="256">
        <v>31</v>
      </c>
      <c r="B92" s="257" t="s">
        <v>1397</v>
      </c>
      <c r="C92" s="276">
        <v>44286</v>
      </c>
      <c r="D92" s="257" t="s">
        <v>1256</v>
      </c>
      <c r="E92" s="256" t="s">
        <v>1802</v>
      </c>
      <c r="F92" s="256" t="s">
        <v>1884</v>
      </c>
      <c r="G92" s="258">
        <v>26560000000</v>
      </c>
      <c r="H92" s="265">
        <v>0.1</v>
      </c>
      <c r="I92" s="258">
        <v>2656000000</v>
      </c>
      <c r="J92" s="258">
        <v>29216000000</v>
      </c>
      <c r="K92" s="256" t="s">
        <v>1346</v>
      </c>
    </row>
    <row r="93" spans="1:11" x14ac:dyDescent="0.3">
      <c r="A93" s="256">
        <v>32</v>
      </c>
      <c r="B93" s="257" t="s">
        <v>1398</v>
      </c>
      <c r="C93" s="276">
        <v>44347</v>
      </c>
      <c r="D93" s="257" t="s">
        <v>1259</v>
      </c>
      <c r="E93" s="256" t="s">
        <v>1788</v>
      </c>
      <c r="F93" s="256" t="s">
        <v>1882</v>
      </c>
      <c r="G93" s="258">
        <v>33745000000</v>
      </c>
      <c r="H93" s="265">
        <v>0.1</v>
      </c>
      <c r="I93" s="258">
        <v>3374500000</v>
      </c>
      <c r="J93" s="258">
        <v>37119500000</v>
      </c>
      <c r="K93" s="256" t="s">
        <v>1346</v>
      </c>
    </row>
    <row r="94" spans="1:11" x14ac:dyDescent="0.3">
      <c r="A94" s="256">
        <v>33</v>
      </c>
      <c r="B94" s="257" t="s">
        <v>1399</v>
      </c>
      <c r="C94" s="276">
        <v>44408</v>
      </c>
      <c r="D94" s="257" t="s">
        <v>1284</v>
      </c>
      <c r="E94" s="256" t="s">
        <v>1786</v>
      </c>
      <c r="F94" s="256" t="s">
        <v>1882</v>
      </c>
      <c r="G94" s="258">
        <v>15961000000</v>
      </c>
      <c r="H94" s="265">
        <v>0.1</v>
      </c>
      <c r="I94" s="258">
        <v>1596100000</v>
      </c>
      <c r="J94" s="258">
        <v>17557100000</v>
      </c>
      <c r="K94" s="256" t="s">
        <v>1346</v>
      </c>
    </row>
    <row r="95" spans="1:11" x14ac:dyDescent="0.3">
      <c r="A95" s="256">
        <v>34</v>
      </c>
      <c r="B95" s="257" t="s">
        <v>1401</v>
      </c>
      <c r="C95" s="276">
        <v>44439</v>
      </c>
      <c r="D95" s="257" t="s">
        <v>1266</v>
      </c>
      <c r="E95" s="256" t="s">
        <v>1824</v>
      </c>
      <c r="F95" s="256" t="s">
        <v>1883</v>
      </c>
      <c r="G95" s="258">
        <v>27120000000</v>
      </c>
      <c r="H95" s="265">
        <v>0.1</v>
      </c>
      <c r="I95" s="258">
        <v>2712000000</v>
      </c>
      <c r="J95" s="258">
        <v>29832000000</v>
      </c>
      <c r="K95" s="256" t="s">
        <v>1348</v>
      </c>
    </row>
    <row r="96" spans="1:11" x14ac:dyDescent="0.3">
      <c r="A96" s="256">
        <v>35</v>
      </c>
      <c r="B96" s="257" t="s">
        <v>1402</v>
      </c>
      <c r="C96" s="276">
        <v>44500</v>
      </c>
      <c r="D96" s="257" t="s">
        <v>1260</v>
      </c>
      <c r="E96" s="256" t="s">
        <v>1804</v>
      </c>
      <c r="F96" s="256" t="s">
        <v>1881</v>
      </c>
      <c r="G96" s="258">
        <v>9577000000</v>
      </c>
      <c r="H96" s="265">
        <v>0.1</v>
      </c>
      <c r="I96" s="258">
        <v>957700000</v>
      </c>
      <c r="J96" s="258">
        <v>10534700000</v>
      </c>
      <c r="K96" s="256" t="s">
        <v>1346</v>
      </c>
    </row>
    <row r="97" spans="1:11" x14ac:dyDescent="0.3">
      <c r="A97" s="256">
        <v>36</v>
      </c>
      <c r="B97" s="257" t="s">
        <v>1403</v>
      </c>
      <c r="C97" s="276">
        <v>44561</v>
      </c>
      <c r="D97" s="257" t="s">
        <v>1257</v>
      </c>
      <c r="E97" s="256" t="s">
        <v>1815</v>
      </c>
      <c r="F97" s="256" t="s">
        <v>1882</v>
      </c>
      <c r="G97" s="258">
        <v>14023000000</v>
      </c>
      <c r="H97" s="265">
        <v>0</v>
      </c>
      <c r="I97" s="258">
        <v>0</v>
      </c>
      <c r="J97" s="258">
        <v>14023000000</v>
      </c>
      <c r="K97" s="256" t="s">
        <v>1346</v>
      </c>
    </row>
    <row r="98" spans="1:11" x14ac:dyDescent="0.3">
      <c r="A98" s="256">
        <v>37</v>
      </c>
      <c r="B98" s="257" t="s">
        <v>1404</v>
      </c>
      <c r="C98" s="276">
        <v>44561</v>
      </c>
      <c r="D98" s="257" t="s">
        <v>1295</v>
      </c>
      <c r="E98" s="256" t="s">
        <v>1825</v>
      </c>
      <c r="F98" s="256" t="s">
        <v>1883</v>
      </c>
      <c r="G98" s="258">
        <v>16397000000</v>
      </c>
      <c r="H98" s="265">
        <v>0.1</v>
      </c>
      <c r="I98" s="258">
        <v>1639700000</v>
      </c>
      <c r="J98" s="258">
        <v>18036700000</v>
      </c>
      <c r="K98" s="256" t="s">
        <v>1346</v>
      </c>
    </row>
    <row r="99" spans="1:11" x14ac:dyDescent="0.3">
      <c r="A99" s="256">
        <v>38</v>
      </c>
      <c r="B99" s="257" t="s">
        <v>1405</v>
      </c>
      <c r="C99" s="276">
        <v>44561</v>
      </c>
      <c r="D99" s="257" t="s">
        <v>1292</v>
      </c>
      <c r="E99" s="256" t="s">
        <v>1792</v>
      </c>
      <c r="F99" s="256" t="s">
        <v>1884</v>
      </c>
      <c r="G99" s="258">
        <v>24713000000</v>
      </c>
      <c r="H99" s="265">
        <v>0.1</v>
      </c>
      <c r="I99" s="258">
        <v>2471300000</v>
      </c>
      <c r="J99" s="258">
        <v>27184300000</v>
      </c>
      <c r="K99" s="256" t="s">
        <v>1346</v>
      </c>
    </row>
    <row r="100" spans="1:11" x14ac:dyDescent="0.3">
      <c r="A100" s="256">
        <v>39</v>
      </c>
      <c r="B100" s="257" t="s">
        <v>1406</v>
      </c>
      <c r="C100" s="276">
        <v>44561</v>
      </c>
      <c r="D100" s="257" t="s">
        <v>1263</v>
      </c>
      <c r="E100" s="256" t="s">
        <v>1790</v>
      </c>
      <c r="F100" s="256" t="s">
        <v>1881</v>
      </c>
      <c r="G100" s="258">
        <v>17904000000</v>
      </c>
      <c r="H100" s="265">
        <v>0.1</v>
      </c>
      <c r="I100" s="258">
        <v>1790400000</v>
      </c>
      <c r="J100" s="258">
        <v>19694400000</v>
      </c>
      <c r="K100" s="256" t="s">
        <v>1346</v>
      </c>
    </row>
    <row r="101" spans="1:11" x14ac:dyDescent="0.3">
      <c r="A101" s="256">
        <v>40</v>
      </c>
      <c r="B101" s="257" t="s">
        <v>1408</v>
      </c>
      <c r="C101" s="276">
        <v>44561</v>
      </c>
      <c r="D101" s="257" t="s">
        <v>1268</v>
      </c>
      <c r="E101" s="256" t="s">
        <v>1821</v>
      </c>
      <c r="F101" s="256" t="s">
        <v>1884</v>
      </c>
      <c r="G101" s="258">
        <v>23137000000</v>
      </c>
      <c r="H101" s="265">
        <v>0.1</v>
      </c>
      <c r="I101" s="258">
        <v>2313700000</v>
      </c>
      <c r="J101" s="258">
        <v>25450700000</v>
      </c>
      <c r="K101" s="256" t="s">
        <v>1346</v>
      </c>
    </row>
    <row r="102" spans="1:11" x14ac:dyDescent="0.3">
      <c r="A102" s="256">
        <v>41</v>
      </c>
      <c r="B102" s="257" t="s">
        <v>1409</v>
      </c>
      <c r="C102" s="276">
        <v>44561</v>
      </c>
      <c r="D102" s="257" t="s">
        <v>1258</v>
      </c>
      <c r="E102" s="256" t="s">
        <v>1833</v>
      </c>
      <c r="F102" s="256" t="s">
        <v>1881</v>
      </c>
      <c r="G102" s="258">
        <v>20033000000</v>
      </c>
      <c r="H102" s="265">
        <v>0.1</v>
      </c>
      <c r="I102" s="258">
        <v>2003300000</v>
      </c>
      <c r="J102" s="258">
        <v>22036300000</v>
      </c>
      <c r="K102" s="256" t="s">
        <v>1346</v>
      </c>
    </row>
    <row r="103" spans="1:11" x14ac:dyDescent="0.3">
      <c r="A103" s="256">
        <v>42</v>
      </c>
      <c r="B103" s="257" t="s">
        <v>1411</v>
      </c>
      <c r="C103" s="276">
        <v>44561</v>
      </c>
      <c r="D103" s="257" t="s">
        <v>1257</v>
      </c>
      <c r="E103" s="256" t="s">
        <v>1815</v>
      </c>
      <c r="F103" s="256" t="s">
        <v>1881</v>
      </c>
      <c r="G103" s="258">
        <v>9885000000</v>
      </c>
      <c r="H103" s="265">
        <v>0</v>
      </c>
      <c r="I103" s="258">
        <v>0</v>
      </c>
      <c r="J103" s="258">
        <v>9885000000</v>
      </c>
      <c r="K103" s="256" t="s">
        <v>1346</v>
      </c>
    </row>
    <row r="104" spans="1:11" x14ac:dyDescent="0.3">
      <c r="A104" s="256">
        <v>43</v>
      </c>
      <c r="B104" s="257" t="s">
        <v>1414</v>
      </c>
      <c r="C104" s="276">
        <v>44561</v>
      </c>
      <c r="D104" s="257" t="s">
        <v>1272</v>
      </c>
      <c r="E104" s="256" t="s">
        <v>1805</v>
      </c>
      <c r="F104" s="256" t="s">
        <v>1882</v>
      </c>
      <c r="G104" s="258">
        <v>30873000000</v>
      </c>
      <c r="H104" s="265">
        <v>0.1</v>
      </c>
      <c r="I104" s="258">
        <v>3087300000</v>
      </c>
      <c r="J104" s="258">
        <v>33960300000</v>
      </c>
      <c r="K104" s="256" t="s">
        <v>1346</v>
      </c>
    </row>
    <row r="105" spans="1:11" x14ac:dyDescent="0.3">
      <c r="A105" s="256">
        <v>44</v>
      </c>
      <c r="B105" s="257" t="s">
        <v>1415</v>
      </c>
      <c r="C105" s="276">
        <v>44561</v>
      </c>
      <c r="D105" s="257" t="s">
        <v>1284</v>
      </c>
      <c r="E105" s="256" t="s">
        <v>1786</v>
      </c>
      <c r="F105" s="256" t="s">
        <v>1883</v>
      </c>
      <c r="G105" s="258">
        <v>30133000000</v>
      </c>
      <c r="H105" s="265">
        <v>0.1</v>
      </c>
      <c r="I105" s="258">
        <v>3013300000</v>
      </c>
      <c r="J105" s="258">
        <v>33146300000</v>
      </c>
      <c r="K105" s="256" t="s">
        <v>1346</v>
      </c>
    </row>
    <row r="106" spans="1:11" x14ac:dyDescent="0.3">
      <c r="A106" s="256">
        <v>45</v>
      </c>
      <c r="B106" s="257" t="s">
        <v>1206</v>
      </c>
      <c r="C106" s="276">
        <v>44561</v>
      </c>
      <c r="D106" s="257" t="s">
        <v>1264</v>
      </c>
      <c r="E106" s="256" t="s">
        <v>1779</v>
      </c>
      <c r="F106" s="256" t="s">
        <v>1883</v>
      </c>
      <c r="G106" s="258">
        <v>20473000000</v>
      </c>
      <c r="H106" s="265">
        <v>0</v>
      </c>
      <c r="I106" s="258">
        <v>0</v>
      </c>
      <c r="J106" s="258">
        <v>20473000000</v>
      </c>
      <c r="K106" s="256" t="s">
        <v>1346</v>
      </c>
    </row>
    <row r="107" spans="1:11" x14ac:dyDescent="0.3">
      <c r="A107" s="256">
        <v>46</v>
      </c>
      <c r="B107" s="257" t="s">
        <v>1207</v>
      </c>
      <c r="C107" s="276">
        <v>44561</v>
      </c>
      <c r="D107" s="257" t="s">
        <v>1272</v>
      </c>
      <c r="E107" s="256" t="s">
        <v>1805</v>
      </c>
      <c r="F107" s="256" t="s">
        <v>1882</v>
      </c>
      <c r="G107" s="258">
        <v>21517000000</v>
      </c>
      <c r="H107" s="265">
        <v>0.1</v>
      </c>
      <c r="I107" s="258">
        <v>2151700000</v>
      </c>
      <c r="J107" s="258">
        <v>23668700000</v>
      </c>
      <c r="K107" s="256" t="s">
        <v>1346</v>
      </c>
    </row>
    <row r="108" spans="1:11" x14ac:dyDescent="0.3">
      <c r="A108" s="256">
        <v>47</v>
      </c>
      <c r="B108" s="257" t="s">
        <v>1208</v>
      </c>
      <c r="C108" s="276">
        <v>44561</v>
      </c>
      <c r="D108" s="257" t="s">
        <v>1282</v>
      </c>
      <c r="E108" s="256" t="s">
        <v>1789</v>
      </c>
      <c r="F108" s="256" t="s">
        <v>1882</v>
      </c>
      <c r="G108" s="258">
        <v>9458000000</v>
      </c>
      <c r="H108" s="265">
        <v>0.1</v>
      </c>
      <c r="I108" s="258">
        <v>945800000</v>
      </c>
      <c r="J108" s="258">
        <v>10403800000</v>
      </c>
      <c r="K108" s="256" t="s">
        <v>1346</v>
      </c>
    </row>
    <row r="109" spans="1:11" x14ac:dyDescent="0.3">
      <c r="A109" s="256">
        <v>48</v>
      </c>
      <c r="B109" s="257" t="s">
        <v>1209</v>
      </c>
      <c r="C109" s="276">
        <v>44561</v>
      </c>
      <c r="D109" s="257" t="s">
        <v>1292</v>
      </c>
      <c r="E109" s="256" t="s">
        <v>1792</v>
      </c>
      <c r="F109" s="256" t="s">
        <v>1884</v>
      </c>
      <c r="G109" s="258">
        <v>25978000000</v>
      </c>
      <c r="H109" s="265">
        <v>0.1</v>
      </c>
      <c r="I109" s="258">
        <v>2597800000</v>
      </c>
      <c r="J109" s="258">
        <v>28575800000</v>
      </c>
      <c r="K109" s="256" t="s">
        <v>1346</v>
      </c>
    </row>
    <row r="110" spans="1:11" x14ac:dyDescent="0.3">
      <c r="A110" s="256">
        <v>49</v>
      </c>
      <c r="B110" s="257" t="s">
        <v>1418</v>
      </c>
      <c r="C110" s="276">
        <v>44561</v>
      </c>
      <c r="D110" s="257" t="s">
        <v>1274</v>
      </c>
      <c r="E110" s="256" t="s">
        <v>1794</v>
      </c>
      <c r="F110" s="256" t="s">
        <v>1883</v>
      </c>
      <c r="G110" s="258">
        <v>10263000000</v>
      </c>
      <c r="H110" s="265">
        <v>0.1</v>
      </c>
      <c r="I110" s="258">
        <v>1026300000</v>
      </c>
      <c r="J110" s="258">
        <v>11289300000</v>
      </c>
      <c r="K110" s="256" t="s">
        <v>1346</v>
      </c>
    </row>
    <row r="111" spans="1:11" x14ac:dyDescent="0.3">
      <c r="A111" s="256">
        <v>50</v>
      </c>
      <c r="B111" s="257" t="s">
        <v>1419</v>
      </c>
      <c r="C111" s="276">
        <v>44561</v>
      </c>
      <c r="D111" s="257" t="s">
        <v>1294</v>
      </c>
      <c r="E111" s="256" t="s">
        <v>1795</v>
      </c>
      <c r="F111" s="256" t="s">
        <v>1882</v>
      </c>
      <c r="G111" s="258">
        <v>19497000000</v>
      </c>
      <c r="H111" s="265">
        <v>0</v>
      </c>
      <c r="I111" s="258">
        <v>0</v>
      </c>
      <c r="J111" s="258">
        <v>19497000000</v>
      </c>
      <c r="K111" s="256" t="s">
        <v>1348</v>
      </c>
    </row>
    <row r="112" spans="1:11" x14ac:dyDescent="0.3">
      <c r="A112" s="266" t="s">
        <v>1351</v>
      </c>
      <c r="B112" s="266"/>
      <c r="C112" s="266"/>
      <c r="D112" s="266"/>
      <c r="E112" s="266"/>
      <c r="F112" s="266"/>
      <c r="G112" s="267">
        <f>SUM(G62:G111)</f>
        <v>1044973000000</v>
      </c>
      <c r="H112" s="266"/>
      <c r="I112" s="267">
        <f>SUM(I62:I111)</f>
        <v>90564100000</v>
      </c>
      <c r="J112" s="267">
        <f>SUM(J62:J111)</f>
        <v>1135537100000</v>
      </c>
      <c r="K112" s="266"/>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809</v>
      </c>
      <c r="C1" s="256"/>
      <c r="D1" s="256"/>
      <c r="E1" s="256"/>
      <c r="F1" s="256"/>
      <c r="G1" s="256"/>
      <c r="H1" s="256"/>
      <c r="I1" s="256"/>
      <c r="J1" s="256"/>
      <c r="K1" s="256"/>
    </row>
    <row r="2" spans="1:11" x14ac:dyDescent="0.3">
      <c r="A2" s="256" t="s">
        <v>1339</v>
      </c>
      <c r="B2" s="257">
        <v>106255939</v>
      </c>
      <c r="C2" s="256"/>
      <c r="D2" s="256"/>
      <c r="E2" s="256"/>
      <c r="F2" s="256"/>
      <c r="G2" s="256"/>
      <c r="H2" s="256"/>
      <c r="I2" s="256"/>
      <c r="J2" s="256"/>
      <c r="K2" s="256"/>
    </row>
    <row r="3" spans="1:11" x14ac:dyDescent="0.3">
      <c r="A3" s="256" t="s">
        <v>1343</v>
      </c>
      <c r="B3" s="258">
        <v>370611247587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1463</v>
      </c>
      <c r="C8" s="276">
        <v>44317</v>
      </c>
      <c r="D8" s="257" t="s">
        <v>1263</v>
      </c>
      <c r="E8" s="256" t="s">
        <v>1790</v>
      </c>
      <c r="F8" s="256" t="s">
        <v>1860</v>
      </c>
      <c r="G8" s="258">
        <v>6156000000</v>
      </c>
      <c r="H8" s="265">
        <v>0.1</v>
      </c>
      <c r="I8" s="258">
        <v>615600000</v>
      </c>
      <c r="J8" s="258">
        <v>6771600000</v>
      </c>
      <c r="K8" s="256" t="s">
        <v>1346</v>
      </c>
    </row>
    <row r="9" spans="1:11" x14ac:dyDescent="0.3">
      <c r="A9" s="256">
        <v>2</v>
      </c>
      <c r="B9" s="257" t="s">
        <v>1401</v>
      </c>
      <c r="C9" s="276">
        <v>44318</v>
      </c>
      <c r="D9" s="257" t="s">
        <v>1299</v>
      </c>
      <c r="E9" s="256" t="s">
        <v>1776</v>
      </c>
      <c r="F9" s="256" t="s">
        <v>1862</v>
      </c>
      <c r="G9" s="258">
        <v>3522000000</v>
      </c>
      <c r="H9" s="265">
        <v>0.1</v>
      </c>
      <c r="I9" s="258">
        <v>352200000</v>
      </c>
      <c r="J9" s="258">
        <v>3874200000</v>
      </c>
      <c r="K9" s="256" t="s">
        <v>1346</v>
      </c>
    </row>
    <row r="10" spans="1:11" x14ac:dyDescent="0.3">
      <c r="A10" s="256">
        <v>3</v>
      </c>
      <c r="B10" s="257" t="s">
        <v>1468</v>
      </c>
      <c r="C10" s="276">
        <v>44472</v>
      </c>
      <c r="D10" s="257" t="s">
        <v>1274</v>
      </c>
      <c r="E10" s="256" t="s">
        <v>1794</v>
      </c>
      <c r="F10" s="256" t="s">
        <v>1860</v>
      </c>
      <c r="G10" s="258">
        <v>7077000000</v>
      </c>
      <c r="H10" s="265">
        <v>0.1</v>
      </c>
      <c r="I10" s="258">
        <v>707700000</v>
      </c>
      <c r="J10" s="258">
        <v>7784700000</v>
      </c>
      <c r="K10" s="256" t="s">
        <v>1346</v>
      </c>
    </row>
    <row r="11" spans="1:11" x14ac:dyDescent="0.3">
      <c r="A11" s="256">
        <v>4</v>
      </c>
      <c r="B11" s="257" t="s">
        <v>1461</v>
      </c>
      <c r="C11" s="276">
        <v>44473</v>
      </c>
      <c r="D11" s="257" t="s">
        <v>1260</v>
      </c>
      <c r="E11" s="256" t="s">
        <v>1804</v>
      </c>
      <c r="F11" s="256" t="s">
        <v>1857</v>
      </c>
      <c r="G11" s="258">
        <v>8061000000</v>
      </c>
      <c r="H11" s="265">
        <v>0.1</v>
      </c>
      <c r="I11" s="258">
        <v>806100000</v>
      </c>
      <c r="J11" s="258">
        <v>8867100000</v>
      </c>
      <c r="K11" s="256" t="s">
        <v>1346</v>
      </c>
    </row>
    <row r="12" spans="1:11" x14ac:dyDescent="0.3">
      <c r="A12" s="256">
        <v>5</v>
      </c>
      <c r="B12" s="257" t="s">
        <v>1414</v>
      </c>
      <c r="C12" s="276">
        <v>44474</v>
      </c>
      <c r="D12" s="257" t="s">
        <v>1257</v>
      </c>
      <c r="E12" s="256" t="s">
        <v>1815</v>
      </c>
      <c r="F12" s="256" t="s">
        <v>1862</v>
      </c>
      <c r="G12" s="258">
        <v>6401000000</v>
      </c>
      <c r="H12" s="265">
        <v>0.1</v>
      </c>
      <c r="I12" s="258">
        <v>640100000</v>
      </c>
      <c r="J12" s="258">
        <v>7041100000</v>
      </c>
      <c r="K12" s="256" t="s">
        <v>1346</v>
      </c>
    </row>
    <row r="13" spans="1:11" x14ac:dyDescent="0.3">
      <c r="A13" s="256">
        <v>6</v>
      </c>
      <c r="B13" s="257" t="s">
        <v>1469</v>
      </c>
      <c r="C13" s="276">
        <v>44475</v>
      </c>
      <c r="D13" s="257" t="s">
        <v>1274</v>
      </c>
      <c r="E13" s="256" t="s">
        <v>1794</v>
      </c>
      <c r="F13" s="256" t="s">
        <v>1861</v>
      </c>
      <c r="G13" s="258">
        <v>2442000000</v>
      </c>
      <c r="H13" s="265">
        <v>0.1</v>
      </c>
      <c r="I13" s="258">
        <v>244200000</v>
      </c>
      <c r="J13" s="258">
        <v>2686200000</v>
      </c>
      <c r="K13" s="256" t="s">
        <v>1346</v>
      </c>
    </row>
    <row r="14" spans="1:11" x14ac:dyDescent="0.3">
      <c r="A14" s="256">
        <v>7</v>
      </c>
      <c r="B14" s="257" t="s">
        <v>1414</v>
      </c>
      <c r="C14" s="276">
        <v>44476</v>
      </c>
      <c r="D14" s="257" t="s">
        <v>1267</v>
      </c>
      <c r="E14" s="256" t="s">
        <v>1810</v>
      </c>
      <c r="F14" s="256" t="s">
        <v>1862</v>
      </c>
      <c r="G14" s="258">
        <v>3648000000</v>
      </c>
      <c r="H14" s="265">
        <v>0.1</v>
      </c>
      <c r="I14" s="258">
        <v>364800000</v>
      </c>
      <c r="J14" s="258">
        <v>4012800000</v>
      </c>
      <c r="K14" s="256" t="s">
        <v>1346</v>
      </c>
    </row>
    <row r="15" spans="1:11" x14ac:dyDescent="0.3">
      <c r="A15" s="256">
        <v>8</v>
      </c>
      <c r="B15" s="257" t="s">
        <v>1456</v>
      </c>
      <c r="C15" s="276">
        <v>44477</v>
      </c>
      <c r="D15" s="257" t="s">
        <v>1268</v>
      </c>
      <c r="E15" s="256" t="s">
        <v>1821</v>
      </c>
      <c r="F15" s="256" t="s">
        <v>1862</v>
      </c>
      <c r="G15" s="258">
        <v>6805000000</v>
      </c>
      <c r="H15" s="265">
        <v>0</v>
      </c>
      <c r="I15" s="258">
        <v>0</v>
      </c>
      <c r="J15" s="258">
        <v>6805000000</v>
      </c>
      <c r="K15" s="256" t="s">
        <v>1346</v>
      </c>
    </row>
    <row r="16" spans="1:11" x14ac:dyDescent="0.3">
      <c r="A16" s="256">
        <v>9</v>
      </c>
      <c r="B16" s="257" t="s">
        <v>1406</v>
      </c>
      <c r="C16" s="276">
        <v>44478</v>
      </c>
      <c r="D16" s="257" t="s">
        <v>1293</v>
      </c>
      <c r="E16" s="256" t="s">
        <v>1826</v>
      </c>
      <c r="F16" s="256" t="s">
        <v>1862</v>
      </c>
      <c r="G16" s="258">
        <v>2934000000</v>
      </c>
      <c r="H16" s="265">
        <v>0.1</v>
      </c>
      <c r="I16" s="258">
        <v>293400000</v>
      </c>
      <c r="J16" s="258">
        <v>3227400000</v>
      </c>
      <c r="K16" s="256" t="s">
        <v>1346</v>
      </c>
    </row>
    <row r="17" spans="1:11" x14ac:dyDescent="0.3">
      <c r="A17" s="256">
        <v>10</v>
      </c>
      <c r="B17" s="257" t="s">
        <v>1405</v>
      </c>
      <c r="C17" s="276">
        <v>44479</v>
      </c>
      <c r="D17" s="257" t="s">
        <v>1269</v>
      </c>
      <c r="E17" s="256" t="s">
        <v>1823</v>
      </c>
      <c r="F17" s="256" t="s">
        <v>1858</v>
      </c>
      <c r="G17" s="258">
        <v>7555000000</v>
      </c>
      <c r="H17" s="265">
        <v>0.1</v>
      </c>
      <c r="I17" s="258">
        <v>755500000</v>
      </c>
      <c r="J17" s="258">
        <v>8310500000</v>
      </c>
      <c r="K17" s="256" t="s">
        <v>1346</v>
      </c>
    </row>
    <row r="18" spans="1:11" x14ac:dyDescent="0.3">
      <c r="A18" s="256">
        <v>11</v>
      </c>
      <c r="B18" s="257" t="s">
        <v>1462</v>
      </c>
      <c r="C18" s="276">
        <v>44480</v>
      </c>
      <c r="D18" s="257" t="s">
        <v>1256</v>
      </c>
      <c r="E18" s="256" t="s">
        <v>1802</v>
      </c>
      <c r="F18" s="256" t="s">
        <v>1859</v>
      </c>
      <c r="G18" s="258">
        <v>5910000000</v>
      </c>
      <c r="H18" s="265">
        <v>0.1</v>
      </c>
      <c r="I18" s="258">
        <v>591000000</v>
      </c>
      <c r="J18" s="258">
        <v>6501000000</v>
      </c>
      <c r="K18" s="256" t="s">
        <v>1346</v>
      </c>
    </row>
    <row r="19" spans="1:11" x14ac:dyDescent="0.3">
      <c r="A19" s="256">
        <v>12</v>
      </c>
      <c r="B19" s="257" t="s">
        <v>1477</v>
      </c>
      <c r="C19" s="276">
        <v>44481</v>
      </c>
      <c r="D19" s="257" t="s">
        <v>1284</v>
      </c>
      <c r="E19" s="256" t="s">
        <v>1786</v>
      </c>
      <c r="F19" s="256" t="s">
        <v>1861</v>
      </c>
      <c r="G19" s="258">
        <v>5990000000</v>
      </c>
      <c r="H19" s="265">
        <v>0.1</v>
      </c>
      <c r="I19" s="258">
        <v>599000000</v>
      </c>
      <c r="J19" s="258">
        <v>6589000000</v>
      </c>
      <c r="K19" s="256" t="s">
        <v>1348</v>
      </c>
    </row>
    <row r="20" spans="1:11" x14ac:dyDescent="0.3">
      <c r="A20" s="256">
        <v>13</v>
      </c>
      <c r="B20" s="257" t="s">
        <v>1388</v>
      </c>
      <c r="C20" s="276">
        <v>44211</v>
      </c>
      <c r="D20" s="257" t="s">
        <v>1286</v>
      </c>
      <c r="E20" s="256" t="s">
        <v>1828</v>
      </c>
      <c r="F20" s="256" t="s">
        <v>1859</v>
      </c>
      <c r="G20" s="258">
        <v>7528000000</v>
      </c>
      <c r="H20" s="265">
        <v>0.1</v>
      </c>
      <c r="I20" s="258">
        <v>752800000</v>
      </c>
      <c r="J20" s="258">
        <v>8280800000</v>
      </c>
      <c r="K20" s="256" t="s">
        <v>1346</v>
      </c>
    </row>
    <row r="21" spans="1:11" x14ac:dyDescent="0.3">
      <c r="A21" s="256">
        <v>14</v>
      </c>
      <c r="B21" s="257" t="s">
        <v>1203</v>
      </c>
      <c r="C21" s="276">
        <v>44242</v>
      </c>
      <c r="D21" s="257" t="s">
        <v>1261</v>
      </c>
      <c r="E21" s="256" t="s">
        <v>1813</v>
      </c>
      <c r="F21" s="256" t="s">
        <v>1863</v>
      </c>
      <c r="G21" s="258">
        <v>8588000000</v>
      </c>
      <c r="H21" s="265">
        <v>0.1</v>
      </c>
      <c r="I21" s="258">
        <v>858800000</v>
      </c>
      <c r="J21" s="258">
        <v>9446800000</v>
      </c>
      <c r="K21" s="256" t="s">
        <v>1346</v>
      </c>
    </row>
    <row r="22" spans="1:11" x14ac:dyDescent="0.3">
      <c r="A22" s="256">
        <v>15</v>
      </c>
      <c r="B22" s="257" t="s">
        <v>1387</v>
      </c>
      <c r="C22" s="276">
        <v>44275</v>
      </c>
      <c r="D22" s="257" t="s">
        <v>1296</v>
      </c>
      <c r="E22" s="256" t="s">
        <v>1807</v>
      </c>
      <c r="F22" s="256" t="s">
        <v>1861</v>
      </c>
      <c r="G22" s="258">
        <v>7679000000</v>
      </c>
      <c r="H22" s="265">
        <v>0.1</v>
      </c>
      <c r="I22" s="258">
        <v>767900000</v>
      </c>
      <c r="J22" s="258">
        <v>8446900000</v>
      </c>
      <c r="K22" s="256" t="s">
        <v>1346</v>
      </c>
    </row>
    <row r="23" spans="1:11" x14ac:dyDescent="0.3">
      <c r="A23" s="256">
        <v>16</v>
      </c>
      <c r="B23" s="257" t="s">
        <v>1206</v>
      </c>
      <c r="C23" s="276">
        <v>44306</v>
      </c>
      <c r="D23" s="257" t="s">
        <v>1265</v>
      </c>
      <c r="E23" s="256" t="s">
        <v>1830</v>
      </c>
      <c r="F23" s="256" t="s">
        <v>1860</v>
      </c>
      <c r="G23" s="258">
        <v>7118000000</v>
      </c>
      <c r="H23" s="265">
        <v>0</v>
      </c>
      <c r="I23" s="258">
        <v>0</v>
      </c>
      <c r="J23" s="258">
        <v>7118000000</v>
      </c>
      <c r="K23" s="256" t="s">
        <v>1346</v>
      </c>
    </row>
    <row r="24" spans="1:11" x14ac:dyDescent="0.3">
      <c r="A24" s="256">
        <v>17</v>
      </c>
      <c r="B24" s="257" t="s">
        <v>1409</v>
      </c>
      <c r="C24" s="276">
        <v>44336</v>
      </c>
      <c r="D24" s="257" t="s">
        <v>1255</v>
      </c>
      <c r="E24" s="273">
        <v>46152</v>
      </c>
      <c r="F24" s="256" t="s">
        <v>1861</v>
      </c>
      <c r="G24" s="258">
        <v>6761000000</v>
      </c>
      <c r="H24" s="265">
        <v>0.1</v>
      </c>
      <c r="I24" s="258">
        <v>676100000</v>
      </c>
      <c r="J24" s="258">
        <v>7437100000</v>
      </c>
      <c r="K24" s="256" t="s">
        <v>1346</v>
      </c>
    </row>
    <row r="25" spans="1:11" x14ac:dyDescent="0.3">
      <c r="A25" s="256">
        <v>18</v>
      </c>
      <c r="B25" s="257" t="s">
        <v>1464</v>
      </c>
      <c r="C25" s="276">
        <v>44367</v>
      </c>
      <c r="D25" s="257" t="s">
        <v>1279</v>
      </c>
      <c r="E25" s="256" t="s">
        <v>1827</v>
      </c>
      <c r="F25" s="256" t="s">
        <v>1857</v>
      </c>
      <c r="G25" s="258">
        <v>2773000000</v>
      </c>
      <c r="H25" s="265">
        <v>0.1</v>
      </c>
      <c r="I25" s="258">
        <v>277300000</v>
      </c>
      <c r="J25" s="258">
        <v>3050300000</v>
      </c>
      <c r="K25" s="256" t="s">
        <v>1346</v>
      </c>
    </row>
    <row r="26" spans="1:11" x14ac:dyDescent="0.3">
      <c r="A26" s="256">
        <v>19</v>
      </c>
      <c r="B26" s="257" t="s">
        <v>1457</v>
      </c>
      <c r="C26" s="276">
        <v>44397</v>
      </c>
      <c r="D26" s="257" t="s">
        <v>1268</v>
      </c>
      <c r="E26" s="256" t="s">
        <v>1821</v>
      </c>
      <c r="F26" s="256" t="s">
        <v>1857</v>
      </c>
      <c r="G26" s="258">
        <v>7983000000</v>
      </c>
      <c r="H26" s="265">
        <v>0.1</v>
      </c>
      <c r="I26" s="258">
        <v>798300000</v>
      </c>
      <c r="J26" s="258">
        <v>8781300000</v>
      </c>
      <c r="K26" s="256" t="s">
        <v>1346</v>
      </c>
    </row>
    <row r="27" spans="1:11" x14ac:dyDescent="0.3">
      <c r="A27" s="256">
        <v>20</v>
      </c>
      <c r="B27" s="257" t="s">
        <v>1456</v>
      </c>
      <c r="C27" s="276">
        <v>44428</v>
      </c>
      <c r="D27" s="257" t="s">
        <v>1278</v>
      </c>
      <c r="E27" s="256" t="s">
        <v>1785</v>
      </c>
      <c r="F27" s="256" t="s">
        <v>1860</v>
      </c>
      <c r="G27" s="258">
        <v>4430000000</v>
      </c>
      <c r="H27" s="265">
        <v>0.1</v>
      </c>
      <c r="I27" s="258">
        <v>443000000</v>
      </c>
      <c r="J27" s="258">
        <v>4873000000</v>
      </c>
      <c r="K27" s="256" t="s">
        <v>1346</v>
      </c>
    </row>
    <row r="28" spans="1:11" x14ac:dyDescent="0.3">
      <c r="A28" s="256">
        <v>21</v>
      </c>
      <c r="B28" s="257" t="s">
        <v>1470</v>
      </c>
      <c r="C28" s="276">
        <v>44459</v>
      </c>
      <c r="D28" s="257" t="s">
        <v>1259</v>
      </c>
      <c r="E28" s="256" t="s">
        <v>1788</v>
      </c>
      <c r="F28" s="256" t="s">
        <v>1860</v>
      </c>
      <c r="G28" s="258">
        <v>7368000000</v>
      </c>
      <c r="H28" s="265">
        <v>0.1</v>
      </c>
      <c r="I28" s="258">
        <v>736800000</v>
      </c>
      <c r="J28" s="258">
        <v>8104800000</v>
      </c>
      <c r="K28" s="256" t="s">
        <v>1346</v>
      </c>
    </row>
    <row r="29" spans="1:11" x14ac:dyDescent="0.3">
      <c r="A29" s="256">
        <v>22</v>
      </c>
      <c r="B29" s="257" t="s">
        <v>1462</v>
      </c>
      <c r="C29" s="276">
        <v>44489</v>
      </c>
      <c r="D29" s="257" t="s">
        <v>1271</v>
      </c>
      <c r="E29" s="256" t="s">
        <v>1799</v>
      </c>
      <c r="F29" s="256" t="s">
        <v>1863</v>
      </c>
      <c r="G29" s="258">
        <v>5796000000</v>
      </c>
      <c r="H29" s="265">
        <v>0.1</v>
      </c>
      <c r="I29" s="258">
        <v>579600000</v>
      </c>
      <c r="J29" s="258">
        <v>6375600000</v>
      </c>
      <c r="K29" s="256" t="s">
        <v>1346</v>
      </c>
    </row>
    <row r="30" spans="1:11" x14ac:dyDescent="0.3">
      <c r="A30" s="256">
        <v>23</v>
      </c>
      <c r="B30" s="257" t="s">
        <v>1457</v>
      </c>
      <c r="C30" s="276">
        <v>44520</v>
      </c>
      <c r="D30" s="257" t="s">
        <v>1278</v>
      </c>
      <c r="E30" s="256" t="s">
        <v>1785</v>
      </c>
      <c r="F30" s="256" t="s">
        <v>1862</v>
      </c>
      <c r="G30" s="258">
        <v>8548000000</v>
      </c>
      <c r="H30" s="265">
        <v>0</v>
      </c>
      <c r="I30" s="258">
        <v>0</v>
      </c>
      <c r="J30" s="258">
        <v>8548000000</v>
      </c>
      <c r="K30" s="256" t="s">
        <v>1346</v>
      </c>
    </row>
    <row r="31" spans="1:11" x14ac:dyDescent="0.3">
      <c r="A31" s="256">
        <v>24</v>
      </c>
      <c r="B31" s="257" t="s">
        <v>1467</v>
      </c>
      <c r="C31" s="276">
        <v>44550</v>
      </c>
      <c r="D31" s="257" t="s">
        <v>1276</v>
      </c>
      <c r="E31" s="256" t="s">
        <v>1822</v>
      </c>
      <c r="F31" s="256" t="s">
        <v>1862</v>
      </c>
      <c r="G31" s="258">
        <v>2780000000</v>
      </c>
      <c r="H31" s="265">
        <v>0</v>
      </c>
      <c r="I31" s="258">
        <v>0</v>
      </c>
      <c r="J31" s="258">
        <v>2780000000</v>
      </c>
      <c r="K31" s="256" t="s">
        <v>1346</v>
      </c>
    </row>
    <row r="32" spans="1:11" x14ac:dyDescent="0.3">
      <c r="A32" s="256">
        <v>25</v>
      </c>
      <c r="B32" s="257" t="s">
        <v>1209</v>
      </c>
      <c r="C32" s="276">
        <v>44221</v>
      </c>
      <c r="D32" s="257" t="s">
        <v>1304</v>
      </c>
      <c r="E32" s="256" t="s">
        <v>1831</v>
      </c>
      <c r="F32" s="256" t="s">
        <v>1861</v>
      </c>
      <c r="G32" s="258">
        <v>5724000000</v>
      </c>
      <c r="H32" s="265">
        <v>0.1</v>
      </c>
      <c r="I32" s="258">
        <v>572400000</v>
      </c>
      <c r="J32" s="258">
        <v>6296400000</v>
      </c>
      <c r="K32" s="256" t="s">
        <v>1346</v>
      </c>
    </row>
    <row r="33" spans="1:11" x14ac:dyDescent="0.3">
      <c r="A33" s="256">
        <v>26</v>
      </c>
      <c r="B33" s="257" t="s">
        <v>1471</v>
      </c>
      <c r="C33" s="276">
        <v>44255</v>
      </c>
      <c r="D33" s="257" t="s">
        <v>1259</v>
      </c>
      <c r="E33" s="256" t="s">
        <v>1788</v>
      </c>
      <c r="F33" s="256" t="s">
        <v>1863</v>
      </c>
      <c r="G33" s="258">
        <v>5861000000</v>
      </c>
      <c r="H33" s="265">
        <v>0.1</v>
      </c>
      <c r="I33" s="258">
        <v>586100000</v>
      </c>
      <c r="J33" s="258">
        <v>6447100000</v>
      </c>
      <c r="K33" s="256" t="s">
        <v>1346</v>
      </c>
    </row>
    <row r="34" spans="1:11" x14ac:dyDescent="0.3">
      <c r="A34" s="256">
        <v>27</v>
      </c>
      <c r="B34" s="257" t="s">
        <v>1397</v>
      </c>
      <c r="C34" s="276">
        <v>44316</v>
      </c>
      <c r="D34" s="257" t="s">
        <v>1302</v>
      </c>
      <c r="E34" s="256" t="s">
        <v>1784</v>
      </c>
      <c r="F34" s="256" t="s">
        <v>1863</v>
      </c>
      <c r="G34" s="258">
        <v>7472000000</v>
      </c>
      <c r="H34" s="265">
        <v>0.1</v>
      </c>
      <c r="I34" s="258">
        <v>747200000</v>
      </c>
      <c r="J34" s="258">
        <v>8219200000</v>
      </c>
      <c r="K34" s="256" t="s">
        <v>1346</v>
      </c>
    </row>
    <row r="35" spans="1:11" x14ac:dyDescent="0.3">
      <c r="A35" s="256">
        <v>28</v>
      </c>
      <c r="B35" s="257" t="s">
        <v>1394</v>
      </c>
      <c r="C35" s="276">
        <v>44377</v>
      </c>
      <c r="D35" s="257" t="s">
        <v>1300</v>
      </c>
      <c r="E35" s="256" t="s">
        <v>1818</v>
      </c>
      <c r="F35" s="256" t="s">
        <v>1858</v>
      </c>
      <c r="G35" s="258">
        <v>7346000000</v>
      </c>
      <c r="H35" s="265">
        <v>0.1</v>
      </c>
      <c r="I35" s="258">
        <v>734600000</v>
      </c>
      <c r="J35" s="258">
        <v>8080600000</v>
      </c>
      <c r="K35" s="256" t="s">
        <v>1348</v>
      </c>
    </row>
    <row r="36" spans="1:11" x14ac:dyDescent="0.3">
      <c r="A36" s="256">
        <v>29</v>
      </c>
      <c r="B36" s="257" t="s">
        <v>1463</v>
      </c>
      <c r="C36" s="276">
        <v>44469</v>
      </c>
      <c r="D36" s="257" t="s">
        <v>1256</v>
      </c>
      <c r="E36" s="256" t="s">
        <v>1802</v>
      </c>
      <c r="F36" s="256" t="s">
        <v>1863</v>
      </c>
      <c r="G36" s="258">
        <v>2688000000</v>
      </c>
      <c r="H36" s="265">
        <v>0.1</v>
      </c>
      <c r="I36" s="258">
        <v>268800000</v>
      </c>
      <c r="J36" s="258">
        <v>2956800000</v>
      </c>
      <c r="K36" s="256" t="s">
        <v>1346</v>
      </c>
    </row>
    <row r="37" spans="1:11" x14ac:dyDescent="0.3">
      <c r="A37" s="256">
        <v>30</v>
      </c>
      <c r="B37" s="257" t="s">
        <v>1470</v>
      </c>
      <c r="C37" s="276">
        <v>44530</v>
      </c>
      <c r="D37" s="257" t="s">
        <v>1277</v>
      </c>
      <c r="E37" s="256" t="s">
        <v>1783</v>
      </c>
      <c r="F37" s="256" t="s">
        <v>1861</v>
      </c>
      <c r="G37" s="258">
        <v>4064000000</v>
      </c>
      <c r="H37" s="265">
        <v>0.1</v>
      </c>
      <c r="I37" s="258">
        <v>406400000</v>
      </c>
      <c r="J37" s="258">
        <v>4470400000</v>
      </c>
      <c r="K37" s="256" t="s">
        <v>1346</v>
      </c>
    </row>
    <row r="38" spans="1:11" x14ac:dyDescent="0.3">
      <c r="A38" s="256">
        <v>31</v>
      </c>
      <c r="B38" s="257" t="s">
        <v>1415</v>
      </c>
      <c r="C38" s="276">
        <v>44286</v>
      </c>
      <c r="D38" s="257" t="s">
        <v>1257</v>
      </c>
      <c r="E38" s="256" t="s">
        <v>1815</v>
      </c>
      <c r="F38" s="256" t="s">
        <v>1861</v>
      </c>
      <c r="G38" s="258">
        <v>7314000000</v>
      </c>
      <c r="H38" s="265">
        <v>0.1</v>
      </c>
      <c r="I38" s="258">
        <v>731400000</v>
      </c>
      <c r="J38" s="258">
        <v>8045400000</v>
      </c>
      <c r="K38" s="256" t="s">
        <v>1346</v>
      </c>
    </row>
    <row r="39" spans="1:11" x14ac:dyDescent="0.3">
      <c r="A39" s="256">
        <v>32</v>
      </c>
      <c r="B39" s="257" t="s">
        <v>1203</v>
      </c>
      <c r="C39" s="276">
        <v>44347</v>
      </c>
      <c r="D39" s="257" t="s">
        <v>1298</v>
      </c>
      <c r="E39" s="256" t="s">
        <v>1819</v>
      </c>
      <c r="F39" s="256" t="s">
        <v>1862</v>
      </c>
      <c r="G39" s="258">
        <v>2904000000</v>
      </c>
      <c r="H39" s="265">
        <v>0.1</v>
      </c>
      <c r="I39" s="258">
        <v>290400000</v>
      </c>
      <c r="J39" s="258">
        <v>3194400000</v>
      </c>
      <c r="K39" s="256" t="s">
        <v>1346</v>
      </c>
    </row>
    <row r="40" spans="1:11" x14ac:dyDescent="0.3">
      <c r="A40" s="256">
        <v>33</v>
      </c>
      <c r="B40" s="257" t="s">
        <v>1406</v>
      </c>
      <c r="C40" s="276">
        <v>44408</v>
      </c>
      <c r="D40" s="257" t="s">
        <v>1269</v>
      </c>
      <c r="E40" s="256" t="s">
        <v>1823</v>
      </c>
      <c r="F40" s="256" t="s">
        <v>1859</v>
      </c>
      <c r="G40" s="258">
        <v>3200000000</v>
      </c>
      <c r="H40" s="265">
        <v>0.1</v>
      </c>
      <c r="I40" s="258">
        <v>320000000</v>
      </c>
      <c r="J40" s="258">
        <v>3520000000</v>
      </c>
      <c r="K40" s="256" t="s">
        <v>1346</v>
      </c>
    </row>
    <row r="41" spans="1:11" x14ac:dyDescent="0.3">
      <c r="A41" s="256">
        <v>34</v>
      </c>
      <c r="B41" s="257" t="s">
        <v>1418</v>
      </c>
      <c r="C41" s="276">
        <v>44439</v>
      </c>
      <c r="D41" s="257" t="s">
        <v>1266</v>
      </c>
      <c r="E41" s="256" t="s">
        <v>1824</v>
      </c>
      <c r="F41" s="256" t="s">
        <v>1861</v>
      </c>
      <c r="G41" s="258">
        <v>6908000000</v>
      </c>
      <c r="H41" s="265">
        <v>0.1</v>
      </c>
      <c r="I41" s="258">
        <v>690800000</v>
      </c>
      <c r="J41" s="258">
        <v>7598800000</v>
      </c>
      <c r="K41" s="256" t="s">
        <v>1348</v>
      </c>
    </row>
    <row r="42" spans="1:11" x14ac:dyDescent="0.3">
      <c r="A42" s="256">
        <v>35</v>
      </c>
      <c r="B42" s="257" t="s">
        <v>1206</v>
      </c>
      <c r="C42" s="276">
        <v>44500</v>
      </c>
      <c r="D42" s="257" t="s">
        <v>1257</v>
      </c>
      <c r="E42" s="256" t="s">
        <v>1815</v>
      </c>
      <c r="F42" s="256" t="s">
        <v>1857</v>
      </c>
      <c r="G42" s="258">
        <v>6439000000</v>
      </c>
      <c r="H42" s="265">
        <v>0.1</v>
      </c>
      <c r="I42" s="258">
        <v>643900000</v>
      </c>
      <c r="J42" s="258">
        <v>7082900000</v>
      </c>
      <c r="K42" s="256" t="s">
        <v>1346</v>
      </c>
    </row>
    <row r="43" spans="1:11" x14ac:dyDescent="0.3">
      <c r="A43" s="256">
        <v>36</v>
      </c>
      <c r="B43" s="257" t="s">
        <v>1396</v>
      </c>
      <c r="C43" s="276">
        <v>44561</v>
      </c>
      <c r="D43" s="257" t="s">
        <v>1297</v>
      </c>
      <c r="E43" s="256" t="s">
        <v>1820</v>
      </c>
      <c r="F43" s="256" t="s">
        <v>1863</v>
      </c>
      <c r="G43" s="258">
        <v>6841000000</v>
      </c>
      <c r="H43" s="265">
        <v>0.1</v>
      </c>
      <c r="I43" s="258">
        <v>684100000</v>
      </c>
      <c r="J43" s="258">
        <v>7525100000</v>
      </c>
      <c r="K43" s="256" t="s">
        <v>1346</v>
      </c>
    </row>
    <row r="44" spans="1:11" x14ac:dyDescent="0.3">
      <c r="A44" s="256">
        <v>37</v>
      </c>
      <c r="B44" s="257" t="s">
        <v>1398</v>
      </c>
      <c r="C44" s="276">
        <v>44561</v>
      </c>
      <c r="D44" s="257" t="s">
        <v>1302</v>
      </c>
      <c r="E44" s="256" t="s">
        <v>1784</v>
      </c>
      <c r="F44" s="256" t="s">
        <v>1858</v>
      </c>
      <c r="G44" s="258">
        <v>5457000000</v>
      </c>
      <c r="H44" s="265">
        <v>0.1</v>
      </c>
      <c r="I44" s="258">
        <v>545700000</v>
      </c>
      <c r="J44" s="258">
        <v>6002700000</v>
      </c>
      <c r="K44" s="256" t="s">
        <v>1346</v>
      </c>
    </row>
    <row r="45" spans="1:11" x14ac:dyDescent="0.3">
      <c r="A45" s="256">
        <v>38</v>
      </c>
      <c r="B45" s="257" t="s">
        <v>1408</v>
      </c>
      <c r="C45" s="276">
        <v>44561</v>
      </c>
      <c r="D45" s="257" t="s">
        <v>1293</v>
      </c>
      <c r="E45" s="256" t="s">
        <v>1826</v>
      </c>
      <c r="F45" s="256" t="s">
        <v>1860</v>
      </c>
      <c r="G45" s="258">
        <v>4325000000</v>
      </c>
      <c r="H45" s="265">
        <v>0.1</v>
      </c>
      <c r="I45" s="258">
        <v>432500000</v>
      </c>
      <c r="J45" s="258">
        <v>4757500000</v>
      </c>
      <c r="K45" s="256" t="s">
        <v>1348</v>
      </c>
    </row>
    <row r="46" spans="1:11" x14ac:dyDescent="0.3">
      <c r="A46" s="256">
        <v>39</v>
      </c>
      <c r="B46" s="257" t="s">
        <v>1387</v>
      </c>
      <c r="C46" s="276">
        <v>44561</v>
      </c>
      <c r="D46" s="257" t="s">
        <v>1295</v>
      </c>
      <c r="E46" s="256" t="s">
        <v>1825</v>
      </c>
      <c r="F46" s="256" t="s">
        <v>1858</v>
      </c>
      <c r="G46" s="258">
        <v>8652000000</v>
      </c>
      <c r="H46" s="265">
        <v>0</v>
      </c>
      <c r="I46" s="258">
        <v>0</v>
      </c>
      <c r="J46" s="258">
        <v>8652000000</v>
      </c>
      <c r="K46" s="256" t="s">
        <v>1346</v>
      </c>
    </row>
    <row r="47" spans="1:11" x14ac:dyDescent="0.3">
      <c r="A47" s="256">
        <v>40</v>
      </c>
      <c r="B47" s="257" t="s">
        <v>1383</v>
      </c>
      <c r="C47" s="276">
        <v>44561</v>
      </c>
      <c r="D47" s="257" t="s">
        <v>1303</v>
      </c>
      <c r="E47" s="256" t="s">
        <v>1817</v>
      </c>
      <c r="F47" s="256" t="s">
        <v>1859</v>
      </c>
      <c r="G47" s="258">
        <v>5747000000</v>
      </c>
      <c r="H47" s="265">
        <v>0.1</v>
      </c>
      <c r="I47" s="258">
        <v>574700000</v>
      </c>
      <c r="J47" s="258">
        <v>6321700000</v>
      </c>
      <c r="K47" s="256" t="s">
        <v>1346</v>
      </c>
    </row>
    <row r="48" spans="1:11" x14ac:dyDescent="0.3">
      <c r="A48" s="256">
        <v>41</v>
      </c>
      <c r="B48" s="257" t="s">
        <v>1394</v>
      </c>
      <c r="C48" s="276">
        <v>44561</v>
      </c>
      <c r="D48" s="257" t="s">
        <v>1291</v>
      </c>
      <c r="E48" s="256" t="s">
        <v>1800</v>
      </c>
      <c r="F48" s="256" t="s">
        <v>1861</v>
      </c>
      <c r="G48" s="258">
        <v>3651000000</v>
      </c>
      <c r="H48" s="265">
        <v>0.1</v>
      </c>
      <c r="I48" s="258">
        <v>365100000</v>
      </c>
      <c r="J48" s="258">
        <v>4016100000</v>
      </c>
      <c r="K48" s="256" t="s">
        <v>1346</v>
      </c>
    </row>
    <row r="49" spans="1:11" x14ac:dyDescent="0.3">
      <c r="A49" s="256">
        <v>42</v>
      </c>
      <c r="B49" s="257" t="s">
        <v>1470</v>
      </c>
      <c r="C49" s="276">
        <v>44561</v>
      </c>
      <c r="D49" s="257" t="s">
        <v>1281</v>
      </c>
      <c r="E49" s="256" t="s">
        <v>1806</v>
      </c>
      <c r="F49" s="256" t="s">
        <v>1859</v>
      </c>
      <c r="G49" s="258">
        <v>6434000000</v>
      </c>
      <c r="H49" s="265">
        <v>0.1</v>
      </c>
      <c r="I49" s="258">
        <v>643400000</v>
      </c>
      <c r="J49" s="258">
        <v>7077400000</v>
      </c>
      <c r="K49" s="256" t="s">
        <v>1346</v>
      </c>
    </row>
    <row r="50" spans="1:11" x14ac:dyDescent="0.3">
      <c r="A50" s="256">
        <v>43</v>
      </c>
      <c r="B50" s="257" t="s">
        <v>1464</v>
      </c>
      <c r="C50" s="276">
        <v>44561</v>
      </c>
      <c r="D50" s="257" t="s">
        <v>1256</v>
      </c>
      <c r="E50" s="256" t="s">
        <v>1802</v>
      </c>
      <c r="F50" s="256" t="s">
        <v>1860</v>
      </c>
      <c r="G50" s="258">
        <v>5550000000</v>
      </c>
      <c r="H50" s="265">
        <v>0.1</v>
      </c>
      <c r="I50" s="258">
        <v>555000000</v>
      </c>
      <c r="J50" s="258">
        <v>6105000000</v>
      </c>
      <c r="K50" s="256" t="s">
        <v>1348</v>
      </c>
    </row>
    <row r="51" spans="1:11" x14ac:dyDescent="0.3">
      <c r="A51" s="256">
        <v>44</v>
      </c>
      <c r="B51" s="257" t="s">
        <v>1397</v>
      </c>
      <c r="C51" s="276">
        <v>44561</v>
      </c>
      <c r="D51" s="257" t="s">
        <v>1297</v>
      </c>
      <c r="E51" s="256" t="s">
        <v>1820</v>
      </c>
      <c r="F51" s="256" t="s">
        <v>1857</v>
      </c>
      <c r="G51" s="258">
        <v>6453000000</v>
      </c>
      <c r="H51" s="265">
        <v>0.1</v>
      </c>
      <c r="I51" s="258">
        <v>645300000</v>
      </c>
      <c r="J51" s="258">
        <v>7098300000</v>
      </c>
      <c r="K51" s="256" t="s">
        <v>1346</v>
      </c>
    </row>
    <row r="52" spans="1:11" x14ac:dyDescent="0.3">
      <c r="A52" s="256">
        <v>45</v>
      </c>
      <c r="B52" s="257" t="s">
        <v>1418</v>
      </c>
      <c r="C52" s="276">
        <v>44561</v>
      </c>
      <c r="D52" s="257" t="s">
        <v>1304</v>
      </c>
      <c r="E52" s="256" t="s">
        <v>1831</v>
      </c>
      <c r="F52" s="256" t="s">
        <v>1863</v>
      </c>
      <c r="G52" s="258">
        <v>7252000000</v>
      </c>
      <c r="H52" s="265">
        <v>0.1</v>
      </c>
      <c r="I52" s="258">
        <v>725200000</v>
      </c>
      <c r="J52" s="258">
        <v>7977200000</v>
      </c>
      <c r="K52" s="256" t="s">
        <v>1346</v>
      </c>
    </row>
    <row r="53" spans="1:11" x14ac:dyDescent="0.3">
      <c r="A53" s="256">
        <v>46</v>
      </c>
      <c r="B53" s="257" t="s">
        <v>1404</v>
      </c>
      <c r="C53" s="276">
        <v>44561</v>
      </c>
      <c r="D53" s="257" t="s">
        <v>1290</v>
      </c>
      <c r="E53" s="256" t="s">
        <v>1796</v>
      </c>
      <c r="F53" s="256" t="s">
        <v>1861</v>
      </c>
      <c r="G53" s="258">
        <v>7639000000</v>
      </c>
      <c r="H53" s="265">
        <v>0.1</v>
      </c>
      <c r="I53" s="258">
        <v>763900000</v>
      </c>
      <c r="J53" s="258">
        <v>8402900000</v>
      </c>
      <c r="K53" s="256" t="s">
        <v>1346</v>
      </c>
    </row>
    <row r="54" spans="1:11" x14ac:dyDescent="0.3">
      <c r="A54" s="256">
        <v>47</v>
      </c>
      <c r="B54" s="257" t="s">
        <v>1388</v>
      </c>
      <c r="C54" s="276">
        <v>44561</v>
      </c>
      <c r="D54" s="257" t="s">
        <v>1295</v>
      </c>
      <c r="E54" s="256" t="s">
        <v>1825</v>
      </c>
      <c r="F54" s="256" t="s">
        <v>1858</v>
      </c>
      <c r="G54" s="258">
        <v>7766000000</v>
      </c>
      <c r="H54" s="265">
        <v>0.1</v>
      </c>
      <c r="I54" s="258">
        <v>776600000</v>
      </c>
      <c r="J54" s="258">
        <v>8542600000</v>
      </c>
      <c r="K54" s="256" t="s">
        <v>1346</v>
      </c>
    </row>
    <row r="55" spans="1:11" x14ac:dyDescent="0.3">
      <c r="A55" s="256">
        <v>48</v>
      </c>
      <c r="B55" s="257" t="s">
        <v>1470</v>
      </c>
      <c r="C55" s="276">
        <v>44561</v>
      </c>
      <c r="D55" s="257" t="s">
        <v>1274</v>
      </c>
      <c r="E55" s="256" t="s">
        <v>1794</v>
      </c>
      <c r="F55" s="256" t="s">
        <v>1857</v>
      </c>
      <c r="G55" s="258">
        <v>6856000000</v>
      </c>
      <c r="H55" s="265">
        <v>0.1</v>
      </c>
      <c r="I55" s="258">
        <v>685600000</v>
      </c>
      <c r="J55" s="258">
        <v>7541600000</v>
      </c>
      <c r="K55" s="256" t="s">
        <v>1346</v>
      </c>
    </row>
    <row r="56" spans="1:11" x14ac:dyDescent="0.3">
      <c r="A56" s="256">
        <v>49</v>
      </c>
      <c r="B56" s="257" t="s">
        <v>1402</v>
      </c>
      <c r="C56" s="276">
        <v>44561</v>
      </c>
      <c r="D56" s="257" t="s">
        <v>1299</v>
      </c>
      <c r="E56" s="256" t="s">
        <v>1776</v>
      </c>
      <c r="F56" s="256" t="s">
        <v>1860</v>
      </c>
      <c r="G56" s="258">
        <v>7029000000</v>
      </c>
      <c r="H56" s="265">
        <v>0.1</v>
      </c>
      <c r="I56" s="258">
        <v>702900000</v>
      </c>
      <c r="J56" s="258">
        <v>7731900000</v>
      </c>
      <c r="K56" s="256" t="s">
        <v>1346</v>
      </c>
    </row>
    <row r="57" spans="1:11" x14ac:dyDescent="0.3">
      <c r="A57" s="256">
        <v>50</v>
      </c>
      <c r="B57" s="257" t="s">
        <v>1458</v>
      </c>
      <c r="C57" s="276">
        <v>44561</v>
      </c>
      <c r="D57" s="257" t="s">
        <v>1278</v>
      </c>
      <c r="E57" s="256" t="s">
        <v>1785</v>
      </c>
      <c r="F57" s="256" t="s">
        <v>1857</v>
      </c>
      <c r="G57" s="258">
        <v>7646000000</v>
      </c>
      <c r="H57" s="265">
        <v>0.1</v>
      </c>
      <c r="I57" s="258">
        <v>764600000</v>
      </c>
      <c r="J57" s="258">
        <v>8410600000</v>
      </c>
      <c r="K57" s="256" t="s">
        <v>1346</v>
      </c>
    </row>
    <row r="58" spans="1:11" x14ac:dyDescent="0.3">
      <c r="A58" s="266" t="s">
        <v>1351</v>
      </c>
      <c r="B58" s="266"/>
      <c r="C58" s="266"/>
      <c r="D58" s="266"/>
      <c r="E58" s="266"/>
      <c r="F58" s="266"/>
      <c r="G58" s="267">
        <f>SUM(G8:G57)</f>
        <v>301071000000</v>
      </c>
      <c r="H58" s="266"/>
      <c r="I58" s="267">
        <f>SUM(I8:I57)</f>
        <v>26716800000</v>
      </c>
      <c r="J58" s="267">
        <f>SUM(J8:J57)</f>
        <v>327787800000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1255</v>
      </c>
      <c r="E62" s="273">
        <v>46152</v>
      </c>
      <c r="F62" s="256" t="s">
        <v>1864</v>
      </c>
      <c r="G62" s="258">
        <v>5862000000</v>
      </c>
      <c r="H62" s="265">
        <v>0.1</v>
      </c>
      <c r="I62" s="258">
        <v>586200000</v>
      </c>
      <c r="J62" s="258">
        <v>6448200000</v>
      </c>
      <c r="K62" s="256" t="s">
        <v>1346</v>
      </c>
    </row>
    <row r="63" spans="1:11" x14ac:dyDescent="0.3">
      <c r="A63" s="256">
        <v>2</v>
      </c>
      <c r="B63" s="257" t="s">
        <v>1201</v>
      </c>
      <c r="C63" s="276">
        <v>44318</v>
      </c>
      <c r="D63" s="257" t="s">
        <v>1303</v>
      </c>
      <c r="E63" s="256" t="s">
        <v>1817</v>
      </c>
      <c r="F63" s="256" t="s">
        <v>1867</v>
      </c>
      <c r="G63" s="258">
        <v>5877000000</v>
      </c>
      <c r="H63" s="265">
        <v>0.1</v>
      </c>
      <c r="I63" s="258">
        <v>587700000</v>
      </c>
      <c r="J63" s="258">
        <v>6464700000</v>
      </c>
      <c r="K63" s="256" t="s">
        <v>1346</v>
      </c>
    </row>
    <row r="64" spans="1:11" x14ac:dyDescent="0.3">
      <c r="A64" s="256">
        <v>3</v>
      </c>
      <c r="B64" s="257" t="s">
        <v>1202</v>
      </c>
      <c r="C64" s="276">
        <v>44472</v>
      </c>
      <c r="D64" s="257" t="s">
        <v>1276</v>
      </c>
      <c r="E64" s="256" t="s">
        <v>1822</v>
      </c>
      <c r="F64" s="256" t="s">
        <v>1864</v>
      </c>
      <c r="G64" s="258">
        <v>10548000000</v>
      </c>
      <c r="H64" s="265">
        <v>0.1</v>
      </c>
      <c r="I64" s="258">
        <v>1054800000</v>
      </c>
      <c r="J64" s="258">
        <v>11602800000</v>
      </c>
      <c r="K64" s="256" t="s">
        <v>1346</v>
      </c>
    </row>
    <row r="65" spans="1:11" x14ac:dyDescent="0.3">
      <c r="A65" s="256">
        <v>4</v>
      </c>
      <c r="B65" s="257" t="s">
        <v>1355</v>
      </c>
      <c r="C65" s="276">
        <v>44473</v>
      </c>
      <c r="D65" s="257" t="s">
        <v>1282</v>
      </c>
      <c r="E65" s="256" t="s">
        <v>1789</v>
      </c>
      <c r="F65" s="256" t="s">
        <v>1864</v>
      </c>
      <c r="G65" s="258">
        <v>6947000000</v>
      </c>
      <c r="H65" s="265">
        <v>0.1</v>
      </c>
      <c r="I65" s="258">
        <v>694700000</v>
      </c>
      <c r="J65" s="258">
        <v>7641700000</v>
      </c>
      <c r="K65" s="256" t="s">
        <v>1348</v>
      </c>
    </row>
    <row r="66" spans="1:11" x14ac:dyDescent="0.3">
      <c r="A66" s="256">
        <v>5</v>
      </c>
      <c r="B66" s="257" t="s">
        <v>1356</v>
      </c>
      <c r="C66" s="276">
        <v>44474</v>
      </c>
      <c r="D66" s="257" t="s">
        <v>1296</v>
      </c>
      <c r="E66" s="256" t="s">
        <v>1807</v>
      </c>
      <c r="F66" s="256" t="s">
        <v>1867</v>
      </c>
      <c r="G66" s="258">
        <v>9159000000</v>
      </c>
      <c r="H66" s="265">
        <v>0.1</v>
      </c>
      <c r="I66" s="258">
        <v>915900000</v>
      </c>
      <c r="J66" s="258">
        <v>10074900000</v>
      </c>
      <c r="K66" s="256" t="s">
        <v>1348</v>
      </c>
    </row>
    <row r="67" spans="1:11" x14ac:dyDescent="0.3">
      <c r="A67" s="256">
        <v>6</v>
      </c>
      <c r="B67" s="257" t="s">
        <v>1358</v>
      </c>
      <c r="C67" s="276">
        <v>44475</v>
      </c>
      <c r="D67" s="257" t="s">
        <v>1264</v>
      </c>
      <c r="E67" s="256" t="s">
        <v>1779</v>
      </c>
      <c r="F67" s="256" t="s">
        <v>1864</v>
      </c>
      <c r="G67" s="258">
        <v>5256000000</v>
      </c>
      <c r="H67" s="265">
        <v>0.1</v>
      </c>
      <c r="I67" s="258">
        <v>525600000</v>
      </c>
      <c r="J67" s="258">
        <v>5781600000</v>
      </c>
      <c r="K67" s="256" t="s">
        <v>1346</v>
      </c>
    </row>
    <row r="68" spans="1:11" x14ac:dyDescent="0.3">
      <c r="A68" s="256">
        <v>7</v>
      </c>
      <c r="B68" s="257" t="s">
        <v>1360</v>
      </c>
      <c r="C68" s="276">
        <v>44476</v>
      </c>
      <c r="D68" s="257" t="s">
        <v>1268</v>
      </c>
      <c r="E68" s="256" t="s">
        <v>1821</v>
      </c>
      <c r="F68" s="256" t="s">
        <v>1865</v>
      </c>
      <c r="G68" s="258">
        <v>6064000000</v>
      </c>
      <c r="H68" s="265">
        <v>0.1</v>
      </c>
      <c r="I68" s="258">
        <v>606400000</v>
      </c>
      <c r="J68" s="258">
        <v>6670400000</v>
      </c>
      <c r="K68" s="256" t="s">
        <v>1346</v>
      </c>
    </row>
    <row r="69" spans="1:11" x14ac:dyDescent="0.3">
      <c r="A69" s="256">
        <v>8</v>
      </c>
      <c r="B69" s="257" t="s">
        <v>1362</v>
      </c>
      <c r="C69" s="276">
        <v>44477</v>
      </c>
      <c r="D69" s="257" t="s">
        <v>1284</v>
      </c>
      <c r="E69" s="256" t="s">
        <v>1786</v>
      </c>
      <c r="F69" s="256" t="s">
        <v>1865</v>
      </c>
      <c r="G69" s="258">
        <v>10218000000</v>
      </c>
      <c r="H69" s="265">
        <v>0.1</v>
      </c>
      <c r="I69" s="258">
        <v>1021800000</v>
      </c>
      <c r="J69" s="258">
        <v>11239800000</v>
      </c>
      <c r="K69" s="256" t="s">
        <v>1346</v>
      </c>
    </row>
    <row r="70" spans="1:11" x14ac:dyDescent="0.3">
      <c r="A70" s="256">
        <v>9</v>
      </c>
      <c r="B70" s="257" t="s">
        <v>1364</v>
      </c>
      <c r="C70" s="276">
        <v>44478</v>
      </c>
      <c r="D70" s="257" t="s">
        <v>1304</v>
      </c>
      <c r="E70" s="256" t="s">
        <v>1831</v>
      </c>
      <c r="F70" s="256" t="s">
        <v>1866</v>
      </c>
      <c r="G70" s="258">
        <v>9975000000</v>
      </c>
      <c r="H70" s="265">
        <v>0.1</v>
      </c>
      <c r="I70" s="258">
        <v>997500000</v>
      </c>
      <c r="J70" s="258">
        <v>10972500000</v>
      </c>
      <c r="K70" s="256" t="s">
        <v>1348</v>
      </c>
    </row>
    <row r="71" spans="1:11" x14ac:dyDescent="0.3">
      <c r="A71" s="256">
        <v>10</v>
      </c>
      <c r="B71" s="257" t="s">
        <v>1366</v>
      </c>
      <c r="C71" s="276">
        <v>44479</v>
      </c>
      <c r="D71" s="257" t="s">
        <v>1256</v>
      </c>
      <c r="E71" s="256" t="s">
        <v>1802</v>
      </c>
      <c r="F71" s="256" t="s">
        <v>1866</v>
      </c>
      <c r="G71" s="258">
        <v>4815000000</v>
      </c>
      <c r="H71" s="265">
        <v>0.1</v>
      </c>
      <c r="I71" s="258">
        <v>481500000</v>
      </c>
      <c r="J71" s="258">
        <v>5296500000</v>
      </c>
      <c r="K71" s="256" t="s">
        <v>1346</v>
      </c>
    </row>
    <row r="72" spans="1:11" x14ac:dyDescent="0.3">
      <c r="A72" s="256">
        <v>11</v>
      </c>
      <c r="B72" s="257" t="s">
        <v>1368</v>
      </c>
      <c r="C72" s="276">
        <v>44480</v>
      </c>
      <c r="D72" s="257" t="s">
        <v>1268</v>
      </c>
      <c r="E72" s="256" t="s">
        <v>1821</v>
      </c>
      <c r="F72" s="256" t="s">
        <v>1866</v>
      </c>
      <c r="G72" s="258">
        <v>7760000000</v>
      </c>
      <c r="H72" s="265">
        <v>0.1</v>
      </c>
      <c r="I72" s="258">
        <v>776000000</v>
      </c>
      <c r="J72" s="258">
        <v>8536000000</v>
      </c>
      <c r="K72" s="256" t="s">
        <v>1346</v>
      </c>
    </row>
    <row r="73" spans="1:11" x14ac:dyDescent="0.3">
      <c r="A73" s="256">
        <v>12</v>
      </c>
      <c r="B73" s="257" t="s">
        <v>1371</v>
      </c>
      <c r="C73" s="276">
        <v>44481</v>
      </c>
      <c r="D73" s="257" t="s">
        <v>1263</v>
      </c>
      <c r="E73" s="256" t="s">
        <v>1790</v>
      </c>
      <c r="F73" s="256" t="s">
        <v>1864</v>
      </c>
      <c r="G73" s="258">
        <v>7789000000</v>
      </c>
      <c r="H73" s="265">
        <v>0.1</v>
      </c>
      <c r="I73" s="258">
        <v>778900000</v>
      </c>
      <c r="J73" s="258">
        <v>8567900000</v>
      </c>
      <c r="K73" s="256" t="s">
        <v>1346</v>
      </c>
    </row>
    <row r="74" spans="1:11" x14ac:dyDescent="0.3">
      <c r="A74" s="256">
        <v>13</v>
      </c>
      <c r="B74" s="257" t="s">
        <v>1373</v>
      </c>
      <c r="C74" s="276">
        <v>44211</v>
      </c>
      <c r="D74" s="257" t="s">
        <v>1284</v>
      </c>
      <c r="E74" s="256" t="s">
        <v>1786</v>
      </c>
      <c r="F74" s="256" t="s">
        <v>1864</v>
      </c>
      <c r="G74" s="258">
        <v>9659000000</v>
      </c>
      <c r="H74" s="265">
        <v>0.1</v>
      </c>
      <c r="I74" s="258">
        <v>965900000</v>
      </c>
      <c r="J74" s="258">
        <v>10624900000</v>
      </c>
      <c r="K74" s="256" t="s">
        <v>1346</v>
      </c>
    </row>
    <row r="75" spans="1:11" x14ac:dyDescent="0.3">
      <c r="A75" s="256">
        <v>14</v>
      </c>
      <c r="B75" s="257" t="s">
        <v>1374</v>
      </c>
      <c r="C75" s="276">
        <v>44242</v>
      </c>
      <c r="D75" s="257" t="s">
        <v>1284</v>
      </c>
      <c r="E75" s="256" t="s">
        <v>1786</v>
      </c>
      <c r="F75" s="256" t="s">
        <v>1865</v>
      </c>
      <c r="G75" s="258">
        <v>3463000000</v>
      </c>
      <c r="H75" s="265">
        <v>0</v>
      </c>
      <c r="I75" s="258">
        <v>0</v>
      </c>
      <c r="J75" s="258">
        <v>3463000000</v>
      </c>
      <c r="K75" s="256" t="s">
        <v>1346</v>
      </c>
    </row>
    <row r="76" spans="1:11" x14ac:dyDescent="0.3">
      <c r="A76" s="256">
        <v>15</v>
      </c>
      <c r="B76" s="257" t="s">
        <v>1376</v>
      </c>
      <c r="C76" s="276">
        <v>44275</v>
      </c>
      <c r="D76" s="257" t="s">
        <v>1262</v>
      </c>
      <c r="E76" s="256" t="s">
        <v>1816</v>
      </c>
      <c r="F76" s="256" t="s">
        <v>1867</v>
      </c>
      <c r="G76" s="258">
        <v>11516000000</v>
      </c>
      <c r="H76" s="265">
        <v>0.1</v>
      </c>
      <c r="I76" s="258">
        <v>1151600000</v>
      </c>
      <c r="J76" s="258">
        <v>12667600000</v>
      </c>
      <c r="K76" s="256" t="s">
        <v>1346</v>
      </c>
    </row>
    <row r="77" spans="1:11" x14ac:dyDescent="0.3">
      <c r="A77" s="256">
        <v>16</v>
      </c>
      <c r="B77" s="257" t="s">
        <v>1378</v>
      </c>
      <c r="C77" s="276">
        <v>44306</v>
      </c>
      <c r="D77" s="257" t="s">
        <v>1284</v>
      </c>
      <c r="E77" s="256" t="s">
        <v>1786</v>
      </c>
      <c r="F77" s="256" t="s">
        <v>1866</v>
      </c>
      <c r="G77" s="258">
        <v>7378000000</v>
      </c>
      <c r="H77" s="265">
        <v>0.1</v>
      </c>
      <c r="I77" s="258">
        <v>737800000</v>
      </c>
      <c r="J77" s="258">
        <v>8115800000</v>
      </c>
      <c r="K77" s="256" t="s">
        <v>1346</v>
      </c>
    </row>
    <row r="78" spans="1:11" x14ac:dyDescent="0.3">
      <c r="A78" s="256">
        <v>17</v>
      </c>
      <c r="B78" s="257" t="s">
        <v>1379</v>
      </c>
      <c r="C78" s="276">
        <v>44336</v>
      </c>
      <c r="D78" s="257" t="s">
        <v>1301</v>
      </c>
      <c r="E78" s="256" t="s">
        <v>1781</v>
      </c>
      <c r="F78" s="256" t="s">
        <v>1866</v>
      </c>
      <c r="G78" s="258">
        <v>6257000000</v>
      </c>
      <c r="H78" s="265">
        <v>0.1</v>
      </c>
      <c r="I78" s="258">
        <v>625700000</v>
      </c>
      <c r="J78" s="258">
        <v>6882700000</v>
      </c>
      <c r="K78" s="256" t="s">
        <v>1346</v>
      </c>
    </row>
    <row r="79" spans="1:11" x14ac:dyDescent="0.3">
      <c r="A79" s="256">
        <v>18</v>
      </c>
      <c r="B79" s="257" t="s">
        <v>1381</v>
      </c>
      <c r="C79" s="276">
        <v>44367</v>
      </c>
      <c r="D79" s="257" t="s">
        <v>1280</v>
      </c>
      <c r="E79" s="256" t="s">
        <v>1777</v>
      </c>
      <c r="F79" s="256" t="s">
        <v>1864</v>
      </c>
      <c r="G79" s="258">
        <v>6185000000</v>
      </c>
      <c r="H79" s="265">
        <v>0.1</v>
      </c>
      <c r="I79" s="258">
        <v>618500000</v>
      </c>
      <c r="J79" s="258">
        <v>6803500000</v>
      </c>
      <c r="K79" s="256" t="s">
        <v>1346</v>
      </c>
    </row>
    <row r="80" spans="1:11" x14ac:dyDescent="0.3">
      <c r="A80" s="256">
        <v>19</v>
      </c>
      <c r="B80" s="257" t="s">
        <v>1382</v>
      </c>
      <c r="C80" s="276">
        <v>44397</v>
      </c>
      <c r="D80" s="257" t="s">
        <v>1270</v>
      </c>
      <c r="E80" s="256" t="s">
        <v>1782</v>
      </c>
      <c r="F80" s="256" t="s">
        <v>1867</v>
      </c>
      <c r="G80" s="258">
        <v>8212000000</v>
      </c>
      <c r="H80" s="265">
        <v>0.1</v>
      </c>
      <c r="I80" s="258">
        <v>821200000</v>
      </c>
      <c r="J80" s="258">
        <v>9033200000</v>
      </c>
      <c r="K80" s="256" t="s">
        <v>1346</v>
      </c>
    </row>
    <row r="81" spans="1:11" x14ac:dyDescent="0.3">
      <c r="A81" s="256">
        <v>20</v>
      </c>
      <c r="B81" s="257" t="s">
        <v>1383</v>
      </c>
      <c r="C81" s="276">
        <v>44428</v>
      </c>
      <c r="D81" s="257" t="s">
        <v>1284</v>
      </c>
      <c r="E81" s="256" t="s">
        <v>1786</v>
      </c>
      <c r="F81" s="256" t="s">
        <v>1867</v>
      </c>
      <c r="G81" s="258">
        <v>5731000000</v>
      </c>
      <c r="H81" s="265">
        <v>0.1</v>
      </c>
      <c r="I81" s="258">
        <v>573100000</v>
      </c>
      <c r="J81" s="258">
        <v>6304100000</v>
      </c>
      <c r="K81" s="256" t="s">
        <v>1346</v>
      </c>
    </row>
    <row r="82" spans="1:11" x14ac:dyDescent="0.3">
      <c r="A82" s="256">
        <v>21</v>
      </c>
      <c r="B82" s="257" t="s">
        <v>1203</v>
      </c>
      <c r="C82" s="276">
        <v>44459</v>
      </c>
      <c r="D82" s="257" t="s">
        <v>1265</v>
      </c>
      <c r="E82" s="256" t="s">
        <v>1830</v>
      </c>
      <c r="F82" s="256" t="s">
        <v>1866</v>
      </c>
      <c r="G82" s="258">
        <v>6415000000</v>
      </c>
      <c r="H82" s="265">
        <v>0.1</v>
      </c>
      <c r="I82" s="258">
        <v>641500000</v>
      </c>
      <c r="J82" s="258">
        <v>7056500000</v>
      </c>
      <c r="K82" s="256" t="s">
        <v>1346</v>
      </c>
    </row>
    <row r="83" spans="1:11" x14ac:dyDescent="0.3">
      <c r="A83" s="256">
        <v>22</v>
      </c>
      <c r="B83" s="257" t="s">
        <v>1204</v>
      </c>
      <c r="C83" s="276">
        <v>44489</v>
      </c>
      <c r="D83" s="257" t="s">
        <v>1304</v>
      </c>
      <c r="E83" s="256" t="s">
        <v>1831</v>
      </c>
      <c r="F83" s="256" t="s">
        <v>1864</v>
      </c>
      <c r="G83" s="258">
        <v>10691000000</v>
      </c>
      <c r="H83" s="265">
        <v>0.1</v>
      </c>
      <c r="I83" s="258">
        <v>1069100000</v>
      </c>
      <c r="J83" s="258">
        <v>11760100000</v>
      </c>
      <c r="K83" s="256" t="s">
        <v>1346</v>
      </c>
    </row>
    <row r="84" spans="1:11" x14ac:dyDescent="0.3">
      <c r="A84" s="256">
        <v>23</v>
      </c>
      <c r="B84" s="257" t="s">
        <v>1205</v>
      </c>
      <c r="C84" s="276">
        <v>44520</v>
      </c>
      <c r="D84" s="257" t="s">
        <v>1289</v>
      </c>
      <c r="E84" s="256" t="s">
        <v>1803</v>
      </c>
      <c r="F84" s="256" t="s">
        <v>1866</v>
      </c>
      <c r="G84" s="258">
        <v>3340000000</v>
      </c>
      <c r="H84" s="265">
        <v>0.1</v>
      </c>
      <c r="I84" s="258">
        <v>334000000</v>
      </c>
      <c r="J84" s="258">
        <v>3674000000</v>
      </c>
      <c r="K84" s="256" t="s">
        <v>1346</v>
      </c>
    </row>
    <row r="85" spans="1:11" x14ac:dyDescent="0.3">
      <c r="A85" s="256">
        <v>24</v>
      </c>
      <c r="B85" s="257" t="s">
        <v>1385</v>
      </c>
      <c r="C85" s="276">
        <v>44550</v>
      </c>
      <c r="D85" s="257" t="s">
        <v>1266</v>
      </c>
      <c r="E85" s="256" t="s">
        <v>1824</v>
      </c>
      <c r="F85" s="256" t="s">
        <v>1867</v>
      </c>
      <c r="G85" s="258">
        <v>6181000000</v>
      </c>
      <c r="H85" s="265">
        <v>0.1</v>
      </c>
      <c r="I85" s="258">
        <v>618100000</v>
      </c>
      <c r="J85" s="258">
        <v>6799100000</v>
      </c>
      <c r="K85" s="256" t="s">
        <v>1346</v>
      </c>
    </row>
    <row r="86" spans="1:11" x14ac:dyDescent="0.3">
      <c r="A86" s="256">
        <v>25</v>
      </c>
      <c r="B86" s="257" t="s">
        <v>1387</v>
      </c>
      <c r="C86" s="276">
        <v>44221</v>
      </c>
      <c r="D86" s="257" t="s">
        <v>1260</v>
      </c>
      <c r="E86" s="256" t="s">
        <v>1804</v>
      </c>
      <c r="F86" s="256" t="s">
        <v>1866</v>
      </c>
      <c r="G86" s="258">
        <v>7949000000</v>
      </c>
      <c r="H86" s="265">
        <v>0.1</v>
      </c>
      <c r="I86" s="258">
        <v>794900000</v>
      </c>
      <c r="J86" s="258">
        <v>8743900000</v>
      </c>
      <c r="K86" s="256" t="s">
        <v>1346</v>
      </c>
    </row>
    <row r="87" spans="1:11" x14ac:dyDescent="0.3">
      <c r="A87" s="256">
        <v>26</v>
      </c>
      <c r="B87" s="257" t="s">
        <v>1388</v>
      </c>
      <c r="C87" s="276">
        <v>44255</v>
      </c>
      <c r="D87" s="257" t="s">
        <v>1287</v>
      </c>
      <c r="E87" s="256" t="s">
        <v>1801</v>
      </c>
      <c r="F87" s="256" t="s">
        <v>1864</v>
      </c>
      <c r="G87" s="258">
        <v>5402000000</v>
      </c>
      <c r="H87" s="265">
        <v>0.1</v>
      </c>
      <c r="I87" s="258">
        <v>540200000</v>
      </c>
      <c r="J87" s="258">
        <v>5942200000</v>
      </c>
      <c r="K87" s="256" t="s">
        <v>1346</v>
      </c>
    </row>
    <row r="88" spans="1:11" x14ac:dyDescent="0.3">
      <c r="A88" s="256">
        <v>27</v>
      </c>
      <c r="B88" s="257" t="s">
        <v>1391</v>
      </c>
      <c r="C88" s="276">
        <v>44316</v>
      </c>
      <c r="D88" s="257" t="s">
        <v>1288</v>
      </c>
      <c r="E88" s="256" t="s">
        <v>1797</v>
      </c>
      <c r="F88" s="256" t="s">
        <v>1867</v>
      </c>
      <c r="G88" s="258">
        <v>5208000000</v>
      </c>
      <c r="H88" s="265">
        <v>0.1</v>
      </c>
      <c r="I88" s="258">
        <v>520800000</v>
      </c>
      <c r="J88" s="258">
        <v>5728800000</v>
      </c>
      <c r="K88" s="256" t="s">
        <v>1346</v>
      </c>
    </row>
    <row r="89" spans="1:11" x14ac:dyDescent="0.3">
      <c r="A89" s="256">
        <v>28</v>
      </c>
      <c r="B89" s="257" t="s">
        <v>1392</v>
      </c>
      <c r="C89" s="276">
        <v>44377</v>
      </c>
      <c r="D89" s="257" t="s">
        <v>1297</v>
      </c>
      <c r="E89" s="256" t="s">
        <v>1820</v>
      </c>
      <c r="F89" s="256" t="s">
        <v>1866</v>
      </c>
      <c r="G89" s="258">
        <v>8916000000</v>
      </c>
      <c r="H89" s="265">
        <v>0.1</v>
      </c>
      <c r="I89" s="258">
        <v>891600000</v>
      </c>
      <c r="J89" s="258">
        <v>9807600000</v>
      </c>
      <c r="K89" s="256" t="s">
        <v>1346</v>
      </c>
    </row>
    <row r="90" spans="1:11" x14ac:dyDescent="0.3">
      <c r="A90" s="256">
        <v>29</v>
      </c>
      <c r="B90" s="257" t="s">
        <v>1394</v>
      </c>
      <c r="C90" s="276">
        <v>44469</v>
      </c>
      <c r="D90" s="257" t="s">
        <v>1284</v>
      </c>
      <c r="E90" s="256" t="s">
        <v>1786</v>
      </c>
      <c r="F90" s="256" t="s">
        <v>1867</v>
      </c>
      <c r="G90" s="258">
        <v>8141000000</v>
      </c>
      <c r="H90" s="265">
        <v>0.1</v>
      </c>
      <c r="I90" s="258">
        <v>814100000</v>
      </c>
      <c r="J90" s="258">
        <v>8955100000</v>
      </c>
      <c r="K90" s="256" t="s">
        <v>1346</v>
      </c>
    </row>
    <row r="91" spans="1:11" x14ac:dyDescent="0.3">
      <c r="A91" s="256">
        <v>30</v>
      </c>
      <c r="B91" s="257" t="s">
        <v>1396</v>
      </c>
      <c r="C91" s="276">
        <v>44530</v>
      </c>
      <c r="D91" s="257" t="s">
        <v>1265</v>
      </c>
      <c r="E91" s="256" t="s">
        <v>1830</v>
      </c>
      <c r="F91" s="256" t="s">
        <v>1865</v>
      </c>
      <c r="G91" s="258">
        <v>8550000000</v>
      </c>
      <c r="H91" s="265">
        <v>0.1</v>
      </c>
      <c r="I91" s="258">
        <v>855000000</v>
      </c>
      <c r="J91" s="258">
        <v>9405000000</v>
      </c>
      <c r="K91" s="256" t="s">
        <v>1346</v>
      </c>
    </row>
    <row r="92" spans="1:11" x14ac:dyDescent="0.3">
      <c r="A92" s="256">
        <v>31</v>
      </c>
      <c r="B92" s="257" t="s">
        <v>1397</v>
      </c>
      <c r="C92" s="276">
        <v>44286</v>
      </c>
      <c r="D92" s="257" t="s">
        <v>1258</v>
      </c>
      <c r="E92" s="256" t="s">
        <v>1833</v>
      </c>
      <c r="F92" s="256" t="s">
        <v>1866</v>
      </c>
      <c r="G92" s="258">
        <v>8916000000</v>
      </c>
      <c r="H92" s="265">
        <v>0.1</v>
      </c>
      <c r="I92" s="258">
        <v>891600000</v>
      </c>
      <c r="J92" s="258">
        <v>9807600000</v>
      </c>
      <c r="K92" s="256" t="s">
        <v>1346</v>
      </c>
    </row>
    <row r="93" spans="1:11" x14ac:dyDescent="0.3">
      <c r="A93" s="256">
        <v>32</v>
      </c>
      <c r="B93" s="257" t="s">
        <v>1398</v>
      </c>
      <c r="C93" s="276">
        <v>44347</v>
      </c>
      <c r="D93" s="257" t="s">
        <v>1269</v>
      </c>
      <c r="E93" s="256" t="s">
        <v>1823</v>
      </c>
      <c r="F93" s="256" t="s">
        <v>1867</v>
      </c>
      <c r="G93" s="258">
        <v>7489000000</v>
      </c>
      <c r="H93" s="265">
        <v>0.1</v>
      </c>
      <c r="I93" s="258">
        <v>748900000</v>
      </c>
      <c r="J93" s="258">
        <v>8237900000</v>
      </c>
      <c r="K93" s="256" t="s">
        <v>1346</v>
      </c>
    </row>
    <row r="94" spans="1:11" x14ac:dyDescent="0.3">
      <c r="A94" s="256">
        <v>33</v>
      </c>
      <c r="B94" s="257" t="s">
        <v>1399</v>
      </c>
      <c r="C94" s="276">
        <v>44408</v>
      </c>
      <c r="D94" s="257" t="s">
        <v>1268</v>
      </c>
      <c r="E94" s="256" t="s">
        <v>1821</v>
      </c>
      <c r="F94" s="256" t="s">
        <v>1864</v>
      </c>
      <c r="G94" s="258">
        <v>3501000000</v>
      </c>
      <c r="H94" s="265">
        <v>0.1</v>
      </c>
      <c r="I94" s="258">
        <v>350100000</v>
      </c>
      <c r="J94" s="258">
        <v>3851100000</v>
      </c>
      <c r="K94" s="256" t="s">
        <v>1348</v>
      </c>
    </row>
    <row r="95" spans="1:11" x14ac:dyDescent="0.3">
      <c r="A95" s="256">
        <v>34</v>
      </c>
      <c r="B95" s="257" t="s">
        <v>1401</v>
      </c>
      <c r="C95" s="276">
        <v>44439</v>
      </c>
      <c r="D95" s="257" t="s">
        <v>1288</v>
      </c>
      <c r="E95" s="256" t="s">
        <v>1797</v>
      </c>
      <c r="F95" s="256" t="s">
        <v>1865</v>
      </c>
      <c r="G95" s="258">
        <v>5381000000</v>
      </c>
      <c r="H95" s="265">
        <v>0.1</v>
      </c>
      <c r="I95" s="258">
        <v>538100000</v>
      </c>
      <c r="J95" s="258">
        <v>5919100000</v>
      </c>
      <c r="K95" s="256" t="s">
        <v>1346</v>
      </c>
    </row>
    <row r="96" spans="1:11" x14ac:dyDescent="0.3">
      <c r="A96" s="256">
        <v>35</v>
      </c>
      <c r="B96" s="257" t="s">
        <v>1402</v>
      </c>
      <c r="C96" s="276">
        <v>44500</v>
      </c>
      <c r="D96" s="257" t="s">
        <v>1257</v>
      </c>
      <c r="E96" s="256" t="s">
        <v>1815</v>
      </c>
      <c r="F96" s="256" t="s">
        <v>1867</v>
      </c>
      <c r="G96" s="258">
        <v>5250000000</v>
      </c>
      <c r="H96" s="265">
        <v>0.1</v>
      </c>
      <c r="I96" s="258">
        <v>525000000</v>
      </c>
      <c r="J96" s="258">
        <v>5775000000</v>
      </c>
      <c r="K96" s="256" t="s">
        <v>1346</v>
      </c>
    </row>
    <row r="97" spans="1:11" x14ac:dyDescent="0.3">
      <c r="A97" s="256">
        <v>36</v>
      </c>
      <c r="B97" s="257" t="s">
        <v>1403</v>
      </c>
      <c r="C97" s="276">
        <v>44561</v>
      </c>
      <c r="D97" s="257" t="s">
        <v>1262</v>
      </c>
      <c r="E97" s="256" t="s">
        <v>1816</v>
      </c>
      <c r="F97" s="256" t="s">
        <v>1866</v>
      </c>
      <c r="G97" s="258">
        <v>4467000000</v>
      </c>
      <c r="H97" s="265">
        <v>0.1</v>
      </c>
      <c r="I97" s="258">
        <v>446700000</v>
      </c>
      <c r="J97" s="258">
        <v>4913700000</v>
      </c>
      <c r="K97" s="256" t="s">
        <v>1348</v>
      </c>
    </row>
    <row r="98" spans="1:11" x14ac:dyDescent="0.3">
      <c r="A98" s="256">
        <v>37</v>
      </c>
      <c r="B98" s="257" t="s">
        <v>1404</v>
      </c>
      <c r="C98" s="276">
        <v>44561</v>
      </c>
      <c r="D98" s="257" t="s">
        <v>1303</v>
      </c>
      <c r="E98" s="256" t="s">
        <v>1817</v>
      </c>
      <c r="F98" s="256" t="s">
        <v>1867</v>
      </c>
      <c r="G98" s="258">
        <v>8574000000</v>
      </c>
      <c r="H98" s="265">
        <v>0.1</v>
      </c>
      <c r="I98" s="258">
        <v>857400000</v>
      </c>
      <c r="J98" s="258">
        <v>9431400000</v>
      </c>
      <c r="K98" s="256" t="s">
        <v>1348</v>
      </c>
    </row>
    <row r="99" spans="1:11" x14ac:dyDescent="0.3">
      <c r="A99" s="256">
        <v>38</v>
      </c>
      <c r="B99" s="257" t="s">
        <v>1405</v>
      </c>
      <c r="C99" s="276">
        <v>44561</v>
      </c>
      <c r="D99" s="257" t="s">
        <v>1290</v>
      </c>
      <c r="E99" s="256" t="s">
        <v>1796</v>
      </c>
      <c r="F99" s="256" t="s">
        <v>1866</v>
      </c>
      <c r="G99" s="258">
        <v>3097000000</v>
      </c>
      <c r="H99" s="265">
        <v>0.1</v>
      </c>
      <c r="I99" s="258">
        <v>309700000</v>
      </c>
      <c r="J99" s="258">
        <v>3406700000</v>
      </c>
      <c r="K99" s="256" t="s">
        <v>1348</v>
      </c>
    </row>
    <row r="100" spans="1:11" x14ac:dyDescent="0.3">
      <c r="A100" s="256">
        <v>39</v>
      </c>
      <c r="B100" s="257" t="s">
        <v>1406</v>
      </c>
      <c r="C100" s="276">
        <v>44561</v>
      </c>
      <c r="D100" s="257" t="s">
        <v>1287</v>
      </c>
      <c r="E100" s="256" t="s">
        <v>1801</v>
      </c>
      <c r="F100" s="256" t="s">
        <v>1865</v>
      </c>
      <c r="G100" s="258">
        <v>6792000000</v>
      </c>
      <c r="H100" s="265">
        <v>0.1</v>
      </c>
      <c r="I100" s="258">
        <v>679200000</v>
      </c>
      <c r="J100" s="258">
        <v>7471200000</v>
      </c>
      <c r="K100" s="256" t="s">
        <v>1346</v>
      </c>
    </row>
    <row r="101" spans="1:11" x14ac:dyDescent="0.3">
      <c r="A101" s="256">
        <v>40</v>
      </c>
      <c r="B101" s="257" t="s">
        <v>1408</v>
      </c>
      <c r="C101" s="276">
        <v>44561</v>
      </c>
      <c r="D101" s="257" t="s">
        <v>1281</v>
      </c>
      <c r="E101" s="256" t="s">
        <v>1806</v>
      </c>
      <c r="F101" s="256" t="s">
        <v>1865</v>
      </c>
      <c r="G101" s="258">
        <v>4518000000</v>
      </c>
      <c r="H101" s="265">
        <v>0.1</v>
      </c>
      <c r="I101" s="258">
        <v>451800000</v>
      </c>
      <c r="J101" s="258">
        <v>4969800000</v>
      </c>
      <c r="K101" s="256" t="s">
        <v>1348</v>
      </c>
    </row>
    <row r="102" spans="1:11" x14ac:dyDescent="0.3">
      <c r="A102" s="256">
        <v>41</v>
      </c>
      <c r="B102" s="257" t="s">
        <v>1409</v>
      </c>
      <c r="C102" s="276">
        <v>44561</v>
      </c>
      <c r="D102" s="257" t="s">
        <v>1265</v>
      </c>
      <c r="E102" s="256" t="s">
        <v>1830</v>
      </c>
      <c r="F102" s="256" t="s">
        <v>1865</v>
      </c>
      <c r="G102" s="258">
        <v>4295000000</v>
      </c>
      <c r="H102" s="265">
        <v>0.1</v>
      </c>
      <c r="I102" s="258">
        <v>429500000</v>
      </c>
      <c r="J102" s="258">
        <v>4724500000</v>
      </c>
      <c r="K102" s="256" t="s">
        <v>1348</v>
      </c>
    </row>
    <row r="103" spans="1:11" x14ac:dyDescent="0.3">
      <c r="A103" s="256">
        <v>42</v>
      </c>
      <c r="B103" s="257" t="s">
        <v>1411</v>
      </c>
      <c r="C103" s="276">
        <v>44561</v>
      </c>
      <c r="D103" s="257" t="s">
        <v>1286</v>
      </c>
      <c r="E103" s="256" t="s">
        <v>1828</v>
      </c>
      <c r="F103" s="256" t="s">
        <v>1864</v>
      </c>
      <c r="G103" s="258">
        <v>9686000000</v>
      </c>
      <c r="H103" s="265">
        <v>0.1</v>
      </c>
      <c r="I103" s="258">
        <v>968600000</v>
      </c>
      <c r="J103" s="258">
        <v>10654600000</v>
      </c>
      <c r="K103" s="256" t="s">
        <v>1346</v>
      </c>
    </row>
    <row r="104" spans="1:11" x14ac:dyDescent="0.3">
      <c r="A104" s="256">
        <v>43</v>
      </c>
      <c r="B104" s="257" t="s">
        <v>1414</v>
      </c>
      <c r="C104" s="276">
        <v>44561</v>
      </c>
      <c r="D104" s="257" t="s">
        <v>1269</v>
      </c>
      <c r="E104" s="256" t="s">
        <v>1823</v>
      </c>
      <c r="F104" s="256" t="s">
        <v>1867</v>
      </c>
      <c r="G104" s="258">
        <v>3401000000</v>
      </c>
      <c r="H104" s="265">
        <v>0.1</v>
      </c>
      <c r="I104" s="258">
        <v>340100000</v>
      </c>
      <c r="J104" s="258">
        <v>3741100000</v>
      </c>
      <c r="K104" s="256" t="s">
        <v>1346</v>
      </c>
    </row>
    <row r="105" spans="1:11" x14ac:dyDescent="0.3">
      <c r="A105" s="256">
        <v>44</v>
      </c>
      <c r="B105" s="257" t="s">
        <v>1415</v>
      </c>
      <c r="C105" s="276">
        <v>44561</v>
      </c>
      <c r="D105" s="257" t="s">
        <v>1287</v>
      </c>
      <c r="E105" s="256" t="s">
        <v>1801</v>
      </c>
      <c r="F105" s="256" t="s">
        <v>1865</v>
      </c>
      <c r="G105" s="258">
        <v>9102000000</v>
      </c>
      <c r="H105" s="265">
        <v>0.1</v>
      </c>
      <c r="I105" s="258">
        <v>910200000</v>
      </c>
      <c r="J105" s="258">
        <v>10012200000</v>
      </c>
      <c r="K105" s="256" t="s">
        <v>1348</v>
      </c>
    </row>
    <row r="106" spans="1:11" x14ac:dyDescent="0.3">
      <c r="A106" s="256">
        <v>45</v>
      </c>
      <c r="B106" s="257" t="s">
        <v>1206</v>
      </c>
      <c r="C106" s="276">
        <v>44561</v>
      </c>
      <c r="D106" s="257" t="s">
        <v>1282</v>
      </c>
      <c r="E106" s="256" t="s">
        <v>1789</v>
      </c>
      <c r="F106" s="256" t="s">
        <v>1867</v>
      </c>
      <c r="G106" s="258">
        <v>5806000000</v>
      </c>
      <c r="H106" s="265">
        <v>0.1</v>
      </c>
      <c r="I106" s="258">
        <v>580600000</v>
      </c>
      <c r="J106" s="258">
        <v>6386600000</v>
      </c>
      <c r="K106" s="256" t="s">
        <v>1348</v>
      </c>
    </row>
    <row r="107" spans="1:11" x14ac:dyDescent="0.3">
      <c r="A107" s="256">
        <v>46</v>
      </c>
      <c r="B107" s="257" t="s">
        <v>1207</v>
      </c>
      <c r="C107" s="276">
        <v>44561</v>
      </c>
      <c r="D107" s="257" t="s">
        <v>1282</v>
      </c>
      <c r="E107" s="256" t="s">
        <v>1789</v>
      </c>
      <c r="F107" s="256" t="s">
        <v>1867</v>
      </c>
      <c r="G107" s="258">
        <v>5087000000</v>
      </c>
      <c r="H107" s="265">
        <v>0.1</v>
      </c>
      <c r="I107" s="258">
        <v>508700000</v>
      </c>
      <c r="J107" s="258">
        <v>5595700000</v>
      </c>
      <c r="K107" s="256" t="s">
        <v>1346</v>
      </c>
    </row>
    <row r="108" spans="1:11" x14ac:dyDescent="0.3">
      <c r="A108" s="256">
        <v>47</v>
      </c>
      <c r="B108" s="257" t="s">
        <v>1208</v>
      </c>
      <c r="C108" s="276">
        <v>44561</v>
      </c>
      <c r="D108" s="257" t="s">
        <v>1293</v>
      </c>
      <c r="E108" s="256" t="s">
        <v>1826</v>
      </c>
      <c r="F108" s="256" t="s">
        <v>1867</v>
      </c>
      <c r="G108" s="258">
        <v>7090000000</v>
      </c>
      <c r="H108" s="265">
        <v>0.1</v>
      </c>
      <c r="I108" s="258">
        <v>709000000</v>
      </c>
      <c r="J108" s="258">
        <v>7799000000</v>
      </c>
      <c r="K108" s="256" t="s">
        <v>1346</v>
      </c>
    </row>
    <row r="109" spans="1:11" x14ac:dyDescent="0.3">
      <c r="A109" s="256">
        <v>48</v>
      </c>
      <c r="B109" s="257" t="s">
        <v>1209</v>
      </c>
      <c r="C109" s="276">
        <v>44561</v>
      </c>
      <c r="D109" s="257" t="s">
        <v>1278</v>
      </c>
      <c r="E109" s="256" t="s">
        <v>1785</v>
      </c>
      <c r="F109" s="256" t="s">
        <v>1867</v>
      </c>
      <c r="G109" s="258">
        <v>8692000000</v>
      </c>
      <c r="H109" s="265">
        <v>0.1</v>
      </c>
      <c r="I109" s="258">
        <v>869200000</v>
      </c>
      <c r="J109" s="258">
        <v>9561200000</v>
      </c>
      <c r="K109" s="256" t="s">
        <v>1346</v>
      </c>
    </row>
    <row r="110" spans="1:11" x14ac:dyDescent="0.3">
      <c r="A110" s="256">
        <v>49</v>
      </c>
      <c r="B110" s="257" t="s">
        <v>1418</v>
      </c>
      <c r="C110" s="276">
        <v>44561</v>
      </c>
      <c r="D110" s="257" t="s">
        <v>1289</v>
      </c>
      <c r="E110" s="256" t="s">
        <v>1803</v>
      </c>
      <c r="F110" s="256" t="s">
        <v>1867</v>
      </c>
      <c r="G110" s="258">
        <v>7199000000</v>
      </c>
      <c r="H110" s="265">
        <v>0.1</v>
      </c>
      <c r="I110" s="258">
        <v>719900000</v>
      </c>
      <c r="J110" s="258">
        <v>7918900000</v>
      </c>
      <c r="K110" s="256" t="s">
        <v>1346</v>
      </c>
    </row>
    <row r="111" spans="1:11" x14ac:dyDescent="0.3">
      <c r="A111" s="256">
        <v>50</v>
      </c>
      <c r="B111" s="257" t="s">
        <v>1419</v>
      </c>
      <c r="C111" s="276">
        <v>44561</v>
      </c>
      <c r="D111" s="257" t="s">
        <v>1274</v>
      </c>
      <c r="E111" s="256" t="s">
        <v>1794</v>
      </c>
      <c r="F111" s="256" t="s">
        <v>1866</v>
      </c>
      <c r="G111" s="258">
        <v>4906000000</v>
      </c>
      <c r="H111" s="265">
        <v>0.1</v>
      </c>
      <c r="I111" s="258">
        <v>490600000</v>
      </c>
      <c r="J111" s="258">
        <v>5396600000</v>
      </c>
      <c r="K111" s="256" t="s">
        <v>1346</v>
      </c>
    </row>
    <row r="112" spans="1:11" x14ac:dyDescent="0.3">
      <c r="A112" s="266" t="s">
        <v>1351</v>
      </c>
      <c r="B112" s="266"/>
      <c r="C112" s="266"/>
      <c r="D112" s="266"/>
      <c r="E112" s="266"/>
      <c r="F112" s="266"/>
      <c r="G112" s="267">
        <f>SUM(G62:G111)</f>
        <v>342713000000</v>
      </c>
      <c r="H112" s="266"/>
      <c r="I112" s="267">
        <f>SUM(I62:I111)</f>
        <v>33925000000</v>
      </c>
      <c r="J112" s="267">
        <f>SUM(J62:J111)</f>
        <v>376638000000</v>
      </c>
      <c r="K112" s="266"/>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818</v>
      </c>
      <c r="C1" s="256"/>
      <c r="D1" s="256"/>
      <c r="E1" s="256"/>
      <c r="F1" s="256"/>
      <c r="G1" s="256"/>
      <c r="H1" s="256"/>
      <c r="I1" s="256"/>
      <c r="J1" s="256"/>
      <c r="K1" s="256"/>
    </row>
    <row r="2" spans="1:11" x14ac:dyDescent="0.3">
      <c r="A2" s="256" t="s">
        <v>1339</v>
      </c>
      <c r="B2" s="257">
        <v>106300187</v>
      </c>
      <c r="C2" s="256"/>
      <c r="D2" s="256"/>
      <c r="E2" s="256"/>
      <c r="F2" s="256"/>
      <c r="G2" s="256"/>
      <c r="H2" s="256"/>
      <c r="I2" s="256"/>
      <c r="J2" s="256"/>
      <c r="K2" s="256"/>
    </row>
    <row r="3" spans="1:11" x14ac:dyDescent="0.3">
      <c r="A3" s="256" t="s">
        <v>1343</v>
      </c>
      <c r="B3" s="258">
        <v>806667497231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1391</v>
      </c>
      <c r="C8" s="276">
        <v>44317</v>
      </c>
      <c r="D8" s="257" t="s">
        <v>1295</v>
      </c>
      <c r="E8" s="256" t="s">
        <v>1825</v>
      </c>
      <c r="F8" s="256" t="s">
        <v>1858</v>
      </c>
      <c r="G8" s="258">
        <v>17454000000</v>
      </c>
      <c r="H8" s="265">
        <v>0</v>
      </c>
      <c r="I8" s="258">
        <v>0</v>
      </c>
      <c r="J8" s="258">
        <v>17454000000</v>
      </c>
      <c r="K8" s="256" t="s">
        <v>1346</v>
      </c>
    </row>
    <row r="9" spans="1:11" x14ac:dyDescent="0.3">
      <c r="A9" s="256">
        <v>2</v>
      </c>
      <c r="B9" s="257" t="s">
        <v>1419</v>
      </c>
      <c r="C9" s="276">
        <v>44318</v>
      </c>
      <c r="D9" s="257" t="s">
        <v>1304</v>
      </c>
      <c r="E9" s="256" t="s">
        <v>1831</v>
      </c>
      <c r="F9" s="256" t="s">
        <v>1857</v>
      </c>
      <c r="G9" s="258">
        <v>11165000000</v>
      </c>
      <c r="H9" s="265">
        <v>0.1</v>
      </c>
      <c r="I9" s="258">
        <v>1116500000</v>
      </c>
      <c r="J9" s="258">
        <v>12281500000</v>
      </c>
      <c r="K9" s="256" t="s">
        <v>1348</v>
      </c>
    </row>
    <row r="10" spans="1:11" x14ac:dyDescent="0.3">
      <c r="A10" s="256">
        <v>3</v>
      </c>
      <c r="B10" s="257" t="s">
        <v>1411</v>
      </c>
      <c r="C10" s="276">
        <v>44472</v>
      </c>
      <c r="D10" s="257" t="s">
        <v>1282</v>
      </c>
      <c r="E10" s="256" t="s">
        <v>1789</v>
      </c>
      <c r="F10" s="256" t="s">
        <v>1859</v>
      </c>
      <c r="G10" s="258">
        <v>4785000000</v>
      </c>
      <c r="H10" s="265">
        <v>0.1</v>
      </c>
      <c r="I10" s="258">
        <v>478500000</v>
      </c>
      <c r="J10" s="258">
        <v>5263500000</v>
      </c>
      <c r="K10" s="256" t="s">
        <v>1346</v>
      </c>
    </row>
    <row r="11" spans="1:11" x14ac:dyDescent="0.3">
      <c r="A11" s="256">
        <v>4</v>
      </c>
      <c r="B11" s="257" t="s">
        <v>1382</v>
      </c>
      <c r="C11" s="276">
        <v>44473</v>
      </c>
      <c r="D11" s="257" t="s">
        <v>1294</v>
      </c>
      <c r="E11" s="256" t="s">
        <v>1795</v>
      </c>
      <c r="F11" s="256" t="s">
        <v>1861</v>
      </c>
      <c r="G11" s="258">
        <v>12232000000</v>
      </c>
      <c r="H11" s="265">
        <v>0.1</v>
      </c>
      <c r="I11" s="258">
        <v>1223200000</v>
      </c>
      <c r="J11" s="258">
        <v>13455200000</v>
      </c>
      <c r="K11" s="256" t="s">
        <v>1346</v>
      </c>
    </row>
    <row r="12" spans="1:11" x14ac:dyDescent="0.3">
      <c r="A12" s="256">
        <v>5</v>
      </c>
      <c r="B12" s="257" t="s">
        <v>1471</v>
      </c>
      <c r="C12" s="276">
        <v>44474</v>
      </c>
      <c r="D12" s="257" t="s">
        <v>1277</v>
      </c>
      <c r="E12" s="256" t="s">
        <v>1783</v>
      </c>
      <c r="F12" s="256" t="s">
        <v>1863</v>
      </c>
      <c r="G12" s="258">
        <v>10787000000</v>
      </c>
      <c r="H12" s="265">
        <v>0.1</v>
      </c>
      <c r="I12" s="258">
        <v>1078700000</v>
      </c>
      <c r="J12" s="258">
        <v>11865700000</v>
      </c>
      <c r="K12" s="256" t="s">
        <v>1348</v>
      </c>
    </row>
    <row r="13" spans="1:11" x14ac:dyDescent="0.3">
      <c r="A13" s="256">
        <v>6</v>
      </c>
      <c r="B13" s="257" t="s">
        <v>1396</v>
      </c>
      <c r="C13" s="276">
        <v>44475</v>
      </c>
      <c r="D13" s="257" t="s">
        <v>1300</v>
      </c>
      <c r="E13" s="256" t="s">
        <v>1818</v>
      </c>
      <c r="F13" s="256" t="s">
        <v>1862</v>
      </c>
      <c r="G13" s="258">
        <v>16707000000</v>
      </c>
      <c r="H13" s="265">
        <v>0</v>
      </c>
      <c r="I13" s="258">
        <v>0</v>
      </c>
      <c r="J13" s="258">
        <v>16707000000</v>
      </c>
      <c r="K13" s="256" t="s">
        <v>1346</v>
      </c>
    </row>
    <row r="14" spans="1:11" x14ac:dyDescent="0.3">
      <c r="A14" s="256">
        <v>7</v>
      </c>
      <c r="B14" s="257" t="s">
        <v>1204</v>
      </c>
      <c r="C14" s="276">
        <v>44476</v>
      </c>
      <c r="D14" s="257" t="s">
        <v>1298</v>
      </c>
      <c r="E14" s="256" t="s">
        <v>1819</v>
      </c>
      <c r="F14" s="256" t="s">
        <v>1860</v>
      </c>
      <c r="G14" s="258">
        <v>9146000000</v>
      </c>
      <c r="H14" s="265">
        <v>0</v>
      </c>
      <c r="I14" s="258">
        <v>0</v>
      </c>
      <c r="J14" s="258">
        <v>9146000000</v>
      </c>
      <c r="K14" s="256" t="s">
        <v>1346</v>
      </c>
    </row>
    <row r="15" spans="1:11" x14ac:dyDescent="0.3">
      <c r="A15" s="256">
        <v>8</v>
      </c>
      <c r="B15" s="257" t="s">
        <v>1462</v>
      </c>
      <c r="C15" s="276">
        <v>44477</v>
      </c>
      <c r="D15" s="257" t="s">
        <v>1272</v>
      </c>
      <c r="E15" s="256" t="s">
        <v>1805</v>
      </c>
      <c r="F15" s="256" t="s">
        <v>1858</v>
      </c>
      <c r="G15" s="258">
        <v>5009000000</v>
      </c>
      <c r="H15" s="265">
        <v>0.1</v>
      </c>
      <c r="I15" s="258">
        <v>500900000</v>
      </c>
      <c r="J15" s="258">
        <v>5509900000</v>
      </c>
      <c r="K15" s="256" t="s">
        <v>1346</v>
      </c>
    </row>
    <row r="16" spans="1:11" x14ac:dyDescent="0.3">
      <c r="A16" s="256">
        <v>9</v>
      </c>
      <c r="B16" s="257" t="s">
        <v>1478</v>
      </c>
      <c r="C16" s="276">
        <v>44478</v>
      </c>
      <c r="D16" s="257" t="s">
        <v>1284</v>
      </c>
      <c r="E16" s="256" t="s">
        <v>1786</v>
      </c>
      <c r="F16" s="256" t="s">
        <v>1858</v>
      </c>
      <c r="G16" s="258">
        <v>9193000000</v>
      </c>
      <c r="H16" s="265">
        <v>0</v>
      </c>
      <c r="I16" s="258">
        <v>0</v>
      </c>
      <c r="J16" s="258">
        <v>9193000000</v>
      </c>
      <c r="K16" s="256" t="s">
        <v>1346</v>
      </c>
    </row>
    <row r="17" spans="1:11" x14ac:dyDescent="0.3">
      <c r="A17" s="256">
        <v>10</v>
      </c>
      <c r="B17" s="257" t="s">
        <v>1479</v>
      </c>
      <c r="C17" s="276">
        <v>44479</v>
      </c>
      <c r="D17" s="257" t="s">
        <v>1284</v>
      </c>
      <c r="E17" s="256" t="s">
        <v>1786</v>
      </c>
      <c r="F17" s="256" t="s">
        <v>1861</v>
      </c>
      <c r="G17" s="258">
        <v>11986000000</v>
      </c>
      <c r="H17" s="265">
        <v>0.1</v>
      </c>
      <c r="I17" s="258">
        <v>1198600000</v>
      </c>
      <c r="J17" s="258">
        <v>13184600000</v>
      </c>
      <c r="K17" s="256" t="s">
        <v>1346</v>
      </c>
    </row>
    <row r="18" spans="1:11" x14ac:dyDescent="0.3">
      <c r="A18" s="256">
        <v>11</v>
      </c>
      <c r="B18" s="257" t="s">
        <v>1207</v>
      </c>
      <c r="C18" s="276">
        <v>44480</v>
      </c>
      <c r="D18" s="257" t="s">
        <v>1285</v>
      </c>
      <c r="E18" s="256" t="s">
        <v>1793</v>
      </c>
      <c r="F18" s="256" t="s">
        <v>1859</v>
      </c>
      <c r="G18" s="258">
        <v>16326000000</v>
      </c>
      <c r="H18" s="265">
        <v>0</v>
      </c>
      <c r="I18" s="258">
        <v>0</v>
      </c>
      <c r="J18" s="258">
        <v>16326000000</v>
      </c>
      <c r="K18" s="256" t="s">
        <v>1346</v>
      </c>
    </row>
    <row r="19" spans="1:11" x14ac:dyDescent="0.3">
      <c r="A19" s="256">
        <v>12</v>
      </c>
      <c r="B19" s="257" t="s">
        <v>1405</v>
      </c>
      <c r="C19" s="276">
        <v>44481</v>
      </c>
      <c r="D19" s="257" t="s">
        <v>1290</v>
      </c>
      <c r="E19" s="256" t="s">
        <v>1796</v>
      </c>
      <c r="F19" s="256" t="s">
        <v>1858</v>
      </c>
      <c r="G19" s="258">
        <v>17054000000</v>
      </c>
      <c r="H19" s="265">
        <v>0.1</v>
      </c>
      <c r="I19" s="258">
        <v>1705400000</v>
      </c>
      <c r="J19" s="258">
        <v>18759400000</v>
      </c>
      <c r="K19" s="256" t="s">
        <v>1346</v>
      </c>
    </row>
    <row r="20" spans="1:11" x14ac:dyDescent="0.3">
      <c r="A20" s="256">
        <v>13</v>
      </c>
      <c r="B20" s="257" t="s">
        <v>1472</v>
      </c>
      <c r="C20" s="276">
        <v>44211</v>
      </c>
      <c r="D20" s="257" t="s">
        <v>1259</v>
      </c>
      <c r="E20" s="256" t="s">
        <v>1788</v>
      </c>
      <c r="F20" s="256" t="s">
        <v>1863</v>
      </c>
      <c r="G20" s="258">
        <v>13226000000</v>
      </c>
      <c r="H20" s="265">
        <v>0.1</v>
      </c>
      <c r="I20" s="258">
        <v>1322600000</v>
      </c>
      <c r="J20" s="258">
        <v>14548600000</v>
      </c>
      <c r="K20" s="256" t="s">
        <v>1346</v>
      </c>
    </row>
    <row r="21" spans="1:11" x14ac:dyDescent="0.3">
      <c r="A21" s="256">
        <v>14</v>
      </c>
      <c r="B21" s="257" t="s">
        <v>1204</v>
      </c>
      <c r="C21" s="276">
        <v>44242</v>
      </c>
      <c r="D21" s="257" t="s">
        <v>1261</v>
      </c>
      <c r="E21" s="256" t="s">
        <v>1813</v>
      </c>
      <c r="F21" s="256" t="s">
        <v>1858</v>
      </c>
      <c r="G21" s="258">
        <v>17564000000</v>
      </c>
      <c r="H21" s="265">
        <v>0.1</v>
      </c>
      <c r="I21" s="258">
        <v>1756400000</v>
      </c>
      <c r="J21" s="258">
        <v>19320400000</v>
      </c>
      <c r="K21" s="256" t="s">
        <v>1346</v>
      </c>
    </row>
    <row r="22" spans="1:11" x14ac:dyDescent="0.3">
      <c r="A22" s="256">
        <v>15</v>
      </c>
      <c r="B22" s="257" t="s">
        <v>1468</v>
      </c>
      <c r="C22" s="276">
        <v>44275</v>
      </c>
      <c r="D22" s="257" t="s">
        <v>1276</v>
      </c>
      <c r="E22" s="256" t="s">
        <v>1822</v>
      </c>
      <c r="F22" s="256" t="s">
        <v>1863</v>
      </c>
      <c r="G22" s="258">
        <v>13290000000</v>
      </c>
      <c r="H22" s="265">
        <v>0.1</v>
      </c>
      <c r="I22" s="258">
        <v>1329000000</v>
      </c>
      <c r="J22" s="258">
        <v>14619000000</v>
      </c>
      <c r="K22" s="256" t="s">
        <v>1346</v>
      </c>
    </row>
    <row r="23" spans="1:11" x14ac:dyDescent="0.3">
      <c r="A23" s="256">
        <v>16</v>
      </c>
      <c r="B23" s="257" t="s">
        <v>1469</v>
      </c>
      <c r="C23" s="276">
        <v>44306</v>
      </c>
      <c r="D23" s="257" t="s">
        <v>1276</v>
      </c>
      <c r="E23" s="256" t="s">
        <v>1822</v>
      </c>
      <c r="F23" s="256" t="s">
        <v>1860</v>
      </c>
      <c r="G23" s="258">
        <v>6311000000</v>
      </c>
      <c r="H23" s="265">
        <v>0.1</v>
      </c>
      <c r="I23" s="258">
        <v>631100000</v>
      </c>
      <c r="J23" s="258">
        <v>6942100000</v>
      </c>
      <c r="K23" s="256" t="s">
        <v>1346</v>
      </c>
    </row>
    <row r="24" spans="1:11" x14ac:dyDescent="0.3">
      <c r="A24" s="256">
        <v>17</v>
      </c>
      <c r="B24" s="257" t="s">
        <v>1465</v>
      </c>
      <c r="C24" s="276">
        <v>44336</v>
      </c>
      <c r="D24" s="257" t="s">
        <v>1279</v>
      </c>
      <c r="E24" s="256" t="s">
        <v>1827</v>
      </c>
      <c r="F24" s="256" t="s">
        <v>1863</v>
      </c>
      <c r="G24" s="258">
        <v>9410000000</v>
      </c>
      <c r="H24" s="265">
        <v>0.1</v>
      </c>
      <c r="I24" s="258">
        <v>941000000</v>
      </c>
      <c r="J24" s="258">
        <v>10351000000</v>
      </c>
      <c r="K24" s="256" t="s">
        <v>1346</v>
      </c>
    </row>
    <row r="25" spans="1:11" x14ac:dyDescent="0.3">
      <c r="A25" s="256">
        <v>18</v>
      </c>
      <c r="B25" s="257" t="s">
        <v>1463</v>
      </c>
      <c r="C25" s="276">
        <v>44367</v>
      </c>
      <c r="D25" s="257" t="s">
        <v>1272</v>
      </c>
      <c r="E25" s="256" t="s">
        <v>1805</v>
      </c>
      <c r="F25" s="256" t="s">
        <v>1857</v>
      </c>
      <c r="G25" s="258">
        <v>14794000000</v>
      </c>
      <c r="H25" s="265">
        <v>0.1</v>
      </c>
      <c r="I25" s="258">
        <v>1479400000</v>
      </c>
      <c r="J25" s="258">
        <v>16273400000</v>
      </c>
      <c r="K25" s="256" t="s">
        <v>1346</v>
      </c>
    </row>
    <row r="26" spans="1:11" x14ac:dyDescent="0.3">
      <c r="A26" s="256">
        <v>19</v>
      </c>
      <c r="B26" s="257" t="s">
        <v>1403</v>
      </c>
      <c r="C26" s="276">
        <v>44397</v>
      </c>
      <c r="D26" s="257" t="s">
        <v>1299</v>
      </c>
      <c r="E26" s="256" t="s">
        <v>1776</v>
      </c>
      <c r="F26" s="256" t="s">
        <v>1863</v>
      </c>
      <c r="G26" s="258">
        <v>14519000000</v>
      </c>
      <c r="H26" s="265">
        <v>0</v>
      </c>
      <c r="I26" s="258">
        <v>0</v>
      </c>
      <c r="J26" s="258">
        <v>14519000000</v>
      </c>
      <c r="K26" s="256" t="s">
        <v>1346</v>
      </c>
    </row>
    <row r="27" spans="1:11" x14ac:dyDescent="0.3">
      <c r="A27" s="256">
        <v>20</v>
      </c>
      <c r="B27" s="257" t="s">
        <v>1397</v>
      </c>
      <c r="C27" s="276">
        <v>44428</v>
      </c>
      <c r="D27" s="257" t="s">
        <v>1300</v>
      </c>
      <c r="E27" s="256" t="s">
        <v>1818</v>
      </c>
      <c r="F27" s="256" t="s">
        <v>1859</v>
      </c>
      <c r="G27" s="258">
        <v>14878000000</v>
      </c>
      <c r="H27" s="265">
        <v>0.1</v>
      </c>
      <c r="I27" s="258">
        <v>1487800000</v>
      </c>
      <c r="J27" s="258">
        <v>16365800000</v>
      </c>
      <c r="K27" s="256" t="s">
        <v>1346</v>
      </c>
    </row>
    <row r="28" spans="1:11" x14ac:dyDescent="0.3">
      <c r="A28" s="256">
        <v>21</v>
      </c>
      <c r="B28" s="257" t="s">
        <v>1399</v>
      </c>
      <c r="C28" s="276">
        <v>44459</v>
      </c>
      <c r="D28" s="257" t="s">
        <v>1302</v>
      </c>
      <c r="E28" s="256" t="s">
        <v>1784</v>
      </c>
      <c r="F28" s="256" t="s">
        <v>1859</v>
      </c>
      <c r="G28" s="258">
        <v>7299000000</v>
      </c>
      <c r="H28" s="265">
        <v>0.1</v>
      </c>
      <c r="I28" s="258">
        <v>729900000</v>
      </c>
      <c r="J28" s="258">
        <v>8028900000</v>
      </c>
      <c r="K28" s="256" t="s">
        <v>1346</v>
      </c>
    </row>
    <row r="29" spans="1:11" x14ac:dyDescent="0.3">
      <c r="A29" s="256">
        <v>22</v>
      </c>
      <c r="B29" s="257" t="s">
        <v>1404</v>
      </c>
      <c r="C29" s="276">
        <v>44489</v>
      </c>
      <c r="D29" s="257" t="s">
        <v>1299</v>
      </c>
      <c r="E29" s="256" t="s">
        <v>1776</v>
      </c>
      <c r="F29" s="256" t="s">
        <v>1861</v>
      </c>
      <c r="G29" s="258">
        <v>6585000000</v>
      </c>
      <c r="H29" s="265">
        <v>0.1</v>
      </c>
      <c r="I29" s="258">
        <v>658500000</v>
      </c>
      <c r="J29" s="258">
        <v>7243500000</v>
      </c>
      <c r="K29" s="256" t="s">
        <v>1346</v>
      </c>
    </row>
    <row r="30" spans="1:11" x14ac:dyDescent="0.3">
      <c r="A30" s="256">
        <v>23</v>
      </c>
      <c r="B30" s="257" t="s">
        <v>1383</v>
      </c>
      <c r="C30" s="276">
        <v>44520</v>
      </c>
      <c r="D30" s="257" t="s">
        <v>1294</v>
      </c>
      <c r="E30" s="256" t="s">
        <v>1795</v>
      </c>
      <c r="F30" s="256" t="s">
        <v>1861</v>
      </c>
      <c r="G30" s="258">
        <v>9068000000</v>
      </c>
      <c r="H30" s="265">
        <v>0.1</v>
      </c>
      <c r="I30" s="258">
        <v>906800000</v>
      </c>
      <c r="J30" s="258">
        <v>9974800000</v>
      </c>
      <c r="K30" s="256" t="s">
        <v>1346</v>
      </c>
    </row>
    <row r="31" spans="1:11" x14ac:dyDescent="0.3">
      <c r="A31" s="256">
        <v>24</v>
      </c>
      <c r="B31" s="257" t="s">
        <v>1465</v>
      </c>
      <c r="C31" s="276">
        <v>44550</v>
      </c>
      <c r="D31" s="257" t="s">
        <v>1270</v>
      </c>
      <c r="E31" s="256" t="s">
        <v>1782</v>
      </c>
      <c r="F31" s="256" t="s">
        <v>1860</v>
      </c>
      <c r="G31" s="258">
        <v>14561000000</v>
      </c>
      <c r="H31" s="265">
        <v>0.1</v>
      </c>
      <c r="I31" s="258">
        <v>1456100000</v>
      </c>
      <c r="J31" s="258">
        <v>16017100000</v>
      </c>
      <c r="K31" s="256" t="s">
        <v>1348</v>
      </c>
    </row>
    <row r="32" spans="1:11" x14ac:dyDescent="0.3">
      <c r="A32" s="256">
        <v>25</v>
      </c>
      <c r="B32" s="257" t="s">
        <v>1392</v>
      </c>
      <c r="C32" s="276">
        <v>44221</v>
      </c>
      <c r="D32" s="257" t="s">
        <v>1295</v>
      </c>
      <c r="E32" s="256" t="s">
        <v>1825</v>
      </c>
      <c r="F32" s="256" t="s">
        <v>1861</v>
      </c>
      <c r="G32" s="258">
        <v>13060000000</v>
      </c>
      <c r="H32" s="265">
        <v>0.1</v>
      </c>
      <c r="I32" s="258">
        <v>1306000000</v>
      </c>
      <c r="J32" s="258">
        <v>14366000000</v>
      </c>
      <c r="K32" s="256" t="s">
        <v>1346</v>
      </c>
    </row>
    <row r="33" spans="1:11" x14ac:dyDescent="0.3">
      <c r="A33" s="256">
        <v>26</v>
      </c>
      <c r="B33" s="257" t="s">
        <v>1418</v>
      </c>
      <c r="C33" s="276">
        <v>44255</v>
      </c>
      <c r="D33" s="257" t="s">
        <v>1283</v>
      </c>
      <c r="E33" s="256" t="s">
        <v>1798</v>
      </c>
      <c r="F33" s="256" t="s">
        <v>1863</v>
      </c>
      <c r="G33" s="258">
        <v>13555000000</v>
      </c>
      <c r="H33" s="265">
        <v>0.1</v>
      </c>
      <c r="I33" s="258">
        <v>1355500000</v>
      </c>
      <c r="J33" s="258">
        <v>14910500000</v>
      </c>
      <c r="K33" s="256" t="s">
        <v>1348</v>
      </c>
    </row>
    <row r="34" spans="1:11" x14ac:dyDescent="0.3">
      <c r="A34" s="256">
        <v>27</v>
      </c>
      <c r="B34" s="257" t="s">
        <v>1207</v>
      </c>
      <c r="C34" s="276">
        <v>44316</v>
      </c>
      <c r="D34" s="257" t="s">
        <v>1257</v>
      </c>
      <c r="E34" s="256" t="s">
        <v>1815</v>
      </c>
      <c r="F34" s="256" t="s">
        <v>1858</v>
      </c>
      <c r="G34" s="258">
        <v>4917000000</v>
      </c>
      <c r="H34" s="265">
        <v>0.1</v>
      </c>
      <c r="I34" s="258">
        <v>491700000</v>
      </c>
      <c r="J34" s="258">
        <v>5408700000</v>
      </c>
      <c r="K34" s="256" t="s">
        <v>1346</v>
      </c>
    </row>
    <row r="35" spans="1:11" x14ac:dyDescent="0.3">
      <c r="A35" s="256">
        <v>28</v>
      </c>
      <c r="B35" s="257" t="s">
        <v>1462</v>
      </c>
      <c r="C35" s="276">
        <v>44377</v>
      </c>
      <c r="D35" s="257" t="s">
        <v>1260</v>
      </c>
      <c r="E35" s="256" t="s">
        <v>1804</v>
      </c>
      <c r="F35" s="256" t="s">
        <v>1859</v>
      </c>
      <c r="G35" s="258">
        <v>8983000000</v>
      </c>
      <c r="H35" s="265">
        <v>0.1</v>
      </c>
      <c r="I35" s="258">
        <v>898300000</v>
      </c>
      <c r="J35" s="258">
        <v>9881300000</v>
      </c>
      <c r="K35" s="256" t="s">
        <v>1346</v>
      </c>
    </row>
    <row r="36" spans="1:11" x14ac:dyDescent="0.3">
      <c r="A36" s="256">
        <v>29</v>
      </c>
      <c r="B36" s="257" t="s">
        <v>1456</v>
      </c>
      <c r="C36" s="276">
        <v>44469</v>
      </c>
      <c r="D36" s="257" t="s">
        <v>1304</v>
      </c>
      <c r="E36" s="256" t="s">
        <v>1831</v>
      </c>
      <c r="F36" s="256" t="s">
        <v>1862</v>
      </c>
      <c r="G36" s="258">
        <v>12125000000</v>
      </c>
      <c r="H36" s="265">
        <v>0.1</v>
      </c>
      <c r="I36" s="258">
        <v>1212500000</v>
      </c>
      <c r="J36" s="258">
        <v>13337500000</v>
      </c>
      <c r="K36" s="256" t="s">
        <v>1346</v>
      </c>
    </row>
    <row r="37" spans="1:11" x14ac:dyDescent="0.3">
      <c r="A37" s="256">
        <v>30</v>
      </c>
      <c r="B37" s="257" t="s">
        <v>1463</v>
      </c>
      <c r="C37" s="276">
        <v>44530</v>
      </c>
      <c r="D37" s="257" t="s">
        <v>1260</v>
      </c>
      <c r="E37" s="256" t="s">
        <v>1804</v>
      </c>
      <c r="F37" s="256" t="s">
        <v>1861</v>
      </c>
      <c r="G37" s="258">
        <v>12585000000</v>
      </c>
      <c r="H37" s="265">
        <v>0.1</v>
      </c>
      <c r="I37" s="258">
        <v>1258500000</v>
      </c>
      <c r="J37" s="258">
        <v>13843500000</v>
      </c>
      <c r="K37" s="256" t="s">
        <v>1346</v>
      </c>
    </row>
    <row r="38" spans="1:11" x14ac:dyDescent="0.3">
      <c r="A38" s="256">
        <v>31</v>
      </c>
      <c r="B38" s="257" t="s">
        <v>1208</v>
      </c>
      <c r="C38" s="276">
        <v>44286</v>
      </c>
      <c r="D38" s="257" t="s">
        <v>1257</v>
      </c>
      <c r="E38" s="256" t="s">
        <v>1815</v>
      </c>
      <c r="F38" s="256" t="s">
        <v>1860</v>
      </c>
      <c r="G38" s="258">
        <v>17830000000</v>
      </c>
      <c r="H38" s="265">
        <v>0.1</v>
      </c>
      <c r="I38" s="258">
        <v>1783000000</v>
      </c>
      <c r="J38" s="258">
        <v>19613000000</v>
      </c>
      <c r="K38" s="256" t="s">
        <v>1346</v>
      </c>
    </row>
    <row r="39" spans="1:11" x14ac:dyDescent="0.3">
      <c r="A39" s="256">
        <v>32</v>
      </c>
      <c r="B39" s="257" t="s">
        <v>1209</v>
      </c>
      <c r="C39" s="276">
        <v>44347</v>
      </c>
      <c r="D39" s="257" t="s">
        <v>1288</v>
      </c>
      <c r="E39" s="256" t="s">
        <v>1797</v>
      </c>
      <c r="F39" s="256" t="s">
        <v>1860</v>
      </c>
      <c r="G39" s="258">
        <v>16413000000</v>
      </c>
      <c r="H39" s="265">
        <v>0.1</v>
      </c>
      <c r="I39" s="258">
        <v>1641300000</v>
      </c>
      <c r="J39" s="258">
        <v>18054300000</v>
      </c>
      <c r="K39" s="256" t="s">
        <v>1346</v>
      </c>
    </row>
    <row r="40" spans="1:11" x14ac:dyDescent="0.3">
      <c r="A40" s="256">
        <v>33</v>
      </c>
      <c r="B40" s="257" t="s">
        <v>1458</v>
      </c>
      <c r="C40" s="276">
        <v>44408</v>
      </c>
      <c r="D40" s="257" t="s">
        <v>1268</v>
      </c>
      <c r="E40" s="256" t="s">
        <v>1821</v>
      </c>
      <c r="F40" s="256" t="s">
        <v>1862</v>
      </c>
      <c r="G40" s="258">
        <v>6219000000</v>
      </c>
      <c r="H40" s="265">
        <v>0</v>
      </c>
      <c r="I40" s="258">
        <v>0</v>
      </c>
      <c r="J40" s="258">
        <v>6219000000</v>
      </c>
      <c r="K40" s="256" t="s">
        <v>1346</v>
      </c>
    </row>
    <row r="41" spans="1:11" x14ac:dyDescent="0.3">
      <c r="A41" s="256">
        <v>34</v>
      </c>
      <c r="B41" s="257" t="s">
        <v>1396</v>
      </c>
      <c r="C41" s="276">
        <v>44439</v>
      </c>
      <c r="D41" s="257" t="s">
        <v>1292</v>
      </c>
      <c r="E41" s="256" t="s">
        <v>1792</v>
      </c>
      <c r="F41" s="256" t="s">
        <v>1858</v>
      </c>
      <c r="G41" s="258">
        <v>11112000000</v>
      </c>
      <c r="H41" s="265">
        <v>0.1</v>
      </c>
      <c r="I41" s="258">
        <v>1111200000</v>
      </c>
      <c r="J41" s="258">
        <v>12223200000</v>
      </c>
      <c r="K41" s="256" t="s">
        <v>1346</v>
      </c>
    </row>
    <row r="42" spans="1:11" x14ac:dyDescent="0.3">
      <c r="A42" s="256">
        <v>35</v>
      </c>
      <c r="B42" s="257" t="s">
        <v>1466</v>
      </c>
      <c r="C42" s="276">
        <v>44500</v>
      </c>
      <c r="D42" s="257" t="s">
        <v>1279</v>
      </c>
      <c r="E42" s="256" t="s">
        <v>1827</v>
      </c>
      <c r="F42" s="256" t="s">
        <v>1862</v>
      </c>
      <c r="G42" s="258">
        <v>15855000000</v>
      </c>
      <c r="H42" s="265">
        <v>0.1</v>
      </c>
      <c r="I42" s="258">
        <v>1585500000</v>
      </c>
      <c r="J42" s="258">
        <v>17440500000</v>
      </c>
      <c r="K42" s="256" t="s">
        <v>1346</v>
      </c>
    </row>
    <row r="43" spans="1:11" x14ac:dyDescent="0.3">
      <c r="A43" s="256">
        <v>36</v>
      </c>
      <c r="B43" s="257" t="s">
        <v>1457</v>
      </c>
      <c r="C43" s="276">
        <v>44561</v>
      </c>
      <c r="D43" s="257" t="s">
        <v>1304</v>
      </c>
      <c r="E43" s="256" t="s">
        <v>1831</v>
      </c>
      <c r="F43" s="256" t="s">
        <v>1862</v>
      </c>
      <c r="G43" s="258">
        <v>17200000000</v>
      </c>
      <c r="H43" s="265">
        <v>0.1</v>
      </c>
      <c r="I43" s="258">
        <v>1720000000</v>
      </c>
      <c r="J43" s="258">
        <v>18920000000</v>
      </c>
      <c r="K43" s="256" t="s">
        <v>1346</v>
      </c>
    </row>
    <row r="44" spans="1:11" x14ac:dyDescent="0.3">
      <c r="A44" s="256">
        <v>37</v>
      </c>
      <c r="B44" s="257" t="s">
        <v>1398</v>
      </c>
      <c r="C44" s="276">
        <v>44561</v>
      </c>
      <c r="D44" s="257" t="s">
        <v>1300</v>
      </c>
      <c r="E44" s="256" t="s">
        <v>1818</v>
      </c>
      <c r="F44" s="256" t="s">
        <v>1863</v>
      </c>
      <c r="G44" s="258">
        <v>13516000000</v>
      </c>
      <c r="H44" s="265">
        <v>0.1</v>
      </c>
      <c r="I44" s="258">
        <v>1351600000</v>
      </c>
      <c r="J44" s="258">
        <v>14867600000</v>
      </c>
      <c r="K44" s="256" t="s">
        <v>1348</v>
      </c>
    </row>
    <row r="45" spans="1:11" x14ac:dyDescent="0.3">
      <c r="A45" s="256">
        <v>38</v>
      </c>
      <c r="B45" s="257" t="s">
        <v>1397</v>
      </c>
      <c r="C45" s="276">
        <v>44561</v>
      </c>
      <c r="D45" s="257" t="s">
        <v>1292</v>
      </c>
      <c r="E45" s="256" t="s">
        <v>1792</v>
      </c>
      <c r="F45" s="256" t="s">
        <v>1857</v>
      </c>
      <c r="G45" s="258">
        <v>9454000000</v>
      </c>
      <c r="H45" s="265">
        <v>0.1</v>
      </c>
      <c r="I45" s="258">
        <v>945400000</v>
      </c>
      <c r="J45" s="258">
        <v>10399400000</v>
      </c>
      <c r="K45" s="256" t="s">
        <v>1346</v>
      </c>
    </row>
    <row r="46" spans="1:11" x14ac:dyDescent="0.3">
      <c r="A46" s="256">
        <v>39</v>
      </c>
      <c r="B46" s="257" t="s">
        <v>1458</v>
      </c>
      <c r="C46" s="276">
        <v>44561</v>
      </c>
      <c r="D46" s="257" t="s">
        <v>1304</v>
      </c>
      <c r="E46" s="256" t="s">
        <v>1831</v>
      </c>
      <c r="F46" s="256" t="s">
        <v>1860</v>
      </c>
      <c r="G46" s="258">
        <v>8591000000</v>
      </c>
      <c r="H46" s="265">
        <v>0.1</v>
      </c>
      <c r="I46" s="258">
        <v>859100000</v>
      </c>
      <c r="J46" s="258">
        <v>9450100000</v>
      </c>
      <c r="K46" s="256" t="s">
        <v>1348</v>
      </c>
    </row>
    <row r="47" spans="1:11" x14ac:dyDescent="0.3">
      <c r="A47" s="256">
        <v>40</v>
      </c>
      <c r="B47" s="257" t="s">
        <v>1464</v>
      </c>
      <c r="C47" s="276">
        <v>44561</v>
      </c>
      <c r="D47" s="257" t="s">
        <v>1263</v>
      </c>
      <c r="E47" s="256" t="s">
        <v>1790</v>
      </c>
      <c r="F47" s="256" t="s">
        <v>1859</v>
      </c>
      <c r="G47" s="258">
        <v>6707000000</v>
      </c>
      <c r="H47" s="265">
        <v>0.1</v>
      </c>
      <c r="I47" s="258">
        <v>670700000</v>
      </c>
      <c r="J47" s="258">
        <v>7377700000</v>
      </c>
      <c r="K47" s="256" t="s">
        <v>1346</v>
      </c>
    </row>
    <row r="48" spans="1:11" x14ac:dyDescent="0.3">
      <c r="A48" s="256">
        <v>41</v>
      </c>
      <c r="B48" s="257" t="s">
        <v>1208</v>
      </c>
      <c r="C48" s="276">
        <v>44561</v>
      </c>
      <c r="D48" s="257" t="s">
        <v>1285</v>
      </c>
      <c r="E48" s="256" t="s">
        <v>1793</v>
      </c>
      <c r="F48" s="256" t="s">
        <v>1861</v>
      </c>
      <c r="G48" s="258">
        <v>5090000000</v>
      </c>
      <c r="H48" s="265">
        <v>0.1</v>
      </c>
      <c r="I48" s="258">
        <v>509000000</v>
      </c>
      <c r="J48" s="258">
        <v>5599000000</v>
      </c>
      <c r="K48" s="256" t="s">
        <v>1346</v>
      </c>
    </row>
    <row r="49" spans="1:11" x14ac:dyDescent="0.3">
      <c r="A49" s="256">
        <v>42</v>
      </c>
      <c r="B49" s="257" t="s">
        <v>1419</v>
      </c>
      <c r="C49" s="276">
        <v>44561</v>
      </c>
      <c r="D49" s="257" t="s">
        <v>1283</v>
      </c>
      <c r="E49" s="256" t="s">
        <v>1798</v>
      </c>
      <c r="F49" s="256" t="s">
        <v>1857</v>
      </c>
      <c r="G49" s="258">
        <v>14394000000</v>
      </c>
      <c r="H49" s="265">
        <v>0.1</v>
      </c>
      <c r="I49" s="258">
        <v>1439400000</v>
      </c>
      <c r="J49" s="258">
        <v>15833400000</v>
      </c>
      <c r="K49" s="256" t="s">
        <v>1346</v>
      </c>
    </row>
    <row r="50" spans="1:11" x14ac:dyDescent="0.3">
      <c r="A50" s="256">
        <v>43</v>
      </c>
      <c r="B50" s="257" t="s">
        <v>1466</v>
      </c>
      <c r="C50" s="276">
        <v>44561</v>
      </c>
      <c r="D50" s="257" t="s">
        <v>1270</v>
      </c>
      <c r="E50" s="256" t="s">
        <v>1782</v>
      </c>
      <c r="F50" s="256" t="s">
        <v>1863</v>
      </c>
      <c r="G50" s="258">
        <v>16268000000</v>
      </c>
      <c r="H50" s="265">
        <v>0.1</v>
      </c>
      <c r="I50" s="258">
        <v>1626800000</v>
      </c>
      <c r="J50" s="258">
        <v>17894800000</v>
      </c>
      <c r="K50" s="256" t="s">
        <v>1346</v>
      </c>
    </row>
    <row r="51" spans="1:11" x14ac:dyDescent="0.3">
      <c r="A51" s="256">
        <v>44</v>
      </c>
      <c r="B51" s="257" t="s">
        <v>1401</v>
      </c>
      <c r="C51" s="276">
        <v>44561</v>
      </c>
      <c r="D51" s="257" t="s">
        <v>1302</v>
      </c>
      <c r="E51" s="256" t="s">
        <v>1784</v>
      </c>
      <c r="F51" s="256" t="s">
        <v>1861</v>
      </c>
      <c r="G51" s="258">
        <v>12534000000</v>
      </c>
      <c r="H51" s="265">
        <v>0.1</v>
      </c>
      <c r="I51" s="258">
        <v>1253400000</v>
      </c>
      <c r="J51" s="258">
        <v>13787400000</v>
      </c>
      <c r="K51" s="256" t="s">
        <v>1346</v>
      </c>
    </row>
    <row r="52" spans="1:11" x14ac:dyDescent="0.3">
      <c r="A52" s="256">
        <v>45</v>
      </c>
      <c r="B52" s="257" t="s">
        <v>1419</v>
      </c>
      <c r="C52" s="276">
        <v>44561</v>
      </c>
      <c r="D52" s="257" t="s">
        <v>1262</v>
      </c>
      <c r="E52" s="256" t="s">
        <v>1816</v>
      </c>
      <c r="F52" s="256" t="s">
        <v>1863</v>
      </c>
      <c r="G52" s="258">
        <v>10354000000</v>
      </c>
      <c r="H52" s="265">
        <v>0.1</v>
      </c>
      <c r="I52" s="258">
        <v>1035400000</v>
      </c>
      <c r="J52" s="258">
        <v>11389400000</v>
      </c>
      <c r="K52" s="256" t="s">
        <v>1348</v>
      </c>
    </row>
    <row r="53" spans="1:11" x14ac:dyDescent="0.3">
      <c r="A53" s="256">
        <v>46</v>
      </c>
      <c r="B53" s="257" t="s">
        <v>1205</v>
      </c>
      <c r="C53" s="276">
        <v>44561</v>
      </c>
      <c r="D53" s="257" t="s">
        <v>1261</v>
      </c>
      <c r="E53" s="256" t="s">
        <v>1813</v>
      </c>
      <c r="F53" s="256" t="s">
        <v>1858</v>
      </c>
      <c r="G53" s="258">
        <v>10362000000</v>
      </c>
      <c r="H53" s="265">
        <v>0.1</v>
      </c>
      <c r="I53" s="258">
        <v>1036200000</v>
      </c>
      <c r="J53" s="258">
        <v>11398200000</v>
      </c>
      <c r="K53" s="256" t="s">
        <v>1346</v>
      </c>
    </row>
    <row r="54" spans="1:11" x14ac:dyDescent="0.3">
      <c r="A54" s="256">
        <v>47</v>
      </c>
      <c r="B54" s="257" t="s">
        <v>1464</v>
      </c>
      <c r="C54" s="276">
        <v>44561</v>
      </c>
      <c r="D54" s="257" t="s">
        <v>1260</v>
      </c>
      <c r="E54" s="256" t="s">
        <v>1804</v>
      </c>
      <c r="F54" s="256" t="s">
        <v>1860</v>
      </c>
      <c r="G54" s="258">
        <v>13805000000</v>
      </c>
      <c r="H54" s="265">
        <v>0.1</v>
      </c>
      <c r="I54" s="258">
        <v>1380500000</v>
      </c>
      <c r="J54" s="258">
        <v>15185500000</v>
      </c>
      <c r="K54" s="256" t="s">
        <v>1346</v>
      </c>
    </row>
    <row r="55" spans="1:11" x14ac:dyDescent="0.3">
      <c r="A55" s="256">
        <v>48</v>
      </c>
      <c r="B55" s="257" t="s">
        <v>1402</v>
      </c>
      <c r="C55" s="276">
        <v>44561</v>
      </c>
      <c r="D55" s="257" t="s">
        <v>1302</v>
      </c>
      <c r="E55" s="256" t="s">
        <v>1784</v>
      </c>
      <c r="F55" s="256" t="s">
        <v>1862</v>
      </c>
      <c r="G55" s="258">
        <v>16585000000</v>
      </c>
      <c r="H55" s="265">
        <v>0.1</v>
      </c>
      <c r="I55" s="258">
        <v>1658500000</v>
      </c>
      <c r="J55" s="258">
        <v>18243500000</v>
      </c>
      <c r="K55" s="256" t="s">
        <v>1346</v>
      </c>
    </row>
    <row r="56" spans="1:11" x14ac:dyDescent="0.3">
      <c r="A56" s="256">
        <v>49</v>
      </c>
      <c r="B56" s="257" t="s">
        <v>1406</v>
      </c>
      <c r="C56" s="276">
        <v>44561</v>
      </c>
      <c r="D56" s="257" t="s">
        <v>1290</v>
      </c>
      <c r="E56" s="256" t="s">
        <v>1796</v>
      </c>
      <c r="F56" s="256" t="s">
        <v>1858</v>
      </c>
      <c r="G56" s="258">
        <v>15174000000</v>
      </c>
      <c r="H56" s="265">
        <v>0.1</v>
      </c>
      <c r="I56" s="258">
        <v>1517400000</v>
      </c>
      <c r="J56" s="258">
        <v>16691400000</v>
      </c>
      <c r="K56" s="256" t="s">
        <v>1346</v>
      </c>
    </row>
    <row r="57" spans="1:11" x14ac:dyDescent="0.3">
      <c r="A57" s="256">
        <v>50</v>
      </c>
      <c r="B57" s="257" t="s">
        <v>1465</v>
      </c>
      <c r="C57" s="276">
        <v>44561</v>
      </c>
      <c r="D57" s="257" t="s">
        <v>1260</v>
      </c>
      <c r="E57" s="256" t="s">
        <v>1804</v>
      </c>
      <c r="F57" s="256" t="s">
        <v>1857</v>
      </c>
      <c r="G57" s="258">
        <v>5977000000</v>
      </c>
      <c r="H57" s="265">
        <v>0</v>
      </c>
      <c r="I57" s="258">
        <v>0</v>
      </c>
      <c r="J57" s="258">
        <v>5977000000</v>
      </c>
      <c r="K57" s="256" t="s">
        <v>1346</v>
      </c>
    </row>
    <row r="58" spans="1:11" x14ac:dyDescent="0.3">
      <c r="A58" s="266" t="s">
        <v>1351</v>
      </c>
      <c r="B58" s="266"/>
      <c r="C58" s="266"/>
      <c r="D58" s="266"/>
      <c r="E58" s="266"/>
      <c r="F58" s="266"/>
      <c r="G58" s="267">
        <f>SUM(G8:G57)</f>
        <v>592014000000</v>
      </c>
      <c r="H58" s="266"/>
      <c r="I58" s="267">
        <f>SUM(I8:I57)</f>
        <v>49647300000</v>
      </c>
      <c r="J58" s="267">
        <f>SUM(J8:J57)</f>
        <v>641661300000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1866</v>
      </c>
      <c r="G62" s="258">
        <v>11748000000</v>
      </c>
      <c r="H62" s="265">
        <v>0.1</v>
      </c>
      <c r="I62" s="258">
        <v>1174800000</v>
      </c>
      <c r="J62" s="258">
        <v>12922800000</v>
      </c>
      <c r="K62" s="256" t="s">
        <v>1346</v>
      </c>
    </row>
    <row r="63" spans="1:11" x14ac:dyDescent="0.3">
      <c r="A63" s="256">
        <v>2</v>
      </c>
      <c r="B63" s="257" t="s">
        <v>1201</v>
      </c>
      <c r="C63" s="276">
        <v>44318</v>
      </c>
      <c r="D63" s="257" t="s">
        <v>1267</v>
      </c>
      <c r="E63" s="256" t="s">
        <v>1810</v>
      </c>
      <c r="F63" s="256" t="s">
        <v>1864</v>
      </c>
      <c r="G63" s="258">
        <v>18556000000</v>
      </c>
      <c r="H63" s="265">
        <v>0.1</v>
      </c>
      <c r="I63" s="258">
        <v>1855600000</v>
      </c>
      <c r="J63" s="258">
        <v>20411600000</v>
      </c>
      <c r="K63" s="256" t="s">
        <v>1346</v>
      </c>
    </row>
    <row r="64" spans="1:11" x14ac:dyDescent="0.3">
      <c r="A64" s="256">
        <v>3</v>
      </c>
      <c r="B64" s="257" t="s">
        <v>1202</v>
      </c>
      <c r="C64" s="276">
        <v>44472</v>
      </c>
      <c r="D64" s="257" t="s">
        <v>1291</v>
      </c>
      <c r="E64" s="256" t="s">
        <v>1800</v>
      </c>
      <c r="F64" s="256" t="s">
        <v>1866</v>
      </c>
      <c r="G64" s="258">
        <v>10460000000</v>
      </c>
      <c r="H64" s="265">
        <v>0.1</v>
      </c>
      <c r="I64" s="258">
        <v>1046000000</v>
      </c>
      <c r="J64" s="258">
        <v>11506000000</v>
      </c>
      <c r="K64" s="256" t="s">
        <v>1346</v>
      </c>
    </row>
    <row r="65" spans="1:11" x14ac:dyDescent="0.3">
      <c r="A65" s="256">
        <v>4</v>
      </c>
      <c r="B65" s="257" t="s">
        <v>1355</v>
      </c>
      <c r="C65" s="276">
        <v>44473</v>
      </c>
      <c r="D65" s="257" t="s">
        <v>1297</v>
      </c>
      <c r="E65" s="256" t="s">
        <v>1820</v>
      </c>
      <c r="F65" s="256" t="s">
        <v>1865</v>
      </c>
      <c r="G65" s="258">
        <v>12141000000</v>
      </c>
      <c r="H65" s="265">
        <v>0.1</v>
      </c>
      <c r="I65" s="258">
        <v>1214100000</v>
      </c>
      <c r="J65" s="258">
        <v>13355100000</v>
      </c>
      <c r="K65" s="256" t="s">
        <v>1346</v>
      </c>
    </row>
    <row r="66" spans="1:11" x14ac:dyDescent="0.3">
      <c r="A66" s="256">
        <v>5</v>
      </c>
      <c r="B66" s="257" t="s">
        <v>1356</v>
      </c>
      <c r="C66" s="276">
        <v>44474</v>
      </c>
      <c r="D66" s="257" t="s">
        <v>1275</v>
      </c>
      <c r="E66" s="256" t="s">
        <v>1808</v>
      </c>
      <c r="F66" s="256" t="s">
        <v>1867</v>
      </c>
      <c r="G66" s="258">
        <v>15701000000</v>
      </c>
      <c r="H66" s="265">
        <v>0.1</v>
      </c>
      <c r="I66" s="258">
        <v>1570100000</v>
      </c>
      <c r="J66" s="258">
        <v>17271100000</v>
      </c>
      <c r="K66" s="256" t="s">
        <v>1346</v>
      </c>
    </row>
    <row r="67" spans="1:11" x14ac:dyDescent="0.3">
      <c r="A67" s="256">
        <v>6</v>
      </c>
      <c r="B67" s="257" t="s">
        <v>1358</v>
      </c>
      <c r="C67" s="276">
        <v>44475</v>
      </c>
      <c r="D67" s="257" t="s">
        <v>1277</v>
      </c>
      <c r="E67" s="256" t="s">
        <v>1783</v>
      </c>
      <c r="F67" s="256" t="s">
        <v>1865</v>
      </c>
      <c r="G67" s="258">
        <v>17743000000</v>
      </c>
      <c r="H67" s="265">
        <v>0.1</v>
      </c>
      <c r="I67" s="258">
        <v>1774300000</v>
      </c>
      <c r="J67" s="258">
        <v>19517300000</v>
      </c>
      <c r="K67" s="256" t="s">
        <v>1346</v>
      </c>
    </row>
    <row r="68" spans="1:11" x14ac:dyDescent="0.3">
      <c r="A68" s="256">
        <v>7</v>
      </c>
      <c r="B68" s="257" t="s">
        <v>1360</v>
      </c>
      <c r="C68" s="276">
        <v>44476</v>
      </c>
      <c r="D68" s="257" t="s">
        <v>1297</v>
      </c>
      <c r="E68" s="256" t="s">
        <v>1820</v>
      </c>
      <c r="F68" s="256" t="s">
        <v>1865</v>
      </c>
      <c r="G68" s="258">
        <v>23641000000</v>
      </c>
      <c r="H68" s="265">
        <v>0.1</v>
      </c>
      <c r="I68" s="258">
        <v>2364100000</v>
      </c>
      <c r="J68" s="258">
        <v>26005100000</v>
      </c>
      <c r="K68" s="256" t="s">
        <v>1346</v>
      </c>
    </row>
    <row r="69" spans="1:11" x14ac:dyDescent="0.3">
      <c r="A69" s="256">
        <v>8</v>
      </c>
      <c r="B69" s="257" t="s">
        <v>1362</v>
      </c>
      <c r="C69" s="276">
        <v>44477</v>
      </c>
      <c r="D69" s="257" t="s">
        <v>1300</v>
      </c>
      <c r="E69" s="256" t="s">
        <v>1818</v>
      </c>
      <c r="F69" s="256" t="s">
        <v>1867</v>
      </c>
      <c r="G69" s="258">
        <v>23663000000</v>
      </c>
      <c r="H69" s="265">
        <v>0.1</v>
      </c>
      <c r="I69" s="258">
        <v>2366300000</v>
      </c>
      <c r="J69" s="258">
        <v>26029300000</v>
      </c>
      <c r="K69" s="256" t="s">
        <v>1346</v>
      </c>
    </row>
    <row r="70" spans="1:11" x14ac:dyDescent="0.3">
      <c r="A70" s="256">
        <v>9</v>
      </c>
      <c r="B70" s="257" t="s">
        <v>1364</v>
      </c>
      <c r="C70" s="276">
        <v>44478</v>
      </c>
      <c r="D70" s="257" t="s">
        <v>1282</v>
      </c>
      <c r="E70" s="256" t="s">
        <v>1789</v>
      </c>
      <c r="F70" s="256" t="s">
        <v>1865</v>
      </c>
      <c r="G70" s="258">
        <v>6564000000</v>
      </c>
      <c r="H70" s="265">
        <v>0.1</v>
      </c>
      <c r="I70" s="258">
        <v>656400000</v>
      </c>
      <c r="J70" s="258">
        <v>7220400000</v>
      </c>
      <c r="K70" s="256" t="s">
        <v>1346</v>
      </c>
    </row>
    <row r="71" spans="1:11" x14ac:dyDescent="0.3">
      <c r="A71" s="256">
        <v>10</v>
      </c>
      <c r="B71" s="257" t="s">
        <v>1366</v>
      </c>
      <c r="C71" s="276">
        <v>44479</v>
      </c>
      <c r="D71" s="257" t="s">
        <v>1289</v>
      </c>
      <c r="E71" s="256" t="s">
        <v>1803</v>
      </c>
      <c r="F71" s="256" t="s">
        <v>1864</v>
      </c>
      <c r="G71" s="258">
        <v>20115000000</v>
      </c>
      <c r="H71" s="265">
        <v>0.1</v>
      </c>
      <c r="I71" s="258">
        <v>2011500000</v>
      </c>
      <c r="J71" s="258">
        <v>22126500000</v>
      </c>
      <c r="K71" s="256" t="s">
        <v>1346</v>
      </c>
    </row>
    <row r="72" spans="1:11" x14ac:dyDescent="0.3">
      <c r="A72" s="256">
        <v>11</v>
      </c>
      <c r="B72" s="257" t="s">
        <v>1368</v>
      </c>
      <c r="C72" s="276">
        <v>44480</v>
      </c>
      <c r="D72" s="257" t="s">
        <v>1290</v>
      </c>
      <c r="E72" s="256" t="s">
        <v>1796</v>
      </c>
      <c r="F72" s="256" t="s">
        <v>1864</v>
      </c>
      <c r="G72" s="258">
        <v>18876000000</v>
      </c>
      <c r="H72" s="265">
        <v>0.1</v>
      </c>
      <c r="I72" s="258">
        <v>1887600000</v>
      </c>
      <c r="J72" s="258">
        <v>20763600000</v>
      </c>
      <c r="K72" s="256" t="s">
        <v>1346</v>
      </c>
    </row>
    <row r="73" spans="1:11" x14ac:dyDescent="0.3">
      <c r="A73" s="256">
        <v>12</v>
      </c>
      <c r="B73" s="257" t="s">
        <v>1371</v>
      </c>
      <c r="C73" s="276">
        <v>44481</v>
      </c>
      <c r="D73" s="257" t="s">
        <v>1260</v>
      </c>
      <c r="E73" s="256" t="s">
        <v>1804</v>
      </c>
      <c r="F73" s="256" t="s">
        <v>1866</v>
      </c>
      <c r="G73" s="258">
        <v>22118000000</v>
      </c>
      <c r="H73" s="265">
        <v>0.1</v>
      </c>
      <c r="I73" s="258">
        <v>2211800000</v>
      </c>
      <c r="J73" s="258">
        <v>24329800000</v>
      </c>
      <c r="K73" s="256" t="s">
        <v>1346</v>
      </c>
    </row>
    <row r="74" spans="1:11" x14ac:dyDescent="0.3">
      <c r="A74" s="256">
        <v>13</v>
      </c>
      <c r="B74" s="257" t="s">
        <v>1373</v>
      </c>
      <c r="C74" s="276">
        <v>44211</v>
      </c>
      <c r="D74" s="257" t="s">
        <v>1303</v>
      </c>
      <c r="E74" s="256" t="s">
        <v>1817</v>
      </c>
      <c r="F74" s="256" t="s">
        <v>1866</v>
      </c>
      <c r="G74" s="258">
        <v>9450000000</v>
      </c>
      <c r="H74" s="265">
        <v>0.1</v>
      </c>
      <c r="I74" s="258">
        <v>945000000</v>
      </c>
      <c r="J74" s="258">
        <v>10395000000</v>
      </c>
      <c r="K74" s="256" t="s">
        <v>1346</v>
      </c>
    </row>
    <row r="75" spans="1:11" x14ac:dyDescent="0.3">
      <c r="A75" s="256">
        <v>14</v>
      </c>
      <c r="B75" s="257" t="s">
        <v>1374</v>
      </c>
      <c r="C75" s="276">
        <v>44242</v>
      </c>
      <c r="D75" s="257" t="s">
        <v>1291</v>
      </c>
      <c r="E75" s="256" t="s">
        <v>1800</v>
      </c>
      <c r="F75" s="256" t="s">
        <v>1864</v>
      </c>
      <c r="G75" s="258">
        <v>10370000000</v>
      </c>
      <c r="H75" s="265">
        <v>0.1</v>
      </c>
      <c r="I75" s="258">
        <v>1037000000</v>
      </c>
      <c r="J75" s="258">
        <v>11407000000</v>
      </c>
      <c r="K75" s="256" t="s">
        <v>1346</v>
      </c>
    </row>
    <row r="76" spans="1:11" x14ac:dyDescent="0.3">
      <c r="A76" s="256">
        <v>15</v>
      </c>
      <c r="B76" s="257" t="s">
        <v>1376</v>
      </c>
      <c r="C76" s="276">
        <v>44275</v>
      </c>
      <c r="D76" s="257" t="s">
        <v>1266</v>
      </c>
      <c r="E76" s="256" t="s">
        <v>1824</v>
      </c>
      <c r="F76" s="256" t="s">
        <v>1867</v>
      </c>
      <c r="G76" s="258">
        <v>14859000000</v>
      </c>
      <c r="H76" s="265">
        <v>0.1</v>
      </c>
      <c r="I76" s="258">
        <v>1485900000</v>
      </c>
      <c r="J76" s="258">
        <v>16344900000</v>
      </c>
      <c r="K76" s="256" t="s">
        <v>1346</v>
      </c>
    </row>
    <row r="77" spans="1:11" x14ac:dyDescent="0.3">
      <c r="A77" s="256">
        <v>16</v>
      </c>
      <c r="B77" s="257" t="s">
        <v>1378</v>
      </c>
      <c r="C77" s="276">
        <v>44306</v>
      </c>
      <c r="D77" s="257" t="s">
        <v>1270</v>
      </c>
      <c r="E77" s="256" t="s">
        <v>1782</v>
      </c>
      <c r="F77" s="256" t="s">
        <v>1867</v>
      </c>
      <c r="G77" s="258">
        <v>22725000000</v>
      </c>
      <c r="H77" s="265">
        <v>0.1</v>
      </c>
      <c r="I77" s="258">
        <v>2272500000</v>
      </c>
      <c r="J77" s="258">
        <v>24997500000</v>
      </c>
      <c r="K77" s="256" t="s">
        <v>1346</v>
      </c>
    </row>
    <row r="78" spans="1:11" x14ac:dyDescent="0.3">
      <c r="A78" s="256">
        <v>17</v>
      </c>
      <c r="B78" s="257" t="s">
        <v>1379</v>
      </c>
      <c r="C78" s="276">
        <v>44336</v>
      </c>
      <c r="D78" s="257" t="s">
        <v>1287</v>
      </c>
      <c r="E78" s="256" t="s">
        <v>1801</v>
      </c>
      <c r="F78" s="256" t="s">
        <v>1867</v>
      </c>
      <c r="G78" s="258">
        <v>20397000000</v>
      </c>
      <c r="H78" s="265">
        <v>0.1</v>
      </c>
      <c r="I78" s="258">
        <v>2039700000</v>
      </c>
      <c r="J78" s="258">
        <v>22436700000</v>
      </c>
      <c r="K78" s="256" t="s">
        <v>1346</v>
      </c>
    </row>
    <row r="79" spans="1:11" x14ac:dyDescent="0.3">
      <c r="A79" s="256">
        <v>18</v>
      </c>
      <c r="B79" s="257" t="s">
        <v>1381</v>
      </c>
      <c r="C79" s="276">
        <v>44367</v>
      </c>
      <c r="D79" s="257" t="s">
        <v>1258</v>
      </c>
      <c r="E79" s="256" t="s">
        <v>1833</v>
      </c>
      <c r="F79" s="256" t="s">
        <v>1866</v>
      </c>
      <c r="G79" s="258">
        <v>23412000000</v>
      </c>
      <c r="H79" s="265">
        <v>0.1</v>
      </c>
      <c r="I79" s="258">
        <v>2341200000</v>
      </c>
      <c r="J79" s="258">
        <v>25753200000</v>
      </c>
      <c r="K79" s="256" t="s">
        <v>1348</v>
      </c>
    </row>
    <row r="80" spans="1:11" x14ac:dyDescent="0.3">
      <c r="A80" s="256">
        <v>19</v>
      </c>
      <c r="B80" s="257" t="s">
        <v>1382</v>
      </c>
      <c r="C80" s="276">
        <v>44397</v>
      </c>
      <c r="D80" s="257" t="s">
        <v>1286</v>
      </c>
      <c r="E80" s="256" t="s">
        <v>1828</v>
      </c>
      <c r="F80" s="256" t="s">
        <v>1867</v>
      </c>
      <c r="G80" s="258">
        <v>13245000000</v>
      </c>
      <c r="H80" s="265">
        <v>0.1</v>
      </c>
      <c r="I80" s="258">
        <v>1324500000</v>
      </c>
      <c r="J80" s="258">
        <v>14569500000</v>
      </c>
      <c r="K80" s="256" t="s">
        <v>1346</v>
      </c>
    </row>
    <row r="81" spans="1:11" x14ac:dyDescent="0.3">
      <c r="A81" s="256">
        <v>20</v>
      </c>
      <c r="B81" s="257" t="s">
        <v>1383</v>
      </c>
      <c r="C81" s="276">
        <v>44428</v>
      </c>
      <c r="D81" s="257" t="s">
        <v>1293</v>
      </c>
      <c r="E81" s="256" t="s">
        <v>1826</v>
      </c>
      <c r="F81" s="256" t="s">
        <v>1866</v>
      </c>
      <c r="G81" s="258">
        <v>16788000000</v>
      </c>
      <c r="H81" s="265">
        <v>0</v>
      </c>
      <c r="I81" s="258">
        <v>0</v>
      </c>
      <c r="J81" s="258">
        <v>16788000000</v>
      </c>
      <c r="K81" s="256" t="s">
        <v>1346</v>
      </c>
    </row>
    <row r="82" spans="1:11" x14ac:dyDescent="0.3">
      <c r="A82" s="256">
        <v>21</v>
      </c>
      <c r="B82" s="257" t="s">
        <v>1203</v>
      </c>
      <c r="C82" s="276">
        <v>44459</v>
      </c>
      <c r="D82" s="257" t="s">
        <v>1294</v>
      </c>
      <c r="E82" s="256" t="s">
        <v>1795</v>
      </c>
      <c r="F82" s="256" t="s">
        <v>1867</v>
      </c>
      <c r="G82" s="258">
        <v>13155000000</v>
      </c>
      <c r="H82" s="265">
        <v>0.1</v>
      </c>
      <c r="I82" s="258">
        <v>1315500000</v>
      </c>
      <c r="J82" s="258">
        <v>14470500000</v>
      </c>
      <c r="K82" s="256" t="s">
        <v>1346</v>
      </c>
    </row>
    <row r="83" spans="1:11" x14ac:dyDescent="0.3">
      <c r="A83" s="256">
        <v>22</v>
      </c>
      <c r="B83" s="257" t="s">
        <v>1204</v>
      </c>
      <c r="C83" s="276">
        <v>44489</v>
      </c>
      <c r="D83" s="257" t="s">
        <v>1286</v>
      </c>
      <c r="E83" s="256" t="s">
        <v>1828</v>
      </c>
      <c r="F83" s="256" t="s">
        <v>1865</v>
      </c>
      <c r="G83" s="258">
        <v>9537000000</v>
      </c>
      <c r="H83" s="265">
        <v>0.1</v>
      </c>
      <c r="I83" s="258">
        <v>953700000</v>
      </c>
      <c r="J83" s="258">
        <v>10490700000</v>
      </c>
      <c r="K83" s="256" t="s">
        <v>1346</v>
      </c>
    </row>
    <row r="84" spans="1:11" x14ac:dyDescent="0.3">
      <c r="A84" s="256">
        <v>23</v>
      </c>
      <c r="B84" s="257" t="s">
        <v>1205</v>
      </c>
      <c r="C84" s="276">
        <v>44520</v>
      </c>
      <c r="D84" s="257" t="s">
        <v>1291</v>
      </c>
      <c r="E84" s="256" t="s">
        <v>1800</v>
      </c>
      <c r="F84" s="256" t="s">
        <v>1867</v>
      </c>
      <c r="G84" s="258">
        <v>16777000000</v>
      </c>
      <c r="H84" s="265">
        <v>0.1</v>
      </c>
      <c r="I84" s="258">
        <v>1677700000</v>
      </c>
      <c r="J84" s="258">
        <v>18454700000</v>
      </c>
      <c r="K84" s="256" t="s">
        <v>1346</v>
      </c>
    </row>
    <row r="85" spans="1:11" x14ac:dyDescent="0.3">
      <c r="A85" s="256">
        <v>24</v>
      </c>
      <c r="B85" s="257" t="s">
        <v>1385</v>
      </c>
      <c r="C85" s="276">
        <v>44550</v>
      </c>
      <c r="D85" s="257" t="s">
        <v>1274</v>
      </c>
      <c r="E85" s="256" t="s">
        <v>1794</v>
      </c>
      <c r="F85" s="256" t="s">
        <v>1867</v>
      </c>
      <c r="G85" s="258">
        <v>9738000000</v>
      </c>
      <c r="H85" s="265">
        <v>0.1</v>
      </c>
      <c r="I85" s="258">
        <v>973800000</v>
      </c>
      <c r="J85" s="258">
        <v>10711800000</v>
      </c>
      <c r="K85" s="256" t="s">
        <v>1346</v>
      </c>
    </row>
    <row r="86" spans="1:11" x14ac:dyDescent="0.3">
      <c r="A86" s="256">
        <v>25</v>
      </c>
      <c r="B86" s="257" t="s">
        <v>1387</v>
      </c>
      <c r="C86" s="276">
        <v>44221</v>
      </c>
      <c r="D86" s="257" t="s">
        <v>1287</v>
      </c>
      <c r="E86" s="256" t="s">
        <v>1801</v>
      </c>
      <c r="F86" s="256" t="s">
        <v>1867</v>
      </c>
      <c r="G86" s="258">
        <v>10780000000</v>
      </c>
      <c r="H86" s="265">
        <v>0.1</v>
      </c>
      <c r="I86" s="258">
        <v>1078000000</v>
      </c>
      <c r="J86" s="258">
        <v>11858000000</v>
      </c>
      <c r="K86" s="256" t="s">
        <v>1346</v>
      </c>
    </row>
    <row r="87" spans="1:11" x14ac:dyDescent="0.3">
      <c r="A87" s="256">
        <v>26</v>
      </c>
      <c r="B87" s="257" t="s">
        <v>1388</v>
      </c>
      <c r="C87" s="276">
        <v>44255</v>
      </c>
      <c r="D87" s="257" t="s">
        <v>1282</v>
      </c>
      <c r="E87" s="256" t="s">
        <v>1789</v>
      </c>
      <c r="F87" s="256" t="s">
        <v>1866</v>
      </c>
      <c r="G87" s="258">
        <v>14992000000</v>
      </c>
      <c r="H87" s="265">
        <v>0.1</v>
      </c>
      <c r="I87" s="258">
        <v>1499200000</v>
      </c>
      <c r="J87" s="258">
        <v>16491200000</v>
      </c>
      <c r="K87" s="256" t="s">
        <v>1346</v>
      </c>
    </row>
    <row r="88" spans="1:11" x14ac:dyDescent="0.3">
      <c r="A88" s="256">
        <v>27</v>
      </c>
      <c r="B88" s="257" t="s">
        <v>1391</v>
      </c>
      <c r="C88" s="276">
        <v>44316</v>
      </c>
      <c r="D88" s="257" t="s">
        <v>1259</v>
      </c>
      <c r="E88" s="256" t="s">
        <v>1788</v>
      </c>
      <c r="F88" s="256" t="s">
        <v>1866</v>
      </c>
      <c r="G88" s="258">
        <v>24529000000</v>
      </c>
      <c r="H88" s="265">
        <v>0.1</v>
      </c>
      <c r="I88" s="258">
        <v>2452900000</v>
      </c>
      <c r="J88" s="258">
        <v>26981900000</v>
      </c>
      <c r="K88" s="256" t="s">
        <v>1346</v>
      </c>
    </row>
    <row r="89" spans="1:11" x14ac:dyDescent="0.3">
      <c r="A89" s="256">
        <v>28</v>
      </c>
      <c r="B89" s="257" t="s">
        <v>1392</v>
      </c>
      <c r="C89" s="276">
        <v>44377</v>
      </c>
      <c r="D89" s="257" t="s">
        <v>1287</v>
      </c>
      <c r="E89" s="256" t="s">
        <v>1801</v>
      </c>
      <c r="F89" s="256" t="s">
        <v>1866</v>
      </c>
      <c r="G89" s="258">
        <v>9038000000</v>
      </c>
      <c r="H89" s="265">
        <v>0.1</v>
      </c>
      <c r="I89" s="258">
        <v>903800000</v>
      </c>
      <c r="J89" s="258">
        <v>9941800000</v>
      </c>
      <c r="K89" s="256" t="s">
        <v>1346</v>
      </c>
    </row>
    <row r="90" spans="1:11" x14ac:dyDescent="0.3">
      <c r="A90" s="256">
        <v>29</v>
      </c>
      <c r="B90" s="257" t="s">
        <v>1394</v>
      </c>
      <c r="C90" s="276">
        <v>44469</v>
      </c>
      <c r="D90" s="257" t="s">
        <v>1290</v>
      </c>
      <c r="E90" s="256" t="s">
        <v>1796</v>
      </c>
      <c r="F90" s="256" t="s">
        <v>1866</v>
      </c>
      <c r="G90" s="258">
        <v>13514000000</v>
      </c>
      <c r="H90" s="265">
        <v>0.1</v>
      </c>
      <c r="I90" s="258">
        <v>1351400000</v>
      </c>
      <c r="J90" s="258">
        <v>14865400000</v>
      </c>
      <c r="K90" s="256" t="s">
        <v>1346</v>
      </c>
    </row>
    <row r="91" spans="1:11" x14ac:dyDescent="0.3">
      <c r="A91" s="256">
        <v>30</v>
      </c>
      <c r="B91" s="257" t="s">
        <v>1396</v>
      </c>
      <c r="C91" s="276">
        <v>44530</v>
      </c>
      <c r="D91" s="257" t="s">
        <v>1257</v>
      </c>
      <c r="E91" s="256" t="s">
        <v>1815</v>
      </c>
      <c r="F91" s="256" t="s">
        <v>1864</v>
      </c>
      <c r="G91" s="258">
        <v>14069000000</v>
      </c>
      <c r="H91" s="265">
        <v>0.1</v>
      </c>
      <c r="I91" s="258">
        <v>1406900000</v>
      </c>
      <c r="J91" s="258">
        <v>15475900000</v>
      </c>
      <c r="K91" s="256" t="s">
        <v>1346</v>
      </c>
    </row>
    <row r="92" spans="1:11" x14ac:dyDescent="0.3">
      <c r="A92" s="256">
        <v>31</v>
      </c>
      <c r="B92" s="257" t="s">
        <v>1397</v>
      </c>
      <c r="C92" s="276">
        <v>44286</v>
      </c>
      <c r="D92" s="257" t="s">
        <v>1272</v>
      </c>
      <c r="E92" s="256" t="s">
        <v>1805</v>
      </c>
      <c r="F92" s="256" t="s">
        <v>1866</v>
      </c>
      <c r="G92" s="258">
        <v>24691000000</v>
      </c>
      <c r="H92" s="265">
        <v>0</v>
      </c>
      <c r="I92" s="258">
        <v>0</v>
      </c>
      <c r="J92" s="258">
        <v>24691000000</v>
      </c>
      <c r="K92" s="256" t="s">
        <v>1346</v>
      </c>
    </row>
    <row r="93" spans="1:11" x14ac:dyDescent="0.3">
      <c r="A93" s="256">
        <v>32</v>
      </c>
      <c r="B93" s="257" t="s">
        <v>1398</v>
      </c>
      <c r="C93" s="276">
        <v>44347</v>
      </c>
      <c r="D93" s="257" t="s">
        <v>1267</v>
      </c>
      <c r="E93" s="256" t="s">
        <v>1810</v>
      </c>
      <c r="F93" s="256" t="s">
        <v>1864</v>
      </c>
      <c r="G93" s="258">
        <v>16735000000</v>
      </c>
      <c r="H93" s="265">
        <v>0.1</v>
      </c>
      <c r="I93" s="258">
        <v>1673500000</v>
      </c>
      <c r="J93" s="258">
        <v>18408500000</v>
      </c>
      <c r="K93" s="256" t="s">
        <v>1346</v>
      </c>
    </row>
    <row r="94" spans="1:11" x14ac:dyDescent="0.3">
      <c r="A94" s="256">
        <v>33</v>
      </c>
      <c r="B94" s="257" t="s">
        <v>1399</v>
      </c>
      <c r="C94" s="276">
        <v>44408</v>
      </c>
      <c r="D94" s="257" t="s">
        <v>1269</v>
      </c>
      <c r="E94" s="256" t="s">
        <v>1823</v>
      </c>
      <c r="F94" s="256" t="s">
        <v>1867</v>
      </c>
      <c r="G94" s="258">
        <v>22275000000</v>
      </c>
      <c r="H94" s="265">
        <v>0.1</v>
      </c>
      <c r="I94" s="258">
        <v>2227500000</v>
      </c>
      <c r="J94" s="258">
        <v>24502500000</v>
      </c>
      <c r="K94" s="256" t="s">
        <v>1348</v>
      </c>
    </row>
    <row r="95" spans="1:11" x14ac:dyDescent="0.3">
      <c r="A95" s="256">
        <v>34</v>
      </c>
      <c r="B95" s="257" t="s">
        <v>1401</v>
      </c>
      <c r="C95" s="276">
        <v>44439</v>
      </c>
      <c r="D95" s="257" t="s">
        <v>1266</v>
      </c>
      <c r="E95" s="256" t="s">
        <v>1824</v>
      </c>
      <c r="F95" s="256" t="s">
        <v>1865</v>
      </c>
      <c r="G95" s="258">
        <v>23299000000</v>
      </c>
      <c r="H95" s="265">
        <v>0.1</v>
      </c>
      <c r="I95" s="258">
        <v>2329900000</v>
      </c>
      <c r="J95" s="258">
        <v>25628900000</v>
      </c>
      <c r="K95" s="256" t="s">
        <v>1346</v>
      </c>
    </row>
    <row r="96" spans="1:11" x14ac:dyDescent="0.3">
      <c r="A96" s="256">
        <v>35</v>
      </c>
      <c r="B96" s="257" t="s">
        <v>1402</v>
      </c>
      <c r="C96" s="276">
        <v>44500</v>
      </c>
      <c r="D96" s="257" t="s">
        <v>1278</v>
      </c>
      <c r="E96" s="256" t="s">
        <v>1785</v>
      </c>
      <c r="F96" s="256" t="s">
        <v>1866</v>
      </c>
      <c r="G96" s="258">
        <v>14146000000</v>
      </c>
      <c r="H96" s="265">
        <v>0</v>
      </c>
      <c r="I96" s="258">
        <v>0</v>
      </c>
      <c r="J96" s="258">
        <v>14146000000</v>
      </c>
      <c r="K96" s="256" t="s">
        <v>1348</v>
      </c>
    </row>
    <row r="97" spans="1:11" x14ac:dyDescent="0.3">
      <c r="A97" s="256">
        <v>36</v>
      </c>
      <c r="B97" s="257" t="s">
        <v>1403</v>
      </c>
      <c r="C97" s="276">
        <v>44561</v>
      </c>
      <c r="D97" s="257" t="s">
        <v>1287</v>
      </c>
      <c r="E97" s="256" t="s">
        <v>1801</v>
      </c>
      <c r="F97" s="256" t="s">
        <v>1865</v>
      </c>
      <c r="G97" s="258">
        <v>21505000000</v>
      </c>
      <c r="H97" s="265">
        <v>0.1</v>
      </c>
      <c r="I97" s="258">
        <v>2150500000</v>
      </c>
      <c r="J97" s="258">
        <v>23655500000</v>
      </c>
      <c r="K97" s="256" t="s">
        <v>1346</v>
      </c>
    </row>
    <row r="98" spans="1:11" x14ac:dyDescent="0.3">
      <c r="A98" s="256">
        <v>37</v>
      </c>
      <c r="B98" s="257" t="s">
        <v>1404</v>
      </c>
      <c r="C98" s="276">
        <v>44561</v>
      </c>
      <c r="D98" s="257" t="s">
        <v>1281</v>
      </c>
      <c r="E98" s="256" t="s">
        <v>1806</v>
      </c>
      <c r="F98" s="256" t="s">
        <v>1867</v>
      </c>
      <c r="G98" s="258">
        <v>7575000000</v>
      </c>
      <c r="H98" s="265">
        <v>0.1</v>
      </c>
      <c r="I98" s="258">
        <v>757500000</v>
      </c>
      <c r="J98" s="258">
        <v>8332500000</v>
      </c>
      <c r="K98" s="256" t="s">
        <v>1346</v>
      </c>
    </row>
    <row r="99" spans="1:11" x14ac:dyDescent="0.3">
      <c r="A99" s="256">
        <v>38</v>
      </c>
      <c r="B99" s="257" t="s">
        <v>1405</v>
      </c>
      <c r="C99" s="276">
        <v>44561</v>
      </c>
      <c r="D99" s="257" t="s">
        <v>1276</v>
      </c>
      <c r="E99" s="256" t="s">
        <v>1822</v>
      </c>
      <c r="F99" s="256" t="s">
        <v>1865</v>
      </c>
      <c r="G99" s="258">
        <v>15590000000</v>
      </c>
      <c r="H99" s="265">
        <v>0.1</v>
      </c>
      <c r="I99" s="258">
        <v>1559000000</v>
      </c>
      <c r="J99" s="258">
        <v>17149000000</v>
      </c>
      <c r="K99" s="256" t="s">
        <v>1346</v>
      </c>
    </row>
    <row r="100" spans="1:11" x14ac:dyDescent="0.3">
      <c r="A100" s="256">
        <v>39</v>
      </c>
      <c r="B100" s="257" t="s">
        <v>1406</v>
      </c>
      <c r="C100" s="276">
        <v>44561</v>
      </c>
      <c r="D100" s="257" t="s">
        <v>1301</v>
      </c>
      <c r="E100" s="256" t="s">
        <v>1781</v>
      </c>
      <c r="F100" s="256" t="s">
        <v>1866</v>
      </c>
      <c r="G100" s="258">
        <v>15163000000</v>
      </c>
      <c r="H100" s="265">
        <v>0.1</v>
      </c>
      <c r="I100" s="258">
        <v>1516300000</v>
      </c>
      <c r="J100" s="258">
        <v>16679300000</v>
      </c>
      <c r="K100" s="256" t="s">
        <v>1346</v>
      </c>
    </row>
    <row r="101" spans="1:11" x14ac:dyDescent="0.3">
      <c r="A101" s="256">
        <v>40</v>
      </c>
      <c r="B101" s="257" t="s">
        <v>1408</v>
      </c>
      <c r="C101" s="276">
        <v>44561</v>
      </c>
      <c r="D101" s="257" t="s">
        <v>1296</v>
      </c>
      <c r="E101" s="256" t="s">
        <v>1807</v>
      </c>
      <c r="F101" s="256" t="s">
        <v>1866</v>
      </c>
      <c r="G101" s="258">
        <v>24177000000</v>
      </c>
      <c r="H101" s="265">
        <v>0</v>
      </c>
      <c r="I101" s="258">
        <v>0</v>
      </c>
      <c r="J101" s="258">
        <v>24177000000</v>
      </c>
      <c r="K101" s="256" t="s">
        <v>1346</v>
      </c>
    </row>
    <row r="102" spans="1:11" x14ac:dyDescent="0.3">
      <c r="A102" s="256">
        <v>41</v>
      </c>
      <c r="B102" s="257" t="s">
        <v>1409</v>
      </c>
      <c r="C102" s="276">
        <v>44561</v>
      </c>
      <c r="D102" s="257" t="s">
        <v>1278</v>
      </c>
      <c r="E102" s="256" t="s">
        <v>1785</v>
      </c>
      <c r="F102" s="256" t="s">
        <v>1864</v>
      </c>
      <c r="G102" s="258">
        <v>16064000000</v>
      </c>
      <c r="H102" s="265">
        <v>0.1</v>
      </c>
      <c r="I102" s="258">
        <v>1606400000</v>
      </c>
      <c r="J102" s="258">
        <v>17670400000</v>
      </c>
      <c r="K102" s="256" t="s">
        <v>1346</v>
      </c>
    </row>
    <row r="103" spans="1:11" x14ac:dyDescent="0.3">
      <c r="A103" s="256">
        <v>42</v>
      </c>
      <c r="B103" s="257" t="s">
        <v>1411</v>
      </c>
      <c r="C103" s="276">
        <v>44561</v>
      </c>
      <c r="D103" s="257" t="s">
        <v>1304</v>
      </c>
      <c r="E103" s="256" t="s">
        <v>1831</v>
      </c>
      <c r="F103" s="256" t="s">
        <v>1864</v>
      </c>
      <c r="G103" s="258">
        <v>16311000000</v>
      </c>
      <c r="H103" s="265">
        <v>0.1</v>
      </c>
      <c r="I103" s="258">
        <v>1631100000</v>
      </c>
      <c r="J103" s="258">
        <v>17942100000</v>
      </c>
      <c r="K103" s="256" t="s">
        <v>1348</v>
      </c>
    </row>
    <row r="104" spans="1:11" x14ac:dyDescent="0.3">
      <c r="A104" s="256">
        <v>43</v>
      </c>
      <c r="B104" s="257" t="s">
        <v>1414</v>
      </c>
      <c r="C104" s="276">
        <v>44561</v>
      </c>
      <c r="D104" s="257" t="s">
        <v>1302</v>
      </c>
      <c r="E104" s="256" t="s">
        <v>1784</v>
      </c>
      <c r="F104" s="256" t="s">
        <v>1866</v>
      </c>
      <c r="G104" s="258">
        <v>22466000000</v>
      </c>
      <c r="H104" s="265">
        <v>0.1</v>
      </c>
      <c r="I104" s="258">
        <v>2246600000</v>
      </c>
      <c r="J104" s="258">
        <v>24712600000</v>
      </c>
      <c r="K104" s="256" t="s">
        <v>1346</v>
      </c>
    </row>
    <row r="105" spans="1:11" x14ac:dyDescent="0.3">
      <c r="A105" s="256">
        <v>44</v>
      </c>
      <c r="B105" s="257" t="s">
        <v>1415</v>
      </c>
      <c r="C105" s="276">
        <v>44561</v>
      </c>
      <c r="D105" s="257" t="s">
        <v>1284</v>
      </c>
      <c r="E105" s="256" t="s">
        <v>1786</v>
      </c>
      <c r="F105" s="256" t="s">
        <v>1864</v>
      </c>
      <c r="G105" s="258">
        <v>8116000000</v>
      </c>
      <c r="H105" s="265">
        <v>0.1</v>
      </c>
      <c r="I105" s="258">
        <v>811600000</v>
      </c>
      <c r="J105" s="258">
        <v>8927600000</v>
      </c>
      <c r="K105" s="256" t="s">
        <v>1346</v>
      </c>
    </row>
    <row r="106" spans="1:11" x14ac:dyDescent="0.3">
      <c r="A106" s="256">
        <v>45</v>
      </c>
      <c r="B106" s="257" t="s">
        <v>1206</v>
      </c>
      <c r="C106" s="276">
        <v>44561</v>
      </c>
      <c r="D106" s="257" t="s">
        <v>1276</v>
      </c>
      <c r="E106" s="256" t="s">
        <v>1822</v>
      </c>
      <c r="F106" s="256" t="s">
        <v>1866</v>
      </c>
      <c r="G106" s="258">
        <v>20063000000</v>
      </c>
      <c r="H106" s="265">
        <v>0.1</v>
      </c>
      <c r="I106" s="258">
        <v>2006300000</v>
      </c>
      <c r="J106" s="258">
        <v>22069300000</v>
      </c>
      <c r="K106" s="256" t="s">
        <v>1346</v>
      </c>
    </row>
    <row r="107" spans="1:11" x14ac:dyDescent="0.3">
      <c r="A107" s="256">
        <v>46</v>
      </c>
      <c r="B107" s="257" t="s">
        <v>1207</v>
      </c>
      <c r="C107" s="276">
        <v>44561</v>
      </c>
      <c r="D107" s="257" t="s">
        <v>1261</v>
      </c>
      <c r="E107" s="256" t="s">
        <v>1813</v>
      </c>
      <c r="F107" s="256" t="s">
        <v>1867</v>
      </c>
      <c r="G107" s="258">
        <v>25654000000</v>
      </c>
      <c r="H107" s="265">
        <v>0.1</v>
      </c>
      <c r="I107" s="258">
        <v>2565400000</v>
      </c>
      <c r="J107" s="258">
        <v>28219400000</v>
      </c>
      <c r="K107" s="256" t="s">
        <v>1346</v>
      </c>
    </row>
    <row r="108" spans="1:11" x14ac:dyDescent="0.3">
      <c r="A108" s="256">
        <v>47</v>
      </c>
      <c r="B108" s="257" t="s">
        <v>1208</v>
      </c>
      <c r="C108" s="276">
        <v>44561</v>
      </c>
      <c r="D108" s="257" t="s">
        <v>1274</v>
      </c>
      <c r="E108" s="256" t="s">
        <v>1794</v>
      </c>
      <c r="F108" s="256" t="s">
        <v>1867</v>
      </c>
      <c r="G108" s="258">
        <v>21044000000</v>
      </c>
      <c r="H108" s="265">
        <v>0.1</v>
      </c>
      <c r="I108" s="258">
        <v>2104400000</v>
      </c>
      <c r="J108" s="258">
        <v>23148400000</v>
      </c>
      <c r="K108" s="256" t="s">
        <v>1348</v>
      </c>
    </row>
    <row r="109" spans="1:11" x14ac:dyDescent="0.3">
      <c r="A109" s="256">
        <v>48</v>
      </c>
      <c r="B109" s="257" t="s">
        <v>1209</v>
      </c>
      <c r="C109" s="276">
        <v>44561</v>
      </c>
      <c r="D109" s="257" t="s">
        <v>1297</v>
      </c>
      <c r="E109" s="256" t="s">
        <v>1820</v>
      </c>
      <c r="F109" s="256" t="s">
        <v>1864</v>
      </c>
      <c r="G109" s="258">
        <v>16882000000</v>
      </c>
      <c r="H109" s="265">
        <v>0.1</v>
      </c>
      <c r="I109" s="258">
        <v>1688200000</v>
      </c>
      <c r="J109" s="258">
        <v>18570200000</v>
      </c>
      <c r="K109" s="256" t="s">
        <v>1348</v>
      </c>
    </row>
    <row r="110" spans="1:11" x14ac:dyDescent="0.3">
      <c r="A110" s="256">
        <v>49</v>
      </c>
      <c r="B110" s="257" t="s">
        <v>1418</v>
      </c>
      <c r="C110" s="276">
        <v>44561</v>
      </c>
      <c r="D110" s="257" t="s">
        <v>1278</v>
      </c>
      <c r="E110" s="256" t="s">
        <v>1785</v>
      </c>
      <c r="F110" s="256" t="s">
        <v>1864</v>
      </c>
      <c r="G110" s="258">
        <v>16315000000</v>
      </c>
      <c r="H110" s="265">
        <v>0.1</v>
      </c>
      <c r="I110" s="258">
        <v>1631500000</v>
      </c>
      <c r="J110" s="258">
        <v>17946500000</v>
      </c>
      <c r="K110" s="256" t="s">
        <v>1346</v>
      </c>
    </row>
    <row r="111" spans="1:11" x14ac:dyDescent="0.3">
      <c r="A111" s="256">
        <v>50</v>
      </c>
      <c r="B111" s="257" t="s">
        <v>1419</v>
      </c>
      <c r="C111" s="276">
        <v>44561</v>
      </c>
      <c r="D111" s="257" t="s">
        <v>1266</v>
      </c>
      <c r="E111" s="256" t="s">
        <v>1824</v>
      </c>
      <c r="F111" s="256" t="s">
        <v>1865</v>
      </c>
      <c r="G111" s="258">
        <v>12521000000</v>
      </c>
      <c r="H111" s="265">
        <v>0.1</v>
      </c>
      <c r="I111" s="258">
        <v>1252100000</v>
      </c>
      <c r="J111" s="258">
        <v>13773100000</v>
      </c>
      <c r="K111" s="256" t="s">
        <v>1346</v>
      </c>
    </row>
    <row r="112" spans="1:11" x14ac:dyDescent="0.3">
      <c r="A112" s="266" t="s">
        <v>1351</v>
      </c>
      <c r="B112" s="266"/>
      <c r="C112" s="266"/>
      <c r="D112" s="266"/>
      <c r="E112" s="266"/>
      <c r="F112" s="266"/>
      <c r="G112" s="267">
        <f>SUM(G62:G111)</f>
        <v>829293000000</v>
      </c>
      <c r="H112" s="266"/>
      <c r="I112" s="267">
        <f>SUM(I62:I111)</f>
        <v>74949100000</v>
      </c>
      <c r="J112" s="267">
        <f>SUM(J62:J111)</f>
        <v>904242100000</v>
      </c>
      <c r="K112" s="266"/>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826</v>
      </c>
      <c r="C1" s="256"/>
      <c r="D1" s="256"/>
      <c r="E1" s="256"/>
      <c r="F1" s="256"/>
      <c r="G1" s="256"/>
      <c r="H1" s="256"/>
      <c r="I1" s="256"/>
      <c r="J1" s="256"/>
      <c r="K1" s="256"/>
    </row>
    <row r="2" spans="1:11" x14ac:dyDescent="0.3">
      <c r="A2" s="256" t="s">
        <v>1339</v>
      </c>
      <c r="B2" s="257">
        <v>106395904</v>
      </c>
      <c r="C2" s="256"/>
      <c r="D2" s="256"/>
      <c r="E2" s="256"/>
      <c r="F2" s="256"/>
      <c r="G2" s="256"/>
      <c r="H2" s="256"/>
      <c r="I2" s="256"/>
      <c r="J2" s="256"/>
      <c r="K2" s="256"/>
    </row>
    <row r="3" spans="1:11" x14ac:dyDescent="0.3">
      <c r="A3" s="256" t="s">
        <v>1343</v>
      </c>
      <c r="B3" s="258">
        <v>431920722238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1404</v>
      </c>
      <c r="C8" s="276">
        <v>44317</v>
      </c>
      <c r="D8" s="257" t="s">
        <v>1264</v>
      </c>
      <c r="E8" s="256" t="s">
        <v>1779</v>
      </c>
      <c r="F8" s="256" t="s">
        <v>1877</v>
      </c>
      <c r="G8" s="258">
        <v>2781000000</v>
      </c>
      <c r="H8" s="265">
        <v>0.1</v>
      </c>
      <c r="I8" s="258">
        <v>278100000</v>
      </c>
      <c r="J8" s="258">
        <v>3059100000</v>
      </c>
      <c r="K8" s="256" t="s">
        <v>1346</v>
      </c>
    </row>
    <row r="9" spans="1:11" x14ac:dyDescent="0.3">
      <c r="A9" s="256">
        <v>2</v>
      </c>
      <c r="B9" s="257" t="s">
        <v>1398</v>
      </c>
      <c r="C9" s="276">
        <v>44318</v>
      </c>
      <c r="D9" s="257" t="s">
        <v>1301</v>
      </c>
      <c r="E9" s="256" t="s">
        <v>1781</v>
      </c>
      <c r="F9" s="256" t="s">
        <v>1879</v>
      </c>
      <c r="G9" s="258">
        <v>7473000000</v>
      </c>
      <c r="H9" s="265">
        <v>0.1</v>
      </c>
      <c r="I9" s="258">
        <v>747300000</v>
      </c>
      <c r="J9" s="258">
        <v>8220300000</v>
      </c>
      <c r="K9" s="256" t="s">
        <v>1346</v>
      </c>
    </row>
    <row r="10" spans="1:11" x14ac:dyDescent="0.3">
      <c r="A10" s="256">
        <v>3</v>
      </c>
      <c r="B10" s="257" t="s">
        <v>1459</v>
      </c>
      <c r="C10" s="276">
        <v>44472</v>
      </c>
      <c r="D10" s="257" t="s">
        <v>1304</v>
      </c>
      <c r="E10" s="256" t="s">
        <v>1831</v>
      </c>
      <c r="F10" s="256" t="s">
        <v>1878</v>
      </c>
      <c r="G10" s="258">
        <v>3905000000</v>
      </c>
      <c r="H10" s="265">
        <v>0.1</v>
      </c>
      <c r="I10" s="258">
        <v>390500000</v>
      </c>
      <c r="J10" s="258">
        <v>4295500000</v>
      </c>
      <c r="K10" s="256" t="s">
        <v>1346</v>
      </c>
    </row>
    <row r="11" spans="1:11" x14ac:dyDescent="0.3">
      <c r="A11" s="256">
        <v>4</v>
      </c>
      <c r="B11" s="257" t="s">
        <v>1209</v>
      </c>
      <c r="C11" s="276">
        <v>44473</v>
      </c>
      <c r="D11" s="257" t="s">
        <v>1257</v>
      </c>
      <c r="E11" s="256" t="s">
        <v>1815</v>
      </c>
      <c r="F11" s="256" t="s">
        <v>1609</v>
      </c>
      <c r="G11" s="258">
        <v>9970000000</v>
      </c>
      <c r="H11" s="265">
        <v>0</v>
      </c>
      <c r="I11" s="258">
        <v>0</v>
      </c>
      <c r="J11" s="258">
        <v>9970000000</v>
      </c>
      <c r="K11" s="256" t="s">
        <v>1348</v>
      </c>
    </row>
    <row r="12" spans="1:11" x14ac:dyDescent="0.3">
      <c r="A12" s="256">
        <v>5</v>
      </c>
      <c r="B12" s="257" t="s">
        <v>1408</v>
      </c>
      <c r="C12" s="276">
        <v>44474</v>
      </c>
      <c r="D12" s="257" t="s">
        <v>1269</v>
      </c>
      <c r="E12" s="256" t="s">
        <v>1823</v>
      </c>
      <c r="F12" s="256" t="s">
        <v>1880</v>
      </c>
      <c r="G12" s="258">
        <v>6601000000</v>
      </c>
      <c r="H12" s="265">
        <v>0.1</v>
      </c>
      <c r="I12" s="258">
        <v>660100000</v>
      </c>
      <c r="J12" s="258">
        <v>7261100000</v>
      </c>
      <c r="K12" s="256" t="s">
        <v>1348</v>
      </c>
    </row>
    <row r="13" spans="1:11" x14ac:dyDescent="0.3">
      <c r="A13" s="256">
        <v>6</v>
      </c>
      <c r="B13" s="257" t="s">
        <v>1418</v>
      </c>
      <c r="C13" s="276">
        <v>44475</v>
      </c>
      <c r="D13" s="257" t="s">
        <v>1257</v>
      </c>
      <c r="E13" s="256" t="s">
        <v>1815</v>
      </c>
      <c r="F13" s="256" t="s">
        <v>1880</v>
      </c>
      <c r="G13" s="258">
        <v>9129000000</v>
      </c>
      <c r="H13" s="265">
        <v>0.1</v>
      </c>
      <c r="I13" s="258">
        <v>912900000</v>
      </c>
      <c r="J13" s="258">
        <v>10041900000</v>
      </c>
      <c r="K13" s="256" t="s">
        <v>1346</v>
      </c>
    </row>
    <row r="14" spans="1:11" x14ac:dyDescent="0.3">
      <c r="A14" s="256">
        <v>7</v>
      </c>
      <c r="B14" s="257" t="s">
        <v>1403</v>
      </c>
      <c r="C14" s="276">
        <v>44476</v>
      </c>
      <c r="D14" s="257" t="s">
        <v>1302</v>
      </c>
      <c r="E14" s="256" t="s">
        <v>1784</v>
      </c>
      <c r="F14" s="256" t="s">
        <v>1877</v>
      </c>
      <c r="G14" s="258">
        <v>3536000000</v>
      </c>
      <c r="H14" s="265">
        <v>0.1</v>
      </c>
      <c r="I14" s="258">
        <v>353600000</v>
      </c>
      <c r="J14" s="258">
        <v>3889600000</v>
      </c>
      <c r="K14" s="256" t="s">
        <v>1346</v>
      </c>
    </row>
    <row r="15" spans="1:11" x14ac:dyDescent="0.3">
      <c r="A15" s="256">
        <v>8</v>
      </c>
      <c r="B15" s="257" t="s">
        <v>1388</v>
      </c>
      <c r="C15" s="276">
        <v>44477</v>
      </c>
      <c r="D15" s="257" t="s">
        <v>1296</v>
      </c>
      <c r="E15" s="256" t="s">
        <v>1807</v>
      </c>
      <c r="F15" s="256" t="s">
        <v>1876</v>
      </c>
      <c r="G15" s="258">
        <v>4146000000</v>
      </c>
      <c r="H15" s="265">
        <v>0.1</v>
      </c>
      <c r="I15" s="258">
        <v>414600000</v>
      </c>
      <c r="J15" s="258">
        <v>4560600000</v>
      </c>
      <c r="K15" s="256" t="s">
        <v>1346</v>
      </c>
    </row>
    <row r="16" spans="1:11" x14ac:dyDescent="0.3">
      <c r="A16" s="256">
        <v>9</v>
      </c>
      <c r="B16" s="257" t="s">
        <v>1405</v>
      </c>
      <c r="C16" s="276">
        <v>44478</v>
      </c>
      <c r="D16" s="257" t="s">
        <v>1264</v>
      </c>
      <c r="E16" s="256" t="s">
        <v>1779</v>
      </c>
      <c r="F16" s="256" t="s">
        <v>1879</v>
      </c>
      <c r="G16" s="258">
        <v>5751000000</v>
      </c>
      <c r="H16" s="265">
        <v>0</v>
      </c>
      <c r="I16" s="258">
        <v>0</v>
      </c>
      <c r="J16" s="258">
        <v>5751000000</v>
      </c>
      <c r="K16" s="256" t="s">
        <v>1346</v>
      </c>
    </row>
    <row r="17" spans="1:11" x14ac:dyDescent="0.3">
      <c r="A17" s="256">
        <v>10</v>
      </c>
      <c r="B17" s="257" t="s">
        <v>1391</v>
      </c>
      <c r="C17" s="276">
        <v>44479</v>
      </c>
      <c r="D17" s="257" t="s">
        <v>1286</v>
      </c>
      <c r="E17" s="256" t="s">
        <v>1828</v>
      </c>
      <c r="F17" s="256" t="s">
        <v>1609</v>
      </c>
      <c r="G17" s="258">
        <v>8897000000</v>
      </c>
      <c r="H17" s="265">
        <v>0.1</v>
      </c>
      <c r="I17" s="258">
        <v>889700000</v>
      </c>
      <c r="J17" s="258">
        <v>9786700000</v>
      </c>
      <c r="K17" s="256" t="s">
        <v>1346</v>
      </c>
    </row>
    <row r="18" spans="1:11" x14ac:dyDescent="0.3">
      <c r="A18" s="256">
        <v>11</v>
      </c>
      <c r="B18" s="257" t="s">
        <v>1465</v>
      </c>
      <c r="C18" s="276">
        <v>44480</v>
      </c>
      <c r="D18" s="257" t="s">
        <v>1263</v>
      </c>
      <c r="E18" s="256" t="s">
        <v>1790</v>
      </c>
      <c r="F18" s="256" t="s">
        <v>1877</v>
      </c>
      <c r="G18" s="258">
        <v>3195000000</v>
      </c>
      <c r="H18" s="265">
        <v>0.1</v>
      </c>
      <c r="I18" s="258">
        <v>319500000</v>
      </c>
      <c r="J18" s="258">
        <v>3514500000</v>
      </c>
      <c r="K18" s="256" t="s">
        <v>1348</v>
      </c>
    </row>
    <row r="19" spans="1:11" x14ac:dyDescent="0.3">
      <c r="A19" s="256">
        <v>12</v>
      </c>
      <c r="B19" s="257" t="s">
        <v>1208</v>
      </c>
      <c r="C19" s="276">
        <v>44481</v>
      </c>
      <c r="D19" s="257" t="s">
        <v>1280</v>
      </c>
      <c r="E19" s="256" t="s">
        <v>1777</v>
      </c>
      <c r="F19" s="256" t="s">
        <v>1879</v>
      </c>
      <c r="G19" s="258">
        <v>5111000000</v>
      </c>
      <c r="H19" s="265">
        <v>0.1</v>
      </c>
      <c r="I19" s="258">
        <v>511100000</v>
      </c>
      <c r="J19" s="258">
        <v>5622100000</v>
      </c>
      <c r="K19" s="256" t="s">
        <v>1346</v>
      </c>
    </row>
    <row r="20" spans="1:11" x14ac:dyDescent="0.3">
      <c r="A20" s="256">
        <v>13</v>
      </c>
      <c r="B20" s="257" t="s">
        <v>1464</v>
      </c>
      <c r="C20" s="276">
        <v>44211</v>
      </c>
      <c r="D20" s="257" t="s">
        <v>1272</v>
      </c>
      <c r="E20" s="256" t="s">
        <v>1805</v>
      </c>
      <c r="F20" s="256" t="s">
        <v>1876</v>
      </c>
      <c r="G20" s="258">
        <v>5369000000</v>
      </c>
      <c r="H20" s="265">
        <v>0.1</v>
      </c>
      <c r="I20" s="258">
        <v>536900000</v>
      </c>
      <c r="J20" s="258">
        <v>5905900000</v>
      </c>
      <c r="K20" s="256" t="s">
        <v>1346</v>
      </c>
    </row>
    <row r="21" spans="1:11" x14ac:dyDescent="0.3">
      <c r="A21" s="256">
        <v>14</v>
      </c>
      <c r="B21" s="257" t="s">
        <v>1406</v>
      </c>
      <c r="C21" s="276">
        <v>44242</v>
      </c>
      <c r="D21" s="257" t="s">
        <v>1264</v>
      </c>
      <c r="E21" s="256" t="s">
        <v>1779</v>
      </c>
      <c r="F21" s="256" t="s">
        <v>1877</v>
      </c>
      <c r="G21" s="258">
        <v>4301000000</v>
      </c>
      <c r="H21" s="265">
        <v>0.1</v>
      </c>
      <c r="I21" s="258">
        <v>430100000</v>
      </c>
      <c r="J21" s="258">
        <v>4731100000</v>
      </c>
      <c r="K21" s="256" t="s">
        <v>1346</v>
      </c>
    </row>
    <row r="22" spans="1:11" x14ac:dyDescent="0.3">
      <c r="A22" s="256">
        <v>15</v>
      </c>
      <c r="B22" s="257" t="s">
        <v>1205</v>
      </c>
      <c r="C22" s="276">
        <v>44275</v>
      </c>
      <c r="D22" s="257" t="s">
        <v>1298</v>
      </c>
      <c r="E22" s="256" t="s">
        <v>1819</v>
      </c>
      <c r="F22" s="256" t="s">
        <v>1880</v>
      </c>
      <c r="G22" s="258">
        <v>2694000000</v>
      </c>
      <c r="H22" s="265">
        <v>0.1</v>
      </c>
      <c r="I22" s="258">
        <v>269400000</v>
      </c>
      <c r="J22" s="258">
        <v>2963400000</v>
      </c>
      <c r="K22" s="256" t="s">
        <v>1346</v>
      </c>
    </row>
    <row r="23" spans="1:11" x14ac:dyDescent="0.3">
      <c r="A23" s="256">
        <v>16</v>
      </c>
      <c r="B23" s="257" t="s">
        <v>1414</v>
      </c>
      <c r="C23" s="276">
        <v>44306</v>
      </c>
      <c r="D23" s="257" t="s">
        <v>1282</v>
      </c>
      <c r="E23" s="256" t="s">
        <v>1789</v>
      </c>
      <c r="F23" s="256" t="s">
        <v>1876</v>
      </c>
      <c r="G23" s="258">
        <v>5782000000</v>
      </c>
      <c r="H23" s="265">
        <v>0.1</v>
      </c>
      <c r="I23" s="258">
        <v>578200000</v>
      </c>
      <c r="J23" s="258">
        <v>6360200000</v>
      </c>
      <c r="K23" s="256" t="s">
        <v>1346</v>
      </c>
    </row>
    <row r="24" spans="1:11" x14ac:dyDescent="0.3">
      <c r="A24" s="256">
        <v>17</v>
      </c>
      <c r="B24" s="257" t="s">
        <v>1460</v>
      </c>
      <c r="C24" s="276">
        <v>44336</v>
      </c>
      <c r="D24" s="257" t="s">
        <v>1304</v>
      </c>
      <c r="E24" s="256" t="s">
        <v>1831</v>
      </c>
      <c r="F24" s="256" t="s">
        <v>1878</v>
      </c>
      <c r="G24" s="258">
        <v>5102000000</v>
      </c>
      <c r="H24" s="265">
        <v>0.1</v>
      </c>
      <c r="I24" s="258">
        <v>510200000</v>
      </c>
      <c r="J24" s="258">
        <v>5612200000</v>
      </c>
      <c r="K24" s="256" t="s">
        <v>1348</v>
      </c>
    </row>
    <row r="25" spans="1:11" x14ac:dyDescent="0.3">
      <c r="A25" s="256">
        <v>18</v>
      </c>
      <c r="B25" s="257" t="s">
        <v>1396</v>
      </c>
      <c r="C25" s="276">
        <v>44367</v>
      </c>
      <c r="D25" s="257" t="s">
        <v>1291</v>
      </c>
      <c r="E25" s="256" t="s">
        <v>1800</v>
      </c>
      <c r="F25" s="256" t="s">
        <v>1877</v>
      </c>
      <c r="G25" s="258">
        <v>4337000000</v>
      </c>
      <c r="H25" s="265">
        <v>0.1</v>
      </c>
      <c r="I25" s="258">
        <v>433700000</v>
      </c>
      <c r="J25" s="258">
        <v>4770700000</v>
      </c>
      <c r="K25" s="256" t="s">
        <v>1346</v>
      </c>
    </row>
    <row r="26" spans="1:11" x14ac:dyDescent="0.3">
      <c r="A26" s="256">
        <v>19</v>
      </c>
      <c r="B26" s="257" t="s">
        <v>1398</v>
      </c>
      <c r="C26" s="276">
        <v>44397</v>
      </c>
      <c r="D26" s="257" t="s">
        <v>1297</v>
      </c>
      <c r="E26" s="256" t="s">
        <v>1820</v>
      </c>
      <c r="F26" s="256" t="s">
        <v>1880</v>
      </c>
      <c r="G26" s="258">
        <v>4984000000</v>
      </c>
      <c r="H26" s="265">
        <v>0.1</v>
      </c>
      <c r="I26" s="258">
        <v>498400000</v>
      </c>
      <c r="J26" s="258">
        <v>5482400000</v>
      </c>
      <c r="K26" s="256" t="s">
        <v>1346</v>
      </c>
    </row>
    <row r="27" spans="1:11" x14ac:dyDescent="0.3">
      <c r="A27" s="256">
        <v>20</v>
      </c>
      <c r="B27" s="257" t="s">
        <v>1418</v>
      </c>
      <c r="C27" s="276">
        <v>44428</v>
      </c>
      <c r="D27" s="257" t="s">
        <v>1288</v>
      </c>
      <c r="E27" s="256" t="s">
        <v>1797</v>
      </c>
      <c r="F27" s="256" t="s">
        <v>1880</v>
      </c>
      <c r="G27" s="258">
        <v>8313000000</v>
      </c>
      <c r="H27" s="265">
        <v>0.1</v>
      </c>
      <c r="I27" s="258">
        <v>831300000</v>
      </c>
      <c r="J27" s="258">
        <v>9144300000</v>
      </c>
      <c r="K27" s="256" t="s">
        <v>1346</v>
      </c>
    </row>
    <row r="28" spans="1:11" x14ac:dyDescent="0.3">
      <c r="A28" s="256">
        <v>21</v>
      </c>
      <c r="B28" s="257" t="s">
        <v>1392</v>
      </c>
      <c r="C28" s="276">
        <v>44459</v>
      </c>
      <c r="D28" s="257" t="s">
        <v>1286</v>
      </c>
      <c r="E28" s="256" t="s">
        <v>1828</v>
      </c>
      <c r="F28" s="256" t="s">
        <v>1879</v>
      </c>
      <c r="G28" s="258">
        <v>8089000000</v>
      </c>
      <c r="H28" s="265">
        <v>0</v>
      </c>
      <c r="I28" s="258">
        <v>0</v>
      </c>
      <c r="J28" s="258">
        <v>8089000000</v>
      </c>
      <c r="K28" s="256" t="s">
        <v>1348</v>
      </c>
    </row>
    <row r="29" spans="1:11" x14ac:dyDescent="0.3">
      <c r="A29" s="256">
        <v>22</v>
      </c>
      <c r="B29" s="257" t="s">
        <v>1404</v>
      </c>
      <c r="C29" s="276">
        <v>44489</v>
      </c>
      <c r="D29" s="257" t="s">
        <v>1302</v>
      </c>
      <c r="E29" s="256" t="s">
        <v>1784</v>
      </c>
      <c r="F29" s="256" t="s">
        <v>1878</v>
      </c>
      <c r="G29" s="258">
        <v>4334000000</v>
      </c>
      <c r="H29" s="265">
        <v>0.1</v>
      </c>
      <c r="I29" s="258">
        <v>433400000</v>
      </c>
      <c r="J29" s="258">
        <v>4767400000</v>
      </c>
      <c r="K29" s="256" t="s">
        <v>1346</v>
      </c>
    </row>
    <row r="30" spans="1:11" x14ac:dyDescent="0.3">
      <c r="A30" s="256">
        <v>23</v>
      </c>
      <c r="B30" s="257" t="s">
        <v>1207</v>
      </c>
      <c r="C30" s="276">
        <v>44520</v>
      </c>
      <c r="D30" s="257" t="s">
        <v>1265</v>
      </c>
      <c r="E30" s="256" t="s">
        <v>1830</v>
      </c>
      <c r="F30" s="256" t="s">
        <v>1876</v>
      </c>
      <c r="G30" s="258">
        <v>4521000000</v>
      </c>
      <c r="H30" s="265">
        <v>0.1</v>
      </c>
      <c r="I30" s="258">
        <v>452100000</v>
      </c>
      <c r="J30" s="258">
        <v>4973100000</v>
      </c>
      <c r="K30" s="256" t="s">
        <v>1346</v>
      </c>
    </row>
    <row r="31" spans="1:11" x14ac:dyDescent="0.3">
      <c r="A31" s="256">
        <v>24</v>
      </c>
      <c r="B31" s="257" t="s">
        <v>1459</v>
      </c>
      <c r="C31" s="276">
        <v>44550</v>
      </c>
      <c r="D31" s="257" t="s">
        <v>1278</v>
      </c>
      <c r="E31" s="256" t="s">
        <v>1785</v>
      </c>
      <c r="F31" s="256" t="s">
        <v>1880</v>
      </c>
      <c r="G31" s="258">
        <v>5664000000</v>
      </c>
      <c r="H31" s="265">
        <v>0.1</v>
      </c>
      <c r="I31" s="258">
        <v>566400000</v>
      </c>
      <c r="J31" s="258">
        <v>6230400000</v>
      </c>
      <c r="K31" s="256" t="s">
        <v>1346</v>
      </c>
    </row>
    <row r="32" spans="1:11" x14ac:dyDescent="0.3">
      <c r="A32" s="256">
        <v>25</v>
      </c>
      <c r="B32" s="257" t="s">
        <v>1399</v>
      </c>
      <c r="C32" s="276">
        <v>44221</v>
      </c>
      <c r="D32" s="257" t="s">
        <v>1297</v>
      </c>
      <c r="E32" s="256" t="s">
        <v>1820</v>
      </c>
      <c r="F32" s="256" t="s">
        <v>1877</v>
      </c>
      <c r="G32" s="258">
        <v>6688000000</v>
      </c>
      <c r="H32" s="265">
        <v>0.1</v>
      </c>
      <c r="I32" s="258">
        <v>668800000</v>
      </c>
      <c r="J32" s="258">
        <v>7356800000</v>
      </c>
      <c r="K32" s="256" t="s">
        <v>1346</v>
      </c>
    </row>
    <row r="33" spans="1:11" x14ac:dyDescent="0.3">
      <c r="A33" s="256">
        <v>26</v>
      </c>
      <c r="B33" s="257" t="s">
        <v>1409</v>
      </c>
      <c r="C33" s="276">
        <v>44255</v>
      </c>
      <c r="D33" s="257" t="s">
        <v>1269</v>
      </c>
      <c r="E33" s="256" t="s">
        <v>1823</v>
      </c>
      <c r="F33" s="256" t="s">
        <v>1609</v>
      </c>
      <c r="G33" s="258">
        <v>9652000000</v>
      </c>
      <c r="H33" s="265">
        <v>0.1</v>
      </c>
      <c r="I33" s="258">
        <v>965200000</v>
      </c>
      <c r="J33" s="258">
        <v>10617200000</v>
      </c>
      <c r="K33" s="256" t="s">
        <v>1348</v>
      </c>
    </row>
    <row r="34" spans="1:11" x14ac:dyDescent="0.3">
      <c r="A34" s="256">
        <v>27</v>
      </c>
      <c r="B34" s="257" t="s">
        <v>1206</v>
      </c>
      <c r="C34" s="276">
        <v>44316</v>
      </c>
      <c r="D34" s="257" t="s">
        <v>1289</v>
      </c>
      <c r="E34" s="256" t="s">
        <v>1803</v>
      </c>
      <c r="F34" s="256" t="s">
        <v>1879</v>
      </c>
      <c r="G34" s="258">
        <v>7674000000</v>
      </c>
      <c r="H34" s="265">
        <v>0.1</v>
      </c>
      <c r="I34" s="258">
        <v>767400000</v>
      </c>
      <c r="J34" s="258">
        <v>8441400000</v>
      </c>
      <c r="K34" s="256" t="s">
        <v>1346</v>
      </c>
    </row>
    <row r="35" spans="1:11" x14ac:dyDescent="0.3">
      <c r="A35" s="256">
        <v>28</v>
      </c>
      <c r="B35" s="257" t="s">
        <v>1419</v>
      </c>
      <c r="C35" s="276">
        <v>44377</v>
      </c>
      <c r="D35" s="257" t="s">
        <v>1288</v>
      </c>
      <c r="E35" s="256" t="s">
        <v>1797</v>
      </c>
      <c r="F35" s="256" t="s">
        <v>1879</v>
      </c>
      <c r="G35" s="258">
        <v>2736000000</v>
      </c>
      <c r="H35" s="265">
        <v>0.1</v>
      </c>
      <c r="I35" s="258">
        <v>273600000</v>
      </c>
      <c r="J35" s="258">
        <v>3009600000</v>
      </c>
      <c r="K35" s="256" t="s">
        <v>1346</v>
      </c>
    </row>
    <row r="36" spans="1:11" x14ac:dyDescent="0.3">
      <c r="A36" s="256">
        <v>29</v>
      </c>
      <c r="B36" s="257" t="s">
        <v>1408</v>
      </c>
      <c r="C36" s="276">
        <v>44469</v>
      </c>
      <c r="D36" s="257" t="s">
        <v>1264</v>
      </c>
      <c r="E36" s="256" t="s">
        <v>1779</v>
      </c>
      <c r="F36" s="256" t="s">
        <v>1877</v>
      </c>
      <c r="G36" s="258">
        <v>4977000000</v>
      </c>
      <c r="H36" s="265">
        <v>0</v>
      </c>
      <c r="I36" s="258">
        <v>0</v>
      </c>
      <c r="J36" s="258">
        <v>4977000000</v>
      </c>
      <c r="K36" s="256" t="s">
        <v>1348</v>
      </c>
    </row>
    <row r="37" spans="1:11" x14ac:dyDescent="0.3">
      <c r="A37" s="256">
        <v>30</v>
      </c>
      <c r="B37" s="257" t="s">
        <v>1466</v>
      </c>
      <c r="C37" s="276">
        <v>44530</v>
      </c>
      <c r="D37" s="257" t="s">
        <v>1260</v>
      </c>
      <c r="E37" s="256" t="s">
        <v>1804</v>
      </c>
      <c r="F37" s="256" t="s">
        <v>1876</v>
      </c>
      <c r="G37" s="258">
        <v>8375000000</v>
      </c>
      <c r="H37" s="265">
        <v>0.1</v>
      </c>
      <c r="I37" s="258">
        <v>837500000</v>
      </c>
      <c r="J37" s="258">
        <v>9212500000</v>
      </c>
      <c r="K37" s="256" t="s">
        <v>1346</v>
      </c>
    </row>
    <row r="38" spans="1:11" x14ac:dyDescent="0.3">
      <c r="A38" s="256">
        <v>31</v>
      </c>
      <c r="B38" s="257" t="s">
        <v>1203</v>
      </c>
      <c r="C38" s="276">
        <v>44286</v>
      </c>
      <c r="D38" s="257" t="s">
        <v>1294</v>
      </c>
      <c r="E38" s="256" t="s">
        <v>1795</v>
      </c>
      <c r="F38" s="256" t="s">
        <v>1879</v>
      </c>
      <c r="G38" s="258">
        <v>3169000000</v>
      </c>
      <c r="H38" s="265">
        <v>0.1</v>
      </c>
      <c r="I38" s="258">
        <v>316900000</v>
      </c>
      <c r="J38" s="258">
        <v>3485900000</v>
      </c>
      <c r="K38" s="256" t="s">
        <v>1348</v>
      </c>
    </row>
    <row r="39" spans="1:11" x14ac:dyDescent="0.3">
      <c r="A39" s="256">
        <v>32</v>
      </c>
      <c r="B39" s="257" t="s">
        <v>1463</v>
      </c>
      <c r="C39" s="276">
        <v>44347</v>
      </c>
      <c r="D39" s="257" t="s">
        <v>1271</v>
      </c>
      <c r="E39" s="256" t="s">
        <v>1799</v>
      </c>
      <c r="F39" s="256" t="s">
        <v>1880</v>
      </c>
      <c r="G39" s="258">
        <v>9610000000</v>
      </c>
      <c r="H39" s="265">
        <v>0</v>
      </c>
      <c r="I39" s="258">
        <v>0</v>
      </c>
      <c r="J39" s="258">
        <v>9610000000</v>
      </c>
      <c r="K39" s="256" t="s">
        <v>1346</v>
      </c>
    </row>
    <row r="40" spans="1:11" x14ac:dyDescent="0.3">
      <c r="A40" s="256">
        <v>33</v>
      </c>
      <c r="B40" s="257" t="s">
        <v>1207</v>
      </c>
      <c r="C40" s="276">
        <v>44408</v>
      </c>
      <c r="D40" s="257" t="s">
        <v>1289</v>
      </c>
      <c r="E40" s="256" t="s">
        <v>1803</v>
      </c>
      <c r="F40" s="256" t="s">
        <v>1878</v>
      </c>
      <c r="G40" s="258">
        <v>9755000000</v>
      </c>
      <c r="H40" s="265">
        <v>0.1</v>
      </c>
      <c r="I40" s="258">
        <v>975500000</v>
      </c>
      <c r="J40" s="258">
        <v>10730500000</v>
      </c>
      <c r="K40" s="256" t="s">
        <v>1346</v>
      </c>
    </row>
    <row r="41" spans="1:11" x14ac:dyDescent="0.3">
      <c r="A41" s="256">
        <v>34</v>
      </c>
      <c r="B41" s="257" t="s">
        <v>1394</v>
      </c>
      <c r="C41" s="276">
        <v>44439</v>
      </c>
      <c r="D41" s="257" t="s">
        <v>1295</v>
      </c>
      <c r="E41" s="256" t="s">
        <v>1825</v>
      </c>
      <c r="F41" s="256" t="s">
        <v>1880</v>
      </c>
      <c r="G41" s="258">
        <v>4296000000</v>
      </c>
      <c r="H41" s="265">
        <v>0.1</v>
      </c>
      <c r="I41" s="258">
        <v>429600000</v>
      </c>
      <c r="J41" s="258">
        <v>4725600000</v>
      </c>
      <c r="K41" s="256" t="s">
        <v>1346</v>
      </c>
    </row>
    <row r="42" spans="1:11" x14ac:dyDescent="0.3">
      <c r="A42" s="256">
        <v>35</v>
      </c>
      <c r="B42" s="257" t="s">
        <v>1203</v>
      </c>
      <c r="C42" s="276">
        <v>44500</v>
      </c>
      <c r="D42" s="257" t="s">
        <v>1303</v>
      </c>
      <c r="E42" s="256" t="s">
        <v>1817</v>
      </c>
      <c r="F42" s="256" t="s">
        <v>1879</v>
      </c>
      <c r="G42" s="258">
        <v>9153000000</v>
      </c>
      <c r="H42" s="265">
        <v>0</v>
      </c>
      <c r="I42" s="258">
        <v>0</v>
      </c>
      <c r="J42" s="258">
        <v>9153000000</v>
      </c>
      <c r="K42" s="256" t="s">
        <v>1348</v>
      </c>
    </row>
    <row r="43" spans="1:11" x14ac:dyDescent="0.3">
      <c r="A43" s="256">
        <v>36</v>
      </c>
      <c r="B43" s="257" t="s">
        <v>1204</v>
      </c>
      <c r="C43" s="276">
        <v>44561</v>
      </c>
      <c r="D43" s="257" t="s">
        <v>1303</v>
      </c>
      <c r="E43" s="256" t="s">
        <v>1817</v>
      </c>
      <c r="F43" s="256" t="s">
        <v>1609</v>
      </c>
      <c r="G43" s="258">
        <v>8440000000</v>
      </c>
      <c r="H43" s="265">
        <v>0.1</v>
      </c>
      <c r="I43" s="258">
        <v>844000000</v>
      </c>
      <c r="J43" s="258">
        <v>9284000000</v>
      </c>
      <c r="K43" s="256" t="s">
        <v>1346</v>
      </c>
    </row>
    <row r="44" spans="1:11" x14ac:dyDescent="0.3">
      <c r="A44" s="256">
        <v>37</v>
      </c>
      <c r="B44" s="257" t="s">
        <v>1209</v>
      </c>
      <c r="C44" s="276">
        <v>44561</v>
      </c>
      <c r="D44" s="257" t="s">
        <v>1285</v>
      </c>
      <c r="E44" s="256" t="s">
        <v>1793</v>
      </c>
      <c r="F44" s="256" t="s">
        <v>1877</v>
      </c>
      <c r="G44" s="258">
        <v>2999000000</v>
      </c>
      <c r="H44" s="265">
        <v>0.1</v>
      </c>
      <c r="I44" s="258">
        <v>299900000</v>
      </c>
      <c r="J44" s="258">
        <v>3298900000</v>
      </c>
      <c r="K44" s="256" t="s">
        <v>1346</v>
      </c>
    </row>
    <row r="45" spans="1:11" x14ac:dyDescent="0.3">
      <c r="A45" s="256">
        <v>38</v>
      </c>
      <c r="B45" s="257" t="s">
        <v>1470</v>
      </c>
      <c r="C45" s="276">
        <v>44561</v>
      </c>
      <c r="D45" s="257" t="s">
        <v>1276</v>
      </c>
      <c r="E45" s="256" t="s">
        <v>1822</v>
      </c>
      <c r="F45" s="256" t="s">
        <v>1880</v>
      </c>
      <c r="G45" s="258">
        <v>6283000000</v>
      </c>
      <c r="H45" s="265">
        <v>0.1</v>
      </c>
      <c r="I45" s="258">
        <v>628300000</v>
      </c>
      <c r="J45" s="258">
        <v>6911300000</v>
      </c>
      <c r="K45" s="256" t="s">
        <v>1346</v>
      </c>
    </row>
    <row r="46" spans="1:11" x14ac:dyDescent="0.3">
      <c r="A46" s="256">
        <v>39</v>
      </c>
      <c r="B46" s="257" t="s">
        <v>1409</v>
      </c>
      <c r="C46" s="276">
        <v>44561</v>
      </c>
      <c r="D46" s="257" t="s">
        <v>1293</v>
      </c>
      <c r="E46" s="256" t="s">
        <v>1826</v>
      </c>
      <c r="F46" s="256" t="s">
        <v>1876</v>
      </c>
      <c r="G46" s="258">
        <v>7993000000</v>
      </c>
      <c r="H46" s="265">
        <v>0.1</v>
      </c>
      <c r="I46" s="258">
        <v>799300000</v>
      </c>
      <c r="J46" s="258">
        <v>8792300000</v>
      </c>
      <c r="K46" s="256" t="s">
        <v>1346</v>
      </c>
    </row>
    <row r="47" spans="1:11" x14ac:dyDescent="0.3">
      <c r="A47" s="256">
        <v>40</v>
      </c>
      <c r="B47" s="257" t="s">
        <v>1471</v>
      </c>
      <c r="C47" s="276">
        <v>44561</v>
      </c>
      <c r="D47" s="257" t="s">
        <v>1281</v>
      </c>
      <c r="E47" s="256" t="s">
        <v>1806</v>
      </c>
      <c r="F47" s="256" t="s">
        <v>1609</v>
      </c>
      <c r="G47" s="258">
        <v>7505000000</v>
      </c>
      <c r="H47" s="265">
        <v>0.1</v>
      </c>
      <c r="I47" s="258">
        <v>750500000</v>
      </c>
      <c r="J47" s="258">
        <v>8255500000</v>
      </c>
      <c r="K47" s="256" t="s">
        <v>1346</v>
      </c>
    </row>
    <row r="48" spans="1:11" x14ac:dyDescent="0.3">
      <c r="A48" s="256">
        <v>41</v>
      </c>
      <c r="B48" s="257" t="s">
        <v>1456</v>
      </c>
      <c r="C48" s="276">
        <v>44561</v>
      </c>
      <c r="D48" s="257" t="s">
        <v>1283</v>
      </c>
      <c r="E48" s="256" t="s">
        <v>1798</v>
      </c>
      <c r="F48" s="256" t="s">
        <v>1877</v>
      </c>
      <c r="G48" s="258">
        <v>6085000000</v>
      </c>
      <c r="H48" s="265">
        <v>0.1</v>
      </c>
      <c r="I48" s="258">
        <v>608500000</v>
      </c>
      <c r="J48" s="258">
        <v>6693500000</v>
      </c>
      <c r="K48" s="256" t="s">
        <v>1346</v>
      </c>
    </row>
    <row r="49" spans="1:11" x14ac:dyDescent="0.3">
      <c r="A49" s="256">
        <v>42</v>
      </c>
      <c r="B49" s="257" t="s">
        <v>1204</v>
      </c>
      <c r="C49" s="276">
        <v>44561</v>
      </c>
      <c r="D49" s="257" t="s">
        <v>1294</v>
      </c>
      <c r="E49" s="256" t="s">
        <v>1795</v>
      </c>
      <c r="F49" s="256" t="s">
        <v>1878</v>
      </c>
      <c r="G49" s="258">
        <v>10059000000</v>
      </c>
      <c r="H49" s="265">
        <v>0</v>
      </c>
      <c r="I49" s="258">
        <v>0</v>
      </c>
      <c r="J49" s="258">
        <v>10059000000</v>
      </c>
      <c r="K49" s="256" t="s">
        <v>1346</v>
      </c>
    </row>
    <row r="50" spans="1:11" x14ac:dyDescent="0.3">
      <c r="A50" s="256">
        <v>43</v>
      </c>
      <c r="B50" s="257" t="s">
        <v>1418</v>
      </c>
      <c r="C50" s="276">
        <v>44561</v>
      </c>
      <c r="D50" s="257" t="s">
        <v>1285</v>
      </c>
      <c r="E50" s="256" t="s">
        <v>1793</v>
      </c>
      <c r="F50" s="256" t="s">
        <v>1880</v>
      </c>
      <c r="G50" s="258">
        <v>5048000000</v>
      </c>
      <c r="H50" s="265">
        <v>0.1</v>
      </c>
      <c r="I50" s="258">
        <v>504800000</v>
      </c>
      <c r="J50" s="258">
        <v>5552800000</v>
      </c>
      <c r="K50" s="256" t="s">
        <v>1348</v>
      </c>
    </row>
    <row r="51" spans="1:11" x14ac:dyDescent="0.3">
      <c r="A51" s="256">
        <v>44</v>
      </c>
      <c r="B51" s="257" t="s">
        <v>1399</v>
      </c>
      <c r="C51" s="276">
        <v>44561</v>
      </c>
      <c r="D51" s="257" t="s">
        <v>1301</v>
      </c>
      <c r="E51" s="256" t="s">
        <v>1781</v>
      </c>
      <c r="F51" s="256" t="s">
        <v>1878</v>
      </c>
      <c r="G51" s="258">
        <v>4281000000</v>
      </c>
      <c r="H51" s="265">
        <v>0.1</v>
      </c>
      <c r="I51" s="258">
        <v>428100000</v>
      </c>
      <c r="J51" s="258">
        <v>4709100000</v>
      </c>
      <c r="K51" s="256" t="s">
        <v>1346</v>
      </c>
    </row>
    <row r="52" spans="1:11" x14ac:dyDescent="0.3">
      <c r="A52" s="256">
        <v>45</v>
      </c>
      <c r="B52" s="257" t="s">
        <v>1471</v>
      </c>
      <c r="C52" s="276">
        <v>44561</v>
      </c>
      <c r="D52" s="257" t="s">
        <v>1274</v>
      </c>
      <c r="E52" s="256" t="s">
        <v>1794</v>
      </c>
      <c r="F52" s="256" t="s">
        <v>1876</v>
      </c>
      <c r="G52" s="258">
        <v>6921000000</v>
      </c>
      <c r="H52" s="265">
        <v>0.1</v>
      </c>
      <c r="I52" s="258">
        <v>692100000</v>
      </c>
      <c r="J52" s="258">
        <v>7613100000</v>
      </c>
      <c r="K52" s="256" t="s">
        <v>1346</v>
      </c>
    </row>
    <row r="53" spans="1:11" x14ac:dyDescent="0.3">
      <c r="A53" s="256">
        <v>46</v>
      </c>
      <c r="B53" s="257" t="s">
        <v>1457</v>
      </c>
      <c r="C53" s="276">
        <v>44561</v>
      </c>
      <c r="D53" s="257" t="s">
        <v>1283</v>
      </c>
      <c r="E53" s="256" t="s">
        <v>1798</v>
      </c>
      <c r="F53" s="256" t="s">
        <v>1880</v>
      </c>
      <c r="G53" s="258">
        <v>8292000000</v>
      </c>
      <c r="H53" s="265">
        <v>0.1</v>
      </c>
      <c r="I53" s="258">
        <v>829200000</v>
      </c>
      <c r="J53" s="258">
        <v>9121200000</v>
      </c>
      <c r="K53" s="256" t="s">
        <v>1346</v>
      </c>
    </row>
    <row r="54" spans="1:11" x14ac:dyDescent="0.3">
      <c r="A54" s="256">
        <v>47</v>
      </c>
      <c r="B54" s="257" t="s">
        <v>1471</v>
      </c>
      <c r="C54" s="276">
        <v>44561</v>
      </c>
      <c r="D54" s="257" t="s">
        <v>1276</v>
      </c>
      <c r="E54" s="256" t="s">
        <v>1822</v>
      </c>
      <c r="F54" s="256" t="s">
        <v>1879</v>
      </c>
      <c r="G54" s="258">
        <v>5082000000</v>
      </c>
      <c r="H54" s="265">
        <v>0.1</v>
      </c>
      <c r="I54" s="258">
        <v>508200000</v>
      </c>
      <c r="J54" s="258">
        <v>5590200000</v>
      </c>
      <c r="K54" s="256" t="s">
        <v>1346</v>
      </c>
    </row>
    <row r="55" spans="1:11" x14ac:dyDescent="0.3">
      <c r="A55" s="256">
        <v>48</v>
      </c>
      <c r="B55" s="257" t="s">
        <v>1411</v>
      </c>
      <c r="C55" s="276">
        <v>44561</v>
      </c>
      <c r="D55" s="257" t="s">
        <v>1255</v>
      </c>
      <c r="E55" s="273">
        <v>46152</v>
      </c>
      <c r="F55" s="256" t="s">
        <v>1609</v>
      </c>
      <c r="G55" s="258">
        <v>3941000000</v>
      </c>
      <c r="H55" s="265">
        <v>0.1</v>
      </c>
      <c r="I55" s="258">
        <v>394100000</v>
      </c>
      <c r="J55" s="258">
        <v>4335100000</v>
      </c>
      <c r="K55" s="256" t="s">
        <v>1346</v>
      </c>
    </row>
    <row r="56" spans="1:11" x14ac:dyDescent="0.3">
      <c r="A56" s="256">
        <v>49</v>
      </c>
      <c r="B56" s="257" t="s">
        <v>1419</v>
      </c>
      <c r="C56" s="276">
        <v>44561</v>
      </c>
      <c r="D56" s="257" t="s">
        <v>1257</v>
      </c>
      <c r="E56" s="256" t="s">
        <v>1815</v>
      </c>
      <c r="F56" s="256" t="s">
        <v>1878</v>
      </c>
      <c r="G56" s="258">
        <v>5599000000</v>
      </c>
      <c r="H56" s="265">
        <v>0.1</v>
      </c>
      <c r="I56" s="258">
        <v>559900000</v>
      </c>
      <c r="J56" s="258">
        <v>6158900000</v>
      </c>
      <c r="K56" s="256" t="s">
        <v>1346</v>
      </c>
    </row>
    <row r="57" spans="1:11" x14ac:dyDescent="0.3">
      <c r="A57" s="256">
        <v>50</v>
      </c>
      <c r="B57" s="257" t="s">
        <v>1401</v>
      </c>
      <c r="C57" s="276">
        <v>44561</v>
      </c>
      <c r="D57" s="257" t="s">
        <v>1301</v>
      </c>
      <c r="E57" s="256" t="s">
        <v>1781</v>
      </c>
      <c r="F57" s="256" t="s">
        <v>1878</v>
      </c>
      <c r="G57" s="258">
        <v>5738000000</v>
      </c>
      <c r="H57" s="265">
        <v>0.1</v>
      </c>
      <c r="I57" s="258">
        <v>573800000</v>
      </c>
      <c r="J57" s="258">
        <v>6311800000</v>
      </c>
      <c r="K57" s="256" t="s">
        <v>1346</v>
      </c>
    </row>
    <row r="58" spans="1:11" x14ac:dyDescent="0.3">
      <c r="A58" s="266" t="s">
        <v>1351</v>
      </c>
      <c r="B58" s="266"/>
      <c r="C58" s="266"/>
      <c r="D58" s="266"/>
      <c r="E58" s="266"/>
      <c r="F58" s="266"/>
      <c r="G58" s="267">
        <f>SUM(G8:G57)</f>
        <v>304336000000</v>
      </c>
      <c r="H58" s="266"/>
      <c r="I58" s="267">
        <f>SUM(I8:I57)</f>
        <v>24672700000</v>
      </c>
      <c r="J58" s="267">
        <f>SUM(J8:J57)</f>
        <v>329008700000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1286</v>
      </c>
      <c r="E62" s="256" t="s">
        <v>1828</v>
      </c>
      <c r="F62" s="256" t="s">
        <v>1881</v>
      </c>
      <c r="G62" s="258">
        <v>10473000000</v>
      </c>
      <c r="H62" s="265">
        <v>0.1</v>
      </c>
      <c r="I62" s="258">
        <v>1047300000</v>
      </c>
      <c r="J62" s="258">
        <v>11520300000</v>
      </c>
      <c r="K62" s="256" t="s">
        <v>1348</v>
      </c>
    </row>
    <row r="63" spans="1:11" x14ac:dyDescent="0.3">
      <c r="A63" s="256">
        <v>2</v>
      </c>
      <c r="B63" s="257" t="s">
        <v>1201</v>
      </c>
      <c r="C63" s="276">
        <v>44318</v>
      </c>
      <c r="D63" s="257" t="s">
        <v>1273</v>
      </c>
      <c r="E63" s="256" t="s">
        <v>1829</v>
      </c>
      <c r="F63" s="256" t="s">
        <v>1881</v>
      </c>
      <c r="G63" s="258">
        <v>9820000000</v>
      </c>
      <c r="H63" s="265">
        <v>0</v>
      </c>
      <c r="I63" s="258">
        <v>0</v>
      </c>
      <c r="J63" s="258">
        <v>9820000000</v>
      </c>
      <c r="K63" s="256" t="s">
        <v>1346</v>
      </c>
    </row>
    <row r="64" spans="1:11" x14ac:dyDescent="0.3">
      <c r="A64" s="256">
        <v>3</v>
      </c>
      <c r="B64" s="257" t="s">
        <v>1202</v>
      </c>
      <c r="C64" s="276">
        <v>44472</v>
      </c>
      <c r="D64" s="257" t="s">
        <v>1275</v>
      </c>
      <c r="E64" s="256" t="s">
        <v>1808</v>
      </c>
      <c r="F64" s="256" t="s">
        <v>1882</v>
      </c>
      <c r="G64" s="258">
        <v>10019000000</v>
      </c>
      <c r="H64" s="265">
        <v>0.1</v>
      </c>
      <c r="I64" s="258">
        <v>1001900000</v>
      </c>
      <c r="J64" s="258">
        <v>11020900000</v>
      </c>
      <c r="K64" s="256" t="s">
        <v>1348</v>
      </c>
    </row>
    <row r="65" spans="1:11" x14ac:dyDescent="0.3">
      <c r="A65" s="256">
        <v>4</v>
      </c>
      <c r="B65" s="257" t="s">
        <v>1355</v>
      </c>
      <c r="C65" s="276">
        <v>44473</v>
      </c>
      <c r="D65" s="257" t="s">
        <v>1262</v>
      </c>
      <c r="E65" s="256" t="s">
        <v>1816</v>
      </c>
      <c r="F65" s="256" t="s">
        <v>1882</v>
      </c>
      <c r="G65" s="258">
        <v>3676000000</v>
      </c>
      <c r="H65" s="265">
        <v>0.1</v>
      </c>
      <c r="I65" s="258">
        <v>367600000</v>
      </c>
      <c r="J65" s="258">
        <v>4043600000</v>
      </c>
      <c r="K65" s="256" t="s">
        <v>1346</v>
      </c>
    </row>
    <row r="66" spans="1:11" x14ac:dyDescent="0.3">
      <c r="A66" s="256">
        <v>5</v>
      </c>
      <c r="B66" s="257" t="s">
        <v>1356</v>
      </c>
      <c r="C66" s="276">
        <v>44474</v>
      </c>
      <c r="D66" s="257" t="s">
        <v>1274</v>
      </c>
      <c r="E66" s="256" t="s">
        <v>1794</v>
      </c>
      <c r="F66" s="256" t="s">
        <v>1881</v>
      </c>
      <c r="G66" s="258">
        <v>10571000000</v>
      </c>
      <c r="H66" s="265">
        <v>0.1</v>
      </c>
      <c r="I66" s="258">
        <v>1057100000</v>
      </c>
      <c r="J66" s="258">
        <v>11628100000</v>
      </c>
      <c r="K66" s="256" t="s">
        <v>1346</v>
      </c>
    </row>
    <row r="67" spans="1:11" x14ac:dyDescent="0.3">
      <c r="A67" s="256">
        <v>6</v>
      </c>
      <c r="B67" s="257" t="s">
        <v>1358</v>
      </c>
      <c r="C67" s="276">
        <v>44475</v>
      </c>
      <c r="D67" s="257" t="s">
        <v>1276</v>
      </c>
      <c r="E67" s="256" t="s">
        <v>1822</v>
      </c>
      <c r="F67" s="256" t="s">
        <v>1882</v>
      </c>
      <c r="G67" s="258">
        <v>13166000000</v>
      </c>
      <c r="H67" s="265">
        <v>0.1</v>
      </c>
      <c r="I67" s="258">
        <v>1316600000</v>
      </c>
      <c r="J67" s="258">
        <v>14482600000</v>
      </c>
      <c r="K67" s="256" t="s">
        <v>1346</v>
      </c>
    </row>
    <row r="68" spans="1:11" x14ac:dyDescent="0.3">
      <c r="A68" s="256">
        <v>7</v>
      </c>
      <c r="B68" s="257" t="s">
        <v>1360</v>
      </c>
      <c r="C68" s="276">
        <v>44476</v>
      </c>
      <c r="D68" s="257" t="s">
        <v>1255</v>
      </c>
      <c r="E68" s="273">
        <v>46152</v>
      </c>
      <c r="F68" s="256" t="s">
        <v>1883</v>
      </c>
      <c r="G68" s="258">
        <v>7953000000</v>
      </c>
      <c r="H68" s="265">
        <v>0</v>
      </c>
      <c r="I68" s="258">
        <v>0</v>
      </c>
      <c r="J68" s="258">
        <v>7953000000</v>
      </c>
      <c r="K68" s="256" t="s">
        <v>1346</v>
      </c>
    </row>
    <row r="69" spans="1:11" x14ac:dyDescent="0.3">
      <c r="A69" s="256">
        <v>8</v>
      </c>
      <c r="B69" s="257" t="s">
        <v>1362</v>
      </c>
      <c r="C69" s="276">
        <v>44477</v>
      </c>
      <c r="D69" s="257" t="s">
        <v>1272</v>
      </c>
      <c r="E69" s="256" t="s">
        <v>1805</v>
      </c>
      <c r="F69" s="256" t="s">
        <v>1882</v>
      </c>
      <c r="G69" s="258">
        <v>5285000000</v>
      </c>
      <c r="H69" s="265">
        <v>0.1</v>
      </c>
      <c r="I69" s="258">
        <v>528500000</v>
      </c>
      <c r="J69" s="258">
        <v>5813500000</v>
      </c>
      <c r="K69" s="256" t="s">
        <v>1348</v>
      </c>
    </row>
    <row r="70" spans="1:11" x14ac:dyDescent="0.3">
      <c r="A70" s="256">
        <v>9</v>
      </c>
      <c r="B70" s="257" t="s">
        <v>1364</v>
      </c>
      <c r="C70" s="276">
        <v>44478</v>
      </c>
      <c r="D70" s="257" t="s">
        <v>1284</v>
      </c>
      <c r="E70" s="256" t="s">
        <v>1786</v>
      </c>
      <c r="F70" s="256" t="s">
        <v>1882</v>
      </c>
      <c r="G70" s="258">
        <v>9524000000</v>
      </c>
      <c r="H70" s="265">
        <v>0.1</v>
      </c>
      <c r="I70" s="258">
        <v>952400000</v>
      </c>
      <c r="J70" s="258">
        <v>10476400000</v>
      </c>
      <c r="K70" s="256" t="s">
        <v>1346</v>
      </c>
    </row>
    <row r="71" spans="1:11" x14ac:dyDescent="0.3">
      <c r="A71" s="256">
        <v>10</v>
      </c>
      <c r="B71" s="257" t="s">
        <v>1366</v>
      </c>
      <c r="C71" s="276">
        <v>44479</v>
      </c>
      <c r="D71" s="257" t="s">
        <v>1284</v>
      </c>
      <c r="E71" s="256" t="s">
        <v>1786</v>
      </c>
      <c r="F71" s="256" t="s">
        <v>1881</v>
      </c>
      <c r="G71" s="258">
        <v>11007000000</v>
      </c>
      <c r="H71" s="265">
        <v>0.1</v>
      </c>
      <c r="I71" s="258">
        <v>1100700000</v>
      </c>
      <c r="J71" s="258">
        <v>12107700000</v>
      </c>
      <c r="K71" s="256" t="s">
        <v>1346</v>
      </c>
    </row>
    <row r="72" spans="1:11" x14ac:dyDescent="0.3">
      <c r="A72" s="256">
        <v>11</v>
      </c>
      <c r="B72" s="257" t="s">
        <v>1368</v>
      </c>
      <c r="C72" s="276">
        <v>44480</v>
      </c>
      <c r="D72" s="257" t="s">
        <v>1298</v>
      </c>
      <c r="E72" s="256" t="s">
        <v>1819</v>
      </c>
      <c r="F72" s="256" t="s">
        <v>1881</v>
      </c>
      <c r="G72" s="258">
        <v>3623000000</v>
      </c>
      <c r="H72" s="265">
        <v>0.1</v>
      </c>
      <c r="I72" s="258">
        <v>362300000</v>
      </c>
      <c r="J72" s="258">
        <v>3985300000</v>
      </c>
      <c r="K72" s="256" t="s">
        <v>1346</v>
      </c>
    </row>
    <row r="73" spans="1:11" x14ac:dyDescent="0.3">
      <c r="A73" s="256">
        <v>12</v>
      </c>
      <c r="B73" s="257" t="s">
        <v>1371</v>
      </c>
      <c r="C73" s="276">
        <v>44481</v>
      </c>
      <c r="D73" s="257" t="s">
        <v>1303</v>
      </c>
      <c r="E73" s="256" t="s">
        <v>1817</v>
      </c>
      <c r="F73" s="256" t="s">
        <v>1884</v>
      </c>
      <c r="G73" s="258">
        <v>12033000000</v>
      </c>
      <c r="H73" s="265">
        <v>0.1</v>
      </c>
      <c r="I73" s="258">
        <v>1203300000</v>
      </c>
      <c r="J73" s="258">
        <v>13236300000</v>
      </c>
      <c r="K73" s="256" t="s">
        <v>1346</v>
      </c>
    </row>
    <row r="74" spans="1:11" x14ac:dyDescent="0.3">
      <c r="A74" s="256">
        <v>13</v>
      </c>
      <c r="B74" s="257" t="s">
        <v>1373</v>
      </c>
      <c r="C74" s="276">
        <v>44211</v>
      </c>
      <c r="D74" s="257" t="s">
        <v>1299</v>
      </c>
      <c r="E74" s="256" t="s">
        <v>1776</v>
      </c>
      <c r="F74" s="256" t="s">
        <v>1883</v>
      </c>
      <c r="G74" s="258">
        <v>12561000000</v>
      </c>
      <c r="H74" s="265">
        <v>0.1</v>
      </c>
      <c r="I74" s="258">
        <v>1256100000</v>
      </c>
      <c r="J74" s="258">
        <v>13817100000</v>
      </c>
      <c r="K74" s="256" t="s">
        <v>1346</v>
      </c>
    </row>
    <row r="75" spans="1:11" x14ac:dyDescent="0.3">
      <c r="A75" s="256">
        <v>14</v>
      </c>
      <c r="B75" s="257" t="s">
        <v>1374</v>
      </c>
      <c r="C75" s="276">
        <v>44242</v>
      </c>
      <c r="D75" s="257" t="s">
        <v>1271</v>
      </c>
      <c r="E75" s="256" t="s">
        <v>1799</v>
      </c>
      <c r="F75" s="256" t="s">
        <v>1883</v>
      </c>
      <c r="G75" s="258">
        <v>4736000000</v>
      </c>
      <c r="H75" s="265">
        <v>0.1</v>
      </c>
      <c r="I75" s="258">
        <v>473600000</v>
      </c>
      <c r="J75" s="258">
        <v>5209600000</v>
      </c>
      <c r="K75" s="256" t="s">
        <v>1346</v>
      </c>
    </row>
    <row r="76" spans="1:11" x14ac:dyDescent="0.3">
      <c r="A76" s="256">
        <v>15</v>
      </c>
      <c r="B76" s="257" t="s">
        <v>1376</v>
      </c>
      <c r="C76" s="276">
        <v>44275</v>
      </c>
      <c r="D76" s="257" t="s">
        <v>1268</v>
      </c>
      <c r="E76" s="256" t="s">
        <v>1821</v>
      </c>
      <c r="F76" s="256" t="s">
        <v>1881</v>
      </c>
      <c r="G76" s="258">
        <v>12579000000</v>
      </c>
      <c r="H76" s="265">
        <v>0.1</v>
      </c>
      <c r="I76" s="258">
        <v>1257900000</v>
      </c>
      <c r="J76" s="258">
        <v>13836900000</v>
      </c>
      <c r="K76" s="256" t="s">
        <v>1346</v>
      </c>
    </row>
    <row r="77" spans="1:11" x14ac:dyDescent="0.3">
      <c r="A77" s="256">
        <v>16</v>
      </c>
      <c r="B77" s="257" t="s">
        <v>1378</v>
      </c>
      <c r="C77" s="276">
        <v>44306</v>
      </c>
      <c r="D77" s="257" t="s">
        <v>1289</v>
      </c>
      <c r="E77" s="256" t="s">
        <v>1803</v>
      </c>
      <c r="F77" s="256" t="s">
        <v>1884</v>
      </c>
      <c r="G77" s="258">
        <v>12829000000</v>
      </c>
      <c r="H77" s="265">
        <v>0.1</v>
      </c>
      <c r="I77" s="258">
        <v>1282900000</v>
      </c>
      <c r="J77" s="258">
        <v>14111900000</v>
      </c>
      <c r="K77" s="256" t="s">
        <v>1346</v>
      </c>
    </row>
    <row r="78" spans="1:11" x14ac:dyDescent="0.3">
      <c r="A78" s="256">
        <v>17</v>
      </c>
      <c r="B78" s="257" t="s">
        <v>1379</v>
      </c>
      <c r="C78" s="276">
        <v>44336</v>
      </c>
      <c r="D78" s="257" t="s">
        <v>1264</v>
      </c>
      <c r="E78" s="256" t="s">
        <v>1779</v>
      </c>
      <c r="F78" s="256" t="s">
        <v>1881</v>
      </c>
      <c r="G78" s="258">
        <v>7608000000</v>
      </c>
      <c r="H78" s="265">
        <v>0.1</v>
      </c>
      <c r="I78" s="258">
        <v>760800000</v>
      </c>
      <c r="J78" s="258">
        <v>8368800000</v>
      </c>
      <c r="K78" s="256" t="s">
        <v>1346</v>
      </c>
    </row>
    <row r="79" spans="1:11" x14ac:dyDescent="0.3">
      <c r="A79" s="256">
        <v>18</v>
      </c>
      <c r="B79" s="257" t="s">
        <v>1381</v>
      </c>
      <c r="C79" s="276">
        <v>44367</v>
      </c>
      <c r="D79" s="257" t="s">
        <v>1297</v>
      </c>
      <c r="E79" s="256" t="s">
        <v>1820</v>
      </c>
      <c r="F79" s="256" t="s">
        <v>1882</v>
      </c>
      <c r="G79" s="258">
        <v>13150000000</v>
      </c>
      <c r="H79" s="265">
        <v>0.1</v>
      </c>
      <c r="I79" s="258">
        <v>1315000000</v>
      </c>
      <c r="J79" s="258">
        <v>14465000000</v>
      </c>
      <c r="K79" s="256" t="s">
        <v>1346</v>
      </c>
    </row>
    <row r="80" spans="1:11" x14ac:dyDescent="0.3">
      <c r="A80" s="256">
        <v>19</v>
      </c>
      <c r="B80" s="257" t="s">
        <v>1382</v>
      </c>
      <c r="C80" s="276">
        <v>44397</v>
      </c>
      <c r="D80" s="257" t="s">
        <v>1297</v>
      </c>
      <c r="E80" s="256" t="s">
        <v>1820</v>
      </c>
      <c r="F80" s="256" t="s">
        <v>1882</v>
      </c>
      <c r="G80" s="258">
        <v>5700000000</v>
      </c>
      <c r="H80" s="265">
        <v>0.1</v>
      </c>
      <c r="I80" s="258">
        <v>570000000</v>
      </c>
      <c r="J80" s="258">
        <v>6270000000</v>
      </c>
      <c r="K80" s="256" t="s">
        <v>1346</v>
      </c>
    </row>
    <row r="81" spans="1:11" x14ac:dyDescent="0.3">
      <c r="A81" s="256">
        <v>20</v>
      </c>
      <c r="B81" s="257" t="s">
        <v>1383</v>
      </c>
      <c r="C81" s="276">
        <v>44428</v>
      </c>
      <c r="D81" s="257" t="s">
        <v>1270</v>
      </c>
      <c r="E81" s="256" t="s">
        <v>1782</v>
      </c>
      <c r="F81" s="256" t="s">
        <v>1882</v>
      </c>
      <c r="G81" s="258">
        <v>7199000000</v>
      </c>
      <c r="H81" s="265">
        <v>0.1</v>
      </c>
      <c r="I81" s="258">
        <v>719900000</v>
      </c>
      <c r="J81" s="258">
        <v>7918900000</v>
      </c>
      <c r="K81" s="256" t="s">
        <v>1346</v>
      </c>
    </row>
    <row r="82" spans="1:11" x14ac:dyDescent="0.3">
      <c r="A82" s="256">
        <v>21</v>
      </c>
      <c r="B82" s="257" t="s">
        <v>1203</v>
      </c>
      <c r="C82" s="276">
        <v>44459</v>
      </c>
      <c r="D82" s="257" t="s">
        <v>1267</v>
      </c>
      <c r="E82" s="256" t="s">
        <v>1810</v>
      </c>
      <c r="F82" s="256" t="s">
        <v>1883</v>
      </c>
      <c r="G82" s="258">
        <v>8469000000</v>
      </c>
      <c r="H82" s="265">
        <v>0.1</v>
      </c>
      <c r="I82" s="258">
        <v>846900000</v>
      </c>
      <c r="J82" s="258">
        <v>9315900000</v>
      </c>
      <c r="K82" s="256" t="s">
        <v>1346</v>
      </c>
    </row>
    <row r="83" spans="1:11" x14ac:dyDescent="0.3">
      <c r="A83" s="256">
        <v>22</v>
      </c>
      <c r="B83" s="257" t="s">
        <v>1204</v>
      </c>
      <c r="C83" s="276">
        <v>44489</v>
      </c>
      <c r="D83" s="257" t="s">
        <v>1267</v>
      </c>
      <c r="E83" s="256" t="s">
        <v>1810</v>
      </c>
      <c r="F83" s="256" t="s">
        <v>1882</v>
      </c>
      <c r="G83" s="258">
        <v>5180000000</v>
      </c>
      <c r="H83" s="265">
        <v>0.1</v>
      </c>
      <c r="I83" s="258">
        <v>518000000</v>
      </c>
      <c r="J83" s="258">
        <v>5698000000</v>
      </c>
      <c r="K83" s="256" t="s">
        <v>1346</v>
      </c>
    </row>
    <row r="84" spans="1:11" x14ac:dyDescent="0.3">
      <c r="A84" s="256">
        <v>23</v>
      </c>
      <c r="B84" s="257" t="s">
        <v>1205</v>
      </c>
      <c r="C84" s="276">
        <v>44520</v>
      </c>
      <c r="D84" s="257" t="s">
        <v>1297</v>
      </c>
      <c r="E84" s="256" t="s">
        <v>1820</v>
      </c>
      <c r="F84" s="256" t="s">
        <v>1882</v>
      </c>
      <c r="G84" s="258">
        <v>10492000000</v>
      </c>
      <c r="H84" s="265">
        <v>0.1</v>
      </c>
      <c r="I84" s="258">
        <v>1049200000</v>
      </c>
      <c r="J84" s="258">
        <v>11541200000</v>
      </c>
      <c r="K84" s="256" t="s">
        <v>1346</v>
      </c>
    </row>
    <row r="85" spans="1:11" x14ac:dyDescent="0.3">
      <c r="A85" s="256">
        <v>24</v>
      </c>
      <c r="B85" s="257" t="s">
        <v>1385</v>
      </c>
      <c r="C85" s="276">
        <v>44550</v>
      </c>
      <c r="D85" s="257" t="s">
        <v>1275</v>
      </c>
      <c r="E85" s="256" t="s">
        <v>1808</v>
      </c>
      <c r="F85" s="256" t="s">
        <v>1881</v>
      </c>
      <c r="G85" s="258">
        <v>12423000000</v>
      </c>
      <c r="H85" s="265">
        <v>0</v>
      </c>
      <c r="I85" s="258">
        <v>0</v>
      </c>
      <c r="J85" s="258">
        <v>12423000000</v>
      </c>
      <c r="K85" s="256" t="s">
        <v>1346</v>
      </c>
    </row>
    <row r="86" spans="1:11" x14ac:dyDescent="0.3">
      <c r="A86" s="256">
        <v>25</v>
      </c>
      <c r="B86" s="257" t="s">
        <v>1387</v>
      </c>
      <c r="C86" s="276">
        <v>44221</v>
      </c>
      <c r="D86" s="257" t="s">
        <v>1293</v>
      </c>
      <c r="E86" s="256" t="s">
        <v>1826</v>
      </c>
      <c r="F86" s="256" t="s">
        <v>1884</v>
      </c>
      <c r="G86" s="258">
        <v>11218000000</v>
      </c>
      <c r="H86" s="265">
        <v>0.1</v>
      </c>
      <c r="I86" s="258">
        <v>1121800000</v>
      </c>
      <c r="J86" s="258">
        <v>12339800000</v>
      </c>
      <c r="K86" s="256" t="s">
        <v>1346</v>
      </c>
    </row>
    <row r="87" spans="1:11" x14ac:dyDescent="0.3">
      <c r="A87" s="256">
        <v>26</v>
      </c>
      <c r="B87" s="257" t="s">
        <v>1388</v>
      </c>
      <c r="C87" s="276">
        <v>44255</v>
      </c>
      <c r="D87" s="257" t="s">
        <v>1265</v>
      </c>
      <c r="E87" s="256" t="s">
        <v>1830</v>
      </c>
      <c r="F87" s="256" t="s">
        <v>1882</v>
      </c>
      <c r="G87" s="258">
        <v>11879000000</v>
      </c>
      <c r="H87" s="265">
        <v>0.1</v>
      </c>
      <c r="I87" s="258">
        <v>1187900000</v>
      </c>
      <c r="J87" s="258">
        <v>13066900000</v>
      </c>
      <c r="K87" s="256" t="s">
        <v>1346</v>
      </c>
    </row>
    <row r="88" spans="1:11" x14ac:dyDescent="0.3">
      <c r="A88" s="256">
        <v>27</v>
      </c>
      <c r="B88" s="257" t="s">
        <v>1391</v>
      </c>
      <c r="C88" s="276">
        <v>44316</v>
      </c>
      <c r="D88" s="257" t="s">
        <v>1297</v>
      </c>
      <c r="E88" s="256" t="s">
        <v>1820</v>
      </c>
      <c r="F88" s="256" t="s">
        <v>1883</v>
      </c>
      <c r="G88" s="258">
        <v>6465000000</v>
      </c>
      <c r="H88" s="265">
        <v>0.1</v>
      </c>
      <c r="I88" s="258">
        <v>646500000</v>
      </c>
      <c r="J88" s="258">
        <v>7111500000</v>
      </c>
      <c r="K88" s="256" t="s">
        <v>1346</v>
      </c>
    </row>
    <row r="89" spans="1:11" x14ac:dyDescent="0.3">
      <c r="A89" s="256">
        <v>28</v>
      </c>
      <c r="B89" s="257" t="s">
        <v>1392</v>
      </c>
      <c r="C89" s="276">
        <v>44377</v>
      </c>
      <c r="D89" s="257" t="s">
        <v>1274</v>
      </c>
      <c r="E89" s="256" t="s">
        <v>1794</v>
      </c>
      <c r="F89" s="256" t="s">
        <v>1882</v>
      </c>
      <c r="G89" s="258">
        <v>3803000000</v>
      </c>
      <c r="H89" s="265">
        <v>0.1</v>
      </c>
      <c r="I89" s="258">
        <v>380300000</v>
      </c>
      <c r="J89" s="258">
        <v>4183300000</v>
      </c>
      <c r="K89" s="256" t="s">
        <v>1348</v>
      </c>
    </row>
    <row r="90" spans="1:11" x14ac:dyDescent="0.3">
      <c r="A90" s="256">
        <v>29</v>
      </c>
      <c r="B90" s="257" t="s">
        <v>1394</v>
      </c>
      <c r="C90" s="276">
        <v>44469</v>
      </c>
      <c r="D90" s="257" t="s">
        <v>1257</v>
      </c>
      <c r="E90" s="256" t="s">
        <v>1815</v>
      </c>
      <c r="F90" s="256" t="s">
        <v>1882</v>
      </c>
      <c r="G90" s="258">
        <v>4318000000</v>
      </c>
      <c r="H90" s="265">
        <v>0.1</v>
      </c>
      <c r="I90" s="258">
        <v>431800000</v>
      </c>
      <c r="J90" s="258">
        <v>4749800000</v>
      </c>
      <c r="K90" s="256" t="s">
        <v>1346</v>
      </c>
    </row>
    <row r="91" spans="1:11" x14ac:dyDescent="0.3">
      <c r="A91" s="256">
        <v>30</v>
      </c>
      <c r="B91" s="257" t="s">
        <v>1396</v>
      </c>
      <c r="C91" s="276">
        <v>44530</v>
      </c>
      <c r="D91" s="257" t="s">
        <v>1296</v>
      </c>
      <c r="E91" s="256" t="s">
        <v>1807</v>
      </c>
      <c r="F91" s="256" t="s">
        <v>1883</v>
      </c>
      <c r="G91" s="258">
        <v>9536000000</v>
      </c>
      <c r="H91" s="265">
        <v>0.1</v>
      </c>
      <c r="I91" s="258">
        <v>953600000</v>
      </c>
      <c r="J91" s="258">
        <v>10489600000</v>
      </c>
      <c r="K91" s="256" t="s">
        <v>1346</v>
      </c>
    </row>
    <row r="92" spans="1:11" x14ac:dyDescent="0.3">
      <c r="A92" s="256">
        <v>31</v>
      </c>
      <c r="B92" s="257" t="s">
        <v>1397</v>
      </c>
      <c r="C92" s="276">
        <v>44286</v>
      </c>
      <c r="D92" s="257" t="s">
        <v>1257</v>
      </c>
      <c r="E92" s="256" t="s">
        <v>1815</v>
      </c>
      <c r="F92" s="256" t="s">
        <v>1883</v>
      </c>
      <c r="G92" s="258">
        <v>5851000000</v>
      </c>
      <c r="H92" s="265">
        <v>0.1</v>
      </c>
      <c r="I92" s="258">
        <v>585100000</v>
      </c>
      <c r="J92" s="258">
        <v>6436100000</v>
      </c>
      <c r="K92" s="256" t="s">
        <v>1346</v>
      </c>
    </row>
    <row r="93" spans="1:11" x14ac:dyDescent="0.3">
      <c r="A93" s="256">
        <v>32</v>
      </c>
      <c r="B93" s="257" t="s">
        <v>1398</v>
      </c>
      <c r="C93" s="276">
        <v>44347</v>
      </c>
      <c r="D93" s="257" t="s">
        <v>1286</v>
      </c>
      <c r="E93" s="256" t="s">
        <v>1828</v>
      </c>
      <c r="F93" s="256" t="s">
        <v>1883</v>
      </c>
      <c r="G93" s="258">
        <v>4561000000</v>
      </c>
      <c r="H93" s="265">
        <v>0</v>
      </c>
      <c r="I93" s="258">
        <v>0</v>
      </c>
      <c r="J93" s="258">
        <v>4561000000</v>
      </c>
      <c r="K93" s="256" t="s">
        <v>1346</v>
      </c>
    </row>
    <row r="94" spans="1:11" x14ac:dyDescent="0.3">
      <c r="A94" s="256">
        <v>33</v>
      </c>
      <c r="B94" s="257" t="s">
        <v>1399</v>
      </c>
      <c r="C94" s="276">
        <v>44408</v>
      </c>
      <c r="D94" s="257" t="s">
        <v>1301</v>
      </c>
      <c r="E94" s="256" t="s">
        <v>1781</v>
      </c>
      <c r="F94" s="256" t="s">
        <v>1883</v>
      </c>
      <c r="G94" s="258">
        <v>4064000000</v>
      </c>
      <c r="H94" s="265">
        <v>0.1</v>
      </c>
      <c r="I94" s="258">
        <v>406400000</v>
      </c>
      <c r="J94" s="258">
        <v>4470400000</v>
      </c>
      <c r="K94" s="256" t="s">
        <v>1348</v>
      </c>
    </row>
    <row r="95" spans="1:11" x14ac:dyDescent="0.3">
      <c r="A95" s="256">
        <v>34</v>
      </c>
      <c r="B95" s="257" t="s">
        <v>1401</v>
      </c>
      <c r="C95" s="276">
        <v>44439</v>
      </c>
      <c r="D95" s="257" t="s">
        <v>1261</v>
      </c>
      <c r="E95" s="256" t="s">
        <v>1813</v>
      </c>
      <c r="F95" s="256" t="s">
        <v>1883</v>
      </c>
      <c r="G95" s="258">
        <v>11780000000</v>
      </c>
      <c r="H95" s="265">
        <v>0.1</v>
      </c>
      <c r="I95" s="258">
        <v>1178000000</v>
      </c>
      <c r="J95" s="258">
        <v>12958000000</v>
      </c>
      <c r="K95" s="256" t="s">
        <v>1346</v>
      </c>
    </row>
    <row r="96" spans="1:11" x14ac:dyDescent="0.3">
      <c r="A96" s="256">
        <v>35</v>
      </c>
      <c r="B96" s="257" t="s">
        <v>1402</v>
      </c>
      <c r="C96" s="276">
        <v>44500</v>
      </c>
      <c r="D96" s="257" t="s">
        <v>1268</v>
      </c>
      <c r="E96" s="256" t="s">
        <v>1821</v>
      </c>
      <c r="F96" s="256" t="s">
        <v>1884</v>
      </c>
      <c r="G96" s="258">
        <v>11174000000</v>
      </c>
      <c r="H96" s="265">
        <v>0.1</v>
      </c>
      <c r="I96" s="258">
        <v>1117400000</v>
      </c>
      <c r="J96" s="258">
        <v>12291400000</v>
      </c>
      <c r="K96" s="256" t="s">
        <v>1346</v>
      </c>
    </row>
    <row r="97" spans="1:11" x14ac:dyDescent="0.3">
      <c r="A97" s="256">
        <v>36</v>
      </c>
      <c r="B97" s="257" t="s">
        <v>1403</v>
      </c>
      <c r="C97" s="276">
        <v>44561</v>
      </c>
      <c r="D97" s="257" t="s">
        <v>1284</v>
      </c>
      <c r="E97" s="256" t="s">
        <v>1786</v>
      </c>
      <c r="F97" s="256" t="s">
        <v>1882</v>
      </c>
      <c r="G97" s="258">
        <v>5139000000</v>
      </c>
      <c r="H97" s="265">
        <v>0.1</v>
      </c>
      <c r="I97" s="258">
        <v>513900000</v>
      </c>
      <c r="J97" s="258">
        <v>5652900000</v>
      </c>
      <c r="K97" s="256" t="s">
        <v>1346</v>
      </c>
    </row>
    <row r="98" spans="1:11" x14ac:dyDescent="0.3">
      <c r="A98" s="256">
        <v>37</v>
      </c>
      <c r="B98" s="257" t="s">
        <v>1404</v>
      </c>
      <c r="C98" s="276">
        <v>44561</v>
      </c>
      <c r="D98" s="257" t="s">
        <v>1257</v>
      </c>
      <c r="E98" s="256" t="s">
        <v>1815</v>
      </c>
      <c r="F98" s="256" t="s">
        <v>1882</v>
      </c>
      <c r="G98" s="258">
        <v>6322000000</v>
      </c>
      <c r="H98" s="265">
        <v>0.1</v>
      </c>
      <c r="I98" s="258">
        <v>632200000</v>
      </c>
      <c r="J98" s="258">
        <v>6954200000</v>
      </c>
      <c r="K98" s="256" t="s">
        <v>1346</v>
      </c>
    </row>
    <row r="99" spans="1:11" x14ac:dyDescent="0.3">
      <c r="A99" s="256">
        <v>38</v>
      </c>
      <c r="B99" s="257" t="s">
        <v>1405</v>
      </c>
      <c r="C99" s="276">
        <v>44561</v>
      </c>
      <c r="D99" s="257" t="s">
        <v>1301</v>
      </c>
      <c r="E99" s="256" t="s">
        <v>1781</v>
      </c>
      <c r="F99" s="256" t="s">
        <v>1884</v>
      </c>
      <c r="G99" s="258">
        <v>4215000000</v>
      </c>
      <c r="H99" s="265">
        <v>0.1</v>
      </c>
      <c r="I99" s="258">
        <v>421500000</v>
      </c>
      <c r="J99" s="258">
        <v>4636500000</v>
      </c>
      <c r="K99" s="256" t="s">
        <v>1346</v>
      </c>
    </row>
    <row r="100" spans="1:11" x14ac:dyDescent="0.3">
      <c r="A100" s="256">
        <v>39</v>
      </c>
      <c r="B100" s="257" t="s">
        <v>1406</v>
      </c>
      <c r="C100" s="276">
        <v>44561</v>
      </c>
      <c r="D100" s="257" t="s">
        <v>1256</v>
      </c>
      <c r="E100" s="256" t="s">
        <v>1802</v>
      </c>
      <c r="F100" s="256" t="s">
        <v>1883</v>
      </c>
      <c r="G100" s="258">
        <v>4034000000</v>
      </c>
      <c r="H100" s="265">
        <v>0</v>
      </c>
      <c r="I100" s="258">
        <v>0</v>
      </c>
      <c r="J100" s="258">
        <v>4034000000</v>
      </c>
      <c r="K100" s="256" t="s">
        <v>1348</v>
      </c>
    </row>
    <row r="101" spans="1:11" x14ac:dyDescent="0.3">
      <c r="A101" s="256">
        <v>40</v>
      </c>
      <c r="B101" s="257" t="s">
        <v>1408</v>
      </c>
      <c r="C101" s="276">
        <v>44561</v>
      </c>
      <c r="D101" s="257" t="s">
        <v>1294</v>
      </c>
      <c r="E101" s="256" t="s">
        <v>1795</v>
      </c>
      <c r="F101" s="256" t="s">
        <v>1884</v>
      </c>
      <c r="G101" s="258">
        <v>7012000000</v>
      </c>
      <c r="H101" s="265">
        <v>0.1</v>
      </c>
      <c r="I101" s="258">
        <v>701200000</v>
      </c>
      <c r="J101" s="258">
        <v>7713200000</v>
      </c>
      <c r="K101" s="256" t="s">
        <v>1346</v>
      </c>
    </row>
    <row r="102" spans="1:11" x14ac:dyDescent="0.3">
      <c r="A102" s="256">
        <v>41</v>
      </c>
      <c r="B102" s="257" t="s">
        <v>1409</v>
      </c>
      <c r="C102" s="276">
        <v>44561</v>
      </c>
      <c r="D102" s="257" t="s">
        <v>1289</v>
      </c>
      <c r="E102" s="256" t="s">
        <v>1803</v>
      </c>
      <c r="F102" s="256" t="s">
        <v>1882</v>
      </c>
      <c r="G102" s="258">
        <v>9631000000</v>
      </c>
      <c r="H102" s="265">
        <v>0.1</v>
      </c>
      <c r="I102" s="258">
        <v>963100000</v>
      </c>
      <c r="J102" s="258">
        <v>10594100000</v>
      </c>
      <c r="K102" s="256" t="s">
        <v>1346</v>
      </c>
    </row>
    <row r="103" spans="1:11" x14ac:dyDescent="0.3">
      <c r="A103" s="256">
        <v>42</v>
      </c>
      <c r="B103" s="257" t="s">
        <v>1411</v>
      </c>
      <c r="C103" s="276">
        <v>44561</v>
      </c>
      <c r="D103" s="257" t="s">
        <v>1282</v>
      </c>
      <c r="E103" s="256" t="s">
        <v>1789</v>
      </c>
      <c r="F103" s="256" t="s">
        <v>1884</v>
      </c>
      <c r="G103" s="258">
        <v>5499000000</v>
      </c>
      <c r="H103" s="265">
        <v>0.1</v>
      </c>
      <c r="I103" s="258">
        <v>549900000</v>
      </c>
      <c r="J103" s="258">
        <v>6048900000</v>
      </c>
      <c r="K103" s="256" t="s">
        <v>1348</v>
      </c>
    </row>
    <row r="104" spans="1:11" x14ac:dyDescent="0.3">
      <c r="A104" s="256">
        <v>43</v>
      </c>
      <c r="B104" s="257" t="s">
        <v>1414</v>
      </c>
      <c r="C104" s="276">
        <v>44561</v>
      </c>
      <c r="D104" s="257" t="s">
        <v>1291</v>
      </c>
      <c r="E104" s="256" t="s">
        <v>1800</v>
      </c>
      <c r="F104" s="256" t="s">
        <v>1884</v>
      </c>
      <c r="G104" s="258">
        <v>7109000000</v>
      </c>
      <c r="H104" s="265">
        <v>0.1</v>
      </c>
      <c r="I104" s="258">
        <v>710900000</v>
      </c>
      <c r="J104" s="258">
        <v>7819900000</v>
      </c>
      <c r="K104" s="256" t="s">
        <v>1346</v>
      </c>
    </row>
    <row r="105" spans="1:11" x14ac:dyDescent="0.3">
      <c r="A105" s="256">
        <v>44</v>
      </c>
      <c r="B105" s="257" t="s">
        <v>1415</v>
      </c>
      <c r="C105" s="276">
        <v>44561</v>
      </c>
      <c r="D105" s="257" t="s">
        <v>1268</v>
      </c>
      <c r="E105" s="256" t="s">
        <v>1821</v>
      </c>
      <c r="F105" s="256" t="s">
        <v>1881</v>
      </c>
      <c r="G105" s="258">
        <v>9160000000</v>
      </c>
      <c r="H105" s="265">
        <v>0</v>
      </c>
      <c r="I105" s="258">
        <v>0</v>
      </c>
      <c r="J105" s="258">
        <v>9160000000</v>
      </c>
      <c r="K105" s="256" t="s">
        <v>1346</v>
      </c>
    </row>
    <row r="106" spans="1:11" x14ac:dyDescent="0.3">
      <c r="A106" s="256">
        <v>45</v>
      </c>
      <c r="B106" s="257" t="s">
        <v>1206</v>
      </c>
      <c r="C106" s="276">
        <v>44561</v>
      </c>
      <c r="D106" s="257" t="s">
        <v>1258</v>
      </c>
      <c r="E106" s="256" t="s">
        <v>1833</v>
      </c>
      <c r="F106" s="256" t="s">
        <v>1884</v>
      </c>
      <c r="G106" s="258">
        <v>11139000000</v>
      </c>
      <c r="H106" s="265">
        <v>0.1</v>
      </c>
      <c r="I106" s="258">
        <v>1113900000</v>
      </c>
      <c r="J106" s="258">
        <v>12252900000</v>
      </c>
      <c r="K106" s="256" t="s">
        <v>1346</v>
      </c>
    </row>
    <row r="107" spans="1:11" x14ac:dyDescent="0.3">
      <c r="A107" s="256">
        <v>46</v>
      </c>
      <c r="B107" s="257" t="s">
        <v>1207</v>
      </c>
      <c r="C107" s="276">
        <v>44561</v>
      </c>
      <c r="D107" s="257" t="s">
        <v>1285</v>
      </c>
      <c r="E107" s="256" t="s">
        <v>1793</v>
      </c>
      <c r="F107" s="256" t="s">
        <v>1883</v>
      </c>
      <c r="G107" s="258">
        <v>7431000000</v>
      </c>
      <c r="H107" s="265">
        <v>0</v>
      </c>
      <c r="I107" s="258">
        <v>0</v>
      </c>
      <c r="J107" s="258">
        <v>7431000000</v>
      </c>
      <c r="K107" s="256" t="s">
        <v>1346</v>
      </c>
    </row>
    <row r="108" spans="1:11" x14ac:dyDescent="0.3">
      <c r="A108" s="256">
        <v>47</v>
      </c>
      <c r="B108" s="257" t="s">
        <v>1208</v>
      </c>
      <c r="C108" s="276">
        <v>44561</v>
      </c>
      <c r="D108" s="257" t="s">
        <v>1255</v>
      </c>
      <c r="E108" s="273">
        <v>46152</v>
      </c>
      <c r="F108" s="256" t="s">
        <v>1882</v>
      </c>
      <c r="G108" s="258">
        <v>11621000000</v>
      </c>
      <c r="H108" s="265">
        <v>0.1</v>
      </c>
      <c r="I108" s="258">
        <v>1162100000</v>
      </c>
      <c r="J108" s="258">
        <v>12783100000</v>
      </c>
      <c r="K108" s="256" t="s">
        <v>1348</v>
      </c>
    </row>
    <row r="109" spans="1:11" x14ac:dyDescent="0.3">
      <c r="A109" s="256">
        <v>48</v>
      </c>
      <c r="B109" s="257" t="s">
        <v>1209</v>
      </c>
      <c r="C109" s="276">
        <v>44561</v>
      </c>
      <c r="D109" s="257" t="s">
        <v>1259</v>
      </c>
      <c r="E109" s="256" t="s">
        <v>1788</v>
      </c>
      <c r="F109" s="256" t="s">
        <v>1884</v>
      </c>
      <c r="G109" s="258">
        <v>4287000000</v>
      </c>
      <c r="H109" s="265">
        <v>0.1</v>
      </c>
      <c r="I109" s="258">
        <v>428700000</v>
      </c>
      <c r="J109" s="258">
        <v>4715700000</v>
      </c>
      <c r="K109" s="256" t="s">
        <v>1346</v>
      </c>
    </row>
    <row r="110" spans="1:11" x14ac:dyDescent="0.3">
      <c r="A110" s="256">
        <v>49</v>
      </c>
      <c r="B110" s="257" t="s">
        <v>1418</v>
      </c>
      <c r="C110" s="276">
        <v>44561</v>
      </c>
      <c r="D110" s="257" t="s">
        <v>1262</v>
      </c>
      <c r="E110" s="256" t="s">
        <v>1816</v>
      </c>
      <c r="F110" s="256" t="s">
        <v>1882</v>
      </c>
      <c r="G110" s="258">
        <v>4979000000</v>
      </c>
      <c r="H110" s="265">
        <v>0.1</v>
      </c>
      <c r="I110" s="258">
        <v>497900000</v>
      </c>
      <c r="J110" s="258">
        <v>5476900000</v>
      </c>
      <c r="K110" s="256" t="s">
        <v>1346</v>
      </c>
    </row>
    <row r="111" spans="1:11" x14ac:dyDescent="0.3">
      <c r="A111" s="256">
        <v>50</v>
      </c>
      <c r="B111" s="257" t="s">
        <v>1419</v>
      </c>
      <c r="C111" s="276">
        <v>44561</v>
      </c>
      <c r="D111" s="257" t="s">
        <v>1255</v>
      </c>
      <c r="E111" s="273">
        <v>46152</v>
      </c>
      <c r="F111" s="256" t="s">
        <v>1883</v>
      </c>
      <c r="G111" s="258">
        <v>12497000000</v>
      </c>
      <c r="H111" s="265">
        <v>0.1</v>
      </c>
      <c r="I111" s="258">
        <v>1249700000</v>
      </c>
      <c r="J111" s="258">
        <v>13746700000</v>
      </c>
      <c r="K111" s="256" t="s">
        <v>1346</v>
      </c>
    </row>
    <row r="112" spans="1:11" x14ac:dyDescent="0.3">
      <c r="A112" s="266" t="s">
        <v>1351</v>
      </c>
      <c r="B112" s="266"/>
      <c r="C112" s="266"/>
      <c r="D112" s="266"/>
      <c r="E112" s="266"/>
      <c r="F112" s="266"/>
      <c r="G112" s="267">
        <f>SUM(G62:G111)</f>
        <v>414800000000</v>
      </c>
      <c r="H112" s="266"/>
      <c r="I112" s="267">
        <f>SUM(I62:I111)</f>
        <v>35941800000</v>
      </c>
      <c r="J112" s="267">
        <f>SUM(J62:J111)</f>
        <v>450741800000</v>
      </c>
      <c r="K112" s="266"/>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835</v>
      </c>
      <c r="C1" s="256"/>
      <c r="D1" s="256"/>
      <c r="E1" s="256"/>
      <c r="F1" s="256"/>
      <c r="G1" s="256"/>
      <c r="H1" s="256"/>
      <c r="I1" s="256"/>
      <c r="J1" s="256"/>
      <c r="K1" s="256"/>
    </row>
    <row r="2" spans="1:11" x14ac:dyDescent="0.3">
      <c r="A2" s="256" t="s">
        <v>1339</v>
      </c>
      <c r="B2" s="257">
        <v>106399994</v>
      </c>
      <c r="C2" s="256"/>
      <c r="D2" s="256"/>
      <c r="E2" s="256"/>
      <c r="F2" s="256"/>
      <c r="G2" s="256"/>
      <c r="H2" s="256"/>
      <c r="I2" s="256"/>
      <c r="J2" s="256"/>
      <c r="K2" s="256"/>
    </row>
    <row r="3" spans="1:11" x14ac:dyDescent="0.3">
      <c r="A3" s="256" t="s">
        <v>1343</v>
      </c>
      <c r="B3" s="258">
        <v>1054238715647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1456</v>
      </c>
      <c r="C8" s="276">
        <v>44317</v>
      </c>
      <c r="D8" s="257" t="s">
        <v>1262</v>
      </c>
      <c r="E8" s="256" t="s">
        <v>1816</v>
      </c>
      <c r="F8" s="256" t="s">
        <v>1878</v>
      </c>
      <c r="G8" s="258">
        <v>10732000000</v>
      </c>
      <c r="H8" s="265">
        <v>0.1</v>
      </c>
      <c r="I8" s="258">
        <v>1073200000</v>
      </c>
      <c r="J8" s="258">
        <v>11805200000</v>
      </c>
      <c r="K8" s="256" t="s">
        <v>1346</v>
      </c>
    </row>
    <row r="9" spans="1:11" x14ac:dyDescent="0.3">
      <c r="A9" s="256">
        <v>2</v>
      </c>
      <c r="B9" s="257" t="s">
        <v>1398</v>
      </c>
      <c r="C9" s="276">
        <v>44318</v>
      </c>
      <c r="D9" s="257" t="s">
        <v>1292</v>
      </c>
      <c r="E9" s="256" t="s">
        <v>1792</v>
      </c>
      <c r="F9" s="256" t="s">
        <v>1878</v>
      </c>
      <c r="G9" s="258">
        <v>9370000000</v>
      </c>
      <c r="H9" s="265">
        <v>0.1</v>
      </c>
      <c r="I9" s="258">
        <v>937000000</v>
      </c>
      <c r="J9" s="258">
        <v>10307000000</v>
      </c>
      <c r="K9" s="256" t="s">
        <v>1348</v>
      </c>
    </row>
    <row r="10" spans="1:11" x14ac:dyDescent="0.3">
      <c r="A10" s="256">
        <v>3</v>
      </c>
      <c r="B10" s="257" t="s">
        <v>1402</v>
      </c>
      <c r="C10" s="276">
        <v>44472</v>
      </c>
      <c r="D10" s="257" t="s">
        <v>1301</v>
      </c>
      <c r="E10" s="256" t="s">
        <v>1781</v>
      </c>
      <c r="F10" s="256" t="s">
        <v>1609</v>
      </c>
      <c r="G10" s="258">
        <v>8901000000</v>
      </c>
      <c r="H10" s="265">
        <v>0.1</v>
      </c>
      <c r="I10" s="258">
        <v>890100000</v>
      </c>
      <c r="J10" s="258">
        <v>9791100000</v>
      </c>
      <c r="K10" s="256" t="s">
        <v>1346</v>
      </c>
    </row>
    <row r="11" spans="1:11" x14ac:dyDescent="0.3">
      <c r="A11" s="256">
        <v>4</v>
      </c>
      <c r="B11" s="257" t="s">
        <v>1456</v>
      </c>
      <c r="C11" s="276">
        <v>44473</v>
      </c>
      <c r="D11" s="257" t="s">
        <v>1288</v>
      </c>
      <c r="E11" s="256" t="s">
        <v>1797</v>
      </c>
      <c r="F11" s="256" t="s">
        <v>1878</v>
      </c>
      <c r="G11" s="258">
        <v>18682000000</v>
      </c>
      <c r="H11" s="265">
        <v>0.1</v>
      </c>
      <c r="I11" s="258">
        <v>1868200000</v>
      </c>
      <c r="J11" s="258">
        <v>20550200000</v>
      </c>
      <c r="K11" s="256" t="s">
        <v>1346</v>
      </c>
    </row>
    <row r="12" spans="1:11" x14ac:dyDescent="0.3">
      <c r="A12" s="256">
        <v>5</v>
      </c>
      <c r="B12" s="257" t="s">
        <v>1464</v>
      </c>
      <c r="C12" s="276">
        <v>44474</v>
      </c>
      <c r="D12" s="257" t="s">
        <v>1275</v>
      </c>
      <c r="E12" s="256" t="s">
        <v>1808</v>
      </c>
      <c r="F12" s="256" t="s">
        <v>1879</v>
      </c>
      <c r="G12" s="258">
        <v>15128000000</v>
      </c>
      <c r="H12" s="265">
        <v>0.1</v>
      </c>
      <c r="I12" s="258">
        <v>1512800000</v>
      </c>
      <c r="J12" s="258">
        <v>16640800000</v>
      </c>
      <c r="K12" s="256" t="s">
        <v>1346</v>
      </c>
    </row>
    <row r="13" spans="1:11" x14ac:dyDescent="0.3">
      <c r="A13" s="256">
        <v>6</v>
      </c>
      <c r="B13" s="257" t="s">
        <v>1461</v>
      </c>
      <c r="C13" s="276">
        <v>44475</v>
      </c>
      <c r="D13" s="257" t="s">
        <v>1304</v>
      </c>
      <c r="E13" s="256" t="s">
        <v>1831</v>
      </c>
      <c r="F13" s="256" t="s">
        <v>1877</v>
      </c>
      <c r="G13" s="258">
        <v>24039000000</v>
      </c>
      <c r="H13" s="265">
        <v>0.1</v>
      </c>
      <c r="I13" s="258">
        <v>2403900000</v>
      </c>
      <c r="J13" s="258">
        <v>26442900000</v>
      </c>
      <c r="K13" s="256" t="s">
        <v>1346</v>
      </c>
    </row>
    <row r="14" spans="1:11" x14ac:dyDescent="0.3">
      <c r="A14" s="256">
        <v>7</v>
      </c>
      <c r="B14" s="257" t="s">
        <v>1457</v>
      </c>
      <c r="C14" s="276">
        <v>44476</v>
      </c>
      <c r="D14" s="257" t="s">
        <v>1262</v>
      </c>
      <c r="E14" s="256" t="s">
        <v>1816</v>
      </c>
      <c r="F14" s="256" t="s">
        <v>1877</v>
      </c>
      <c r="G14" s="258">
        <v>16051000000</v>
      </c>
      <c r="H14" s="265">
        <v>0.1</v>
      </c>
      <c r="I14" s="258">
        <v>1605100000</v>
      </c>
      <c r="J14" s="258">
        <v>17656100000</v>
      </c>
      <c r="K14" s="256" t="s">
        <v>1346</v>
      </c>
    </row>
    <row r="15" spans="1:11" x14ac:dyDescent="0.3">
      <c r="A15" s="256">
        <v>8</v>
      </c>
      <c r="B15" s="257" t="s">
        <v>1205</v>
      </c>
      <c r="C15" s="276">
        <v>44477</v>
      </c>
      <c r="D15" s="257" t="s">
        <v>1303</v>
      </c>
      <c r="E15" s="256" t="s">
        <v>1817</v>
      </c>
      <c r="F15" s="256" t="s">
        <v>1879</v>
      </c>
      <c r="G15" s="258">
        <v>13371000000</v>
      </c>
      <c r="H15" s="265">
        <v>0.1</v>
      </c>
      <c r="I15" s="258">
        <v>1337100000</v>
      </c>
      <c r="J15" s="258">
        <v>14708100000</v>
      </c>
      <c r="K15" s="256" t="s">
        <v>1346</v>
      </c>
    </row>
    <row r="16" spans="1:11" x14ac:dyDescent="0.3">
      <c r="A16" s="256">
        <v>9</v>
      </c>
      <c r="B16" s="257" t="s">
        <v>1396</v>
      </c>
      <c r="C16" s="276">
        <v>44478</v>
      </c>
      <c r="D16" s="257" t="s">
        <v>1295</v>
      </c>
      <c r="E16" s="256" t="s">
        <v>1825</v>
      </c>
      <c r="F16" s="256" t="s">
        <v>1609</v>
      </c>
      <c r="G16" s="258">
        <v>23673000000</v>
      </c>
      <c r="H16" s="265">
        <v>0.1</v>
      </c>
      <c r="I16" s="258">
        <v>2367300000</v>
      </c>
      <c r="J16" s="258">
        <v>26040300000</v>
      </c>
      <c r="K16" s="256" t="s">
        <v>1346</v>
      </c>
    </row>
    <row r="17" spans="1:11" x14ac:dyDescent="0.3">
      <c r="A17" s="256">
        <v>10</v>
      </c>
      <c r="B17" s="257" t="s">
        <v>1459</v>
      </c>
      <c r="C17" s="276">
        <v>44479</v>
      </c>
      <c r="D17" s="257" t="s">
        <v>1268</v>
      </c>
      <c r="E17" s="256" t="s">
        <v>1821</v>
      </c>
      <c r="F17" s="256" t="s">
        <v>1878</v>
      </c>
      <c r="G17" s="258">
        <v>7663000000</v>
      </c>
      <c r="H17" s="265">
        <v>0.1</v>
      </c>
      <c r="I17" s="258">
        <v>766300000</v>
      </c>
      <c r="J17" s="258">
        <v>8429300000</v>
      </c>
      <c r="K17" s="256" t="s">
        <v>1346</v>
      </c>
    </row>
    <row r="18" spans="1:11" x14ac:dyDescent="0.3">
      <c r="A18" s="256">
        <v>11</v>
      </c>
      <c r="B18" s="257" t="s">
        <v>1209</v>
      </c>
      <c r="C18" s="276">
        <v>44480</v>
      </c>
      <c r="D18" s="257" t="s">
        <v>1280</v>
      </c>
      <c r="E18" s="256" t="s">
        <v>1777</v>
      </c>
      <c r="F18" s="256" t="s">
        <v>1879</v>
      </c>
      <c r="G18" s="258">
        <v>24365000000</v>
      </c>
      <c r="H18" s="265">
        <v>0.1</v>
      </c>
      <c r="I18" s="258">
        <v>2436500000</v>
      </c>
      <c r="J18" s="258">
        <v>26801500000</v>
      </c>
      <c r="K18" s="256" t="s">
        <v>1346</v>
      </c>
    </row>
    <row r="19" spans="1:11" x14ac:dyDescent="0.3">
      <c r="A19" s="256">
        <v>12</v>
      </c>
      <c r="B19" s="257" t="s">
        <v>1473</v>
      </c>
      <c r="C19" s="276">
        <v>44481</v>
      </c>
      <c r="D19" s="257" t="s">
        <v>1259</v>
      </c>
      <c r="E19" s="256" t="s">
        <v>1788</v>
      </c>
      <c r="F19" s="256" t="s">
        <v>1880</v>
      </c>
      <c r="G19" s="258">
        <v>21466000000</v>
      </c>
      <c r="H19" s="265">
        <v>0.1</v>
      </c>
      <c r="I19" s="258">
        <v>2146600000</v>
      </c>
      <c r="J19" s="258">
        <v>23612600000</v>
      </c>
      <c r="K19" s="256" t="s">
        <v>1346</v>
      </c>
    </row>
    <row r="20" spans="1:11" x14ac:dyDescent="0.3">
      <c r="A20" s="256">
        <v>13</v>
      </c>
      <c r="B20" s="257" t="s">
        <v>1463</v>
      </c>
      <c r="C20" s="276">
        <v>44211</v>
      </c>
      <c r="D20" s="257" t="s">
        <v>1273</v>
      </c>
      <c r="E20" s="256" t="s">
        <v>1829</v>
      </c>
      <c r="F20" s="256" t="s">
        <v>1878</v>
      </c>
      <c r="G20" s="258">
        <v>19860000000</v>
      </c>
      <c r="H20" s="265">
        <v>0</v>
      </c>
      <c r="I20" s="258">
        <v>0</v>
      </c>
      <c r="J20" s="258">
        <v>19860000000</v>
      </c>
      <c r="K20" s="256" t="s">
        <v>1348</v>
      </c>
    </row>
    <row r="21" spans="1:11" x14ac:dyDescent="0.3">
      <c r="A21" s="256">
        <v>14</v>
      </c>
      <c r="B21" s="257" t="s">
        <v>1472</v>
      </c>
      <c r="C21" s="276">
        <v>44242</v>
      </c>
      <c r="D21" s="257" t="s">
        <v>1277</v>
      </c>
      <c r="E21" s="256" t="s">
        <v>1783</v>
      </c>
      <c r="F21" s="256" t="s">
        <v>1880</v>
      </c>
      <c r="G21" s="258">
        <v>6176000000</v>
      </c>
      <c r="H21" s="265">
        <v>0.1</v>
      </c>
      <c r="I21" s="258">
        <v>617600000</v>
      </c>
      <c r="J21" s="258">
        <v>6793600000</v>
      </c>
      <c r="K21" s="256" t="s">
        <v>1346</v>
      </c>
    </row>
    <row r="22" spans="1:11" x14ac:dyDescent="0.3">
      <c r="A22" s="256">
        <v>15</v>
      </c>
      <c r="B22" s="257" t="s">
        <v>1414</v>
      </c>
      <c r="C22" s="276">
        <v>44275</v>
      </c>
      <c r="D22" s="257" t="s">
        <v>1255</v>
      </c>
      <c r="E22" s="273">
        <v>46152</v>
      </c>
      <c r="F22" s="256" t="s">
        <v>1879</v>
      </c>
      <c r="G22" s="258">
        <v>6206000000</v>
      </c>
      <c r="H22" s="265">
        <v>0.1</v>
      </c>
      <c r="I22" s="258">
        <v>620600000</v>
      </c>
      <c r="J22" s="258">
        <v>6826600000</v>
      </c>
      <c r="K22" s="256" t="s">
        <v>1346</v>
      </c>
    </row>
    <row r="23" spans="1:11" x14ac:dyDescent="0.3">
      <c r="A23" s="256">
        <v>16</v>
      </c>
      <c r="B23" s="257" t="s">
        <v>1401</v>
      </c>
      <c r="C23" s="276">
        <v>44306</v>
      </c>
      <c r="D23" s="257" t="s">
        <v>1287</v>
      </c>
      <c r="E23" s="256" t="s">
        <v>1801</v>
      </c>
      <c r="F23" s="256" t="s">
        <v>1878</v>
      </c>
      <c r="G23" s="258">
        <v>11691000000</v>
      </c>
      <c r="H23" s="265">
        <v>0.1</v>
      </c>
      <c r="I23" s="258">
        <v>1169100000</v>
      </c>
      <c r="J23" s="258">
        <v>12860100000</v>
      </c>
      <c r="K23" s="256" t="s">
        <v>1346</v>
      </c>
    </row>
    <row r="24" spans="1:11" x14ac:dyDescent="0.3">
      <c r="A24" s="256">
        <v>17</v>
      </c>
      <c r="B24" s="257" t="s">
        <v>1467</v>
      </c>
      <c r="C24" s="276">
        <v>44336</v>
      </c>
      <c r="D24" s="257" t="s">
        <v>1260</v>
      </c>
      <c r="E24" s="256" t="s">
        <v>1804</v>
      </c>
      <c r="F24" s="256" t="s">
        <v>1880</v>
      </c>
      <c r="G24" s="258">
        <v>10038000000</v>
      </c>
      <c r="H24" s="265">
        <v>0</v>
      </c>
      <c r="I24" s="258">
        <v>0</v>
      </c>
      <c r="J24" s="258">
        <v>10038000000</v>
      </c>
      <c r="K24" s="256" t="s">
        <v>1346</v>
      </c>
    </row>
    <row r="25" spans="1:11" x14ac:dyDescent="0.3">
      <c r="A25" s="256">
        <v>18</v>
      </c>
      <c r="B25" s="257" t="s">
        <v>1385</v>
      </c>
      <c r="C25" s="276">
        <v>44367</v>
      </c>
      <c r="D25" s="257" t="s">
        <v>1261</v>
      </c>
      <c r="E25" s="256" t="s">
        <v>1813</v>
      </c>
      <c r="F25" s="256" t="s">
        <v>1880</v>
      </c>
      <c r="G25" s="258">
        <v>9221000000</v>
      </c>
      <c r="H25" s="265">
        <v>0.1</v>
      </c>
      <c r="I25" s="258">
        <v>922100000</v>
      </c>
      <c r="J25" s="258">
        <v>10143100000</v>
      </c>
      <c r="K25" s="256" t="s">
        <v>1346</v>
      </c>
    </row>
    <row r="26" spans="1:11" x14ac:dyDescent="0.3">
      <c r="A26" s="256">
        <v>19</v>
      </c>
      <c r="B26" s="257" t="s">
        <v>1465</v>
      </c>
      <c r="C26" s="276">
        <v>44397</v>
      </c>
      <c r="D26" s="257" t="s">
        <v>1275</v>
      </c>
      <c r="E26" s="256" t="s">
        <v>1808</v>
      </c>
      <c r="F26" s="256" t="s">
        <v>1876</v>
      </c>
      <c r="G26" s="258">
        <v>23692000000</v>
      </c>
      <c r="H26" s="265">
        <v>0.1</v>
      </c>
      <c r="I26" s="258">
        <v>2369200000</v>
      </c>
      <c r="J26" s="258">
        <v>26061200000</v>
      </c>
      <c r="K26" s="256" t="s">
        <v>1348</v>
      </c>
    </row>
    <row r="27" spans="1:11" x14ac:dyDescent="0.3">
      <c r="A27" s="256">
        <v>20</v>
      </c>
      <c r="B27" s="257" t="s">
        <v>1458</v>
      </c>
      <c r="C27" s="276">
        <v>44428</v>
      </c>
      <c r="D27" s="257" t="s">
        <v>1262</v>
      </c>
      <c r="E27" s="256" t="s">
        <v>1816</v>
      </c>
      <c r="F27" s="256" t="s">
        <v>1879</v>
      </c>
      <c r="G27" s="258">
        <v>13516000000</v>
      </c>
      <c r="H27" s="265">
        <v>0.1</v>
      </c>
      <c r="I27" s="258">
        <v>1351600000</v>
      </c>
      <c r="J27" s="258">
        <v>14867600000</v>
      </c>
      <c r="K27" s="256" t="s">
        <v>1346</v>
      </c>
    </row>
    <row r="28" spans="1:11" x14ac:dyDescent="0.3">
      <c r="A28" s="256">
        <v>21</v>
      </c>
      <c r="B28" s="257" t="s">
        <v>1408</v>
      </c>
      <c r="C28" s="276">
        <v>44459</v>
      </c>
      <c r="D28" s="257" t="s">
        <v>1290</v>
      </c>
      <c r="E28" s="256" t="s">
        <v>1796</v>
      </c>
      <c r="F28" s="256" t="s">
        <v>1876</v>
      </c>
      <c r="G28" s="258">
        <v>13300000000</v>
      </c>
      <c r="H28" s="265">
        <v>0.1</v>
      </c>
      <c r="I28" s="258">
        <v>1330000000</v>
      </c>
      <c r="J28" s="258">
        <v>14630000000</v>
      </c>
      <c r="K28" s="256" t="s">
        <v>1346</v>
      </c>
    </row>
    <row r="29" spans="1:11" x14ac:dyDescent="0.3">
      <c r="A29" s="256">
        <v>22</v>
      </c>
      <c r="B29" s="257" t="s">
        <v>1480</v>
      </c>
      <c r="C29" s="276">
        <v>44489</v>
      </c>
      <c r="D29" s="257" t="s">
        <v>1284</v>
      </c>
      <c r="E29" s="256" t="s">
        <v>1786</v>
      </c>
      <c r="F29" s="256" t="s">
        <v>1876</v>
      </c>
      <c r="G29" s="258">
        <v>17541000000</v>
      </c>
      <c r="H29" s="265">
        <v>0.1</v>
      </c>
      <c r="I29" s="258">
        <v>1754100000</v>
      </c>
      <c r="J29" s="258">
        <v>19295100000</v>
      </c>
      <c r="K29" s="256" t="s">
        <v>1346</v>
      </c>
    </row>
    <row r="30" spans="1:11" x14ac:dyDescent="0.3">
      <c r="A30" s="256">
        <v>23</v>
      </c>
      <c r="B30" s="257" t="s">
        <v>1403</v>
      </c>
      <c r="C30" s="276">
        <v>44520</v>
      </c>
      <c r="D30" s="257" t="s">
        <v>1301</v>
      </c>
      <c r="E30" s="256" t="s">
        <v>1781</v>
      </c>
      <c r="F30" s="256" t="s">
        <v>1879</v>
      </c>
      <c r="G30" s="258">
        <v>12883000000</v>
      </c>
      <c r="H30" s="265">
        <v>0.1</v>
      </c>
      <c r="I30" s="258">
        <v>1288300000</v>
      </c>
      <c r="J30" s="258">
        <v>14171300000</v>
      </c>
      <c r="K30" s="256" t="s">
        <v>1346</v>
      </c>
    </row>
    <row r="31" spans="1:11" x14ac:dyDescent="0.3">
      <c r="A31" s="256">
        <v>24</v>
      </c>
      <c r="B31" s="257" t="s">
        <v>1462</v>
      </c>
      <c r="C31" s="276">
        <v>44550</v>
      </c>
      <c r="D31" s="257" t="s">
        <v>1304</v>
      </c>
      <c r="E31" s="256" t="s">
        <v>1831</v>
      </c>
      <c r="F31" s="256" t="s">
        <v>1880</v>
      </c>
      <c r="G31" s="258">
        <v>23065000000</v>
      </c>
      <c r="H31" s="265">
        <v>0.1</v>
      </c>
      <c r="I31" s="258">
        <v>2306500000</v>
      </c>
      <c r="J31" s="258">
        <v>25371500000</v>
      </c>
      <c r="K31" s="256" t="s">
        <v>1346</v>
      </c>
    </row>
    <row r="32" spans="1:11" x14ac:dyDescent="0.3">
      <c r="A32" s="256">
        <v>25</v>
      </c>
      <c r="B32" s="257" t="s">
        <v>1399</v>
      </c>
      <c r="C32" s="276">
        <v>44221</v>
      </c>
      <c r="D32" s="257" t="s">
        <v>1300</v>
      </c>
      <c r="E32" s="256" t="s">
        <v>1818</v>
      </c>
      <c r="F32" s="256" t="s">
        <v>1879</v>
      </c>
      <c r="G32" s="258">
        <v>22994000000</v>
      </c>
      <c r="H32" s="265">
        <v>0.1</v>
      </c>
      <c r="I32" s="258">
        <v>2299400000</v>
      </c>
      <c r="J32" s="258">
        <v>25293400000</v>
      </c>
      <c r="K32" s="256" t="s">
        <v>1346</v>
      </c>
    </row>
    <row r="33" spans="1:11" x14ac:dyDescent="0.3">
      <c r="A33" s="256">
        <v>26</v>
      </c>
      <c r="B33" s="257" t="s">
        <v>1405</v>
      </c>
      <c r="C33" s="276">
        <v>44255</v>
      </c>
      <c r="D33" s="257" t="s">
        <v>1299</v>
      </c>
      <c r="E33" s="256" t="s">
        <v>1776</v>
      </c>
      <c r="F33" s="256" t="s">
        <v>1876</v>
      </c>
      <c r="G33" s="258">
        <v>11286000000</v>
      </c>
      <c r="H33" s="265">
        <v>0.1</v>
      </c>
      <c r="I33" s="258">
        <v>1128600000</v>
      </c>
      <c r="J33" s="258">
        <v>12414600000</v>
      </c>
      <c r="K33" s="256" t="s">
        <v>1346</v>
      </c>
    </row>
    <row r="34" spans="1:11" x14ac:dyDescent="0.3">
      <c r="A34" s="256">
        <v>27</v>
      </c>
      <c r="B34" s="257" t="s">
        <v>1419</v>
      </c>
      <c r="C34" s="276">
        <v>44316</v>
      </c>
      <c r="D34" s="257" t="s">
        <v>1285</v>
      </c>
      <c r="E34" s="256" t="s">
        <v>1793</v>
      </c>
      <c r="F34" s="256" t="s">
        <v>1878</v>
      </c>
      <c r="G34" s="258">
        <v>14492000000</v>
      </c>
      <c r="H34" s="265">
        <v>0.1</v>
      </c>
      <c r="I34" s="258">
        <v>1449200000</v>
      </c>
      <c r="J34" s="258">
        <v>15941200000</v>
      </c>
      <c r="K34" s="256" t="s">
        <v>1348</v>
      </c>
    </row>
    <row r="35" spans="1:11" x14ac:dyDescent="0.3">
      <c r="A35" s="256">
        <v>28</v>
      </c>
      <c r="B35" s="257" t="s">
        <v>1467</v>
      </c>
      <c r="C35" s="276">
        <v>44377</v>
      </c>
      <c r="D35" s="257" t="s">
        <v>1270</v>
      </c>
      <c r="E35" s="256" t="s">
        <v>1782</v>
      </c>
      <c r="F35" s="256" t="s">
        <v>1878</v>
      </c>
      <c r="G35" s="258">
        <v>24465000000</v>
      </c>
      <c r="H35" s="265">
        <v>0.1</v>
      </c>
      <c r="I35" s="258">
        <v>2446500000</v>
      </c>
      <c r="J35" s="258">
        <v>26911500000</v>
      </c>
      <c r="K35" s="256" t="s">
        <v>1346</v>
      </c>
    </row>
    <row r="36" spans="1:11" x14ac:dyDescent="0.3">
      <c r="A36" s="256">
        <v>29</v>
      </c>
      <c r="B36" s="257" t="s">
        <v>1456</v>
      </c>
      <c r="C36" s="276">
        <v>44469</v>
      </c>
      <c r="D36" s="257" t="s">
        <v>1257</v>
      </c>
      <c r="E36" s="256" t="s">
        <v>1815</v>
      </c>
      <c r="F36" s="256" t="s">
        <v>1879</v>
      </c>
      <c r="G36" s="258">
        <v>19625000000</v>
      </c>
      <c r="H36" s="265">
        <v>0.1</v>
      </c>
      <c r="I36" s="258">
        <v>1962500000</v>
      </c>
      <c r="J36" s="258">
        <v>21587500000</v>
      </c>
      <c r="K36" s="256" t="s">
        <v>1346</v>
      </c>
    </row>
    <row r="37" spans="1:11" x14ac:dyDescent="0.3">
      <c r="A37" s="256">
        <v>30</v>
      </c>
      <c r="B37" s="257" t="s">
        <v>1387</v>
      </c>
      <c r="C37" s="276">
        <v>44530</v>
      </c>
      <c r="D37" s="257" t="s">
        <v>1261</v>
      </c>
      <c r="E37" s="256" t="s">
        <v>1813</v>
      </c>
      <c r="F37" s="256" t="s">
        <v>1876</v>
      </c>
      <c r="G37" s="258">
        <v>13497000000</v>
      </c>
      <c r="H37" s="265">
        <v>0.1</v>
      </c>
      <c r="I37" s="258">
        <v>1349700000</v>
      </c>
      <c r="J37" s="258">
        <v>14846700000</v>
      </c>
      <c r="K37" s="256" t="s">
        <v>1346</v>
      </c>
    </row>
    <row r="38" spans="1:11" x14ac:dyDescent="0.3">
      <c r="A38" s="256">
        <v>31</v>
      </c>
      <c r="B38" s="257" t="s">
        <v>1457</v>
      </c>
      <c r="C38" s="276">
        <v>44286</v>
      </c>
      <c r="D38" s="257" t="s">
        <v>1257</v>
      </c>
      <c r="E38" s="256" t="s">
        <v>1815</v>
      </c>
      <c r="F38" s="256" t="s">
        <v>1876</v>
      </c>
      <c r="G38" s="258">
        <v>19300000000</v>
      </c>
      <c r="H38" s="265">
        <v>0.1</v>
      </c>
      <c r="I38" s="258">
        <v>1930000000</v>
      </c>
      <c r="J38" s="258">
        <v>21230000000</v>
      </c>
      <c r="K38" s="256" t="s">
        <v>1346</v>
      </c>
    </row>
    <row r="39" spans="1:11" x14ac:dyDescent="0.3">
      <c r="A39" s="256">
        <v>32</v>
      </c>
      <c r="B39" s="257" t="s">
        <v>1473</v>
      </c>
      <c r="C39" s="276">
        <v>44347</v>
      </c>
      <c r="D39" s="257" t="s">
        <v>1277</v>
      </c>
      <c r="E39" s="256" t="s">
        <v>1783</v>
      </c>
      <c r="F39" s="256" t="s">
        <v>1609</v>
      </c>
      <c r="G39" s="258">
        <v>6701000000</v>
      </c>
      <c r="H39" s="265">
        <v>0.1</v>
      </c>
      <c r="I39" s="258">
        <v>670100000</v>
      </c>
      <c r="J39" s="258">
        <v>7371100000</v>
      </c>
      <c r="K39" s="256" t="s">
        <v>1346</v>
      </c>
    </row>
    <row r="40" spans="1:11" x14ac:dyDescent="0.3">
      <c r="A40" s="256">
        <v>33</v>
      </c>
      <c r="B40" s="257" t="s">
        <v>1419</v>
      </c>
      <c r="C40" s="276">
        <v>44408</v>
      </c>
      <c r="D40" s="257" t="s">
        <v>1266</v>
      </c>
      <c r="E40" s="256" t="s">
        <v>1824</v>
      </c>
      <c r="F40" s="256" t="s">
        <v>1609</v>
      </c>
      <c r="G40" s="258">
        <v>17865000000</v>
      </c>
      <c r="H40" s="265">
        <v>0.1</v>
      </c>
      <c r="I40" s="258">
        <v>1786500000</v>
      </c>
      <c r="J40" s="258">
        <v>19651500000</v>
      </c>
      <c r="K40" s="256" t="s">
        <v>1346</v>
      </c>
    </row>
    <row r="41" spans="1:11" x14ac:dyDescent="0.3">
      <c r="A41" s="256">
        <v>34</v>
      </c>
      <c r="B41" s="257" t="s">
        <v>1394</v>
      </c>
      <c r="C41" s="276">
        <v>44439</v>
      </c>
      <c r="D41" s="257" t="s">
        <v>1286</v>
      </c>
      <c r="E41" s="256" t="s">
        <v>1828</v>
      </c>
      <c r="F41" s="256" t="s">
        <v>1876</v>
      </c>
      <c r="G41" s="258">
        <v>15915000000</v>
      </c>
      <c r="H41" s="265">
        <v>0.1</v>
      </c>
      <c r="I41" s="258">
        <v>1591500000</v>
      </c>
      <c r="J41" s="258">
        <v>17506500000</v>
      </c>
      <c r="K41" s="256" t="s">
        <v>1346</v>
      </c>
    </row>
    <row r="42" spans="1:11" x14ac:dyDescent="0.3">
      <c r="A42" s="256">
        <v>35</v>
      </c>
      <c r="B42" s="257" t="s">
        <v>1411</v>
      </c>
      <c r="C42" s="276">
        <v>44500</v>
      </c>
      <c r="D42" s="257" t="s">
        <v>1269</v>
      </c>
      <c r="E42" s="256" t="s">
        <v>1823</v>
      </c>
      <c r="F42" s="256" t="s">
        <v>1609</v>
      </c>
      <c r="G42" s="258">
        <v>24124000000</v>
      </c>
      <c r="H42" s="265">
        <v>0.1</v>
      </c>
      <c r="I42" s="258">
        <v>2412400000</v>
      </c>
      <c r="J42" s="258">
        <v>26536400000</v>
      </c>
      <c r="K42" s="256" t="s">
        <v>1346</v>
      </c>
    </row>
    <row r="43" spans="1:11" x14ac:dyDescent="0.3">
      <c r="A43" s="256">
        <v>36</v>
      </c>
      <c r="B43" s="257" t="s">
        <v>1466</v>
      </c>
      <c r="C43" s="276">
        <v>44561</v>
      </c>
      <c r="D43" s="257" t="s">
        <v>1263</v>
      </c>
      <c r="E43" s="256" t="s">
        <v>1790</v>
      </c>
      <c r="F43" s="256" t="s">
        <v>1877</v>
      </c>
      <c r="G43" s="258">
        <v>14260000000</v>
      </c>
      <c r="H43" s="265">
        <v>0.1</v>
      </c>
      <c r="I43" s="258">
        <v>1426000000</v>
      </c>
      <c r="J43" s="258">
        <v>15686000000</v>
      </c>
      <c r="K43" s="256" t="s">
        <v>1348</v>
      </c>
    </row>
    <row r="44" spans="1:11" x14ac:dyDescent="0.3">
      <c r="A44" s="256">
        <v>37</v>
      </c>
      <c r="B44" s="257" t="s">
        <v>1465</v>
      </c>
      <c r="C44" s="276">
        <v>44561</v>
      </c>
      <c r="D44" s="257" t="s">
        <v>1256</v>
      </c>
      <c r="E44" s="256" t="s">
        <v>1802</v>
      </c>
      <c r="F44" s="256" t="s">
        <v>1879</v>
      </c>
      <c r="G44" s="258">
        <v>7305000000</v>
      </c>
      <c r="H44" s="265">
        <v>0.1</v>
      </c>
      <c r="I44" s="258">
        <v>730500000</v>
      </c>
      <c r="J44" s="258">
        <v>8035500000</v>
      </c>
      <c r="K44" s="256" t="s">
        <v>1346</v>
      </c>
    </row>
    <row r="45" spans="1:11" x14ac:dyDescent="0.3">
      <c r="A45" s="256">
        <v>38</v>
      </c>
      <c r="B45" s="257" t="s">
        <v>1460</v>
      </c>
      <c r="C45" s="276">
        <v>44561</v>
      </c>
      <c r="D45" s="257" t="s">
        <v>1268</v>
      </c>
      <c r="E45" s="256" t="s">
        <v>1821</v>
      </c>
      <c r="F45" s="256" t="s">
        <v>1876</v>
      </c>
      <c r="G45" s="258">
        <v>19695000000</v>
      </c>
      <c r="H45" s="265">
        <v>0.1</v>
      </c>
      <c r="I45" s="258">
        <v>1969500000</v>
      </c>
      <c r="J45" s="258">
        <v>21664500000</v>
      </c>
      <c r="K45" s="256" t="s">
        <v>1346</v>
      </c>
    </row>
    <row r="46" spans="1:11" x14ac:dyDescent="0.3">
      <c r="A46" s="256">
        <v>39</v>
      </c>
      <c r="B46" s="257" t="s">
        <v>1461</v>
      </c>
      <c r="C46" s="276">
        <v>44561</v>
      </c>
      <c r="D46" s="257" t="s">
        <v>1268</v>
      </c>
      <c r="E46" s="256" t="s">
        <v>1821</v>
      </c>
      <c r="F46" s="256" t="s">
        <v>1876</v>
      </c>
      <c r="G46" s="258">
        <v>13212000000</v>
      </c>
      <c r="H46" s="265">
        <v>0.1</v>
      </c>
      <c r="I46" s="258">
        <v>1321200000</v>
      </c>
      <c r="J46" s="258">
        <v>14533200000</v>
      </c>
      <c r="K46" s="256" t="s">
        <v>1346</v>
      </c>
    </row>
    <row r="47" spans="1:11" x14ac:dyDescent="0.3">
      <c r="A47" s="256">
        <v>40</v>
      </c>
      <c r="B47" s="257" t="s">
        <v>1466</v>
      </c>
      <c r="C47" s="276">
        <v>44561</v>
      </c>
      <c r="D47" s="257" t="s">
        <v>1275</v>
      </c>
      <c r="E47" s="256" t="s">
        <v>1808</v>
      </c>
      <c r="F47" s="256" t="s">
        <v>1609</v>
      </c>
      <c r="G47" s="258">
        <v>22481000000</v>
      </c>
      <c r="H47" s="265">
        <v>0.1</v>
      </c>
      <c r="I47" s="258">
        <v>2248100000</v>
      </c>
      <c r="J47" s="258">
        <v>24729100000</v>
      </c>
      <c r="K47" s="256" t="s">
        <v>1346</v>
      </c>
    </row>
    <row r="48" spans="1:11" x14ac:dyDescent="0.3">
      <c r="A48" s="256">
        <v>41</v>
      </c>
      <c r="B48" s="257" t="s">
        <v>1464</v>
      </c>
      <c r="C48" s="276">
        <v>44561</v>
      </c>
      <c r="D48" s="257" t="s">
        <v>1271</v>
      </c>
      <c r="E48" s="256" t="s">
        <v>1799</v>
      </c>
      <c r="F48" s="256" t="s">
        <v>1609</v>
      </c>
      <c r="G48" s="258">
        <v>16722000000</v>
      </c>
      <c r="H48" s="265">
        <v>0.1</v>
      </c>
      <c r="I48" s="258">
        <v>1672200000</v>
      </c>
      <c r="J48" s="258">
        <v>18394200000</v>
      </c>
      <c r="K48" s="256" t="s">
        <v>1346</v>
      </c>
    </row>
    <row r="49" spans="1:11" x14ac:dyDescent="0.3">
      <c r="A49" s="256">
        <v>42</v>
      </c>
      <c r="B49" s="257" t="s">
        <v>1465</v>
      </c>
      <c r="C49" s="276">
        <v>44561</v>
      </c>
      <c r="D49" s="257" t="s">
        <v>1272</v>
      </c>
      <c r="E49" s="256" t="s">
        <v>1805</v>
      </c>
      <c r="F49" s="256" t="s">
        <v>1880</v>
      </c>
      <c r="G49" s="258">
        <v>21460000000</v>
      </c>
      <c r="H49" s="265">
        <v>0.1</v>
      </c>
      <c r="I49" s="258">
        <v>2146000000</v>
      </c>
      <c r="J49" s="258">
        <v>23606000000</v>
      </c>
      <c r="K49" s="256" t="s">
        <v>1346</v>
      </c>
    </row>
    <row r="50" spans="1:11" x14ac:dyDescent="0.3">
      <c r="A50" s="256">
        <v>43</v>
      </c>
      <c r="B50" s="257" t="s">
        <v>1208</v>
      </c>
      <c r="C50" s="276">
        <v>44561</v>
      </c>
      <c r="D50" s="257" t="s">
        <v>1289</v>
      </c>
      <c r="E50" s="256" t="s">
        <v>1803</v>
      </c>
      <c r="F50" s="256" t="s">
        <v>1876</v>
      </c>
      <c r="G50" s="258">
        <v>7116000000</v>
      </c>
      <c r="H50" s="265">
        <v>0.1</v>
      </c>
      <c r="I50" s="258">
        <v>711600000</v>
      </c>
      <c r="J50" s="258">
        <v>7827600000</v>
      </c>
      <c r="K50" s="256" t="s">
        <v>1346</v>
      </c>
    </row>
    <row r="51" spans="1:11" x14ac:dyDescent="0.3">
      <c r="A51" s="256">
        <v>44</v>
      </c>
      <c r="B51" s="257" t="s">
        <v>1468</v>
      </c>
      <c r="C51" s="276">
        <v>44561</v>
      </c>
      <c r="D51" s="257" t="s">
        <v>1270</v>
      </c>
      <c r="E51" s="256" t="s">
        <v>1782</v>
      </c>
      <c r="F51" s="256" t="s">
        <v>1880</v>
      </c>
      <c r="G51" s="258">
        <v>20565000000</v>
      </c>
      <c r="H51" s="265">
        <v>0.1</v>
      </c>
      <c r="I51" s="258">
        <v>2056500000</v>
      </c>
      <c r="J51" s="258">
        <v>22621500000</v>
      </c>
      <c r="K51" s="256" t="s">
        <v>1346</v>
      </c>
    </row>
    <row r="52" spans="1:11" x14ac:dyDescent="0.3">
      <c r="A52" s="256">
        <v>45</v>
      </c>
      <c r="B52" s="257" t="s">
        <v>1415</v>
      </c>
      <c r="C52" s="276">
        <v>44561</v>
      </c>
      <c r="D52" s="257" t="s">
        <v>1255</v>
      </c>
      <c r="E52" s="273">
        <v>46152</v>
      </c>
      <c r="F52" s="256" t="s">
        <v>1880</v>
      </c>
      <c r="G52" s="258">
        <v>8072000000</v>
      </c>
      <c r="H52" s="265">
        <v>0.1</v>
      </c>
      <c r="I52" s="258">
        <v>807200000</v>
      </c>
      <c r="J52" s="258">
        <v>8879200000</v>
      </c>
      <c r="K52" s="256" t="s">
        <v>1346</v>
      </c>
    </row>
    <row r="53" spans="1:11" x14ac:dyDescent="0.3">
      <c r="A53" s="256">
        <v>46</v>
      </c>
      <c r="B53" s="257" t="s">
        <v>1462</v>
      </c>
      <c r="C53" s="276">
        <v>44561</v>
      </c>
      <c r="D53" s="257" t="s">
        <v>1268</v>
      </c>
      <c r="E53" s="256" t="s">
        <v>1821</v>
      </c>
      <c r="F53" s="256" t="s">
        <v>1876</v>
      </c>
      <c r="G53" s="258">
        <v>23782000000</v>
      </c>
      <c r="H53" s="265">
        <v>0.1</v>
      </c>
      <c r="I53" s="258">
        <v>2378200000</v>
      </c>
      <c r="J53" s="258">
        <v>26160200000</v>
      </c>
      <c r="K53" s="256" t="s">
        <v>1346</v>
      </c>
    </row>
    <row r="54" spans="1:11" x14ac:dyDescent="0.3">
      <c r="A54" s="256">
        <v>47</v>
      </c>
      <c r="B54" s="257" t="s">
        <v>1391</v>
      </c>
      <c r="C54" s="276">
        <v>44561</v>
      </c>
      <c r="D54" s="257" t="s">
        <v>1296</v>
      </c>
      <c r="E54" s="256" t="s">
        <v>1807</v>
      </c>
      <c r="F54" s="256" t="s">
        <v>1877</v>
      </c>
      <c r="G54" s="258">
        <v>21464000000</v>
      </c>
      <c r="H54" s="265">
        <v>0.1</v>
      </c>
      <c r="I54" s="258">
        <v>2146400000</v>
      </c>
      <c r="J54" s="258">
        <v>23610400000</v>
      </c>
      <c r="K54" s="256" t="s">
        <v>1346</v>
      </c>
    </row>
    <row r="55" spans="1:11" x14ac:dyDescent="0.3">
      <c r="A55" s="256">
        <v>48</v>
      </c>
      <c r="B55" s="257" t="s">
        <v>1463</v>
      </c>
      <c r="C55" s="276">
        <v>44561</v>
      </c>
      <c r="D55" s="257" t="s">
        <v>1304</v>
      </c>
      <c r="E55" s="256" t="s">
        <v>1831</v>
      </c>
      <c r="F55" s="256" t="s">
        <v>1609</v>
      </c>
      <c r="G55" s="258">
        <v>21198000000</v>
      </c>
      <c r="H55" s="265">
        <v>0.1</v>
      </c>
      <c r="I55" s="258">
        <v>2119800000</v>
      </c>
      <c r="J55" s="258">
        <v>23317800000</v>
      </c>
      <c r="K55" s="256" t="s">
        <v>1348</v>
      </c>
    </row>
    <row r="56" spans="1:11" x14ac:dyDescent="0.3">
      <c r="A56" s="256">
        <v>49</v>
      </c>
      <c r="B56" s="257" t="s">
        <v>1464</v>
      </c>
      <c r="C56" s="276">
        <v>44561</v>
      </c>
      <c r="D56" s="257" t="s">
        <v>1273</v>
      </c>
      <c r="E56" s="256" t="s">
        <v>1829</v>
      </c>
      <c r="F56" s="256" t="s">
        <v>1609</v>
      </c>
      <c r="G56" s="258">
        <v>17884000000</v>
      </c>
      <c r="H56" s="265">
        <v>0.1</v>
      </c>
      <c r="I56" s="258">
        <v>1788400000</v>
      </c>
      <c r="J56" s="258">
        <v>19672400000</v>
      </c>
      <c r="K56" s="256" t="s">
        <v>1346</v>
      </c>
    </row>
    <row r="57" spans="1:11" x14ac:dyDescent="0.3">
      <c r="A57" s="256">
        <v>50</v>
      </c>
      <c r="B57" s="257" t="s">
        <v>1466</v>
      </c>
      <c r="C57" s="276">
        <v>44561</v>
      </c>
      <c r="D57" s="257" t="s">
        <v>1272</v>
      </c>
      <c r="E57" s="256" t="s">
        <v>1805</v>
      </c>
      <c r="F57" s="256" t="s">
        <v>1880</v>
      </c>
      <c r="G57" s="258">
        <v>21407000000</v>
      </c>
      <c r="H57" s="265">
        <v>0.1</v>
      </c>
      <c r="I57" s="258">
        <v>2140700000</v>
      </c>
      <c r="J57" s="258">
        <v>23547700000</v>
      </c>
      <c r="K57" s="256" t="s">
        <v>1348</v>
      </c>
    </row>
    <row r="58" spans="1:11" x14ac:dyDescent="0.3">
      <c r="A58" s="266" t="s">
        <v>1351</v>
      </c>
      <c r="B58" s="266"/>
      <c r="C58" s="266"/>
      <c r="D58" s="266"/>
      <c r="E58" s="266"/>
      <c r="F58" s="266"/>
      <c r="G58" s="267">
        <f>SUM(G8:G57)</f>
        <v>807517000000</v>
      </c>
      <c r="H58" s="266"/>
      <c r="I58" s="267">
        <f>SUM(I8:I57)</f>
        <v>77761900000</v>
      </c>
      <c r="J58" s="267">
        <f>SUM(J8:J57)</f>
        <v>885278900000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1268</v>
      </c>
      <c r="E62" s="256" t="s">
        <v>1821</v>
      </c>
      <c r="F62" s="256" t="s">
        <v>1884</v>
      </c>
      <c r="G62" s="258">
        <v>14803000000</v>
      </c>
      <c r="H62" s="265">
        <v>0.1</v>
      </c>
      <c r="I62" s="258">
        <v>1480300000</v>
      </c>
      <c r="J62" s="258">
        <v>16283300000</v>
      </c>
      <c r="K62" s="256" t="s">
        <v>1346</v>
      </c>
    </row>
    <row r="63" spans="1:11" x14ac:dyDescent="0.3">
      <c r="A63" s="256">
        <v>2</v>
      </c>
      <c r="B63" s="257" t="s">
        <v>1201</v>
      </c>
      <c r="C63" s="276">
        <v>44318</v>
      </c>
      <c r="D63" s="257" t="s">
        <v>1258</v>
      </c>
      <c r="E63" s="256" t="s">
        <v>1833</v>
      </c>
      <c r="F63" s="256" t="s">
        <v>1882</v>
      </c>
      <c r="G63" s="258">
        <v>12478000000</v>
      </c>
      <c r="H63" s="265">
        <v>0.1</v>
      </c>
      <c r="I63" s="258">
        <v>1247800000</v>
      </c>
      <c r="J63" s="258">
        <v>13725800000</v>
      </c>
      <c r="K63" s="256" t="s">
        <v>1346</v>
      </c>
    </row>
    <row r="64" spans="1:11" x14ac:dyDescent="0.3">
      <c r="A64" s="256">
        <v>3</v>
      </c>
      <c r="B64" s="257" t="s">
        <v>1202</v>
      </c>
      <c r="C64" s="276">
        <v>44472</v>
      </c>
      <c r="D64" s="257" t="s">
        <v>1257</v>
      </c>
      <c r="E64" s="256" t="s">
        <v>1815</v>
      </c>
      <c r="F64" s="256" t="s">
        <v>1881</v>
      </c>
      <c r="G64" s="258">
        <v>20706000000</v>
      </c>
      <c r="H64" s="265">
        <v>0.1</v>
      </c>
      <c r="I64" s="258">
        <v>2070600000</v>
      </c>
      <c r="J64" s="258">
        <v>22776600000</v>
      </c>
      <c r="K64" s="256" t="s">
        <v>1346</v>
      </c>
    </row>
    <row r="65" spans="1:11" x14ac:dyDescent="0.3">
      <c r="A65" s="256">
        <v>4</v>
      </c>
      <c r="B65" s="257" t="s">
        <v>1355</v>
      </c>
      <c r="C65" s="276">
        <v>44473</v>
      </c>
      <c r="D65" s="257" t="s">
        <v>1266</v>
      </c>
      <c r="E65" s="256" t="s">
        <v>1824</v>
      </c>
      <c r="F65" s="256" t="s">
        <v>1883</v>
      </c>
      <c r="G65" s="258">
        <v>31610000000</v>
      </c>
      <c r="H65" s="265">
        <v>0.1</v>
      </c>
      <c r="I65" s="258">
        <v>3161000000</v>
      </c>
      <c r="J65" s="258">
        <v>34771000000</v>
      </c>
      <c r="K65" s="256" t="s">
        <v>1346</v>
      </c>
    </row>
    <row r="66" spans="1:11" x14ac:dyDescent="0.3">
      <c r="A66" s="256">
        <v>5</v>
      </c>
      <c r="B66" s="257" t="s">
        <v>1356</v>
      </c>
      <c r="C66" s="276">
        <v>44474</v>
      </c>
      <c r="D66" s="257" t="s">
        <v>1304</v>
      </c>
      <c r="E66" s="256" t="s">
        <v>1831</v>
      </c>
      <c r="F66" s="256" t="s">
        <v>1881</v>
      </c>
      <c r="G66" s="258">
        <v>15242000000</v>
      </c>
      <c r="H66" s="265">
        <v>0.1</v>
      </c>
      <c r="I66" s="258">
        <v>1524200000</v>
      </c>
      <c r="J66" s="258">
        <v>16766200000</v>
      </c>
      <c r="K66" s="256" t="s">
        <v>1346</v>
      </c>
    </row>
    <row r="67" spans="1:11" x14ac:dyDescent="0.3">
      <c r="A67" s="256">
        <v>6</v>
      </c>
      <c r="B67" s="257" t="s">
        <v>1358</v>
      </c>
      <c r="C67" s="276">
        <v>44475</v>
      </c>
      <c r="D67" s="257" t="s">
        <v>1257</v>
      </c>
      <c r="E67" s="256" t="s">
        <v>1815</v>
      </c>
      <c r="F67" s="256" t="s">
        <v>1882</v>
      </c>
      <c r="G67" s="258">
        <v>13518000000</v>
      </c>
      <c r="H67" s="265">
        <v>0.1</v>
      </c>
      <c r="I67" s="258">
        <v>1351800000</v>
      </c>
      <c r="J67" s="258">
        <v>14869800000</v>
      </c>
      <c r="K67" s="256" t="s">
        <v>1346</v>
      </c>
    </row>
    <row r="68" spans="1:11" x14ac:dyDescent="0.3">
      <c r="A68" s="256">
        <v>7</v>
      </c>
      <c r="B68" s="257" t="s">
        <v>1360</v>
      </c>
      <c r="C68" s="276">
        <v>44476</v>
      </c>
      <c r="D68" s="257" t="s">
        <v>1297</v>
      </c>
      <c r="E68" s="256" t="s">
        <v>1820</v>
      </c>
      <c r="F68" s="256" t="s">
        <v>1883</v>
      </c>
      <c r="G68" s="258">
        <v>31713000000</v>
      </c>
      <c r="H68" s="265">
        <v>0.1</v>
      </c>
      <c r="I68" s="258">
        <v>3171300000</v>
      </c>
      <c r="J68" s="258">
        <v>34884300000</v>
      </c>
      <c r="K68" s="256" t="s">
        <v>1346</v>
      </c>
    </row>
    <row r="69" spans="1:11" x14ac:dyDescent="0.3">
      <c r="A69" s="256">
        <v>8</v>
      </c>
      <c r="B69" s="257" t="s">
        <v>1362</v>
      </c>
      <c r="C69" s="276">
        <v>44477</v>
      </c>
      <c r="D69" s="257" t="s">
        <v>1262</v>
      </c>
      <c r="E69" s="256" t="s">
        <v>1816</v>
      </c>
      <c r="F69" s="256" t="s">
        <v>1882</v>
      </c>
      <c r="G69" s="258">
        <v>9009000000</v>
      </c>
      <c r="H69" s="265">
        <v>0.1</v>
      </c>
      <c r="I69" s="258">
        <v>900900000</v>
      </c>
      <c r="J69" s="258">
        <v>9909900000</v>
      </c>
      <c r="K69" s="256" t="s">
        <v>1348</v>
      </c>
    </row>
    <row r="70" spans="1:11" x14ac:dyDescent="0.3">
      <c r="A70" s="256">
        <v>9</v>
      </c>
      <c r="B70" s="257" t="s">
        <v>1364</v>
      </c>
      <c r="C70" s="276">
        <v>44478</v>
      </c>
      <c r="D70" s="257" t="s">
        <v>1287</v>
      </c>
      <c r="E70" s="256" t="s">
        <v>1801</v>
      </c>
      <c r="F70" s="256" t="s">
        <v>1884</v>
      </c>
      <c r="G70" s="258">
        <v>13910000000</v>
      </c>
      <c r="H70" s="265">
        <v>0.1</v>
      </c>
      <c r="I70" s="258">
        <v>1391000000</v>
      </c>
      <c r="J70" s="258">
        <v>15301000000</v>
      </c>
      <c r="K70" s="256" t="s">
        <v>1346</v>
      </c>
    </row>
    <row r="71" spans="1:11" x14ac:dyDescent="0.3">
      <c r="A71" s="256">
        <v>10</v>
      </c>
      <c r="B71" s="257" t="s">
        <v>1366</v>
      </c>
      <c r="C71" s="276">
        <v>44479</v>
      </c>
      <c r="D71" s="257" t="s">
        <v>1258</v>
      </c>
      <c r="E71" s="256" t="s">
        <v>1833</v>
      </c>
      <c r="F71" s="256" t="s">
        <v>1883</v>
      </c>
      <c r="G71" s="258">
        <v>32916000000</v>
      </c>
      <c r="H71" s="265">
        <v>0.1</v>
      </c>
      <c r="I71" s="258">
        <v>3291600000</v>
      </c>
      <c r="J71" s="258">
        <v>36207600000</v>
      </c>
      <c r="K71" s="256" t="s">
        <v>1346</v>
      </c>
    </row>
    <row r="72" spans="1:11" x14ac:dyDescent="0.3">
      <c r="A72" s="256">
        <v>11</v>
      </c>
      <c r="B72" s="257" t="s">
        <v>1368</v>
      </c>
      <c r="C72" s="276">
        <v>44480</v>
      </c>
      <c r="D72" s="257" t="s">
        <v>1266</v>
      </c>
      <c r="E72" s="256" t="s">
        <v>1824</v>
      </c>
      <c r="F72" s="256" t="s">
        <v>1884</v>
      </c>
      <c r="G72" s="258">
        <v>16926000000</v>
      </c>
      <c r="H72" s="265">
        <v>0.1</v>
      </c>
      <c r="I72" s="258">
        <v>1692600000</v>
      </c>
      <c r="J72" s="258">
        <v>18618600000</v>
      </c>
      <c r="K72" s="256" t="s">
        <v>1346</v>
      </c>
    </row>
    <row r="73" spans="1:11" x14ac:dyDescent="0.3">
      <c r="A73" s="256">
        <v>12</v>
      </c>
      <c r="B73" s="257" t="s">
        <v>1371</v>
      </c>
      <c r="C73" s="276">
        <v>44481</v>
      </c>
      <c r="D73" s="257" t="s">
        <v>1258</v>
      </c>
      <c r="E73" s="256" t="s">
        <v>1833</v>
      </c>
      <c r="F73" s="256" t="s">
        <v>1884</v>
      </c>
      <c r="G73" s="258">
        <v>32353000000</v>
      </c>
      <c r="H73" s="265">
        <v>0.1</v>
      </c>
      <c r="I73" s="258">
        <v>3235300000</v>
      </c>
      <c r="J73" s="258">
        <v>35588300000</v>
      </c>
      <c r="K73" s="256" t="s">
        <v>1346</v>
      </c>
    </row>
    <row r="74" spans="1:11" x14ac:dyDescent="0.3">
      <c r="A74" s="256">
        <v>13</v>
      </c>
      <c r="B74" s="257" t="s">
        <v>1373</v>
      </c>
      <c r="C74" s="276">
        <v>44211</v>
      </c>
      <c r="D74" s="257" t="s">
        <v>1296</v>
      </c>
      <c r="E74" s="256" t="s">
        <v>1807</v>
      </c>
      <c r="F74" s="256" t="s">
        <v>1882</v>
      </c>
      <c r="G74" s="258">
        <v>30723000000</v>
      </c>
      <c r="H74" s="265">
        <v>0.1</v>
      </c>
      <c r="I74" s="258">
        <v>3072300000</v>
      </c>
      <c r="J74" s="258">
        <v>33795300000</v>
      </c>
      <c r="K74" s="256" t="s">
        <v>1346</v>
      </c>
    </row>
    <row r="75" spans="1:11" x14ac:dyDescent="0.3">
      <c r="A75" s="256">
        <v>14</v>
      </c>
      <c r="B75" s="257" t="s">
        <v>1374</v>
      </c>
      <c r="C75" s="276">
        <v>44242</v>
      </c>
      <c r="D75" s="257" t="s">
        <v>1301</v>
      </c>
      <c r="E75" s="256" t="s">
        <v>1781</v>
      </c>
      <c r="F75" s="256" t="s">
        <v>1881</v>
      </c>
      <c r="G75" s="258">
        <v>29125000000</v>
      </c>
      <c r="H75" s="265">
        <v>0</v>
      </c>
      <c r="I75" s="258">
        <v>0</v>
      </c>
      <c r="J75" s="258">
        <v>29125000000</v>
      </c>
      <c r="K75" s="256" t="s">
        <v>1346</v>
      </c>
    </row>
    <row r="76" spans="1:11" x14ac:dyDescent="0.3">
      <c r="A76" s="256">
        <v>15</v>
      </c>
      <c r="B76" s="257" t="s">
        <v>1376</v>
      </c>
      <c r="C76" s="276">
        <v>44275</v>
      </c>
      <c r="D76" s="257" t="s">
        <v>1297</v>
      </c>
      <c r="E76" s="256" t="s">
        <v>1820</v>
      </c>
      <c r="F76" s="256" t="s">
        <v>1884</v>
      </c>
      <c r="G76" s="258">
        <v>31085000000</v>
      </c>
      <c r="H76" s="265">
        <v>0.1</v>
      </c>
      <c r="I76" s="258">
        <v>3108500000</v>
      </c>
      <c r="J76" s="258">
        <v>34193500000</v>
      </c>
      <c r="K76" s="256" t="s">
        <v>1346</v>
      </c>
    </row>
    <row r="77" spans="1:11" x14ac:dyDescent="0.3">
      <c r="A77" s="256">
        <v>16</v>
      </c>
      <c r="B77" s="257" t="s">
        <v>1378</v>
      </c>
      <c r="C77" s="276">
        <v>44306</v>
      </c>
      <c r="D77" s="257" t="s">
        <v>1300</v>
      </c>
      <c r="E77" s="256" t="s">
        <v>1818</v>
      </c>
      <c r="F77" s="256" t="s">
        <v>1882</v>
      </c>
      <c r="G77" s="258">
        <v>33319000000</v>
      </c>
      <c r="H77" s="265">
        <v>0.1</v>
      </c>
      <c r="I77" s="258">
        <v>3331900000</v>
      </c>
      <c r="J77" s="258">
        <v>36650900000</v>
      </c>
      <c r="K77" s="256" t="s">
        <v>1346</v>
      </c>
    </row>
    <row r="78" spans="1:11" x14ac:dyDescent="0.3">
      <c r="A78" s="256">
        <v>17</v>
      </c>
      <c r="B78" s="257" t="s">
        <v>1379</v>
      </c>
      <c r="C78" s="276">
        <v>44336</v>
      </c>
      <c r="D78" s="257" t="s">
        <v>1274</v>
      </c>
      <c r="E78" s="256" t="s">
        <v>1794</v>
      </c>
      <c r="F78" s="256" t="s">
        <v>1882</v>
      </c>
      <c r="G78" s="258">
        <v>15876000000</v>
      </c>
      <c r="H78" s="265">
        <v>0.1</v>
      </c>
      <c r="I78" s="258">
        <v>1587600000</v>
      </c>
      <c r="J78" s="258">
        <v>17463600000</v>
      </c>
      <c r="K78" s="256" t="s">
        <v>1346</v>
      </c>
    </row>
    <row r="79" spans="1:11" x14ac:dyDescent="0.3">
      <c r="A79" s="256">
        <v>18</v>
      </c>
      <c r="B79" s="257" t="s">
        <v>1381</v>
      </c>
      <c r="C79" s="276">
        <v>44367</v>
      </c>
      <c r="D79" s="257" t="s">
        <v>1303</v>
      </c>
      <c r="E79" s="256" t="s">
        <v>1817</v>
      </c>
      <c r="F79" s="256" t="s">
        <v>1881</v>
      </c>
      <c r="G79" s="258">
        <v>15317000000</v>
      </c>
      <c r="H79" s="265">
        <v>0.1</v>
      </c>
      <c r="I79" s="258">
        <v>1531700000</v>
      </c>
      <c r="J79" s="258">
        <v>16848700000</v>
      </c>
      <c r="K79" s="256" t="s">
        <v>1346</v>
      </c>
    </row>
    <row r="80" spans="1:11" x14ac:dyDescent="0.3">
      <c r="A80" s="256">
        <v>19</v>
      </c>
      <c r="B80" s="257" t="s">
        <v>1382</v>
      </c>
      <c r="C80" s="276">
        <v>44397</v>
      </c>
      <c r="D80" s="257" t="s">
        <v>1267</v>
      </c>
      <c r="E80" s="256" t="s">
        <v>1810</v>
      </c>
      <c r="F80" s="256" t="s">
        <v>1883</v>
      </c>
      <c r="G80" s="258">
        <v>20385000000</v>
      </c>
      <c r="H80" s="265">
        <v>0.1</v>
      </c>
      <c r="I80" s="258">
        <v>2038500000</v>
      </c>
      <c r="J80" s="258">
        <v>22423500000</v>
      </c>
      <c r="K80" s="256" t="s">
        <v>1346</v>
      </c>
    </row>
    <row r="81" spans="1:11" x14ac:dyDescent="0.3">
      <c r="A81" s="256">
        <v>20</v>
      </c>
      <c r="B81" s="257" t="s">
        <v>1383</v>
      </c>
      <c r="C81" s="276">
        <v>44428</v>
      </c>
      <c r="D81" s="257" t="s">
        <v>1256</v>
      </c>
      <c r="E81" s="256" t="s">
        <v>1802</v>
      </c>
      <c r="F81" s="256" t="s">
        <v>1881</v>
      </c>
      <c r="G81" s="258">
        <v>11372000000</v>
      </c>
      <c r="H81" s="265">
        <v>0.1</v>
      </c>
      <c r="I81" s="258">
        <v>1137200000</v>
      </c>
      <c r="J81" s="258">
        <v>12509200000</v>
      </c>
      <c r="K81" s="256" t="s">
        <v>1346</v>
      </c>
    </row>
    <row r="82" spans="1:11" x14ac:dyDescent="0.3">
      <c r="A82" s="256">
        <v>21</v>
      </c>
      <c r="B82" s="257" t="s">
        <v>1203</v>
      </c>
      <c r="C82" s="276">
        <v>44459</v>
      </c>
      <c r="D82" s="257" t="s">
        <v>1286</v>
      </c>
      <c r="E82" s="256" t="s">
        <v>1828</v>
      </c>
      <c r="F82" s="256" t="s">
        <v>1881</v>
      </c>
      <c r="G82" s="258">
        <v>33691000000</v>
      </c>
      <c r="H82" s="265">
        <v>0.1</v>
      </c>
      <c r="I82" s="258">
        <v>3369100000</v>
      </c>
      <c r="J82" s="258">
        <v>37060100000</v>
      </c>
      <c r="K82" s="256" t="s">
        <v>1346</v>
      </c>
    </row>
    <row r="83" spans="1:11" x14ac:dyDescent="0.3">
      <c r="A83" s="256">
        <v>22</v>
      </c>
      <c r="B83" s="257" t="s">
        <v>1204</v>
      </c>
      <c r="C83" s="276">
        <v>44489</v>
      </c>
      <c r="D83" s="257" t="s">
        <v>1299</v>
      </c>
      <c r="E83" s="256" t="s">
        <v>1776</v>
      </c>
      <c r="F83" s="256" t="s">
        <v>1882</v>
      </c>
      <c r="G83" s="258">
        <v>16102000000</v>
      </c>
      <c r="H83" s="265">
        <v>0.1</v>
      </c>
      <c r="I83" s="258">
        <v>1610200000</v>
      </c>
      <c r="J83" s="258">
        <v>17712200000</v>
      </c>
      <c r="K83" s="256" t="s">
        <v>1348</v>
      </c>
    </row>
    <row r="84" spans="1:11" x14ac:dyDescent="0.3">
      <c r="A84" s="256">
        <v>23</v>
      </c>
      <c r="B84" s="257" t="s">
        <v>1205</v>
      </c>
      <c r="C84" s="276">
        <v>44520</v>
      </c>
      <c r="D84" s="257" t="s">
        <v>1290</v>
      </c>
      <c r="E84" s="256" t="s">
        <v>1796</v>
      </c>
      <c r="F84" s="256" t="s">
        <v>1881</v>
      </c>
      <c r="G84" s="258">
        <v>33587000000</v>
      </c>
      <c r="H84" s="265">
        <v>0</v>
      </c>
      <c r="I84" s="258">
        <v>0</v>
      </c>
      <c r="J84" s="258">
        <v>33587000000</v>
      </c>
      <c r="K84" s="256" t="s">
        <v>1346</v>
      </c>
    </row>
    <row r="85" spans="1:11" x14ac:dyDescent="0.3">
      <c r="A85" s="256">
        <v>24</v>
      </c>
      <c r="B85" s="257" t="s">
        <v>1385</v>
      </c>
      <c r="C85" s="276">
        <v>44550</v>
      </c>
      <c r="D85" s="257" t="s">
        <v>1256</v>
      </c>
      <c r="E85" s="256" t="s">
        <v>1802</v>
      </c>
      <c r="F85" s="256" t="s">
        <v>1884</v>
      </c>
      <c r="G85" s="258">
        <v>20250000000</v>
      </c>
      <c r="H85" s="265">
        <v>0.1</v>
      </c>
      <c r="I85" s="258">
        <v>2025000000</v>
      </c>
      <c r="J85" s="258">
        <v>22275000000</v>
      </c>
      <c r="K85" s="256" t="s">
        <v>1346</v>
      </c>
    </row>
    <row r="86" spans="1:11" x14ac:dyDescent="0.3">
      <c r="A86" s="256">
        <v>25</v>
      </c>
      <c r="B86" s="257" t="s">
        <v>1387</v>
      </c>
      <c r="C86" s="276">
        <v>44221</v>
      </c>
      <c r="D86" s="257" t="s">
        <v>1286</v>
      </c>
      <c r="E86" s="256" t="s">
        <v>1828</v>
      </c>
      <c r="F86" s="256" t="s">
        <v>1882</v>
      </c>
      <c r="G86" s="258">
        <v>11281000000</v>
      </c>
      <c r="H86" s="265">
        <v>0.1</v>
      </c>
      <c r="I86" s="258">
        <v>1128100000</v>
      </c>
      <c r="J86" s="258">
        <v>12409100000</v>
      </c>
      <c r="K86" s="256" t="s">
        <v>1346</v>
      </c>
    </row>
    <row r="87" spans="1:11" x14ac:dyDescent="0.3">
      <c r="A87" s="256">
        <v>26</v>
      </c>
      <c r="B87" s="257" t="s">
        <v>1388</v>
      </c>
      <c r="C87" s="276">
        <v>44255</v>
      </c>
      <c r="D87" s="257" t="s">
        <v>1295</v>
      </c>
      <c r="E87" s="256" t="s">
        <v>1825</v>
      </c>
      <c r="F87" s="256" t="s">
        <v>1882</v>
      </c>
      <c r="G87" s="258">
        <v>27526000000</v>
      </c>
      <c r="H87" s="265">
        <v>0.1</v>
      </c>
      <c r="I87" s="258">
        <v>2752600000</v>
      </c>
      <c r="J87" s="258">
        <v>30278600000</v>
      </c>
      <c r="K87" s="256" t="s">
        <v>1346</v>
      </c>
    </row>
    <row r="88" spans="1:11" x14ac:dyDescent="0.3">
      <c r="A88" s="256">
        <v>27</v>
      </c>
      <c r="B88" s="257" t="s">
        <v>1391</v>
      </c>
      <c r="C88" s="276">
        <v>44316</v>
      </c>
      <c r="D88" s="257" t="s">
        <v>1304</v>
      </c>
      <c r="E88" s="256" t="s">
        <v>1831</v>
      </c>
      <c r="F88" s="256" t="s">
        <v>1881</v>
      </c>
      <c r="G88" s="258">
        <v>18630000000</v>
      </c>
      <c r="H88" s="265">
        <v>0.1</v>
      </c>
      <c r="I88" s="258">
        <v>1863000000</v>
      </c>
      <c r="J88" s="258">
        <v>20493000000</v>
      </c>
      <c r="K88" s="256" t="s">
        <v>1346</v>
      </c>
    </row>
    <row r="89" spans="1:11" x14ac:dyDescent="0.3">
      <c r="A89" s="256">
        <v>28</v>
      </c>
      <c r="B89" s="257" t="s">
        <v>1392</v>
      </c>
      <c r="C89" s="276">
        <v>44377</v>
      </c>
      <c r="D89" s="257" t="s">
        <v>1272</v>
      </c>
      <c r="E89" s="256" t="s">
        <v>1805</v>
      </c>
      <c r="F89" s="256" t="s">
        <v>1882</v>
      </c>
      <c r="G89" s="258">
        <v>25149000000</v>
      </c>
      <c r="H89" s="265">
        <v>0.1</v>
      </c>
      <c r="I89" s="258">
        <v>2514900000</v>
      </c>
      <c r="J89" s="258">
        <v>27663900000</v>
      </c>
      <c r="K89" s="256" t="s">
        <v>1346</v>
      </c>
    </row>
    <row r="90" spans="1:11" x14ac:dyDescent="0.3">
      <c r="A90" s="256">
        <v>29</v>
      </c>
      <c r="B90" s="257" t="s">
        <v>1394</v>
      </c>
      <c r="C90" s="276">
        <v>44469</v>
      </c>
      <c r="D90" s="257" t="s">
        <v>1274</v>
      </c>
      <c r="E90" s="256" t="s">
        <v>1794</v>
      </c>
      <c r="F90" s="256" t="s">
        <v>1883</v>
      </c>
      <c r="G90" s="258">
        <v>29896000000</v>
      </c>
      <c r="H90" s="265">
        <v>0.1</v>
      </c>
      <c r="I90" s="258">
        <v>2989600000</v>
      </c>
      <c r="J90" s="258">
        <v>32885600000</v>
      </c>
      <c r="K90" s="256" t="s">
        <v>1346</v>
      </c>
    </row>
    <row r="91" spans="1:11" x14ac:dyDescent="0.3">
      <c r="A91" s="256">
        <v>30</v>
      </c>
      <c r="B91" s="257" t="s">
        <v>1396</v>
      </c>
      <c r="C91" s="276">
        <v>44530</v>
      </c>
      <c r="D91" s="257" t="s">
        <v>1298</v>
      </c>
      <c r="E91" s="256" t="s">
        <v>1819</v>
      </c>
      <c r="F91" s="256" t="s">
        <v>1881</v>
      </c>
      <c r="G91" s="258">
        <v>18664000000</v>
      </c>
      <c r="H91" s="265">
        <v>0</v>
      </c>
      <c r="I91" s="258">
        <v>0</v>
      </c>
      <c r="J91" s="258">
        <v>18664000000</v>
      </c>
      <c r="K91" s="256" t="s">
        <v>1346</v>
      </c>
    </row>
    <row r="92" spans="1:11" x14ac:dyDescent="0.3">
      <c r="A92" s="256">
        <v>31</v>
      </c>
      <c r="B92" s="257" t="s">
        <v>1397</v>
      </c>
      <c r="C92" s="276">
        <v>44286</v>
      </c>
      <c r="D92" s="257" t="s">
        <v>1269</v>
      </c>
      <c r="E92" s="256" t="s">
        <v>1823</v>
      </c>
      <c r="F92" s="256" t="s">
        <v>1884</v>
      </c>
      <c r="G92" s="258">
        <v>16719000000</v>
      </c>
      <c r="H92" s="265">
        <v>0.1</v>
      </c>
      <c r="I92" s="258">
        <v>1671900000</v>
      </c>
      <c r="J92" s="258">
        <v>18390900000</v>
      </c>
      <c r="K92" s="256" t="s">
        <v>1346</v>
      </c>
    </row>
    <row r="93" spans="1:11" x14ac:dyDescent="0.3">
      <c r="A93" s="256">
        <v>32</v>
      </c>
      <c r="B93" s="257" t="s">
        <v>1398</v>
      </c>
      <c r="C93" s="276">
        <v>44347</v>
      </c>
      <c r="D93" s="257" t="s">
        <v>1304</v>
      </c>
      <c r="E93" s="256" t="s">
        <v>1831</v>
      </c>
      <c r="F93" s="256" t="s">
        <v>1883</v>
      </c>
      <c r="G93" s="258">
        <v>16298000000</v>
      </c>
      <c r="H93" s="265">
        <v>0.1</v>
      </c>
      <c r="I93" s="258">
        <v>1629800000</v>
      </c>
      <c r="J93" s="258">
        <v>17927800000</v>
      </c>
      <c r="K93" s="256" t="s">
        <v>1346</v>
      </c>
    </row>
    <row r="94" spans="1:11" x14ac:dyDescent="0.3">
      <c r="A94" s="256">
        <v>33</v>
      </c>
      <c r="B94" s="257" t="s">
        <v>1399</v>
      </c>
      <c r="C94" s="276">
        <v>44408</v>
      </c>
      <c r="D94" s="257" t="s">
        <v>1259</v>
      </c>
      <c r="E94" s="256" t="s">
        <v>1788</v>
      </c>
      <c r="F94" s="256" t="s">
        <v>1881</v>
      </c>
      <c r="G94" s="258">
        <v>29879000000</v>
      </c>
      <c r="H94" s="265">
        <v>0.1</v>
      </c>
      <c r="I94" s="258">
        <v>2987900000</v>
      </c>
      <c r="J94" s="258">
        <v>32866900000</v>
      </c>
      <c r="K94" s="256" t="s">
        <v>1346</v>
      </c>
    </row>
    <row r="95" spans="1:11" x14ac:dyDescent="0.3">
      <c r="A95" s="256">
        <v>34</v>
      </c>
      <c r="B95" s="257" t="s">
        <v>1401</v>
      </c>
      <c r="C95" s="276">
        <v>44439</v>
      </c>
      <c r="D95" s="257" t="s">
        <v>1259</v>
      </c>
      <c r="E95" s="256" t="s">
        <v>1788</v>
      </c>
      <c r="F95" s="256" t="s">
        <v>1881</v>
      </c>
      <c r="G95" s="258">
        <v>32755000000</v>
      </c>
      <c r="H95" s="265">
        <v>0.1</v>
      </c>
      <c r="I95" s="258">
        <v>3275500000</v>
      </c>
      <c r="J95" s="258">
        <v>36030500000</v>
      </c>
      <c r="K95" s="256" t="s">
        <v>1346</v>
      </c>
    </row>
    <row r="96" spans="1:11" x14ac:dyDescent="0.3">
      <c r="A96" s="256">
        <v>35</v>
      </c>
      <c r="B96" s="257" t="s">
        <v>1402</v>
      </c>
      <c r="C96" s="276">
        <v>44500</v>
      </c>
      <c r="D96" s="257" t="s">
        <v>1270</v>
      </c>
      <c r="E96" s="256" t="s">
        <v>1782</v>
      </c>
      <c r="F96" s="256" t="s">
        <v>1883</v>
      </c>
      <c r="G96" s="258">
        <v>10275000000</v>
      </c>
      <c r="H96" s="265">
        <v>0.1</v>
      </c>
      <c r="I96" s="258">
        <v>1027500000</v>
      </c>
      <c r="J96" s="258">
        <v>11302500000</v>
      </c>
      <c r="K96" s="256" t="s">
        <v>1348</v>
      </c>
    </row>
    <row r="97" spans="1:11" x14ac:dyDescent="0.3">
      <c r="A97" s="256">
        <v>36</v>
      </c>
      <c r="B97" s="257" t="s">
        <v>1403</v>
      </c>
      <c r="C97" s="276">
        <v>44561</v>
      </c>
      <c r="D97" s="257" t="s">
        <v>1273</v>
      </c>
      <c r="E97" s="256" t="s">
        <v>1829</v>
      </c>
      <c r="F97" s="256" t="s">
        <v>1883</v>
      </c>
      <c r="G97" s="258">
        <v>28528000000</v>
      </c>
      <c r="H97" s="265">
        <v>0.1</v>
      </c>
      <c r="I97" s="258">
        <v>2852800000</v>
      </c>
      <c r="J97" s="258">
        <v>31380800000</v>
      </c>
      <c r="K97" s="256" t="s">
        <v>1346</v>
      </c>
    </row>
    <row r="98" spans="1:11" x14ac:dyDescent="0.3">
      <c r="A98" s="256">
        <v>37</v>
      </c>
      <c r="B98" s="257" t="s">
        <v>1404</v>
      </c>
      <c r="C98" s="276">
        <v>44561</v>
      </c>
      <c r="D98" s="257" t="s">
        <v>1286</v>
      </c>
      <c r="E98" s="256" t="s">
        <v>1828</v>
      </c>
      <c r="F98" s="256" t="s">
        <v>1882</v>
      </c>
      <c r="G98" s="258">
        <v>8635000000</v>
      </c>
      <c r="H98" s="265">
        <v>0.1</v>
      </c>
      <c r="I98" s="258">
        <v>863500000</v>
      </c>
      <c r="J98" s="258">
        <v>9498500000</v>
      </c>
      <c r="K98" s="256" t="s">
        <v>1346</v>
      </c>
    </row>
    <row r="99" spans="1:11" x14ac:dyDescent="0.3">
      <c r="A99" s="256">
        <v>38</v>
      </c>
      <c r="B99" s="257" t="s">
        <v>1405</v>
      </c>
      <c r="C99" s="276">
        <v>44561</v>
      </c>
      <c r="D99" s="257" t="s">
        <v>1302</v>
      </c>
      <c r="E99" s="256" t="s">
        <v>1784</v>
      </c>
      <c r="F99" s="256" t="s">
        <v>1881</v>
      </c>
      <c r="G99" s="258">
        <v>27077000000</v>
      </c>
      <c r="H99" s="265">
        <v>0.1</v>
      </c>
      <c r="I99" s="258">
        <v>2707700000</v>
      </c>
      <c r="J99" s="258">
        <v>29784700000</v>
      </c>
      <c r="K99" s="256" t="s">
        <v>1346</v>
      </c>
    </row>
    <row r="100" spans="1:11" x14ac:dyDescent="0.3">
      <c r="A100" s="256">
        <v>39</v>
      </c>
      <c r="B100" s="257" t="s">
        <v>1406</v>
      </c>
      <c r="C100" s="276">
        <v>44561</v>
      </c>
      <c r="D100" s="257" t="s">
        <v>1256</v>
      </c>
      <c r="E100" s="256" t="s">
        <v>1802</v>
      </c>
      <c r="F100" s="256" t="s">
        <v>1881</v>
      </c>
      <c r="G100" s="258">
        <v>33166000000</v>
      </c>
      <c r="H100" s="265">
        <v>0.1</v>
      </c>
      <c r="I100" s="258">
        <v>3316600000</v>
      </c>
      <c r="J100" s="258">
        <v>36482600000</v>
      </c>
      <c r="K100" s="256" t="s">
        <v>1346</v>
      </c>
    </row>
    <row r="101" spans="1:11" x14ac:dyDescent="0.3">
      <c r="A101" s="256">
        <v>40</v>
      </c>
      <c r="B101" s="257" t="s">
        <v>1408</v>
      </c>
      <c r="C101" s="276">
        <v>44561</v>
      </c>
      <c r="D101" s="257" t="s">
        <v>1276</v>
      </c>
      <c r="E101" s="256" t="s">
        <v>1822</v>
      </c>
      <c r="F101" s="256" t="s">
        <v>1882</v>
      </c>
      <c r="G101" s="258">
        <v>12337000000</v>
      </c>
      <c r="H101" s="265">
        <v>0</v>
      </c>
      <c r="I101" s="258">
        <v>0</v>
      </c>
      <c r="J101" s="258">
        <v>12337000000</v>
      </c>
      <c r="K101" s="256" t="s">
        <v>1346</v>
      </c>
    </row>
    <row r="102" spans="1:11" x14ac:dyDescent="0.3">
      <c r="A102" s="256">
        <v>41</v>
      </c>
      <c r="B102" s="257" t="s">
        <v>1409</v>
      </c>
      <c r="C102" s="276">
        <v>44561</v>
      </c>
      <c r="D102" s="257" t="s">
        <v>1256</v>
      </c>
      <c r="E102" s="256" t="s">
        <v>1802</v>
      </c>
      <c r="F102" s="256" t="s">
        <v>1884</v>
      </c>
      <c r="G102" s="258">
        <v>8790000000</v>
      </c>
      <c r="H102" s="265">
        <v>0.1</v>
      </c>
      <c r="I102" s="258">
        <v>879000000</v>
      </c>
      <c r="J102" s="258">
        <v>9669000000</v>
      </c>
      <c r="K102" s="256" t="s">
        <v>1346</v>
      </c>
    </row>
    <row r="103" spans="1:11" x14ac:dyDescent="0.3">
      <c r="A103" s="256">
        <v>42</v>
      </c>
      <c r="B103" s="257" t="s">
        <v>1411</v>
      </c>
      <c r="C103" s="276">
        <v>44561</v>
      </c>
      <c r="D103" s="257" t="s">
        <v>1262</v>
      </c>
      <c r="E103" s="256" t="s">
        <v>1816</v>
      </c>
      <c r="F103" s="256" t="s">
        <v>1883</v>
      </c>
      <c r="G103" s="258">
        <v>33566000000</v>
      </c>
      <c r="H103" s="265">
        <v>0.1</v>
      </c>
      <c r="I103" s="258">
        <v>3356600000</v>
      </c>
      <c r="J103" s="258">
        <v>36922600000</v>
      </c>
      <c r="K103" s="256" t="s">
        <v>1348</v>
      </c>
    </row>
    <row r="104" spans="1:11" x14ac:dyDescent="0.3">
      <c r="A104" s="256">
        <v>43</v>
      </c>
      <c r="B104" s="257" t="s">
        <v>1414</v>
      </c>
      <c r="C104" s="276">
        <v>44561</v>
      </c>
      <c r="D104" s="257" t="s">
        <v>1276</v>
      </c>
      <c r="E104" s="256" t="s">
        <v>1822</v>
      </c>
      <c r="F104" s="256" t="s">
        <v>1881</v>
      </c>
      <c r="G104" s="258">
        <v>14123000000</v>
      </c>
      <c r="H104" s="265">
        <v>0.1</v>
      </c>
      <c r="I104" s="258">
        <v>1412300000</v>
      </c>
      <c r="J104" s="258">
        <v>15535300000</v>
      </c>
      <c r="K104" s="256" t="s">
        <v>1346</v>
      </c>
    </row>
    <row r="105" spans="1:11" x14ac:dyDescent="0.3">
      <c r="A105" s="256">
        <v>44</v>
      </c>
      <c r="B105" s="257" t="s">
        <v>1415</v>
      </c>
      <c r="C105" s="276">
        <v>44561</v>
      </c>
      <c r="D105" s="257" t="s">
        <v>1285</v>
      </c>
      <c r="E105" s="256" t="s">
        <v>1793</v>
      </c>
      <c r="F105" s="256" t="s">
        <v>1883</v>
      </c>
      <c r="G105" s="258">
        <v>10460000000</v>
      </c>
      <c r="H105" s="265">
        <v>0.1</v>
      </c>
      <c r="I105" s="258">
        <v>1046000000</v>
      </c>
      <c r="J105" s="258">
        <v>11506000000</v>
      </c>
      <c r="K105" s="256" t="s">
        <v>1348</v>
      </c>
    </row>
    <row r="106" spans="1:11" x14ac:dyDescent="0.3">
      <c r="A106" s="256">
        <v>45</v>
      </c>
      <c r="B106" s="257" t="s">
        <v>1206</v>
      </c>
      <c r="C106" s="276">
        <v>44561</v>
      </c>
      <c r="D106" s="257" t="s">
        <v>1275</v>
      </c>
      <c r="E106" s="256" t="s">
        <v>1808</v>
      </c>
      <c r="F106" s="256" t="s">
        <v>1882</v>
      </c>
      <c r="G106" s="258">
        <v>24378000000</v>
      </c>
      <c r="H106" s="265">
        <v>0.1</v>
      </c>
      <c r="I106" s="258">
        <v>2437800000</v>
      </c>
      <c r="J106" s="258">
        <v>26815800000</v>
      </c>
      <c r="K106" s="256" t="s">
        <v>1346</v>
      </c>
    </row>
    <row r="107" spans="1:11" x14ac:dyDescent="0.3">
      <c r="A107" s="256">
        <v>46</v>
      </c>
      <c r="B107" s="257" t="s">
        <v>1207</v>
      </c>
      <c r="C107" s="276">
        <v>44561</v>
      </c>
      <c r="D107" s="257" t="s">
        <v>1284</v>
      </c>
      <c r="E107" s="256" t="s">
        <v>1786</v>
      </c>
      <c r="F107" s="256" t="s">
        <v>1881</v>
      </c>
      <c r="G107" s="258">
        <v>12724000000</v>
      </c>
      <c r="H107" s="265">
        <v>0.1</v>
      </c>
      <c r="I107" s="258">
        <v>1272400000</v>
      </c>
      <c r="J107" s="258">
        <v>13996400000</v>
      </c>
      <c r="K107" s="256" t="s">
        <v>1346</v>
      </c>
    </row>
    <row r="108" spans="1:11" x14ac:dyDescent="0.3">
      <c r="A108" s="256">
        <v>47</v>
      </c>
      <c r="B108" s="257" t="s">
        <v>1208</v>
      </c>
      <c r="C108" s="276">
        <v>44561</v>
      </c>
      <c r="D108" s="257" t="s">
        <v>1279</v>
      </c>
      <c r="E108" s="256" t="s">
        <v>1827</v>
      </c>
      <c r="F108" s="256" t="s">
        <v>1882</v>
      </c>
      <c r="G108" s="258">
        <v>21853000000</v>
      </c>
      <c r="H108" s="265">
        <v>0.1</v>
      </c>
      <c r="I108" s="258">
        <v>2185300000</v>
      </c>
      <c r="J108" s="258">
        <v>24038300000</v>
      </c>
      <c r="K108" s="256" t="s">
        <v>1348</v>
      </c>
    </row>
    <row r="109" spans="1:11" x14ac:dyDescent="0.3">
      <c r="A109" s="256">
        <v>48</v>
      </c>
      <c r="B109" s="257" t="s">
        <v>1209</v>
      </c>
      <c r="C109" s="276">
        <v>44561</v>
      </c>
      <c r="D109" s="257" t="s">
        <v>1294</v>
      </c>
      <c r="E109" s="256" t="s">
        <v>1795</v>
      </c>
      <c r="F109" s="256" t="s">
        <v>1881</v>
      </c>
      <c r="G109" s="258">
        <v>21245000000</v>
      </c>
      <c r="H109" s="265">
        <v>0</v>
      </c>
      <c r="I109" s="258">
        <v>0</v>
      </c>
      <c r="J109" s="258">
        <v>21245000000</v>
      </c>
      <c r="K109" s="256" t="s">
        <v>1346</v>
      </c>
    </row>
    <row r="110" spans="1:11" x14ac:dyDescent="0.3">
      <c r="A110" s="256">
        <v>49</v>
      </c>
      <c r="B110" s="257" t="s">
        <v>1418</v>
      </c>
      <c r="C110" s="276">
        <v>44561</v>
      </c>
      <c r="D110" s="257" t="s">
        <v>1279</v>
      </c>
      <c r="E110" s="256" t="s">
        <v>1827</v>
      </c>
      <c r="F110" s="256" t="s">
        <v>1881</v>
      </c>
      <c r="G110" s="258">
        <v>24888000000</v>
      </c>
      <c r="H110" s="265">
        <v>0.1</v>
      </c>
      <c r="I110" s="258">
        <v>2488800000</v>
      </c>
      <c r="J110" s="258">
        <v>27376800000</v>
      </c>
      <c r="K110" s="256" t="s">
        <v>1346</v>
      </c>
    </row>
    <row r="111" spans="1:11" x14ac:dyDescent="0.3">
      <c r="A111" s="256">
        <v>50</v>
      </c>
      <c r="B111" s="257" t="s">
        <v>1419</v>
      </c>
      <c r="C111" s="276">
        <v>44561</v>
      </c>
      <c r="D111" s="257" t="s">
        <v>1291</v>
      </c>
      <c r="E111" s="256" t="s">
        <v>1800</v>
      </c>
      <c r="F111" s="256" t="s">
        <v>1882</v>
      </c>
      <c r="G111" s="258">
        <v>23080000000</v>
      </c>
      <c r="H111" s="265">
        <v>0.1</v>
      </c>
      <c r="I111" s="258">
        <v>2308000000</v>
      </c>
      <c r="J111" s="258">
        <v>25388000000</v>
      </c>
      <c r="K111" s="256" t="s">
        <v>1346</v>
      </c>
    </row>
    <row r="112" spans="1:11" x14ac:dyDescent="0.3">
      <c r="A112" s="266" t="s">
        <v>1351</v>
      </c>
      <c r="B112" s="266"/>
      <c r="C112" s="266"/>
      <c r="D112" s="266"/>
      <c r="E112" s="266"/>
      <c r="F112" s="266"/>
      <c r="G112" s="267">
        <f>SUM(G62:G111)</f>
        <v>1077938000000</v>
      </c>
      <c r="H112" s="266"/>
      <c r="I112" s="267">
        <f>SUM(I62:I111)</f>
        <v>96298000000</v>
      </c>
      <c r="J112" s="267">
        <f>SUM(J62:J111)</f>
        <v>1174236000000</v>
      </c>
      <c r="K112" s="266"/>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846</v>
      </c>
      <c r="C1" s="256"/>
      <c r="D1" s="256"/>
      <c r="E1" s="256"/>
      <c r="F1" s="256"/>
      <c r="G1" s="256"/>
      <c r="H1" s="256"/>
      <c r="I1" s="256"/>
      <c r="J1" s="256"/>
      <c r="K1" s="256"/>
    </row>
    <row r="2" spans="1:11" x14ac:dyDescent="0.3">
      <c r="A2" s="256" t="s">
        <v>1339</v>
      </c>
      <c r="B2" s="257">
        <v>106467242</v>
      </c>
      <c r="C2" s="256"/>
      <c r="D2" s="256"/>
      <c r="E2" s="256"/>
      <c r="F2" s="256"/>
      <c r="G2" s="256"/>
      <c r="H2" s="256"/>
      <c r="I2" s="256"/>
      <c r="J2" s="256"/>
      <c r="K2" s="256"/>
    </row>
    <row r="3" spans="1:11" x14ac:dyDescent="0.3">
      <c r="A3" s="256" t="s">
        <v>1343</v>
      </c>
      <c r="B3" s="258">
        <v>801951828845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1472</v>
      </c>
      <c r="C8" s="276">
        <v>44317</v>
      </c>
      <c r="D8" s="257" t="s">
        <v>1281</v>
      </c>
      <c r="E8" s="256" t="s">
        <v>1806</v>
      </c>
      <c r="F8" s="256" t="s">
        <v>1757</v>
      </c>
      <c r="G8" s="258">
        <v>10541000000</v>
      </c>
      <c r="H8" s="265">
        <v>0.1</v>
      </c>
      <c r="I8" s="258">
        <v>1054100000</v>
      </c>
      <c r="J8" s="258">
        <v>11595100000</v>
      </c>
      <c r="K8" s="256" t="s">
        <v>1346</v>
      </c>
    </row>
    <row r="9" spans="1:11" x14ac:dyDescent="0.3">
      <c r="A9" s="256">
        <v>2</v>
      </c>
      <c r="B9" s="257" t="s">
        <v>1458</v>
      </c>
      <c r="C9" s="276">
        <v>44318</v>
      </c>
      <c r="D9" s="257" t="s">
        <v>1283</v>
      </c>
      <c r="E9" s="256" t="s">
        <v>1798</v>
      </c>
      <c r="F9" s="256" t="s">
        <v>1756</v>
      </c>
      <c r="G9" s="258">
        <v>15506000000</v>
      </c>
      <c r="H9" s="265">
        <v>0</v>
      </c>
      <c r="I9" s="258">
        <v>0</v>
      </c>
      <c r="J9" s="258">
        <v>15506000000</v>
      </c>
      <c r="K9" s="256" t="s">
        <v>1346</v>
      </c>
    </row>
    <row r="10" spans="1:11" x14ac:dyDescent="0.3">
      <c r="A10" s="256">
        <v>3</v>
      </c>
      <c r="B10" s="257" t="s">
        <v>1467</v>
      </c>
      <c r="C10" s="276">
        <v>44472</v>
      </c>
      <c r="D10" s="257" t="s">
        <v>1272</v>
      </c>
      <c r="E10" s="256" t="s">
        <v>1805</v>
      </c>
      <c r="F10" s="256" t="s">
        <v>1758</v>
      </c>
      <c r="G10" s="258">
        <v>10130000000</v>
      </c>
      <c r="H10" s="265">
        <v>0.1</v>
      </c>
      <c r="I10" s="258">
        <v>1013000000</v>
      </c>
      <c r="J10" s="258">
        <v>11143000000</v>
      </c>
      <c r="K10" s="256" t="s">
        <v>1348</v>
      </c>
    </row>
    <row r="11" spans="1:11" x14ac:dyDescent="0.3">
      <c r="A11" s="256">
        <v>4</v>
      </c>
      <c r="B11" s="257" t="s">
        <v>1465</v>
      </c>
      <c r="C11" s="276">
        <v>44473</v>
      </c>
      <c r="D11" s="257" t="s">
        <v>1271</v>
      </c>
      <c r="E11" s="256" t="s">
        <v>1799</v>
      </c>
      <c r="F11" s="256" t="s">
        <v>1760</v>
      </c>
      <c r="G11" s="258">
        <v>10658000000</v>
      </c>
      <c r="H11" s="265">
        <v>0.1</v>
      </c>
      <c r="I11" s="258">
        <v>1065800000</v>
      </c>
      <c r="J11" s="258">
        <v>11723800000</v>
      </c>
      <c r="K11" s="256" t="s">
        <v>1346</v>
      </c>
    </row>
    <row r="12" spans="1:11" x14ac:dyDescent="0.3">
      <c r="A12" s="256">
        <v>5</v>
      </c>
      <c r="B12" s="257" t="s">
        <v>1456</v>
      </c>
      <c r="C12" s="276">
        <v>44474</v>
      </c>
      <c r="D12" s="257" t="s">
        <v>1285</v>
      </c>
      <c r="E12" s="256" t="s">
        <v>1793</v>
      </c>
      <c r="F12" s="256" t="s">
        <v>1759</v>
      </c>
      <c r="G12" s="258">
        <v>16285000000</v>
      </c>
      <c r="H12" s="265">
        <v>0</v>
      </c>
      <c r="I12" s="258">
        <v>0</v>
      </c>
      <c r="J12" s="258">
        <v>16285000000</v>
      </c>
      <c r="K12" s="256" t="s">
        <v>1346</v>
      </c>
    </row>
    <row r="13" spans="1:11" x14ac:dyDescent="0.3">
      <c r="A13" s="256">
        <v>6</v>
      </c>
      <c r="B13" s="257" t="s">
        <v>1205</v>
      </c>
      <c r="C13" s="276">
        <v>44475</v>
      </c>
      <c r="D13" s="257" t="s">
        <v>1294</v>
      </c>
      <c r="E13" s="256" t="s">
        <v>1795</v>
      </c>
      <c r="F13" s="256" t="s">
        <v>1760</v>
      </c>
      <c r="G13" s="258">
        <v>13979000000</v>
      </c>
      <c r="H13" s="265">
        <v>0.1</v>
      </c>
      <c r="I13" s="258">
        <v>1397900000</v>
      </c>
      <c r="J13" s="258">
        <v>15376900000</v>
      </c>
      <c r="K13" s="256" t="s">
        <v>1346</v>
      </c>
    </row>
    <row r="14" spans="1:11" x14ac:dyDescent="0.3">
      <c r="A14" s="256">
        <v>7</v>
      </c>
      <c r="B14" s="257" t="s">
        <v>1457</v>
      </c>
      <c r="C14" s="276">
        <v>44476</v>
      </c>
      <c r="D14" s="257" t="s">
        <v>1288</v>
      </c>
      <c r="E14" s="256" t="s">
        <v>1797</v>
      </c>
      <c r="F14" s="256" t="s">
        <v>1759</v>
      </c>
      <c r="G14" s="258">
        <v>8211000000</v>
      </c>
      <c r="H14" s="265">
        <v>0.1</v>
      </c>
      <c r="I14" s="258">
        <v>821100000</v>
      </c>
      <c r="J14" s="258">
        <v>9032100000</v>
      </c>
      <c r="K14" s="256" t="s">
        <v>1346</v>
      </c>
    </row>
    <row r="15" spans="1:11" x14ac:dyDescent="0.3">
      <c r="A15" s="256">
        <v>8</v>
      </c>
      <c r="B15" s="257" t="s">
        <v>1481</v>
      </c>
      <c r="C15" s="276">
        <v>44477</v>
      </c>
      <c r="D15" s="257" t="s">
        <v>1284</v>
      </c>
      <c r="E15" s="256" t="s">
        <v>1786</v>
      </c>
      <c r="F15" s="256" t="s">
        <v>1757</v>
      </c>
      <c r="G15" s="258">
        <v>7615000000</v>
      </c>
      <c r="H15" s="265">
        <v>0.1</v>
      </c>
      <c r="I15" s="258">
        <v>761500000</v>
      </c>
      <c r="J15" s="258">
        <v>8376500000</v>
      </c>
      <c r="K15" s="256" t="s">
        <v>1346</v>
      </c>
    </row>
    <row r="16" spans="1:11" x14ac:dyDescent="0.3">
      <c r="A16" s="256">
        <v>9</v>
      </c>
      <c r="B16" s="257" t="s">
        <v>1466</v>
      </c>
      <c r="C16" s="276">
        <v>44478</v>
      </c>
      <c r="D16" s="257" t="s">
        <v>1271</v>
      </c>
      <c r="E16" s="256" t="s">
        <v>1799</v>
      </c>
      <c r="F16" s="256" t="s">
        <v>1755</v>
      </c>
      <c r="G16" s="258">
        <v>11824000000</v>
      </c>
      <c r="H16" s="265">
        <v>0.1</v>
      </c>
      <c r="I16" s="258">
        <v>1182400000</v>
      </c>
      <c r="J16" s="258">
        <v>13006400000</v>
      </c>
      <c r="K16" s="256" t="s">
        <v>1346</v>
      </c>
    </row>
    <row r="17" spans="1:11" x14ac:dyDescent="0.3">
      <c r="A17" s="256">
        <v>10</v>
      </c>
      <c r="B17" s="257" t="s">
        <v>1464</v>
      </c>
      <c r="C17" s="276">
        <v>44479</v>
      </c>
      <c r="D17" s="257" t="s">
        <v>1304</v>
      </c>
      <c r="E17" s="256" t="s">
        <v>1831</v>
      </c>
      <c r="F17" s="256" t="s">
        <v>1760</v>
      </c>
      <c r="G17" s="258">
        <v>7785000000</v>
      </c>
      <c r="H17" s="265">
        <v>0.1</v>
      </c>
      <c r="I17" s="258">
        <v>778500000</v>
      </c>
      <c r="J17" s="258">
        <v>8563500000</v>
      </c>
      <c r="K17" s="256" t="s">
        <v>1348</v>
      </c>
    </row>
    <row r="18" spans="1:11" x14ac:dyDescent="0.3">
      <c r="A18" s="256">
        <v>11</v>
      </c>
      <c r="B18" s="257" t="s">
        <v>1208</v>
      </c>
      <c r="C18" s="276">
        <v>44480</v>
      </c>
      <c r="D18" s="257" t="s">
        <v>1265</v>
      </c>
      <c r="E18" s="256" t="s">
        <v>1830</v>
      </c>
      <c r="F18" s="256" t="s">
        <v>1757</v>
      </c>
      <c r="G18" s="258">
        <v>7210000000</v>
      </c>
      <c r="H18" s="265">
        <v>0.1</v>
      </c>
      <c r="I18" s="258">
        <v>721000000</v>
      </c>
      <c r="J18" s="258">
        <v>7931000000</v>
      </c>
      <c r="K18" s="256" t="s">
        <v>1346</v>
      </c>
    </row>
    <row r="19" spans="1:11" x14ac:dyDescent="0.3">
      <c r="A19" s="256">
        <v>12</v>
      </c>
      <c r="B19" s="257" t="s">
        <v>1406</v>
      </c>
      <c r="C19" s="276">
        <v>44481</v>
      </c>
      <c r="D19" s="257" t="s">
        <v>1299</v>
      </c>
      <c r="E19" s="256" t="s">
        <v>1776</v>
      </c>
      <c r="F19" s="256" t="s">
        <v>1759</v>
      </c>
      <c r="G19" s="258">
        <v>7418000000</v>
      </c>
      <c r="H19" s="265">
        <v>0.1</v>
      </c>
      <c r="I19" s="258">
        <v>741800000</v>
      </c>
      <c r="J19" s="258">
        <v>8159800000</v>
      </c>
      <c r="K19" s="256" t="s">
        <v>1346</v>
      </c>
    </row>
    <row r="20" spans="1:11" x14ac:dyDescent="0.3">
      <c r="A20" s="256">
        <v>13</v>
      </c>
      <c r="B20" s="257" t="s">
        <v>1472</v>
      </c>
      <c r="C20" s="276">
        <v>44211</v>
      </c>
      <c r="D20" s="257" t="s">
        <v>1274</v>
      </c>
      <c r="E20" s="256" t="s">
        <v>1794</v>
      </c>
      <c r="F20" s="256" t="s">
        <v>1760</v>
      </c>
      <c r="G20" s="258">
        <v>11463000000</v>
      </c>
      <c r="H20" s="265">
        <v>0.1</v>
      </c>
      <c r="I20" s="258">
        <v>1146300000</v>
      </c>
      <c r="J20" s="258">
        <v>12609300000</v>
      </c>
      <c r="K20" s="256" t="s">
        <v>1348</v>
      </c>
    </row>
    <row r="21" spans="1:11" x14ac:dyDescent="0.3">
      <c r="A21" s="256">
        <v>14</v>
      </c>
      <c r="B21" s="257" t="s">
        <v>1456</v>
      </c>
      <c r="C21" s="276">
        <v>44242</v>
      </c>
      <c r="D21" s="257" t="s">
        <v>1266</v>
      </c>
      <c r="E21" s="256" t="s">
        <v>1824</v>
      </c>
      <c r="F21" s="256" t="s">
        <v>1756</v>
      </c>
      <c r="G21" s="258">
        <v>15540000000</v>
      </c>
      <c r="H21" s="265">
        <v>0.1</v>
      </c>
      <c r="I21" s="258">
        <v>1554000000</v>
      </c>
      <c r="J21" s="258">
        <v>17094000000</v>
      </c>
      <c r="K21" s="256" t="s">
        <v>1346</v>
      </c>
    </row>
    <row r="22" spans="1:11" x14ac:dyDescent="0.3">
      <c r="A22" s="256">
        <v>15</v>
      </c>
      <c r="B22" s="257" t="s">
        <v>1465</v>
      </c>
      <c r="C22" s="276">
        <v>44275</v>
      </c>
      <c r="D22" s="257" t="s">
        <v>1304</v>
      </c>
      <c r="E22" s="256" t="s">
        <v>1831</v>
      </c>
      <c r="F22" s="256" t="s">
        <v>1756</v>
      </c>
      <c r="G22" s="258">
        <v>12353000000</v>
      </c>
      <c r="H22" s="265">
        <v>0.1</v>
      </c>
      <c r="I22" s="258">
        <v>1235300000</v>
      </c>
      <c r="J22" s="258">
        <v>13588300000</v>
      </c>
      <c r="K22" s="256" t="s">
        <v>1346</v>
      </c>
    </row>
    <row r="23" spans="1:11" x14ac:dyDescent="0.3">
      <c r="A23" s="256">
        <v>16</v>
      </c>
      <c r="B23" s="257" t="s">
        <v>1473</v>
      </c>
      <c r="C23" s="276">
        <v>44306</v>
      </c>
      <c r="D23" s="257" t="s">
        <v>1281</v>
      </c>
      <c r="E23" s="256" t="s">
        <v>1806</v>
      </c>
      <c r="F23" s="256" t="s">
        <v>1756</v>
      </c>
      <c r="G23" s="258">
        <v>15675000000</v>
      </c>
      <c r="H23" s="265">
        <v>0.1</v>
      </c>
      <c r="I23" s="258">
        <v>1567500000</v>
      </c>
      <c r="J23" s="258">
        <v>17242500000</v>
      </c>
      <c r="K23" s="256" t="s">
        <v>1346</v>
      </c>
    </row>
    <row r="24" spans="1:11" x14ac:dyDescent="0.3">
      <c r="A24" s="256">
        <v>17</v>
      </c>
      <c r="B24" s="257" t="s">
        <v>1474</v>
      </c>
      <c r="C24" s="276">
        <v>44336</v>
      </c>
      <c r="D24" s="257" t="s">
        <v>1281</v>
      </c>
      <c r="E24" s="256" t="s">
        <v>1806</v>
      </c>
      <c r="F24" s="256" t="s">
        <v>1757</v>
      </c>
      <c r="G24" s="258">
        <v>7089000000</v>
      </c>
      <c r="H24" s="265">
        <v>0.1</v>
      </c>
      <c r="I24" s="258">
        <v>708900000</v>
      </c>
      <c r="J24" s="258">
        <v>7797900000</v>
      </c>
      <c r="K24" s="256" t="s">
        <v>1346</v>
      </c>
    </row>
    <row r="25" spans="1:11" x14ac:dyDescent="0.3">
      <c r="A25" s="256">
        <v>18</v>
      </c>
      <c r="B25" s="257" t="s">
        <v>1465</v>
      </c>
      <c r="C25" s="276">
        <v>44367</v>
      </c>
      <c r="D25" s="257" t="s">
        <v>1273</v>
      </c>
      <c r="E25" s="256" t="s">
        <v>1829</v>
      </c>
      <c r="F25" s="256" t="s">
        <v>1755</v>
      </c>
      <c r="G25" s="258">
        <v>11400000000</v>
      </c>
      <c r="H25" s="265">
        <v>0.1</v>
      </c>
      <c r="I25" s="258">
        <v>1140000000</v>
      </c>
      <c r="J25" s="258">
        <v>12540000000</v>
      </c>
      <c r="K25" s="256" t="s">
        <v>1346</v>
      </c>
    </row>
    <row r="26" spans="1:11" x14ac:dyDescent="0.3">
      <c r="A26" s="256">
        <v>19</v>
      </c>
      <c r="B26" s="257" t="s">
        <v>1482</v>
      </c>
      <c r="C26" s="276">
        <v>44397</v>
      </c>
      <c r="D26" s="257" t="s">
        <v>1284</v>
      </c>
      <c r="E26" s="256" t="s">
        <v>1786</v>
      </c>
      <c r="F26" s="256" t="s">
        <v>1760</v>
      </c>
      <c r="G26" s="258">
        <v>6513000000</v>
      </c>
      <c r="H26" s="265">
        <v>0.1</v>
      </c>
      <c r="I26" s="258">
        <v>651300000</v>
      </c>
      <c r="J26" s="258">
        <v>7164300000</v>
      </c>
      <c r="K26" s="256" t="s">
        <v>1346</v>
      </c>
    </row>
    <row r="27" spans="1:11" x14ac:dyDescent="0.3">
      <c r="A27" s="256">
        <v>20</v>
      </c>
      <c r="B27" s="257" t="s">
        <v>1483</v>
      </c>
      <c r="C27" s="276">
        <v>44428</v>
      </c>
      <c r="D27" s="257" t="s">
        <v>1284</v>
      </c>
      <c r="E27" s="256" t="s">
        <v>1786</v>
      </c>
      <c r="F27" s="256" t="s">
        <v>1759</v>
      </c>
      <c r="G27" s="258">
        <v>14809000000</v>
      </c>
      <c r="H27" s="265">
        <v>0.1</v>
      </c>
      <c r="I27" s="258">
        <v>1480900000</v>
      </c>
      <c r="J27" s="258">
        <v>16289900000</v>
      </c>
      <c r="K27" s="256" t="s">
        <v>1346</v>
      </c>
    </row>
    <row r="28" spans="1:11" x14ac:dyDescent="0.3">
      <c r="A28" s="256">
        <v>21</v>
      </c>
      <c r="B28" s="257" t="s">
        <v>1409</v>
      </c>
      <c r="C28" s="276">
        <v>44459</v>
      </c>
      <c r="D28" s="257" t="s">
        <v>1290</v>
      </c>
      <c r="E28" s="256" t="s">
        <v>1796</v>
      </c>
      <c r="F28" s="256" t="s">
        <v>1756</v>
      </c>
      <c r="G28" s="258">
        <v>12863000000</v>
      </c>
      <c r="H28" s="265">
        <v>0.1</v>
      </c>
      <c r="I28" s="258">
        <v>1286300000</v>
      </c>
      <c r="J28" s="258">
        <v>14149300000</v>
      </c>
      <c r="K28" s="256" t="s">
        <v>1346</v>
      </c>
    </row>
    <row r="29" spans="1:11" x14ac:dyDescent="0.3">
      <c r="A29" s="256">
        <v>22</v>
      </c>
      <c r="B29" s="257" t="s">
        <v>1401</v>
      </c>
      <c r="C29" s="276">
        <v>44489</v>
      </c>
      <c r="D29" s="257" t="s">
        <v>1300</v>
      </c>
      <c r="E29" s="256" t="s">
        <v>1818</v>
      </c>
      <c r="F29" s="256" t="s">
        <v>1758</v>
      </c>
      <c r="G29" s="258">
        <v>16495000000</v>
      </c>
      <c r="H29" s="265">
        <v>0.1</v>
      </c>
      <c r="I29" s="258">
        <v>1649500000</v>
      </c>
      <c r="J29" s="258">
        <v>18144500000</v>
      </c>
      <c r="K29" s="256" t="s">
        <v>1348</v>
      </c>
    </row>
    <row r="30" spans="1:11" x14ac:dyDescent="0.3">
      <c r="A30" s="256">
        <v>23</v>
      </c>
      <c r="B30" s="257" t="s">
        <v>1414</v>
      </c>
      <c r="C30" s="276">
        <v>44520</v>
      </c>
      <c r="D30" s="257" t="s">
        <v>1269</v>
      </c>
      <c r="E30" s="256" t="s">
        <v>1823</v>
      </c>
      <c r="F30" s="256" t="s">
        <v>1756</v>
      </c>
      <c r="G30" s="258">
        <v>16098000000</v>
      </c>
      <c r="H30" s="265">
        <v>0.1</v>
      </c>
      <c r="I30" s="258">
        <v>1609800000</v>
      </c>
      <c r="J30" s="258">
        <v>17707800000</v>
      </c>
      <c r="K30" s="256" t="s">
        <v>1346</v>
      </c>
    </row>
    <row r="31" spans="1:11" x14ac:dyDescent="0.3">
      <c r="A31" s="256">
        <v>24</v>
      </c>
      <c r="B31" s="257" t="s">
        <v>1209</v>
      </c>
      <c r="C31" s="276">
        <v>44550</v>
      </c>
      <c r="D31" s="257" t="s">
        <v>1265</v>
      </c>
      <c r="E31" s="256" t="s">
        <v>1830</v>
      </c>
      <c r="F31" s="256" t="s">
        <v>1758</v>
      </c>
      <c r="G31" s="258">
        <v>5773000000</v>
      </c>
      <c r="H31" s="265">
        <v>0.1</v>
      </c>
      <c r="I31" s="258">
        <v>577300000</v>
      </c>
      <c r="J31" s="258">
        <v>6350300000</v>
      </c>
      <c r="K31" s="256" t="s">
        <v>1346</v>
      </c>
    </row>
    <row r="32" spans="1:11" x14ac:dyDescent="0.3">
      <c r="A32" s="256">
        <v>25</v>
      </c>
      <c r="B32" s="257" t="s">
        <v>1466</v>
      </c>
      <c r="C32" s="276">
        <v>44221</v>
      </c>
      <c r="D32" s="257" t="s">
        <v>1304</v>
      </c>
      <c r="E32" s="256" t="s">
        <v>1831</v>
      </c>
      <c r="F32" s="256" t="s">
        <v>1759</v>
      </c>
      <c r="G32" s="258">
        <v>15660000000</v>
      </c>
      <c r="H32" s="265">
        <v>0.1</v>
      </c>
      <c r="I32" s="258">
        <v>1566000000</v>
      </c>
      <c r="J32" s="258">
        <v>17226000000</v>
      </c>
      <c r="K32" s="256" t="s">
        <v>1346</v>
      </c>
    </row>
    <row r="33" spans="1:11" x14ac:dyDescent="0.3">
      <c r="A33" s="256">
        <v>26</v>
      </c>
      <c r="B33" s="257" t="s">
        <v>1411</v>
      </c>
      <c r="C33" s="276">
        <v>44255</v>
      </c>
      <c r="D33" s="257" t="s">
        <v>1293</v>
      </c>
      <c r="E33" s="256" t="s">
        <v>1826</v>
      </c>
      <c r="F33" s="256" t="s">
        <v>1759</v>
      </c>
      <c r="G33" s="258">
        <v>15588000000</v>
      </c>
      <c r="H33" s="265">
        <v>0.1</v>
      </c>
      <c r="I33" s="258">
        <v>1558800000</v>
      </c>
      <c r="J33" s="258">
        <v>17146800000</v>
      </c>
      <c r="K33" s="256" t="s">
        <v>1346</v>
      </c>
    </row>
    <row r="34" spans="1:11" x14ac:dyDescent="0.3">
      <c r="A34" s="256">
        <v>27</v>
      </c>
      <c r="B34" s="257" t="s">
        <v>1459</v>
      </c>
      <c r="C34" s="276">
        <v>44316</v>
      </c>
      <c r="D34" s="257" t="s">
        <v>1262</v>
      </c>
      <c r="E34" s="256" t="s">
        <v>1816</v>
      </c>
      <c r="F34" s="256" t="s">
        <v>1760</v>
      </c>
      <c r="G34" s="258">
        <v>16978000000</v>
      </c>
      <c r="H34" s="265">
        <v>0.1</v>
      </c>
      <c r="I34" s="258">
        <v>1697800000</v>
      </c>
      <c r="J34" s="258">
        <v>18675800000</v>
      </c>
      <c r="K34" s="256" t="s">
        <v>1346</v>
      </c>
    </row>
    <row r="35" spans="1:11" x14ac:dyDescent="0.3">
      <c r="A35" s="256">
        <v>28</v>
      </c>
      <c r="B35" s="257" t="s">
        <v>1396</v>
      </c>
      <c r="C35" s="276">
        <v>44377</v>
      </c>
      <c r="D35" s="257" t="s">
        <v>1286</v>
      </c>
      <c r="E35" s="256" t="s">
        <v>1828</v>
      </c>
      <c r="F35" s="256" t="s">
        <v>1756</v>
      </c>
      <c r="G35" s="258">
        <v>4936000000</v>
      </c>
      <c r="H35" s="265">
        <v>0.1</v>
      </c>
      <c r="I35" s="258">
        <v>493600000</v>
      </c>
      <c r="J35" s="258">
        <v>5429600000</v>
      </c>
      <c r="K35" s="256" t="s">
        <v>1348</v>
      </c>
    </row>
    <row r="36" spans="1:11" x14ac:dyDescent="0.3">
      <c r="A36" s="256">
        <v>29</v>
      </c>
      <c r="B36" s="257" t="s">
        <v>1467</v>
      </c>
      <c r="C36" s="276">
        <v>44469</v>
      </c>
      <c r="D36" s="257" t="s">
        <v>1304</v>
      </c>
      <c r="E36" s="256" t="s">
        <v>1831</v>
      </c>
      <c r="F36" s="256" t="s">
        <v>1757</v>
      </c>
      <c r="G36" s="258">
        <v>15578000000</v>
      </c>
      <c r="H36" s="265">
        <v>0.1</v>
      </c>
      <c r="I36" s="258">
        <v>1557800000</v>
      </c>
      <c r="J36" s="258">
        <v>17135800000</v>
      </c>
      <c r="K36" s="256" t="s">
        <v>1346</v>
      </c>
    </row>
    <row r="37" spans="1:11" x14ac:dyDescent="0.3">
      <c r="A37" s="256">
        <v>30</v>
      </c>
      <c r="B37" s="257" t="s">
        <v>1209</v>
      </c>
      <c r="C37" s="276">
        <v>44530</v>
      </c>
      <c r="D37" s="257" t="s">
        <v>1289</v>
      </c>
      <c r="E37" s="256" t="s">
        <v>1803</v>
      </c>
      <c r="F37" s="256" t="s">
        <v>1756</v>
      </c>
      <c r="G37" s="258">
        <v>8561000000</v>
      </c>
      <c r="H37" s="265">
        <v>0.1</v>
      </c>
      <c r="I37" s="258">
        <v>856100000</v>
      </c>
      <c r="J37" s="258">
        <v>9417100000</v>
      </c>
      <c r="K37" s="256" t="s">
        <v>1346</v>
      </c>
    </row>
    <row r="38" spans="1:11" x14ac:dyDescent="0.3">
      <c r="A38" s="256">
        <v>31</v>
      </c>
      <c r="B38" s="257" t="s">
        <v>1418</v>
      </c>
      <c r="C38" s="276">
        <v>44286</v>
      </c>
      <c r="D38" s="257" t="s">
        <v>1289</v>
      </c>
      <c r="E38" s="256" t="s">
        <v>1803</v>
      </c>
      <c r="F38" s="256" t="s">
        <v>1758</v>
      </c>
      <c r="G38" s="258">
        <v>17267000000</v>
      </c>
      <c r="H38" s="265">
        <v>0.1</v>
      </c>
      <c r="I38" s="258">
        <v>1726700000</v>
      </c>
      <c r="J38" s="258">
        <v>18993700000</v>
      </c>
      <c r="K38" s="256" t="s">
        <v>1346</v>
      </c>
    </row>
    <row r="39" spans="1:11" x14ac:dyDescent="0.3">
      <c r="A39" s="256">
        <v>32</v>
      </c>
      <c r="B39" s="257" t="s">
        <v>1414</v>
      </c>
      <c r="C39" s="276">
        <v>44347</v>
      </c>
      <c r="D39" s="257" t="s">
        <v>1293</v>
      </c>
      <c r="E39" s="256" t="s">
        <v>1826</v>
      </c>
      <c r="F39" s="256" t="s">
        <v>1759</v>
      </c>
      <c r="G39" s="258">
        <v>11893000000</v>
      </c>
      <c r="H39" s="265">
        <v>0</v>
      </c>
      <c r="I39" s="258">
        <v>0</v>
      </c>
      <c r="J39" s="258">
        <v>11893000000</v>
      </c>
      <c r="K39" s="256" t="s">
        <v>1348</v>
      </c>
    </row>
    <row r="40" spans="1:11" x14ac:dyDescent="0.3">
      <c r="A40" s="256">
        <v>33</v>
      </c>
      <c r="B40" s="257" t="s">
        <v>1392</v>
      </c>
      <c r="C40" s="276">
        <v>44408</v>
      </c>
      <c r="D40" s="257" t="s">
        <v>1296</v>
      </c>
      <c r="E40" s="256" t="s">
        <v>1807</v>
      </c>
      <c r="F40" s="256" t="s">
        <v>1755</v>
      </c>
      <c r="G40" s="258">
        <v>8188000000</v>
      </c>
      <c r="H40" s="265">
        <v>0.1</v>
      </c>
      <c r="I40" s="258">
        <v>818800000</v>
      </c>
      <c r="J40" s="258">
        <v>9006800000</v>
      </c>
      <c r="K40" s="256" t="s">
        <v>1346</v>
      </c>
    </row>
    <row r="41" spans="1:11" x14ac:dyDescent="0.3">
      <c r="A41" s="256">
        <v>34</v>
      </c>
      <c r="B41" s="257" t="s">
        <v>1468</v>
      </c>
      <c r="C41" s="276">
        <v>44439</v>
      </c>
      <c r="D41" s="257" t="s">
        <v>1272</v>
      </c>
      <c r="E41" s="256" t="s">
        <v>1805</v>
      </c>
      <c r="F41" s="256" t="s">
        <v>1756</v>
      </c>
      <c r="G41" s="258">
        <v>12080000000</v>
      </c>
      <c r="H41" s="265">
        <v>0.1</v>
      </c>
      <c r="I41" s="258">
        <v>1208000000</v>
      </c>
      <c r="J41" s="258">
        <v>13288000000</v>
      </c>
      <c r="K41" s="256" t="s">
        <v>1346</v>
      </c>
    </row>
    <row r="42" spans="1:11" x14ac:dyDescent="0.3">
      <c r="A42" s="256">
        <v>35</v>
      </c>
      <c r="B42" s="257" t="s">
        <v>1402</v>
      </c>
      <c r="C42" s="276">
        <v>44500</v>
      </c>
      <c r="D42" s="257" t="s">
        <v>1300</v>
      </c>
      <c r="E42" s="256" t="s">
        <v>1818</v>
      </c>
      <c r="F42" s="256" t="s">
        <v>1758</v>
      </c>
      <c r="G42" s="258">
        <v>17016000000</v>
      </c>
      <c r="H42" s="265">
        <v>0.1</v>
      </c>
      <c r="I42" s="258">
        <v>1701600000</v>
      </c>
      <c r="J42" s="258">
        <v>18717600000</v>
      </c>
      <c r="K42" s="256" t="s">
        <v>1346</v>
      </c>
    </row>
    <row r="43" spans="1:11" x14ac:dyDescent="0.3">
      <c r="A43" s="256">
        <v>36</v>
      </c>
      <c r="B43" s="257" t="s">
        <v>1474</v>
      </c>
      <c r="C43" s="276">
        <v>44561</v>
      </c>
      <c r="D43" s="257" t="s">
        <v>1259</v>
      </c>
      <c r="E43" s="256" t="s">
        <v>1788</v>
      </c>
      <c r="F43" s="256" t="s">
        <v>1759</v>
      </c>
      <c r="G43" s="258">
        <v>16552000000</v>
      </c>
      <c r="H43" s="265">
        <v>0.1</v>
      </c>
      <c r="I43" s="258">
        <v>1655200000</v>
      </c>
      <c r="J43" s="258">
        <v>18207200000</v>
      </c>
      <c r="K43" s="256" t="s">
        <v>1346</v>
      </c>
    </row>
    <row r="44" spans="1:11" x14ac:dyDescent="0.3">
      <c r="A44" s="256">
        <v>37</v>
      </c>
      <c r="B44" s="257" t="s">
        <v>1402</v>
      </c>
      <c r="C44" s="276">
        <v>44561</v>
      </c>
      <c r="D44" s="257" t="s">
        <v>1287</v>
      </c>
      <c r="E44" s="256" t="s">
        <v>1801</v>
      </c>
      <c r="F44" s="256" t="s">
        <v>1758</v>
      </c>
      <c r="G44" s="258">
        <v>18711000000</v>
      </c>
      <c r="H44" s="265">
        <v>0.1</v>
      </c>
      <c r="I44" s="258">
        <v>1871100000</v>
      </c>
      <c r="J44" s="258">
        <v>20582100000</v>
      </c>
      <c r="K44" s="256" t="s">
        <v>1346</v>
      </c>
    </row>
    <row r="45" spans="1:11" x14ac:dyDescent="0.3">
      <c r="A45" s="256">
        <v>38</v>
      </c>
      <c r="B45" s="257" t="s">
        <v>1463</v>
      </c>
      <c r="C45" s="276">
        <v>44561</v>
      </c>
      <c r="D45" s="257" t="s">
        <v>1268</v>
      </c>
      <c r="E45" s="256" t="s">
        <v>1821</v>
      </c>
      <c r="F45" s="256" t="s">
        <v>1760</v>
      </c>
      <c r="G45" s="258">
        <v>14851000000</v>
      </c>
      <c r="H45" s="265">
        <v>0.1</v>
      </c>
      <c r="I45" s="258">
        <v>1485100000</v>
      </c>
      <c r="J45" s="258">
        <v>16336100000</v>
      </c>
      <c r="K45" s="256" t="s">
        <v>1346</v>
      </c>
    </row>
    <row r="46" spans="1:11" x14ac:dyDescent="0.3">
      <c r="A46" s="256">
        <v>39</v>
      </c>
      <c r="B46" s="257" t="s">
        <v>1469</v>
      </c>
      <c r="C46" s="276">
        <v>44561</v>
      </c>
      <c r="D46" s="257" t="s">
        <v>1270</v>
      </c>
      <c r="E46" s="256" t="s">
        <v>1782</v>
      </c>
      <c r="F46" s="256" t="s">
        <v>1755</v>
      </c>
      <c r="G46" s="258">
        <v>12338000000</v>
      </c>
      <c r="H46" s="265">
        <v>0.1</v>
      </c>
      <c r="I46" s="258">
        <v>1233800000</v>
      </c>
      <c r="J46" s="258">
        <v>13571800000</v>
      </c>
      <c r="K46" s="256" t="s">
        <v>1346</v>
      </c>
    </row>
    <row r="47" spans="1:11" x14ac:dyDescent="0.3">
      <c r="A47" s="256">
        <v>40</v>
      </c>
      <c r="B47" s="257" t="s">
        <v>1411</v>
      </c>
      <c r="C47" s="276">
        <v>44561</v>
      </c>
      <c r="D47" s="257" t="s">
        <v>1290</v>
      </c>
      <c r="E47" s="256" t="s">
        <v>1796</v>
      </c>
      <c r="F47" s="256" t="s">
        <v>1760</v>
      </c>
      <c r="G47" s="258">
        <v>13892000000</v>
      </c>
      <c r="H47" s="265">
        <v>0.1</v>
      </c>
      <c r="I47" s="258">
        <v>1389200000</v>
      </c>
      <c r="J47" s="258">
        <v>15281200000</v>
      </c>
      <c r="K47" s="256" t="s">
        <v>1346</v>
      </c>
    </row>
    <row r="48" spans="1:11" x14ac:dyDescent="0.3">
      <c r="A48" s="256">
        <v>41</v>
      </c>
      <c r="B48" s="257" t="s">
        <v>1458</v>
      </c>
      <c r="C48" s="276">
        <v>44561</v>
      </c>
      <c r="D48" s="257" t="s">
        <v>1288</v>
      </c>
      <c r="E48" s="256" t="s">
        <v>1797</v>
      </c>
      <c r="F48" s="256" t="s">
        <v>1759</v>
      </c>
      <c r="G48" s="258">
        <v>10077000000</v>
      </c>
      <c r="H48" s="265">
        <v>0.1</v>
      </c>
      <c r="I48" s="258">
        <v>1007700000</v>
      </c>
      <c r="J48" s="258">
        <v>11084700000</v>
      </c>
      <c r="K48" s="256" t="s">
        <v>1346</v>
      </c>
    </row>
    <row r="49" spans="1:11" x14ac:dyDescent="0.3">
      <c r="A49" s="256">
        <v>42</v>
      </c>
      <c r="B49" s="257" t="s">
        <v>1415</v>
      </c>
      <c r="C49" s="276">
        <v>44561</v>
      </c>
      <c r="D49" s="257" t="s">
        <v>1282</v>
      </c>
      <c r="E49" s="256" t="s">
        <v>1789</v>
      </c>
      <c r="F49" s="256" t="s">
        <v>1759</v>
      </c>
      <c r="G49" s="258">
        <v>18331000000</v>
      </c>
      <c r="H49" s="265">
        <v>0.1</v>
      </c>
      <c r="I49" s="258">
        <v>1833100000</v>
      </c>
      <c r="J49" s="258">
        <v>20164100000</v>
      </c>
      <c r="K49" s="256" t="s">
        <v>1346</v>
      </c>
    </row>
    <row r="50" spans="1:11" x14ac:dyDescent="0.3">
      <c r="A50" s="256">
        <v>43</v>
      </c>
      <c r="B50" s="257" t="s">
        <v>1418</v>
      </c>
      <c r="C50" s="276">
        <v>44561</v>
      </c>
      <c r="D50" s="257" t="s">
        <v>1265</v>
      </c>
      <c r="E50" s="256" t="s">
        <v>1830</v>
      </c>
      <c r="F50" s="256" t="s">
        <v>1758</v>
      </c>
      <c r="G50" s="258">
        <v>4748000000</v>
      </c>
      <c r="H50" s="265">
        <v>0.1</v>
      </c>
      <c r="I50" s="258">
        <v>474800000</v>
      </c>
      <c r="J50" s="258">
        <v>5222800000</v>
      </c>
      <c r="K50" s="256" t="s">
        <v>1346</v>
      </c>
    </row>
    <row r="51" spans="1:11" x14ac:dyDescent="0.3">
      <c r="A51" s="256">
        <v>44</v>
      </c>
      <c r="B51" s="257" t="s">
        <v>1475</v>
      </c>
      <c r="C51" s="276">
        <v>44561</v>
      </c>
      <c r="D51" s="257" t="s">
        <v>1259</v>
      </c>
      <c r="E51" s="256" t="s">
        <v>1788</v>
      </c>
      <c r="F51" s="256" t="s">
        <v>1756</v>
      </c>
      <c r="G51" s="258">
        <v>13434000000</v>
      </c>
      <c r="H51" s="265">
        <v>0.1</v>
      </c>
      <c r="I51" s="258">
        <v>1343400000</v>
      </c>
      <c r="J51" s="258">
        <v>14777400000</v>
      </c>
      <c r="K51" s="256" t="s">
        <v>1346</v>
      </c>
    </row>
    <row r="52" spans="1:11" x14ac:dyDescent="0.3">
      <c r="A52" s="256">
        <v>45</v>
      </c>
      <c r="B52" s="257" t="s">
        <v>1396</v>
      </c>
      <c r="C52" s="276">
        <v>44561</v>
      </c>
      <c r="D52" s="257" t="s">
        <v>1258</v>
      </c>
      <c r="E52" s="256" t="s">
        <v>1833</v>
      </c>
      <c r="F52" s="256" t="s">
        <v>1759</v>
      </c>
      <c r="G52" s="258">
        <v>15843000000</v>
      </c>
      <c r="H52" s="265">
        <v>0.1</v>
      </c>
      <c r="I52" s="258">
        <v>1584300000</v>
      </c>
      <c r="J52" s="258">
        <v>17427300000</v>
      </c>
      <c r="K52" s="256" t="s">
        <v>1346</v>
      </c>
    </row>
    <row r="53" spans="1:11" x14ac:dyDescent="0.3">
      <c r="A53" s="256">
        <v>46</v>
      </c>
      <c r="B53" s="257" t="s">
        <v>1467</v>
      </c>
      <c r="C53" s="276">
        <v>44561</v>
      </c>
      <c r="D53" s="257" t="s">
        <v>1279</v>
      </c>
      <c r="E53" s="256" t="s">
        <v>1827</v>
      </c>
      <c r="F53" s="256" t="s">
        <v>1759</v>
      </c>
      <c r="G53" s="258">
        <v>7151000000</v>
      </c>
      <c r="H53" s="265">
        <v>0</v>
      </c>
      <c r="I53" s="258">
        <v>0</v>
      </c>
      <c r="J53" s="258">
        <v>7151000000</v>
      </c>
      <c r="K53" s="256" t="s">
        <v>1346</v>
      </c>
    </row>
    <row r="54" spans="1:11" x14ac:dyDescent="0.3">
      <c r="A54" s="256">
        <v>47</v>
      </c>
      <c r="B54" s="257" t="s">
        <v>1476</v>
      </c>
      <c r="C54" s="276">
        <v>44561</v>
      </c>
      <c r="D54" s="257" t="s">
        <v>1259</v>
      </c>
      <c r="E54" s="256" t="s">
        <v>1788</v>
      </c>
      <c r="F54" s="256" t="s">
        <v>1759</v>
      </c>
      <c r="G54" s="258">
        <v>13089000000</v>
      </c>
      <c r="H54" s="265">
        <v>0.1</v>
      </c>
      <c r="I54" s="258">
        <v>1308900000</v>
      </c>
      <c r="J54" s="258">
        <v>14397900000</v>
      </c>
      <c r="K54" s="256" t="s">
        <v>1346</v>
      </c>
    </row>
    <row r="55" spans="1:11" x14ac:dyDescent="0.3">
      <c r="A55" s="256">
        <v>48</v>
      </c>
      <c r="B55" s="257" t="s">
        <v>1466</v>
      </c>
      <c r="C55" s="276">
        <v>44561</v>
      </c>
      <c r="D55" s="257" t="s">
        <v>1273</v>
      </c>
      <c r="E55" s="256" t="s">
        <v>1829</v>
      </c>
      <c r="F55" s="256" t="s">
        <v>1755</v>
      </c>
      <c r="G55" s="258">
        <v>11959000000</v>
      </c>
      <c r="H55" s="265">
        <v>0.1</v>
      </c>
      <c r="I55" s="258">
        <v>1195900000</v>
      </c>
      <c r="J55" s="258">
        <v>13154900000</v>
      </c>
      <c r="K55" s="256" t="s">
        <v>1346</v>
      </c>
    </row>
    <row r="56" spans="1:11" x14ac:dyDescent="0.3">
      <c r="A56" s="256">
        <v>49</v>
      </c>
      <c r="B56" s="257" t="s">
        <v>1404</v>
      </c>
      <c r="C56" s="276">
        <v>44561</v>
      </c>
      <c r="D56" s="257" t="s">
        <v>1301</v>
      </c>
      <c r="E56" s="256" t="s">
        <v>1781</v>
      </c>
      <c r="F56" s="256" t="s">
        <v>1759</v>
      </c>
      <c r="G56" s="258">
        <v>9143000000</v>
      </c>
      <c r="H56" s="265">
        <v>0.1</v>
      </c>
      <c r="I56" s="258">
        <v>914300000</v>
      </c>
      <c r="J56" s="258">
        <v>10057300000</v>
      </c>
      <c r="K56" s="256" t="s">
        <v>1346</v>
      </c>
    </row>
    <row r="57" spans="1:11" x14ac:dyDescent="0.3">
      <c r="A57" s="256">
        <v>50</v>
      </c>
      <c r="B57" s="257" t="s">
        <v>1408</v>
      </c>
      <c r="C57" s="276">
        <v>44561</v>
      </c>
      <c r="D57" s="257" t="s">
        <v>1299</v>
      </c>
      <c r="E57" s="256" t="s">
        <v>1776</v>
      </c>
      <c r="F57" s="256" t="s">
        <v>1758</v>
      </c>
      <c r="G57" s="258">
        <v>8826000000</v>
      </c>
      <c r="H57" s="265">
        <v>0.1</v>
      </c>
      <c r="I57" s="258">
        <v>882600000</v>
      </c>
      <c r="J57" s="258">
        <v>9708600000</v>
      </c>
      <c r="K57" s="256" t="s">
        <v>1346</v>
      </c>
    </row>
    <row r="58" spans="1:11" x14ac:dyDescent="0.3">
      <c r="A58" s="266" t="s">
        <v>1351</v>
      </c>
      <c r="B58" s="266"/>
      <c r="C58" s="266"/>
      <c r="D58" s="266"/>
      <c r="E58" s="266"/>
      <c r="F58" s="266"/>
      <c r="G58" s="267">
        <f>SUM(G8:G57)</f>
        <v>605923000000</v>
      </c>
      <c r="H58" s="266"/>
      <c r="I58" s="267">
        <f>SUM(I8:I57)</f>
        <v>55508800000</v>
      </c>
      <c r="J58" s="267">
        <f>SUM(J8:J57)</f>
        <v>661431800000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1764</v>
      </c>
      <c r="G62" s="258">
        <v>12076000000</v>
      </c>
      <c r="H62" s="265">
        <v>0.1</v>
      </c>
      <c r="I62" s="258">
        <v>1207600000</v>
      </c>
      <c r="J62" s="258">
        <v>13283600000</v>
      </c>
      <c r="K62" s="256" t="s">
        <v>1346</v>
      </c>
    </row>
    <row r="63" spans="1:11" x14ac:dyDescent="0.3">
      <c r="A63" s="256">
        <v>2</v>
      </c>
      <c r="B63" s="257" t="s">
        <v>1201</v>
      </c>
      <c r="C63" s="276">
        <v>44318</v>
      </c>
      <c r="D63" s="257" t="s">
        <v>1259</v>
      </c>
      <c r="E63" s="256" t="s">
        <v>1788</v>
      </c>
      <c r="F63" s="256" t="s">
        <v>1832</v>
      </c>
      <c r="G63" s="258">
        <v>21538000000</v>
      </c>
      <c r="H63" s="265">
        <v>0.1</v>
      </c>
      <c r="I63" s="258">
        <v>2153800000</v>
      </c>
      <c r="J63" s="258">
        <v>23691800000</v>
      </c>
      <c r="K63" s="256" t="s">
        <v>1348</v>
      </c>
    </row>
    <row r="64" spans="1:11" x14ac:dyDescent="0.3">
      <c r="A64" s="256">
        <v>3</v>
      </c>
      <c r="B64" s="257" t="s">
        <v>1202</v>
      </c>
      <c r="C64" s="276">
        <v>44472</v>
      </c>
      <c r="D64" s="257" t="s">
        <v>1298</v>
      </c>
      <c r="E64" s="256" t="s">
        <v>1819</v>
      </c>
      <c r="F64" s="256" t="s">
        <v>1761</v>
      </c>
      <c r="G64" s="258">
        <v>11784000000</v>
      </c>
      <c r="H64" s="265">
        <v>0</v>
      </c>
      <c r="I64" s="258">
        <v>0</v>
      </c>
      <c r="J64" s="258">
        <v>11784000000</v>
      </c>
      <c r="K64" s="256" t="s">
        <v>1346</v>
      </c>
    </row>
    <row r="65" spans="1:11" x14ac:dyDescent="0.3">
      <c r="A65" s="256">
        <v>4</v>
      </c>
      <c r="B65" s="257" t="s">
        <v>1355</v>
      </c>
      <c r="C65" s="276">
        <v>44473</v>
      </c>
      <c r="D65" s="257" t="s">
        <v>1288</v>
      </c>
      <c r="E65" s="256" t="s">
        <v>1797</v>
      </c>
      <c r="F65" s="256" t="s">
        <v>1762</v>
      </c>
      <c r="G65" s="258">
        <v>11476000000</v>
      </c>
      <c r="H65" s="265">
        <v>0</v>
      </c>
      <c r="I65" s="258">
        <v>0</v>
      </c>
      <c r="J65" s="258">
        <v>11476000000</v>
      </c>
      <c r="K65" s="256" t="s">
        <v>1348</v>
      </c>
    </row>
    <row r="66" spans="1:11" x14ac:dyDescent="0.3">
      <c r="A66" s="256">
        <v>5</v>
      </c>
      <c r="B66" s="257" t="s">
        <v>1356</v>
      </c>
      <c r="C66" s="276">
        <v>44474</v>
      </c>
      <c r="D66" s="257" t="s">
        <v>1285</v>
      </c>
      <c r="E66" s="256" t="s">
        <v>1793</v>
      </c>
      <c r="F66" s="256" t="s">
        <v>1764</v>
      </c>
      <c r="G66" s="258">
        <v>7852000000</v>
      </c>
      <c r="H66" s="265">
        <v>0.1</v>
      </c>
      <c r="I66" s="258">
        <v>785200000</v>
      </c>
      <c r="J66" s="258">
        <v>8637200000</v>
      </c>
      <c r="K66" s="256" t="s">
        <v>1346</v>
      </c>
    </row>
    <row r="67" spans="1:11" x14ac:dyDescent="0.3">
      <c r="A67" s="256">
        <v>6</v>
      </c>
      <c r="B67" s="257" t="s">
        <v>1358</v>
      </c>
      <c r="C67" s="276">
        <v>44475</v>
      </c>
      <c r="D67" s="257" t="s">
        <v>1286</v>
      </c>
      <c r="E67" s="256" t="s">
        <v>1828</v>
      </c>
      <c r="F67" s="256" t="s">
        <v>1832</v>
      </c>
      <c r="G67" s="258">
        <v>9776000000</v>
      </c>
      <c r="H67" s="265">
        <v>0</v>
      </c>
      <c r="I67" s="258">
        <v>0</v>
      </c>
      <c r="J67" s="258">
        <v>9776000000</v>
      </c>
      <c r="K67" s="256" t="s">
        <v>1346</v>
      </c>
    </row>
    <row r="68" spans="1:11" x14ac:dyDescent="0.3">
      <c r="A68" s="256">
        <v>7</v>
      </c>
      <c r="B68" s="257" t="s">
        <v>1360</v>
      </c>
      <c r="C68" s="276">
        <v>44476</v>
      </c>
      <c r="D68" s="257" t="s">
        <v>1256</v>
      </c>
      <c r="E68" s="256" t="s">
        <v>1802</v>
      </c>
      <c r="F68" s="256" t="s">
        <v>1832</v>
      </c>
      <c r="G68" s="258">
        <v>14852000000</v>
      </c>
      <c r="H68" s="265">
        <v>0.1</v>
      </c>
      <c r="I68" s="258">
        <v>1485200000</v>
      </c>
      <c r="J68" s="258">
        <v>16337200000</v>
      </c>
      <c r="K68" s="256" t="s">
        <v>1346</v>
      </c>
    </row>
    <row r="69" spans="1:11" x14ac:dyDescent="0.3">
      <c r="A69" s="256">
        <v>8</v>
      </c>
      <c r="B69" s="257" t="s">
        <v>1362</v>
      </c>
      <c r="C69" s="276">
        <v>44477</v>
      </c>
      <c r="D69" s="257" t="s">
        <v>1289</v>
      </c>
      <c r="E69" s="256" t="s">
        <v>1803</v>
      </c>
      <c r="F69" s="256" t="s">
        <v>1761</v>
      </c>
      <c r="G69" s="258">
        <v>10092000000</v>
      </c>
      <c r="H69" s="265">
        <v>0.1</v>
      </c>
      <c r="I69" s="258">
        <v>1009200000</v>
      </c>
      <c r="J69" s="258">
        <v>11101200000</v>
      </c>
      <c r="K69" s="256" t="s">
        <v>1346</v>
      </c>
    </row>
    <row r="70" spans="1:11" x14ac:dyDescent="0.3">
      <c r="A70" s="256">
        <v>9</v>
      </c>
      <c r="B70" s="257" t="s">
        <v>1364</v>
      </c>
      <c r="C70" s="276">
        <v>44478</v>
      </c>
      <c r="D70" s="257" t="s">
        <v>1301</v>
      </c>
      <c r="E70" s="256" t="s">
        <v>1781</v>
      </c>
      <c r="F70" s="256" t="s">
        <v>1762</v>
      </c>
      <c r="G70" s="258">
        <v>17941000000</v>
      </c>
      <c r="H70" s="265">
        <v>0.1</v>
      </c>
      <c r="I70" s="258">
        <v>1794100000</v>
      </c>
      <c r="J70" s="258">
        <v>19735100000</v>
      </c>
      <c r="K70" s="256" t="s">
        <v>1346</v>
      </c>
    </row>
    <row r="71" spans="1:11" x14ac:dyDescent="0.3">
      <c r="A71" s="256">
        <v>10</v>
      </c>
      <c r="B71" s="257" t="s">
        <v>1366</v>
      </c>
      <c r="C71" s="276">
        <v>44479</v>
      </c>
      <c r="D71" s="257" t="s">
        <v>1276</v>
      </c>
      <c r="E71" s="256" t="s">
        <v>1822</v>
      </c>
      <c r="F71" s="256" t="s">
        <v>1764</v>
      </c>
      <c r="G71" s="258">
        <v>7546000000</v>
      </c>
      <c r="H71" s="265">
        <v>0.1</v>
      </c>
      <c r="I71" s="258">
        <v>754600000</v>
      </c>
      <c r="J71" s="258">
        <v>8300600000</v>
      </c>
      <c r="K71" s="256" t="s">
        <v>1346</v>
      </c>
    </row>
    <row r="72" spans="1:11" x14ac:dyDescent="0.3">
      <c r="A72" s="256">
        <v>11</v>
      </c>
      <c r="B72" s="257" t="s">
        <v>1368</v>
      </c>
      <c r="C72" s="276">
        <v>44480</v>
      </c>
      <c r="D72" s="257" t="s">
        <v>1263</v>
      </c>
      <c r="E72" s="256" t="s">
        <v>1790</v>
      </c>
      <c r="F72" s="256" t="s">
        <v>1832</v>
      </c>
      <c r="G72" s="258">
        <v>23712000000</v>
      </c>
      <c r="H72" s="265">
        <v>0</v>
      </c>
      <c r="I72" s="258">
        <v>0</v>
      </c>
      <c r="J72" s="258">
        <v>23712000000</v>
      </c>
      <c r="K72" s="256" t="s">
        <v>1346</v>
      </c>
    </row>
    <row r="73" spans="1:11" x14ac:dyDescent="0.3">
      <c r="A73" s="256">
        <v>12</v>
      </c>
      <c r="B73" s="257" t="s">
        <v>1371</v>
      </c>
      <c r="C73" s="276">
        <v>44481</v>
      </c>
      <c r="D73" s="257" t="s">
        <v>1284</v>
      </c>
      <c r="E73" s="256" t="s">
        <v>1786</v>
      </c>
      <c r="F73" s="256" t="s">
        <v>1832</v>
      </c>
      <c r="G73" s="258">
        <v>14014000000</v>
      </c>
      <c r="H73" s="265">
        <v>0.1</v>
      </c>
      <c r="I73" s="258">
        <v>1401400000</v>
      </c>
      <c r="J73" s="258">
        <v>15415400000</v>
      </c>
      <c r="K73" s="256" t="s">
        <v>1346</v>
      </c>
    </row>
    <row r="74" spans="1:11" x14ac:dyDescent="0.3">
      <c r="A74" s="256">
        <v>13</v>
      </c>
      <c r="B74" s="257" t="s">
        <v>1373</v>
      </c>
      <c r="C74" s="276">
        <v>44211</v>
      </c>
      <c r="D74" s="257" t="s">
        <v>1291</v>
      </c>
      <c r="E74" s="256" t="s">
        <v>1800</v>
      </c>
      <c r="F74" s="256" t="s">
        <v>1762</v>
      </c>
      <c r="G74" s="258">
        <v>23653000000</v>
      </c>
      <c r="H74" s="265">
        <v>0.1</v>
      </c>
      <c r="I74" s="258">
        <v>2365300000</v>
      </c>
      <c r="J74" s="258">
        <v>26018300000</v>
      </c>
      <c r="K74" s="256" t="s">
        <v>1346</v>
      </c>
    </row>
    <row r="75" spans="1:11" x14ac:dyDescent="0.3">
      <c r="A75" s="256">
        <v>14</v>
      </c>
      <c r="B75" s="257" t="s">
        <v>1374</v>
      </c>
      <c r="C75" s="276">
        <v>44242</v>
      </c>
      <c r="D75" s="257" t="s">
        <v>1255</v>
      </c>
      <c r="E75" s="273">
        <v>46152</v>
      </c>
      <c r="F75" s="256" t="s">
        <v>1762</v>
      </c>
      <c r="G75" s="258">
        <v>18930000000</v>
      </c>
      <c r="H75" s="265">
        <v>0.1</v>
      </c>
      <c r="I75" s="258">
        <v>1893000000</v>
      </c>
      <c r="J75" s="258">
        <v>20823000000</v>
      </c>
      <c r="K75" s="256" t="s">
        <v>1346</v>
      </c>
    </row>
    <row r="76" spans="1:11" x14ac:dyDescent="0.3">
      <c r="A76" s="256">
        <v>15</v>
      </c>
      <c r="B76" s="257" t="s">
        <v>1376</v>
      </c>
      <c r="C76" s="276">
        <v>44275</v>
      </c>
      <c r="D76" s="257" t="s">
        <v>1296</v>
      </c>
      <c r="E76" s="256" t="s">
        <v>1807</v>
      </c>
      <c r="F76" s="256" t="s">
        <v>1832</v>
      </c>
      <c r="G76" s="258">
        <v>17140000000</v>
      </c>
      <c r="H76" s="265">
        <v>0.1</v>
      </c>
      <c r="I76" s="258">
        <v>1714000000</v>
      </c>
      <c r="J76" s="258">
        <v>18854000000</v>
      </c>
      <c r="K76" s="256" t="s">
        <v>1346</v>
      </c>
    </row>
    <row r="77" spans="1:11" x14ac:dyDescent="0.3">
      <c r="A77" s="256">
        <v>16</v>
      </c>
      <c r="B77" s="257" t="s">
        <v>1378</v>
      </c>
      <c r="C77" s="276">
        <v>44306</v>
      </c>
      <c r="D77" s="257" t="s">
        <v>1298</v>
      </c>
      <c r="E77" s="256" t="s">
        <v>1819</v>
      </c>
      <c r="F77" s="256" t="s">
        <v>1761</v>
      </c>
      <c r="G77" s="258">
        <v>22646000000</v>
      </c>
      <c r="H77" s="265">
        <v>0.1</v>
      </c>
      <c r="I77" s="258">
        <v>2264600000</v>
      </c>
      <c r="J77" s="258">
        <v>24910600000</v>
      </c>
      <c r="K77" s="256" t="s">
        <v>1348</v>
      </c>
    </row>
    <row r="78" spans="1:11" x14ac:dyDescent="0.3">
      <c r="A78" s="256">
        <v>17</v>
      </c>
      <c r="B78" s="257" t="s">
        <v>1379</v>
      </c>
      <c r="C78" s="276">
        <v>44336</v>
      </c>
      <c r="D78" s="257" t="s">
        <v>1261</v>
      </c>
      <c r="E78" s="256" t="s">
        <v>1813</v>
      </c>
      <c r="F78" s="256" t="s">
        <v>1764</v>
      </c>
      <c r="G78" s="258">
        <v>10226000000</v>
      </c>
      <c r="H78" s="265">
        <v>0.1</v>
      </c>
      <c r="I78" s="258">
        <v>1022600000</v>
      </c>
      <c r="J78" s="258">
        <v>11248600000</v>
      </c>
      <c r="K78" s="256" t="s">
        <v>1348</v>
      </c>
    </row>
    <row r="79" spans="1:11" x14ac:dyDescent="0.3">
      <c r="A79" s="256">
        <v>18</v>
      </c>
      <c r="B79" s="257" t="s">
        <v>1381</v>
      </c>
      <c r="C79" s="276">
        <v>44367</v>
      </c>
      <c r="D79" s="257" t="s">
        <v>1299</v>
      </c>
      <c r="E79" s="256" t="s">
        <v>1776</v>
      </c>
      <c r="F79" s="256" t="s">
        <v>1832</v>
      </c>
      <c r="G79" s="258">
        <v>16857000000</v>
      </c>
      <c r="H79" s="265">
        <v>0.1</v>
      </c>
      <c r="I79" s="258">
        <v>1685700000</v>
      </c>
      <c r="J79" s="258">
        <v>18542700000</v>
      </c>
      <c r="K79" s="256" t="s">
        <v>1346</v>
      </c>
    </row>
    <row r="80" spans="1:11" x14ac:dyDescent="0.3">
      <c r="A80" s="256">
        <v>19</v>
      </c>
      <c r="B80" s="257" t="s">
        <v>1382</v>
      </c>
      <c r="C80" s="276">
        <v>44397</v>
      </c>
      <c r="D80" s="257" t="s">
        <v>1300</v>
      </c>
      <c r="E80" s="256" t="s">
        <v>1818</v>
      </c>
      <c r="F80" s="256" t="s">
        <v>1761</v>
      </c>
      <c r="G80" s="258">
        <v>10991000000</v>
      </c>
      <c r="H80" s="265">
        <v>0.1</v>
      </c>
      <c r="I80" s="258">
        <v>1099100000</v>
      </c>
      <c r="J80" s="258">
        <v>12090100000</v>
      </c>
      <c r="K80" s="256" t="s">
        <v>1346</v>
      </c>
    </row>
    <row r="81" spans="1:11" x14ac:dyDescent="0.3">
      <c r="A81" s="256">
        <v>20</v>
      </c>
      <c r="B81" s="257" t="s">
        <v>1383</v>
      </c>
      <c r="C81" s="276">
        <v>44428</v>
      </c>
      <c r="D81" s="257" t="s">
        <v>1275</v>
      </c>
      <c r="E81" s="256" t="s">
        <v>1808</v>
      </c>
      <c r="F81" s="256" t="s">
        <v>1764</v>
      </c>
      <c r="G81" s="258">
        <v>23668000000</v>
      </c>
      <c r="H81" s="265">
        <v>0.1</v>
      </c>
      <c r="I81" s="258">
        <v>2366800000</v>
      </c>
      <c r="J81" s="258">
        <v>26034800000</v>
      </c>
      <c r="K81" s="256" t="s">
        <v>1346</v>
      </c>
    </row>
    <row r="82" spans="1:11" x14ac:dyDescent="0.3">
      <c r="A82" s="256">
        <v>21</v>
      </c>
      <c r="B82" s="257" t="s">
        <v>1203</v>
      </c>
      <c r="C82" s="276">
        <v>44459</v>
      </c>
      <c r="D82" s="257" t="s">
        <v>1301</v>
      </c>
      <c r="E82" s="256" t="s">
        <v>1781</v>
      </c>
      <c r="F82" s="256" t="s">
        <v>1832</v>
      </c>
      <c r="G82" s="258">
        <v>25252000000</v>
      </c>
      <c r="H82" s="265">
        <v>0.1</v>
      </c>
      <c r="I82" s="258">
        <v>2525200000</v>
      </c>
      <c r="J82" s="258">
        <v>27777200000</v>
      </c>
      <c r="K82" s="256" t="s">
        <v>1346</v>
      </c>
    </row>
    <row r="83" spans="1:11" x14ac:dyDescent="0.3">
      <c r="A83" s="256">
        <v>22</v>
      </c>
      <c r="B83" s="257" t="s">
        <v>1204</v>
      </c>
      <c r="C83" s="276">
        <v>44489</v>
      </c>
      <c r="D83" s="257" t="s">
        <v>1265</v>
      </c>
      <c r="E83" s="256" t="s">
        <v>1830</v>
      </c>
      <c r="F83" s="256" t="s">
        <v>1764</v>
      </c>
      <c r="G83" s="258">
        <v>22739000000</v>
      </c>
      <c r="H83" s="265">
        <v>0.1</v>
      </c>
      <c r="I83" s="258">
        <v>2273900000</v>
      </c>
      <c r="J83" s="258">
        <v>25012900000</v>
      </c>
      <c r="K83" s="256" t="s">
        <v>1346</v>
      </c>
    </row>
    <row r="84" spans="1:11" x14ac:dyDescent="0.3">
      <c r="A84" s="256">
        <v>23</v>
      </c>
      <c r="B84" s="257" t="s">
        <v>1205</v>
      </c>
      <c r="C84" s="276">
        <v>44520</v>
      </c>
      <c r="D84" s="257" t="s">
        <v>1273</v>
      </c>
      <c r="E84" s="256" t="s">
        <v>1829</v>
      </c>
      <c r="F84" s="256" t="s">
        <v>1761</v>
      </c>
      <c r="G84" s="258">
        <v>11469000000</v>
      </c>
      <c r="H84" s="265">
        <v>0.1</v>
      </c>
      <c r="I84" s="258">
        <v>1146900000</v>
      </c>
      <c r="J84" s="258">
        <v>12615900000</v>
      </c>
      <c r="K84" s="256" t="s">
        <v>1346</v>
      </c>
    </row>
    <row r="85" spans="1:11" x14ac:dyDescent="0.3">
      <c r="A85" s="256">
        <v>24</v>
      </c>
      <c r="B85" s="257" t="s">
        <v>1385</v>
      </c>
      <c r="C85" s="276">
        <v>44550</v>
      </c>
      <c r="D85" s="257" t="s">
        <v>1279</v>
      </c>
      <c r="E85" s="256" t="s">
        <v>1827</v>
      </c>
      <c r="F85" s="256" t="s">
        <v>1832</v>
      </c>
      <c r="G85" s="258">
        <v>19617000000</v>
      </c>
      <c r="H85" s="265">
        <v>0.1</v>
      </c>
      <c r="I85" s="258">
        <v>1961700000</v>
      </c>
      <c r="J85" s="258">
        <v>21578700000</v>
      </c>
      <c r="K85" s="256" t="s">
        <v>1346</v>
      </c>
    </row>
    <row r="86" spans="1:11" x14ac:dyDescent="0.3">
      <c r="A86" s="256">
        <v>25</v>
      </c>
      <c r="B86" s="257" t="s">
        <v>1387</v>
      </c>
      <c r="C86" s="276">
        <v>44221</v>
      </c>
      <c r="D86" s="257" t="s">
        <v>1263</v>
      </c>
      <c r="E86" s="256" t="s">
        <v>1790</v>
      </c>
      <c r="F86" s="256" t="s">
        <v>1764</v>
      </c>
      <c r="G86" s="258">
        <v>22698000000</v>
      </c>
      <c r="H86" s="265">
        <v>0.1</v>
      </c>
      <c r="I86" s="258">
        <v>2269800000</v>
      </c>
      <c r="J86" s="258">
        <v>24967800000</v>
      </c>
      <c r="K86" s="256" t="s">
        <v>1346</v>
      </c>
    </row>
    <row r="87" spans="1:11" x14ac:dyDescent="0.3">
      <c r="A87" s="256">
        <v>26</v>
      </c>
      <c r="B87" s="257" t="s">
        <v>1388</v>
      </c>
      <c r="C87" s="276">
        <v>44255</v>
      </c>
      <c r="D87" s="257" t="s">
        <v>1288</v>
      </c>
      <c r="E87" s="256" t="s">
        <v>1797</v>
      </c>
      <c r="F87" s="256" t="s">
        <v>1832</v>
      </c>
      <c r="G87" s="258">
        <v>18968000000</v>
      </c>
      <c r="H87" s="265">
        <v>0.1</v>
      </c>
      <c r="I87" s="258">
        <v>1896800000</v>
      </c>
      <c r="J87" s="258">
        <v>20864800000</v>
      </c>
      <c r="K87" s="256" t="s">
        <v>1346</v>
      </c>
    </row>
    <row r="88" spans="1:11" x14ac:dyDescent="0.3">
      <c r="A88" s="256">
        <v>27</v>
      </c>
      <c r="B88" s="257" t="s">
        <v>1391</v>
      </c>
      <c r="C88" s="276">
        <v>44316</v>
      </c>
      <c r="D88" s="257" t="s">
        <v>1298</v>
      </c>
      <c r="E88" s="256" t="s">
        <v>1819</v>
      </c>
      <c r="F88" s="256" t="s">
        <v>1762</v>
      </c>
      <c r="G88" s="258">
        <v>6450000000</v>
      </c>
      <c r="H88" s="265">
        <v>0.1</v>
      </c>
      <c r="I88" s="258">
        <v>645000000</v>
      </c>
      <c r="J88" s="258">
        <v>7095000000</v>
      </c>
      <c r="K88" s="256" t="s">
        <v>1346</v>
      </c>
    </row>
    <row r="89" spans="1:11" x14ac:dyDescent="0.3">
      <c r="A89" s="256">
        <v>28</v>
      </c>
      <c r="B89" s="257" t="s">
        <v>1392</v>
      </c>
      <c r="C89" s="276">
        <v>44377</v>
      </c>
      <c r="D89" s="257" t="s">
        <v>1292</v>
      </c>
      <c r="E89" s="256" t="s">
        <v>1792</v>
      </c>
      <c r="F89" s="256" t="s">
        <v>1761</v>
      </c>
      <c r="G89" s="258">
        <v>22671000000</v>
      </c>
      <c r="H89" s="265">
        <v>0.1</v>
      </c>
      <c r="I89" s="258">
        <v>2267100000</v>
      </c>
      <c r="J89" s="258">
        <v>24938100000</v>
      </c>
      <c r="K89" s="256" t="s">
        <v>1346</v>
      </c>
    </row>
    <row r="90" spans="1:11" x14ac:dyDescent="0.3">
      <c r="A90" s="256">
        <v>29</v>
      </c>
      <c r="B90" s="257" t="s">
        <v>1394</v>
      </c>
      <c r="C90" s="276">
        <v>44469</v>
      </c>
      <c r="D90" s="257" t="s">
        <v>1295</v>
      </c>
      <c r="E90" s="256" t="s">
        <v>1825</v>
      </c>
      <c r="F90" s="256" t="s">
        <v>1762</v>
      </c>
      <c r="G90" s="258">
        <v>14768000000</v>
      </c>
      <c r="H90" s="265">
        <v>0.1</v>
      </c>
      <c r="I90" s="258">
        <v>1476800000</v>
      </c>
      <c r="J90" s="258">
        <v>16244800000</v>
      </c>
      <c r="K90" s="256" t="s">
        <v>1346</v>
      </c>
    </row>
    <row r="91" spans="1:11" x14ac:dyDescent="0.3">
      <c r="A91" s="256">
        <v>30</v>
      </c>
      <c r="B91" s="257" t="s">
        <v>1396</v>
      </c>
      <c r="C91" s="276">
        <v>44530</v>
      </c>
      <c r="D91" s="257" t="s">
        <v>1269</v>
      </c>
      <c r="E91" s="256" t="s">
        <v>1823</v>
      </c>
      <c r="F91" s="256" t="s">
        <v>1832</v>
      </c>
      <c r="G91" s="258">
        <v>8224000000</v>
      </c>
      <c r="H91" s="265">
        <v>0.1</v>
      </c>
      <c r="I91" s="258">
        <v>822400000</v>
      </c>
      <c r="J91" s="258">
        <v>9046400000</v>
      </c>
      <c r="K91" s="256" t="s">
        <v>1346</v>
      </c>
    </row>
    <row r="92" spans="1:11" x14ac:dyDescent="0.3">
      <c r="A92" s="256">
        <v>31</v>
      </c>
      <c r="B92" s="257" t="s">
        <v>1397</v>
      </c>
      <c r="C92" s="276">
        <v>44286</v>
      </c>
      <c r="D92" s="257" t="s">
        <v>1256</v>
      </c>
      <c r="E92" s="256" t="s">
        <v>1802</v>
      </c>
      <c r="F92" s="256" t="s">
        <v>1761</v>
      </c>
      <c r="G92" s="258">
        <v>19975000000</v>
      </c>
      <c r="H92" s="265">
        <v>0.1</v>
      </c>
      <c r="I92" s="258">
        <v>1997500000</v>
      </c>
      <c r="J92" s="258">
        <v>21972500000</v>
      </c>
      <c r="K92" s="256" t="s">
        <v>1346</v>
      </c>
    </row>
    <row r="93" spans="1:11" x14ac:dyDescent="0.3">
      <c r="A93" s="256">
        <v>32</v>
      </c>
      <c r="B93" s="257" t="s">
        <v>1398</v>
      </c>
      <c r="C93" s="276">
        <v>44347</v>
      </c>
      <c r="D93" s="257" t="s">
        <v>1259</v>
      </c>
      <c r="E93" s="256" t="s">
        <v>1788</v>
      </c>
      <c r="F93" s="256" t="s">
        <v>1762</v>
      </c>
      <c r="G93" s="258">
        <v>25379000000</v>
      </c>
      <c r="H93" s="265">
        <v>0.1</v>
      </c>
      <c r="I93" s="258">
        <v>2537900000</v>
      </c>
      <c r="J93" s="258">
        <v>27916900000</v>
      </c>
      <c r="K93" s="256" t="s">
        <v>1346</v>
      </c>
    </row>
    <row r="94" spans="1:11" x14ac:dyDescent="0.3">
      <c r="A94" s="256">
        <v>33</v>
      </c>
      <c r="B94" s="257" t="s">
        <v>1399</v>
      </c>
      <c r="C94" s="276">
        <v>44408</v>
      </c>
      <c r="D94" s="257" t="s">
        <v>1284</v>
      </c>
      <c r="E94" s="256" t="s">
        <v>1786</v>
      </c>
      <c r="F94" s="256" t="s">
        <v>1762</v>
      </c>
      <c r="G94" s="258">
        <v>12004000000</v>
      </c>
      <c r="H94" s="265">
        <v>0.1</v>
      </c>
      <c r="I94" s="258">
        <v>1200400000</v>
      </c>
      <c r="J94" s="258">
        <v>13204400000</v>
      </c>
      <c r="K94" s="256" t="s">
        <v>1346</v>
      </c>
    </row>
    <row r="95" spans="1:11" x14ac:dyDescent="0.3">
      <c r="A95" s="256">
        <v>34</v>
      </c>
      <c r="B95" s="257" t="s">
        <v>1401</v>
      </c>
      <c r="C95" s="276">
        <v>44439</v>
      </c>
      <c r="D95" s="257" t="s">
        <v>1266</v>
      </c>
      <c r="E95" s="256" t="s">
        <v>1824</v>
      </c>
      <c r="F95" s="256" t="s">
        <v>1832</v>
      </c>
      <c r="G95" s="258">
        <v>20396000000</v>
      </c>
      <c r="H95" s="265">
        <v>0.1</v>
      </c>
      <c r="I95" s="258">
        <v>2039600000</v>
      </c>
      <c r="J95" s="258">
        <v>22435600000</v>
      </c>
      <c r="K95" s="256" t="s">
        <v>1348</v>
      </c>
    </row>
    <row r="96" spans="1:11" x14ac:dyDescent="0.3">
      <c r="A96" s="256">
        <v>35</v>
      </c>
      <c r="B96" s="257" t="s">
        <v>1402</v>
      </c>
      <c r="C96" s="276">
        <v>44500</v>
      </c>
      <c r="D96" s="257" t="s">
        <v>1260</v>
      </c>
      <c r="E96" s="256" t="s">
        <v>1804</v>
      </c>
      <c r="F96" s="256" t="s">
        <v>1764</v>
      </c>
      <c r="G96" s="258">
        <v>7203000000</v>
      </c>
      <c r="H96" s="265">
        <v>0.1</v>
      </c>
      <c r="I96" s="258">
        <v>720300000</v>
      </c>
      <c r="J96" s="258">
        <v>7923300000</v>
      </c>
      <c r="K96" s="256" t="s">
        <v>1346</v>
      </c>
    </row>
    <row r="97" spans="1:11" x14ac:dyDescent="0.3">
      <c r="A97" s="256">
        <v>36</v>
      </c>
      <c r="B97" s="257" t="s">
        <v>1403</v>
      </c>
      <c r="C97" s="276">
        <v>44561</v>
      </c>
      <c r="D97" s="257" t="s">
        <v>1257</v>
      </c>
      <c r="E97" s="256" t="s">
        <v>1815</v>
      </c>
      <c r="F97" s="256" t="s">
        <v>1762</v>
      </c>
      <c r="G97" s="258">
        <v>10547000000</v>
      </c>
      <c r="H97" s="265">
        <v>0</v>
      </c>
      <c r="I97" s="258">
        <v>0</v>
      </c>
      <c r="J97" s="258">
        <v>10547000000</v>
      </c>
      <c r="K97" s="256" t="s">
        <v>1346</v>
      </c>
    </row>
    <row r="98" spans="1:11" x14ac:dyDescent="0.3">
      <c r="A98" s="256">
        <v>37</v>
      </c>
      <c r="B98" s="257" t="s">
        <v>1404</v>
      </c>
      <c r="C98" s="276">
        <v>44561</v>
      </c>
      <c r="D98" s="257" t="s">
        <v>1295</v>
      </c>
      <c r="E98" s="256" t="s">
        <v>1825</v>
      </c>
      <c r="F98" s="256" t="s">
        <v>1832</v>
      </c>
      <c r="G98" s="258">
        <v>12332000000</v>
      </c>
      <c r="H98" s="265">
        <v>0.1</v>
      </c>
      <c r="I98" s="258">
        <v>1233200000</v>
      </c>
      <c r="J98" s="258">
        <v>13565200000</v>
      </c>
      <c r="K98" s="256" t="s">
        <v>1346</v>
      </c>
    </row>
    <row r="99" spans="1:11" x14ac:dyDescent="0.3">
      <c r="A99" s="256">
        <v>38</v>
      </c>
      <c r="B99" s="257" t="s">
        <v>1405</v>
      </c>
      <c r="C99" s="276">
        <v>44561</v>
      </c>
      <c r="D99" s="257" t="s">
        <v>1292</v>
      </c>
      <c r="E99" s="256" t="s">
        <v>1792</v>
      </c>
      <c r="F99" s="256" t="s">
        <v>1761</v>
      </c>
      <c r="G99" s="258">
        <v>18586000000</v>
      </c>
      <c r="H99" s="265">
        <v>0.1</v>
      </c>
      <c r="I99" s="258">
        <v>1858600000</v>
      </c>
      <c r="J99" s="258">
        <v>20444600000</v>
      </c>
      <c r="K99" s="256" t="s">
        <v>1346</v>
      </c>
    </row>
    <row r="100" spans="1:11" x14ac:dyDescent="0.3">
      <c r="A100" s="256">
        <v>39</v>
      </c>
      <c r="B100" s="257" t="s">
        <v>1406</v>
      </c>
      <c r="C100" s="276">
        <v>44561</v>
      </c>
      <c r="D100" s="257" t="s">
        <v>1263</v>
      </c>
      <c r="E100" s="256" t="s">
        <v>1790</v>
      </c>
      <c r="F100" s="256" t="s">
        <v>1764</v>
      </c>
      <c r="G100" s="258">
        <v>13465000000</v>
      </c>
      <c r="H100" s="265">
        <v>0.1</v>
      </c>
      <c r="I100" s="258">
        <v>1346500000</v>
      </c>
      <c r="J100" s="258">
        <v>14811500000</v>
      </c>
      <c r="K100" s="256" t="s">
        <v>1346</v>
      </c>
    </row>
    <row r="101" spans="1:11" x14ac:dyDescent="0.3">
      <c r="A101" s="256">
        <v>40</v>
      </c>
      <c r="B101" s="257" t="s">
        <v>1408</v>
      </c>
      <c r="C101" s="276">
        <v>44561</v>
      </c>
      <c r="D101" s="257" t="s">
        <v>1268</v>
      </c>
      <c r="E101" s="256" t="s">
        <v>1821</v>
      </c>
      <c r="F101" s="256" t="s">
        <v>1761</v>
      </c>
      <c r="G101" s="258">
        <v>17401000000</v>
      </c>
      <c r="H101" s="265">
        <v>0.1</v>
      </c>
      <c r="I101" s="258">
        <v>1740100000</v>
      </c>
      <c r="J101" s="258">
        <v>19141100000</v>
      </c>
      <c r="K101" s="256" t="s">
        <v>1346</v>
      </c>
    </row>
    <row r="102" spans="1:11" x14ac:dyDescent="0.3">
      <c r="A102" s="256">
        <v>41</v>
      </c>
      <c r="B102" s="257" t="s">
        <v>1409</v>
      </c>
      <c r="C102" s="276">
        <v>44561</v>
      </c>
      <c r="D102" s="257" t="s">
        <v>1258</v>
      </c>
      <c r="E102" s="256" t="s">
        <v>1833</v>
      </c>
      <c r="F102" s="256" t="s">
        <v>1764</v>
      </c>
      <c r="G102" s="258">
        <v>15066000000</v>
      </c>
      <c r="H102" s="265">
        <v>0.1</v>
      </c>
      <c r="I102" s="258">
        <v>1506600000</v>
      </c>
      <c r="J102" s="258">
        <v>16572600000</v>
      </c>
      <c r="K102" s="256" t="s">
        <v>1346</v>
      </c>
    </row>
    <row r="103" spans="1:11" x14ac:dyDescent="0.3">
      <c r="A103" s="256">
        <v>42</v>
      </c>
      <c r="B103" s="257" t="s">
        <v>1411</v>
      </c>
      <c r="C103" s="276">
        <v>44561</v>
      </c>
      <c r="D103" s="257" t="s">
        <v>1257</v>
      </c>
      <c r="E103" s="256" t="s">
        <v>1815</v>
      </c>
      <c r="F103" s="256" t="s">
        <v>1764</v>
      </c>
      <c r="G103" s="258">
        <v>7435000000</v>
      </c>
      <c r="H103" s="265">
        <v>0</v>
      </c>
      <c r="I103" s="258">
        <v>0</v>
      </c>
      <c r="J103" s="258">
        <v>7435000000</v>
      </c>
      <c r="K103" s="256" t="s">
        <v>1346</v>
      </c>
    </row>
    <row r="104" spans="1:11" x14ac:dyDescent="0.3">
      <c r="A104" s="256">
        <v>43</v>
      </c>
      <c r="B104" s="257" t="s">
        <v>1414</v>
      </c>
      <c r="C104" s="276">
        <v>44561</v>
      </c>
      <c r="D104" s="257" t="s">
        <v>1272</v>
      </c>
      <c r="E104" s="256" t="s">
        <v>1805</v>
      </c>
      <c r="F104" s="256" t="s">
        <v>1762</v>
      </c>
      <c r="G104" s="258">
        <v>23219000000</v>
      </c>
      <c r="H104" s="265">
        <v>0.1</v>
      </c>
      <c r="I104" s="258">
        <v>2321900000</v>
      </c>
      <c r="J104" s="258">
        <v>25540900000</v>
      </c>
      <c r="K104" s="256" t="s">
        <v>1346</v>
      </c>
    </row>
    <row r="105" spans="1:11" x14ac:dyDescent="0.3">
      <c r="A105" s="256">
        <v>44</v>
      </c>
      <c r="B105" s="257" t="s">
        <v>1415</v>
      </c>
      <c r="C105" s="276">
        <v>44561</v>
      </c>
      <c r="D105" s="257" t="s">
        <v>1284</v>
      </c>
      <c r="E105" s="256" t="s">
        <v>1786</v>
      </c>
      <c r="F105" s="256" t="s">
        <v>1832</v>
      </c>
      <c r="G105" s="258">
        <v>22663000000</v>
      </c>
      <c r="H105" s="265">
        <v>0.1</v>
      </c>
      <c r="I105" s="258">
        <v>2266300000</v>
      </c>
      <c r="J105" s="258">
        <v>24929300000</v>
      </c>
      <c r="K105" s="256" t="s">
        <v>1346</v>
      </c>
    </row>
    <row r="106" spans="1:11" x14ac:dyDescent="0.3">
      <c r="A106" s="256">
        <v>45</v>
      </c>
      <c r="B106" s="257" t="s">
        <v>1206</v>
      </c>
      <c r="C106" s="276">
        <v>44561</v>
      </c>
      <c r="D106" s="257" t="s">
        <v>1264</v>
      </c>
      <c r="E106" s="256" t="s">
        <v>1779</v>
      </c>
      <c r="F106" s="256" t="s">
        <v>1832</v>
      </c>
      <c r="G106" s="258">
        <v>15398000000</v>
      </c>
      <c r="H106" s="265">
        <v>0</v>
      </c>
      <c r="I106" s="258">
        <v>0</v>
      </c>
      <c r="J106" s="258">
        <v>15398000000</v>
      </c>
      <c r="K106" s="256" t="s">
        <v>1346</v>
      </c>
    </row>
    <row r="107" spans="1:11" x14ac:dyDescent="0.3">
      <c r="A107" s="256">
        <v>46</v>
      </c>
      <c r="B107" s="257" t="s">
        <v>1207</v>
      </c>
      <c r="C107" s="276">
        <v>44561</v>
      </c>
      <c r="D107" s="257" t="s">
        <v>1272</v>
      </c>
      <c r="E107" s="256" t="s">
        <v>1805</v>
      </c>
      <c r="F107" s="256" t="s">
        <v>1762</v>
      </c>
      <c r="G107" s="258">
        <v>16183000000</v>
      </c>
      <c r="H107" s="265">
        <v>0.1</v>
      </c>
      <c r="I107" s="258">
        <v>1618300000</v>
      </c>
      <c r="J107" s="258">
        <v>17801300000</v>
      </c>
      <c r="K107" s="256" t="s">
        <v>1346</v>
      </c>
    </row>
    <row r="108" spans="1:11" x14ac:dyDescent="0.3">
      <c r="A108" s="256">
        <v>47</v>
      </c>
      <c r="B108" s="257" t="s">
        <v>1208</v>
      </c>
      <c r="C108" s="276">
        <v>44561</v>
      </c>
      <c r="D108" s="257" t="s">
        <v>1282</v>
      </c>
      <c r="E108" s="256" t="s">
        <v>1789</v>
      </c>
      <c r="F108" s="256" t="s">
        <v>1762</v>
      </c>
      <c r="G108" s="258">
        <v>7113000000</v>
      </c>
      <c r="H108" s="265">
        <v>0.1</v>
      </c>
      <c r="I108" s="258">
        <v>711300000</v>
      </c>
      <c r="J108" s="258">
        <v>7824300000</v>
      </c>
      <c r="K108" s="256" t="s">
        <v>1346</v>
      </c>
    </row>
    <row r="109" spans="1:11" x14ac:dyDescent="0.3">
      <c r="A109" s="256">
        <v>48</v>
      </c>
      <c r="B109" s="257" t="s">
        <v>1209</v>
      </c>
      <c r="C109" s="276">
        <v>44561</v>
      </c>
      <c r="D109" s="257" t="s">
        <v>1292</v>
      </c>
      <c r="E109" s="256" t="s">
        <v>1792</v>
      </c>
      <c r="F109" s="256" t="s">
        <v>1761</v>
      </c>
      <c r="G109" s="258">
        <v>19538000000</v>
      </c>
      <c r="H109" s="265">
        <v>0.1</v>
      </c>
      <c r="I109" s="258">
        <v>1953800000</v>
      </c>
      <c r="J109" s="258">
        <v>21491800000</v>
      </c>
      <c r="K109" s="256" t="s">
        <v>1346</v>
      </c>
    </row>
    <row r="110" spans="1:11" x14ac:dyDescent="0.3">
      <c r="A110" s="256">
        <v>49</v>
      </c>
      <c r="B110" s="257" t="s">
        <v>1418</v>
      </c>
      <c r="C110" s="276">
        <v>44561</v>
      </c>
      <c r="D110" s="257" t="s">
        <v>1274</v>
      </c>
      <c r="E110" s="256" t="s">
        <v>1794</v>
      </c>
      <c r="F110" s="256" t="s">
        <v>1832</v>
      </c>
      <c r="G110" s="258">
        <v>7719000000</v>
      </c>
      <c r="H110" s="265">
        <v>0.1</v>
      </c>
      <c r="I110" s="258">
        <v>771900000</v>
      </c>
      <c r="J110" s="258">
        <v>8490900000</v>
      </c>
      <c r="K110" s="256" t="s">
        <v>1346</v>
      </c>
    </row>
    <row r="111" spans="1:11" x14ac:dyDescent="0.3">
      <c r="A111" s="256">
        <v>50</v>
      </c>
      <c r="B111" s="257" t="s">
        <v>1419</v>
      </c>
      <c r="C111" s="276">
        <v>44561</v>
      </c>
      <c r="D111" s="257" t="s">
        <v>1294</v>
      </c>
      <c r="E111" s="256" t="s">
        <v>1795</v>
      </c>
      <c r="F111" s="256" t="s">
        <v>1762</v>
      </c>
      <c r="G111" s="258">
        <v>14663000000</v>
      </c>
      <c r="H111" s="265">
        <v>0</v>
      </c>
      <c r="I111" s="258">
        <v>0</v>
      </c>
      <c r="J111" s="258">
        <v>14663000000</v>
      </c>
      <c r="K111" s="256" t="s">
        <v>1348</v>
      </c>
    </row>
    <row r="112" spans="1:11" x14ac:dyDescent="0.3">
      <c r="A112" s="266" t="s">
        <v>1351</v>
      </c>
      <c r="B112" s="266"/>
      <c r="C112" s="266"/>
      <c r="D112" s="266"/>
      <c r="E112" s="266"/>
      <c r="F112" s="266"/>
      <c r="G112" s="267">
        <f>SUM(G62:G111)</f>
        <v>785911000000</v>
      </c>
      <c r="H112" s="266"/>
      <c r="I112" s="267">
        <f>SUM(I62:I111)</f>
        <v>68112000000</v>
      </c>
      <c r="J112" s="267">
        <f>SUM(J62:J111)</f>
        <v>854023000000</v>
      </c>
      <c r="K112" s="266"/>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854</v>
      </c>
      <c r="C1" s="256"/>
      <c r="D1" s="256"/>
      <c r="E1" s="256"/>
      <c r="F1" s="256"/>
      <c r="G1" s="256"/>
      <c r="H1" s="256"/>
      <c r="I1" s="256"/>
      <c r="J1" s="256"/>
      <c r="K1" s="256"/>
    </row>
    <row r="2" spans="1:11" x14ac:dyDescent="0.3">
      <c r="A2" s="256" t="s">
        <v>1339</v>
      </c>
      <c r="B2" s="257">
        <v>106682049</v>
      </c>
      <c r="C2" s="256"/>
      <c r="D2" s="256"/>
      <c r="E2" s="256"/>
      <c r="F2" s="256"/>
      <c r="G2" s="256"/>
      <c r="H2" s="256"/>
      <c r="I2" s="256"/>
      <c r="J2" s="256"/>
      <c r="K2" s="256"/>
    </row>
    <row r="3" spans="1:11" x14ac:dyDescent="0.3">
      <c r="A3" s="256" t="s">
        <v>1343</v>
      </c>
      <c r="B3" s="258">
        <v>2792821394348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1409</v>
      </c>
      <c r="C8" s="276">
        <v>44317</v>
      </c>
      <c r="D8" s="257" t="s">
        <v>1299</v>
      </c>
      <c r="E8" s="256" t="s">
        <v>1776</v>
      </c>
      <c r="F8" s="256" t="s">
        <v>1609</v>
      </c>
      <c r="G8" s="258">
        <v>58111000000</v>
      </c>
      <c r="H8" s="265">
        <v>0.1</v>
      </c>
      <c r="I8" s="258">
        <v>5811100000</v>
      </c>
      <c r="J8" s="258">
        <v>63922100000</v>
      </c>
      <c r="K8" s="256" t="s">
        <v>1346</v>
      </c>
    </row>
    <row r="9" spans="1:11" x14ac:dyDescent="0.3">
      <c r="A9" s="256">
        <v>2</v>
      </c>
      <c r="B9" s="257" t="s">
        <v>1418</v>
      </c>
      <c r="C9" s="276">
        <v>44318</v>
      </c>
      <c r="D9" s="257" t="s">
        <v>1280</v>
      </c>
      <c r="E9" s="256" t="s">
        <v>1777</v>
      </c>
      <c r="F9" s="256" t="s">
        <v>1901</v>
      </c>
      <c r="G9" s="258">
        <v>28080000000</v>
      </c>
      <c r="H9" s="265">
        <v>0</v>
      </c>
      <c r="I9" s="258">
        <v>0</v>
      </c>
      <c r="J9" s="258">
        <v>28080000000</v>
      </c>
      <c r="K9" s="256" t="s">
        <v>1346</v>
      </c>
    </row>
    <row r="10" spans="1:11" x14ac:dyDescent="0.3">
      <c r="A10" s="256">
        <v>3</v>
      </c>
      <c r="B10" s="257" t="s">
        <v>1409</v>
      </c>
      <c r="C10" s="276">
        <v>44472</v>
      </c>
      <c r="D10" s="257" t="s">
        <v>1264</v>
      </c>
      <c r="E10" s="256" t="s">
        <v>1779</v>
      </c>
      <c r="F10" s="256" t="s">
        <v>1902</v>
      </c>
      <c r="G10" s="258">
        <v>17894000000</v>
      </c>
      <c r="H10" s="265">
        <v>0.1</v>
      </c>
      <c r="I10" s="258">
        <v>1789400000</v>
      </c>
      <c r="J10" s="258">
        <v>19683400000</v>
      </c>
      <c r="K10" s="256" t="s">
        <v>1346</v>
      </c>
    </row>
    <row r="11" spans="1:11" x14ac:dyDescent="0.3">
      <c r="A11" s="256">
        <v>4</v>
      </c>
      <c r="B11" s="257" t="s">
        <v>1405</v>
      </c>
      <c r="C11" s="276">
        <v>44473</v>
      </c>
      <c r="D11" s="257" t="s">
        <v>1301</v>
      </c>
      <c r="E11" s="256" t="s">
        <v>1781</v>
      </c>
      <c r="F11" s="256" t="s">
        <v>1903</v>
      </c>
      <c r="G11" s="258">
        <v>59575000000</v>
      </c>
      <c r="H11" s="265">
        <v>0</v>
      </c>
      <c r="I11" s="258">
        <v>0</v>
      </c>
      <c r="J11" s="258">
        <v>59575000000</v>
      </c>
      <c r="K11" s="256" t="s">
        <v>1346</v>
      </c>
    </row>
    <row r="12" spans="1:11" x14ac:dyDescent="0.3">
      <c r="A12" s="256">
        <v>5</v>
      </c>
      <c r="B12" s="257" t="s">
        <v>1470</v>
      </c>
      <c r="C12" s="276">
        <v>44474</v>
      </c>
      <c r="D12" s="257" t="s">
        <v>1270</v>
      </c>
      <c r="E12" s="256" t="s">
        <v>1782</v>
      </c>
      <c r="F12" s="256" t="s">
        <v>1902</v>
      </c>
      <c r="G12" s="258">
        <v>38878000000</v>
      </c>
      <c r="H12" s="265">
        <v>0.1</v>
      </c>
      <c r="I12" s="258">
        <v>3887800000</v>
      </c>
      <c r="J12" s="258">
        <v>42765800000</v>
      </c>
      <c r="K12" s="256" t="s">
        <v>1346</v>
      </c>
    </row>
    <row r="13" spans="1:11" x14ac:dyDescent="0.3">
      <c r="A13" s="256">
        <v>6</v>
      </c>
      <c r="B13" s="257" t="s">
        <v>1419</v>
      </c>
      <c r="C13" s="276">
        <v>44475</v>
      </c>
      <c r="D13" s="257" t="s">
        <v>1280</v>
      </c>
      <c r="E13" s="256" t="s">
        <v>1777</v>
      </c>
      <c r="F13" s="256" t="s">
        <v>1609</v>
      </c>
      <c r="G13" s="258">
        <v>16383000000</v>
      </c>
      <c r="H13" s="265">
        <v>0.1</v>
      </c>
      <c r="I13" s="258">
        <v>1638300000</v>
      </c>
      <c r="J13" s="258">
        <v>18021300000</v>
      </c>
      <c r="K13" s="256" t="s">
        <v>1348</v>
      </c>
    </row>
    <row r="14" spans="1:11" x14ac:dyDescent="0.3">
      <c r="A14" s="256">
        <v>7</v>
      </c>
      <c r="B14" s="257" t="s">
        <v>1474</v>
      </c>
      <c r="C14" s="276">
        <v>44476</v>
      </c>
      <c r="D14" s="257" t="s">
        <v>1277</v>
      </c>
      <c r="E14" s="256" t="s">
        <v>1783</v>
      </c>
      <c r="F14" s="256" t="s">
        <v>1902</v>
      </c>
      <c r="G14" s="258">
        <v>35136000000</v>
      </c>
      <c r="H14" s="265">
        <v>0.1</v>
      </c>
      <c r="I14" s="258">
        <v>3513600000</v>
      </c>
      <c r="J14" s="258">
        <v>38649600000</v>
      </c>
      <c r="K14" s="256" t="s">
        <v>1346</v>
      </c>
    </row>
    <row r="15" spans="1:11" x14ac:dyDescent="0.3">
      <c r="A15" s="256">
        <v>8</v>
      </c>
      <c r="B15" s="257" t="s">
        <v>1405</v>
      </c>
      <c r="C15" s="276">
        <v>44477</v>
      </c>
      <c r="D15" s="257" t="s">
        <v>1302</v>
      </c>
      <c r="E15" s="256" t="s">
        <v>1784</v>
      </c>
      <c r="F15" s="256" t="s">
        <v>1901</v>
      </c>
      <c r="G15" s="258">
        <v>23511000000</v>
      </c>
      <c r="H15" s="265">
        <v>0.1</v>
      </c>
      <c r="I15" s="258">
        <v>2351100000</v>
      </c>
      <c r="J15" s="258">
        <v>25862100000</v>
      </c>
      <c r="K15" s="256" t="s">
        <v>1346</v>
      </c>
    </row>
    <row r="16" spans="1:11" x14ac:dyDescent="0.3">
      <c r="A16" s="256">
        <v>9</v>
      </c>
      <c r="B16" s="257" t="s">
        <v>1460</v>
      </c>
      <c r="C16" s="276">
        <v>44478</v>
      </c>
      <c r="D16" s="257" t="s">
        <v>1278</v>
      </c>
      <c r="E16" s="256" t="s">
        <v>1785</v>
      </c>
      <c r="F16" s="256" t="s">
        <v>1903</v>
      </c>
      <c r="G16" s="258">
        <v>52965000000</v>
      </c>
      <c r="H16" s="265">
        <v>0.1</v>
      </c>
      <c r="I16" s="258">
        <v>5296500000</v>
      </c>
      <c r="J16" s="258">
        <v>58261500000</v>
      </c>
      <c r="K16" s="256" t="s">
        <v>1346</v>
      </c>
    </row>
    <row r="17" spans="1:11" x14ac:dyDescent="0.3">
      <c r="A17" s="256">
        <v>10</v>
      </c>
      <c r="B17" s="257" t="s">
        <v>1484</v>
      </c>
      <c r="C17" s="276">
        <v>44479</v>
      </c>
      <c r="D17" s="257" t="s">
        <v>1284</v>
      </c>
      <c r="E17" s="256" t="s">
        <v>1786</v>
      </c>
      <c r="F17" s="256" t="s">
        <v>1902</v>
      </c>
      <c r="G17" s="258">
        <v>62136000000</v>
      </c>
      <c r="H17" s="265">
        <v>0.1</v>
      </c>
      <c r="I17" s="258">
        <v>6213600000</v>
      </c>
      <c r="J17" s="258">
        <v>68349600000</v>
      </c>
      <c r="K17" s="256" t="s">
        <v>1346</v>
      </c>
    </row>
    <row r="18" spans="1:11" x14ac:dyDescent="0.3">
      <c r="A18" s="256">
        <v>11</v>
      </c>
      <c r="B18" s="257" t="s">
        <v>1406</v>
      </c>
      <c r="C18" s="276">
        <v>44480</v>
      </c>
      <c r="D18" s="257" t="s">
        <v>1302</v>
      </c>
      <c r="E18" s="256" t="s">
        <v>1784</v>
      </c>
      <c r="F18" s="256" t="s">
        <v>1904</v>
      </c>
      <c r="G18" s="258">
        <v>48682000000</v>
      </c>
      <c r="H18" s="265">
        <v>0.1</v>
      </c>
      <c r="I18" s="258">
        <v>4868200000</v>
      </c>
      <c r="J18" s="258">
        <v>53550200000</v>
      </c>
      <c r="K18" s="256" t="s">
        <v>1346</v>
      </c>
    </row>
    <row r="19" spans="1:11" x14ac:dyDescent="0.3">
      <c r="A19" s="256">
        <v>12</v>
      </c>
      <c r="B19" s="257" t="s">
        <v>1477</v>
      </c>
      <c r="C19" s="276">
        <v>44481</v>
      </c>
      <c r="D19" s="257" t="s">
        <v>1259</v>
      </c>
      <c r="E19" s="256" t="s">
        <v>1788</v>
      </c>
      <c r="F19" s="256" t="s">
        <v>1901</v>
      </c>
      <c r="G19" s="258">
        <v>36027000000</v>
      </c>
      <c r="H19" s="265">
        <v>0.1</v>
      </c>
      <c r="I19" s="258">
        <v>3602700000</v>
      </c>
      <c r="J19" s="258">
        <v>39629700000</v>
      </c>
      <c r="K19" s="256" t="s">
        <v>1346</v>
      </c>
    </row>
    <row r="20" spans="1:11" x14ac:dyDescent="0.3">
      <c r="A20" s="256">
        <v>13</v>
      </c>
      <c r="B20" s="257" t="s">
        <v>1206</v>
      </c>
      <c r="C20" s="276">
        <v>44211</v>
      </c>
      <c r="D20" s="257" t="s">
        <v>1282</v>
      </c>
      <c r="E20" s="256" t="s">
        <v>1789</v>
      </c>
      <c r="F20" s="256" t="s">
        <v>1904</v>
      </c>
      <c r="G20" s="258">
        <v>64604000000</v>
      </c>
      <c r="H20" s="265">
        <v>0.1</v>
      </c>
      <c r="I20" s="258">
        <v>6460400000</v>
      </c>
      <c r="J20" s="258">
        <v>71064400000</v>
      </c>
      <c r="K20" s="256" t="s">
        <v>1346</v>
      </c>
    </row>
    <row r="21" spans="1:11" x14ac:dyDescent="0.3">
      <c r="A21" s="256">
        <v>14</v>
      </c>
      <c r="B21" s="257" t="s">
        <v>1467</v>
      </c>
      <c r="C21" s="276">
        <v>44242</v>
      </c>
      <c r="D21" s="257" t="s">
        <v>1263</v>
      </c>
      <c r="E21" s="256" t="s">
        <v>1790</v>
      </c>
      <c r="F21" s="256" t="s">
        <v>1902</v>
      </c>
      <c r="G21" s="258">
        <v>23331000000</v>
      </c>
      <c r="H21" s="265">
        <v>0.1</v>
      </c>
      <c r="I21" s="258">
        <v>2333100000</v>
      </c>
      <c r="J21" s="258">
        <v>25664100000</v>
      </c>
      <c r="K21" s="256" t="s">
        <v>1346</v>
      </c>
    </row>
    <row r="22" spans="1:11" x14ac:dyDescent="0.3">
      <c r="A22" s="256">
        <v>15</v>
      </c>
      <c r="B22" s="257" t="s">
        <v>1411</v>
      </c>
      <c r="C22" s="276">
        <v>44275</v>
      </c>
      <c r="D22" s="257" t="s">
        <v>1299</v>
      </c>
      <c r="E22" s="256" t="s">
        <v>1776</v>
      </c>
      <c r="F22" s="256" t="s">
        <v>1905</v>
      </c>
      <c r="G22" s="258">
        <v>64046000000</v>
      </c>
      <c r="H22" s="265">
        <v>0.1</v>
      </c>
      <c r="I22" s="258">
        <v>6404600000</v>
      </c>
      <c r="J22" s="258">
        <v>70450600000</v>
      </c>
      <c r="K22" s="256" t="s">
        <v>1346</v>
      </c>
    </row>
    <row r="23" spans="1:11" x14ac:dyDescent="0.3">
      <c r="A23" s="256">
        <v>16</v>
      </c>
      <c r="B23" s="257" t="s">
        <v>1399</v>
      </c>
      <c r="C23" s="276">
        <v>44306</v>
      </c>
      <c r="D23" s="257" t="s">
        <v>1292</v>
      </c>
      <c r="E23" s="256" t="s">
        <v>1792</v>
      </c>
      <c r="F23" s="256" t="s">
        <v>1609</v>
      </c>
      <c r="G23" s="258">
        <v>55733000000</v>
      </c>
      <c r="H23" s="265">
        <v>0.1</v>
      </c>
      <c r="I23" s="258">
        <v>5573300000</v>
      </c>
      <c r="J23" s="258">
        <v>61306300000</v>
      </c>
      <c r="K23" s="256" t="s">
        <v>1346</v>
      </c>
    </row>
    <row r="24" spans="1:11" x14ac:dyDescent="0.3">
      <c r="A24" s="256">
        <v>17</v>
      </c>
      <c r="B24" s="257" t="s">
        <v>1471</v>
      </c>
      <c r="C24" s="276">
        <v>44336</v>
      </c>
      <c r="D24" s="257" t="s">
        <v>1270</v>
      </c>
      <c r="E24" s="256" t="s">
        <v>1782</v>
      </c>
      <c r="F24" s="256" t="s">
        <v>1904</v>
      </c>
      <c r="G24" s="258">
        <v>29699000000</v>
      </c>
      <c r="H24" s="265">
        <v>0.1</v>
      </c>
      <c r="I24" s="258">
        <v>2969900000</v>
      </c>
      <c r="J24" s="258">
        <v>32668900000</v>
      </c>
      <c r="K24" s="256" t="s">
        <v>1346</v>
      </c>
    </row>
    <row r="25" spans="1:11" x14ac:dyDescent="0.3">
      <c r="A25" s="256">
        <v>18</v>
      </c>
      <c r="B25" s="257" t="s">
        <v>1401</v>
      </c>
      <c r="C25" s="276">
        <v>44367</v>
      </c>
      <c r="D25" s="257" t="s">
        <v>1292</v>
      </c>
      <c r="E25" s="256" t="s">
        <v>1792</v>
      </c>
      <c r="F25" s="256" t="s">
        <v>1609</v>
      </c>
      <c r="G25" s="258">
        <v>41412000000</v>
      </c>
      <c r="H25" s="265">
        <v>0.1</v>
      </c>
      <c r="I25" s="258">
        <v>4141200000</v>
      </c>
      <c r="J25" s="258">
        <v>45553200000</v>
      </c>
      <c r="K25" s="256" t="s">
        <v>1346</v>
      </c>
    </row>
    <row r="26" spans="1:11" x14ac:dyDescent="0.3">
      <c r="A26" s="256">
        <v>19</v>
      </c>
      <c r="B26" s="257" t="s">
        <v>1457</v>
      </c>
      <c r="C26" s="276">
        <v>44397</v>
      </c>
      <c r="D26" s="257" t="s">
        <v>1285</v>
      </c>
      <c r="E26" s="256" t="s">
        <v>1793</v>
      </c>
      <c r="F26" s="256" t="s">
        <v>1904</v>
      </c>
      <c r="G26" s="258">
        <v>20447000000</v>
      </c>
      <c r="H26" s="265">
        <v>0.1</v>
      </c>
      <c r="I26" s="258">
        <v>2044700000</v>
      </c>
      <c r="J26" s="258">
        <v>22491700000</v>
      </c>
      <c r="K26" s="256" t="s">
        <v>1346</v>
      </c>
    </row>
    <row r="27" spans="1:11" x14ac:dyDescent="0.3">
      <c r="A27" s="256">
        <v>20</v>
      </c>
      <c r="B27" s="257" t="s">
        <v>1207</v>
      </c>
      <c r="C27" s="276">
        <v>44428</v>
      </c>
      <c r="D27" s="257" t="s">
        <v>1282</v>
      </c>
      <c r="E27" s="256" t="s">
        <v>1789</v>
      </c>
      <c r="F27" s="256" t="s">
        <v>1903</v>
      </c>
      <c r="G27" s="258">
        <v>34705000000</v>
      </c>
      <c r="H27" s="265">
        <v>0.1</v>
      </c>
      <c r="I27" s="258">
        <v>3470500000</v>
      </c>
      <c r="J27" s="258">
        <v>38175500000</v>
      </c>
      <c r="K27" s="256" t="s">
        <v>1348</v>
      </c>
    </row>
    <row r="28" spans="1:11" x14ac:dyDescent="0.3">
      <c r="A28" s="256">
        <v>21</v>
      </c>
      <c r="B28" s="257" t="s">
        <v>1473</v>
      </c>
      <c r="C28" s="276">
        <v>44459</v>
      </c>
      <c r="D28" s="257" t="s">
        <v>1274</v>
      </c>
      <c r="E28" s="256" t="s">
        <v>1794</v>
      </c>
      <c r="F28" s="256" t="s">
        <v>1609</v>
      </c>
      <c r="G28" s="258">
        <v>37945000000</v>
      </c>
      <c r="H28" s="265">
        <v>0</v>
      </c>
      <c r="I28" s="258">
        <v>0</v>
      </c>
      <c r="J28" s="258">
        <v>37945000000</v>
      </c>
      <c r="K28" s="256" t="s">
        <v>1348</v>
      </c>
    </row>
    <row r="29" spans="1:11" x14ac:dyDescent="0.3">
      <c r="A29" s="256">
        <v>22</v>
      </c>
      <c r="B29" s="257" t="s">
        <v>1385</v>
      </c>
      <c r="C29" s="276">
        <v>44489</v>
      </c>
      <c r="D29" s="257" t="s">
        <v>1294</v>
      </c>
      <c r="E29" s="256" t="s">
        <v>1795</v>
      </c>
      <c r="F29" s="256" t="s">
        <v>1902</v>
      </c>
      <c r="G29" s="258">
        <v>16672000000</v>
      </c>
      <c r="H29" s="265">
        <v>0</v>
      </c>
      <c r="I29" s="258">
        <v>0</v>
      </c>
      <c r="J29" s="258">
        <v>16672000000</v>
      </c>
      <c r="K29" s="256" t="s">
        <v>1346</v>
      </c>
    </row>
    <row r="30" spans="1:11" x14ac:dyDescent="0.3">
      <c r="A30" s="256">
        <v>23</v>
      </c>
      <c r="B30" s="257" t="s">
        <v>1414</v>
      </c>
      <c r="C30" s="276">
        <v>44520</v>
      </c>
      <c r="D30" s="257" t="s">
        <v>1290</v>
      </c>
      <c r="E30" s="256" t="s">
        <v>1796</v>
      </c>
      <c r="F30" s="256" t="s">
        <v>1905</v>
      </c>
      <c r="G30" s="258">
        <v>48416000000</v>
      </c>
      <c r="H30" s="265">
        <v>0.1</v>
      </c>
      <c r="I30" s="258">
        <v>4841600000</v>
      </c>
      <c r="J30" s="258">
        <v>53257600000</v>
      </c>
      <c r="K30" s="256" t="s">
        <v>1348</v>
      </c>
    </row>
    <row r="31" spans="1:11" x14ac:dyDescent="0.3">
      <c r="A31" s="256">
        <v>24</v>
      </c>
      <c r="B31" s="257" t="s">
        <v>1459</v>
      </c>
      <c r="C31" s="276">
        <v>44550</v>
      </c>
      <c r="D31" s="257" t="s">
        <v>1288</v>
      </c>
      <c r="E31" s="256" t="s">
        <v>1797</v>
      </c>
      <c r="F31" s="256" t="s">
        <v>1901</v>
      </c>
      <c r="G31" s="258">
        <v>21445000000</v>
      </c>
      <c r="H31" s="265">
        <v>0.1</v>
      </c>
      <c r="I31" s="258">
        <v>2144500000</v>
      </c>
      <c r="J31" s="258">
        <v>23589500000</v>
      </c>
      <c r="K31" s="256" t="s">
        <v>1348</v>
      </c>
    </row>
    <row r="32" spans="1:11" x14ac:dyDescent="0.3">
      <c r="A32" s="256">
        <v>25</v>
      </c>
      <c r="B32" s="257" t="s">
        <v>1459</v>
      </c>
      <c r="C32" s="276">
        <v>44221</v>
      </c>
      <c r="D32" s="257" t="s">
        <v>1283</v>
      </c>
      <c r="E32" s="256" t="s">
        <v>1798</v>
      </c>
      <c r="F32" s="256" t="s">
        <v>1905</v>
      </c>
      <c r="G32" s="258">
        <v>22400000000</v>
      </c>
      <c r="H32" s="265">
        <v>0.1</v>
      </c>
      <c r="I32" s="258">
        <v>2240000000</v>
      </c>
      <c r="J32" s="258">
        <v>24640000000</v>
      </c>
      <c r="K32" s="256" t="s">
        <v>1346</v>
      </c>
    </row>
    <row r="33" spans="1:11" x14ac:dyDescent="0.3">
      <c r="A33" s="256">
        <v>26</v>
      </c>
      <c r="B33" s="257" t="s">
        <v>1208</v>
      </c>
      <c r="C33" s="276">
        <v>44255</v>
      </c>
      <c r="D33" s="257" t="s">
        <v>1282</v>
      </c>
      <c r="E33" s="256" t="s">
        <v>1789</v>
      </c>
      <c r="F33" s="256" t="s">
        <v>1609</v>
      </c>
      <c r="G33" s="258">
        <v>36458000000</v>
      </c>
      <c r="H33" s="265">
        <v>0.1</v>
      </c>
      <c r="I33" s="258">
        <v>3645800000</v>
      </c>
      <c r="J33" s="258">
        <v>40103800000</v>
      </c>
      <c r="K33" s="256" t="s">
        <v>1346</v>
      </c>
    </row>
    <row r="34" spans="1:11" x14ac:dyDescent="0.3">
      <c r="A34" s="256">
        <v>27</v>
      </c>
      <c r="B34" s="257" t="s">
        <v>1467</v>
      </c>
      <c r="C34" s="276">
        <v>44316</v>
      </c>
      <c r="D34" s="257" t="s">
        <v>1271</v>
      </c>
      <c r="E34" s="256" t="s">
        <v>1799</v>
      </c>
      <c r="F34" s="256" t="s">
        <v>1903</v>
      </c>
      <c r="G34" s="258">
        <v>23845000000</v>
      </c>
      <c r="H34" s="265">
        <v>0.1</v>
      </c>
      <c r="I34" s="258">
        <v>2384500000</v>
      </c>
      <c r="J34" s="258">
        <v>26229500000</v>
      </c>
      <c r="K34" s="256" t="s">
        <v>1346</v>
      </c>
    </row>
    <row r="35" spans="1:11" x14ac:dyDescent="0.3">
      <c r="A35" s="256">
        <v>28</v>
      </c>
      <c r="B35" s="257" t="s">
        <v>1456</v>
      </c>
      <c r="C35" s="276">
        <v>44377</v>
      </c>
      <c r="D35" s="257" t="s">
        <v>1280</v>
      </c>
      <c r="E35" s="256" t="s">
        <v>1777</v>
      </c>
      <c r="F35" s="256" t="s">
        <v>1905</v>
      </c>
      <c r="G35" s="258">
        <v>51284000000</v>
      </c>
      <c r="H35" s="265">
        <v>0.1</v>
      </c>
      <c r="I35" s="258">
        <v>5128400000</v>
      </c>
      <c r="J35" s="258">
        <v>56412400000</v>
      </c>
      <c r="K35" s="256" t="s">
        <v>1346</v>
      </c>
    </row>
    <row r="36" spans="1:11" x14ac:dyDescent="0.3">
      <c r="A36" s="256">
        <v>29</v>
      </c>
      <c r="B36" s="257" t="s">
        <v>1468</v>
      </c>
      <c r="C36" s="276">
        <v>44469</v>
      </c>
      <c r="D36" s="257" t="s">
        <v>1271</v>
      </c>
      <c r="E36" s="256" t="s">
        <v>1799</v>
      </c>
      <c r="F36" s="256" t="s">
        <v>1902</v>
      </c>
      <c r="G36" s="258">
        <v>45486000000</v>
      </c>
      <c r="H36" s="265">
        <v>0.1</v>
      </c>
      <c r="I36" s="258">
        <v>4548600000</v>
      </c>
      <c r="J36" s="258">
        <v>50034600000</v>
      </c>
      <c r="K36" s="256" t="s">
        <v>1346</v>
      </c>
    </row>
    <row r="37" spans="1:11" x14ac:dyDescent="0.3">
      <c r="A37" s="256">
        <v>30</v>
      </c>
      <c r="B37" s="257" t="s">
        <v>1397</v>
      </c>
      <c r="C37" s="276">
        <v>44530</v>
      </c>
      <c r="D37" s="257" t="s">
        <v>1291</v>
      </c>
      <c r="E37" s="256" t="s">
        <v>1800</v>
      </c>
      <c r="F37" s="256" t="s">
        <v>1902</v>
      </c>
      <c r="G37" s="258">
        <v>61996000000</v>
      </c>
      <c r="H37" s="265">
        <v>0.1</v>
      </c>
      <c r="I37" s="258">
        <v>6199600000</v>
      </c>
      <c r="J37" s="258">
        <v>68195600000</v>
      </c>
      <c r="K37" s="256" t="s">
        <v>1346</v>
      </c>
    </row>
    <row r="38" spans="1:11" x14ac:dyDescent="0.3">
      <c r="A38" s="256">
        <v>31</v>
      </c>
      <c r="B38" s="257" t="s">
        <v>1403</v>
      </c>
      <c r="C38" s="276">
        <v>44286</v>
      </c>
      <c r="D38" s="257" t="s">
        <v>1287</v>
      </c>
      <c r="E38" s="256" t="s">
        <v>1801</v>
      </c>
      <c r="F38" s="256" t="s">
        <v>1905</v>
      </c>
      <c r="G38" s="258">
        <v>64368000000</v>
      </c>
      <c r="H38" s="265">
        <v>0.1</v>
      </c>
      <c r="I38" s="258">
        <v>6436800000</v>
      </c>
      <c r="J38" s="258">
        <v>70804800000</v>
      </c>
      <c r="K38" s="256" t="s">
        <v>1346</v>
      </c>
    </row>
    <row r="39" spans="1:11" x14ac:dyDescent="0.3">
      <c r="A39" s="256">
        <v>32</v>
      </c>
      <c r="B39" s="257" t="s">
        <v>1466</v>
      </c>
      <c r="C39" s="276">
        <v>44347</v>
      </c>
      <c r="D39" s="257" t="s">
        <v>1256</v>
      </c>
      <c r="E39" s="256" t="s">
        <v>1802</v>
      </c>
      <c r="F39" s="256" t="s">
        <v>1901</v>
      </c>
      <c r="G39" s="258">
        <v>61082000000</v>
      </c>
      <c r="H39" s="265">
        <v>0.1</v>
      </c>
      <c r="I39" s="258">
        <v>6108200000</v>
      </c>
      <c r="J39" s="258">
        <v>67190200000</v>
      </c>
      <c r="K39" s="256" t="s">
        <v>1346</v>
      </c>
    </row>
    <row r="40" spans="1:11" x14ac:dyDescent="0.3">
      <c r="A40" s="256">
        <v>33</v>
      </c>
      <c r="B40" s="257" t="s">
        <v>1474</v>
      </c>
      <c r="C40" s="276">
        <v>44408</v>
      </c>
      <c r="D40" s="257" t="s">
        <v>1274</v>
      </c>
      <c r="E40" s="256" t="s">
        <v>1794</v>
      </c>
      <c r="F40" s="256" t="s">
        <v>1902</v>
      </c>
      <c r="G40" s="258">
        <v>59894000000</v>
      </c>
      <c r="H40" s="265">
        <v>0.1</v>
      </c>
      <c r="I40" s="258">
        <v>5989400000</v>
      </c>
      <c r="J40" s="258">
        <v>65883400000</v>
      </c>
      <c r="K40" s="256" t="s">
        <v>1346</v>
      </c>
    </row>
    <row r="41" spans="1:11" x14ac:dyDescent="0.3">
      <c r="A41" s="256">
        <v>34</v>
      </c>
      <c r="B41" s="257" t="s">
        <v>1475</v>
      </c>
      <c r="C41" s="276">
        <v>44439</v>
      </c>
      <c r="D41" s="257" t="s">
        <v>1274</v>
      </c>
      <c r="E41" s="256" t="s">
        <v>1794</v>
      </c>
      <c r="F41" s="256" t="s">
        <v>1901</v>
      </c>
      <c r="G41" s="258">
        <v>46051000000</v>
      </c>
      <c r="H41" s="265">
        <v>0.1</v>
      </c>
      <c r="I41" s="258">
        <v>4605100000</v>
      </c>
      <c r="J41" s="258">
        <v>50656100000</v>
      </c>
      <c r="K41" s="256" t="s">
        <v>1346</v>
      </c>
    </row>
    <row r="42" spans="1:11" x14ac:dyDescent="0.3">
      <c r="A42" s="256">
        <v>35</v>
      </c>
      <c r="B42" s="257" t="s">
        <v>1414</v>
      </c>
      <c r="C42" s="276">
        <v>44500</v>
      </c>
      <c r="D42" s="257" t="s">
        <v>1299</v>
      </c>
      <c r="E42" s="256" t="s">
        <v>1776</v>
      </c>
      <c r="F42" s="256" t="s">
        <v>1903</v>
      </c>
      <c r="G42" s="258">
        <v>31276000000</v>
      </c>
      <c r="H42" s="265">
        <v>0.1</v>
      </c>
      <c r="I42" s="258">
        <v>3127600000</v>
      </c>
      <c r="J42" s="258">
        <v>34403600000</v>
      </c>
      <c r="K42" s="256" t="s">
        <v>1346</v>
      </c>
    </row>
    <row r="43" spans="1:11" x14ac:dyDescent="0.3">
      <c r="A43" s="256">
        <v>36</v>
      </c>
      <c r="B43" s="257" t="s">
        <v>1209</v>
      </c>
      <c r="C43" s="276">
        <v>44561</v>
      </c>
      <c r="D43" s="257" t="s">
        <v>1282</v>
      </c>
      <c r="E43" s="256" t="s">
        <v>1789</v>
      </c>
      <c r="F43" s="256" t="s">
        <v>1902</v>
      </c>
      <c r="G43" s="258">
        <v>18391000000</v>
      </c>
      <c r="H43" s="265">
        <v>0.1</v>
      </c>
      <c r="I43" s="258">
        <v>1839100000</v>
      </c>
      <c r="J43" s="258">
        <v>20230100000</v>
      </c>
      <c r="K43" s="256" t="s">
        <v>1346</v>
      </c>
    </row>
    <row r="44" spans="1:11" x14ac:dyDescent="0.3">
      <c r="A44" s="256">
        <v>37</v>
      </c>
      <c r="B44" s="257" t="s">
        <v>1478</v>
      </c>
      <c r="C44" s="276">
        <v>44561</v>
      </c>
      <c r="D44" s="257" t="s">
        <v>1259</v>
      </c>
      <c r="E44" s="256" t="s">
        <v>1788</v>
      </c>
      <c r="F44" s="256" t="s">
        <v>1903</v>
      </c>
      <c r="G44" s="258">
        <v>22598000000</v>
      </c>
      <c r="H44" s="265">
        <v>0.1</v>
      </c>
      <c r="I44" s="258">
        <v>2259800000</v>
      </c>
      <c r="J44" s="258">
        <v>24857800000</v>
      </c>
      <c r="K44" s="256" t="s">
        <v>1346</v>
      </c>
    </row>
    <row r="45" spans="1:11" x14ac:dyDescent="0.3">
      <c r="A45" s="256">
        <v>38</v>
      </c>
      <c r="B45" s="257" t="s">
        <v>1418</v>
      </c>
      <c r="C45" s="276">
        <v>44561</v>
      </c>
      <c r="D45" s="257" t="s">
        <v>1282</v>
      </c>
      <c r="E45" s="256" t="s">
        <v>1789</v>
      </c>
      <c r="F45" s="256" t="s">
        <v>1903</v>
      </c>
      <c r="G45" s="258">
        <v>18488000000</v>
      </c>
      <c r="H45" s="265">
        <v>0.1</v>
      </c>
      <c r="I45" s="258">
        <v>1848800000</v>
      </c>
      <c r="J45" s="258">
        <v>20336800000</v>
      </c>
      <c r="K45" s="256" t="s">
        <v>1346</v>
      </c>
    </row>
    <row r="46" spans="1:11" x14ac:dyDescent="0.3">
      <c r="A46" s="256">
        <v>39</v>
      </c>
      <c r="B46" s="257" t="s">
        <v>1419</v>
      </c>
      <c r="C46" s="276">
        <v>44561</v>
      </c>
      <c r="D46" s="257" t="s">
        <v>1289</v>
      </c>
      <c r="E46" s="256" t="s">
        <v>1803</v>
      </c>
      <c r="F46" s="256" t="s">
        <v>1905</v>
      </c>
      <c r="G46" s="258">
        <v>38280000000</v>
      </c>
      <c r="H46" s="265">
        <v>0</v>
      </c>
      <c r="I46" s="258">
        <v>0</v>
      </c>
      <c r="J46" s="258">
        <v>38280000000</v>
      </c>
      <c r="K46" s="256" t="s">
        <v>1346</v>
      </c>
    </row>
    <row r="47" spans="1:11" x14ac:dyDescent="0.3">
      <c r="A47" s="256">
        <v>40</v>
      </c>
      <c r="B47" s="257" t="s">
        <v>1468</v>
      </c>
      <c r="C47" s="276">
        <v>44561</v>
      </c>
      <c r="D47" s="257" t="s">
        <v>1260</v>
      </c>
      <c r="E47" s="256" t="s">
        <v>1804</v>
      </c>
      <c r="F47" s="256" t="s">
        <v>1905</v>
      </c>
      <c r="G47" s="258">
        <v>27600000000</v>
      </c>
      <c r="H47" s="265">
        <v>0.1</v>
      </c>
      <c r="I47" s="258">
        <v>2760000000</v>
      </c>
      <c r="J47" s="258">
        <v>30360000000</v>
      </c>
      <c r="K47" s="256" t="s">
        <v>1348</v>
      </c>
    </row>
    <row r="48" spans="1:11" x14ac:dyDescent="0.3">
      <c r="A48" s="256">
        <v>41</v>
      </c>
      <c r="B48" s="257" t="s">
        <v>1475</v>
      </c>
      <c r="C48" s="276">
        <v>44561</v>
      </c>
      <c r="D48" s="257" t="s">
        <v>1277</v>
      </c>
      <c r="E48" s="256" t="s">
        <v>1783</v>
      </c>
      <c r="F48" s="256" t="s">
        <v>1905</v>
      </c>
      <c r="G48" s="258">
        <v>47485000000</v>
      </c>
      <c r="H48" s="265">
        <v>0.1</v>
      </c>
      <c r="I48" s="258">
        <v>4748500000</v>
      </c>
      <c r="J48" s="258">
        <v>52233500000</v>
      </c>
      <c r="K48" s="256" t="s">
        <v>1346</v>
      </c>
    </row>
    <row r="49" spans="1:11" x14ac:dyDescent="0.3">
      <c r="A49" s="256">
        <v>42</v>
      </c>
      <c r="B49" s="257" t="s">
        <v>1469</v>
      </c>
      <c r="C49" s="276">
        <v>44561</v>
      </c>
      <c r="D49" s="257" t="s">
        <v>1272</v>
      </c>
      <c r="E49" s="256" t="s">
        <v>1805</v>
      </c>
      <c r="F49" s="256" t="s">
        <v>1609</v>
      </c>
      <c r="G49" s="258">
        <v>30259000000</v>
      </c>
      <c r="H49" s="265">
        <v>0.1</v>
      </c>
      <c r="I49" s="258">
        <v>3025900000</v>
      </c>
      <c r="J49" s="258">
        <v>33284900000</v>
      </c>
      <c r="K49" s="256" t="s">
        <v>1346</v>
      </c>
    </row>
    <row r="50" spans="1:11" x14ac:dyDescent="0.3">
      <c r="A50" s="256">
        <v>43</v>
      </c>
      <c r="B50" s="257" t="s">
        <v>1468</v>
      </c>
      <c r="C50" s="276">
        <v>44561</v>
      </c>
      <c r="D50" s="257" t="s">
        <v>1263</v>
      </c>
      <c r="E50" s="256" t="s">
        <v>1790</v>
      </c>
      <c r="F50" s="256" t="s">
        <v>1902</v>
      </c>
      <c r="G50" s="258">
        <v>24573000000</v>
      </c>
      <c r="H50" s="265">
        <v>0.1</v>
      </c>
      <c r="I50" s="258">
        <v>2457300000</v>
      </c>
      <c r="J50" s="258">
        <v>27030300000</v>
      </c>
      <c r="K50" s="256" t="s">
        <v>1348</v>
      </c>
    </row>
    <row r="51" spans="1:11" x14ac:dyDescent="0.3">
      <c r="A51" s="256">
        <v>44</v>
      </c>
      <c r="B51" s="257" t="s">
        <v>1475</v>
      </c>
      <c r="C51" s="276">
        <v>44561</v>
      </c>
      <c r="D51" s="257" t="s">
        <v>1281</v>
      </c>
      <c r="E51" s="256" t="s">
        <v>1806</v>
      </c>
      <c r="F51" s="256" t="s">
        <v>1609</v>
      </c>
      <c r="G51" s="258">
        <v>17322000000</v>
      </c>
      <c r="H51" s="265">
        <v>0</v>
      </c>
      <c r="I51" s="258">
        <v>0</v>
      </c>
      <c r="J51" s="258">
        <v>17322000000</v>
      </c>
      <c r="K51" s="256" t="s">
        <v>1346</v>
      </c>
    </row>
    <row r="52" spans="1:11" x14ac:dyDescent="0.3">
      <c r="A52" s="256">
        <v>45</v>
      </c>
      <c r="B52" s="257" t="s">
        <v>1460</v>
      </c>
      <c r="C52" s="276">
        <v>44561</v>
      </c>
      <c r="D52" s="257" t="s">
        <v>1283</v>
      </c>
      <c r="E52" s="256" t="s">
        <v>1798</v>
      </c>
      <c r="F52" s="256" t="s">
        <v>1901</v>
      </c>
      <c r="G52" s="258">
        <v>29326000000</v>
      </c>
      <c r="H52" s="265">
        <v>0.1</v>
      </c>
      <c r="I52" s="258">
        <v>2932600000</v>
      </c>
      <c r="J52" s="258">
        <v>32258600000</v>
      </c>
      <c r="K52" s="256" t="s">
        <v>1346</v>
      </c>
    </row>
    <row r="53" spans="1:11" x14ac:dyDescent="0.3">
      <c r="A53" s="256">
        <v>46</v>
      </c>
      <c r="B53" s="257" t="s">
        <v>1457</v>
      </c>
      <c r="C53" s="276">
        <v>44561</v>
      </c>
      <c r="D53" s="257" t="s">
        <v>1280</v>
      </c>
      <c r="E53" s="256" t="s">
        <v>1777</v>
      </c>
      <c r="F53" s="256" t="s">
        <v>1904</v>
      </c>
      <c r="G53" s="258">
        <v>29548000000</v>
      </c>
      <c r="H53" s="265">
        <v>0.1</v>
      </c>
      <c r="I53" s="258">
        <v>2954800000</v>
      </c>
      <c r="J53" s="258">
        <v>32502800000</v>
      </c>
      <c r="K53" s="256" t="s">
        <v>1346</v>
      </c>
    </row>
    <row r="54" spans="1:11" x14ac:dyDescent="0.3">
      <c r="A54" s="256">
        <v>47</v>
      </c>
      <c r="B54" s="257" t="s">
        <v>1394</v>
      </c>
      <c r="C54" s="276">
        <v>44561</v>
      </c>
      <c r="D54" s="257" t="s">
        <v>1296</v>
      </c>
      <c r="E54" s="256" t="s">
        <v>1807</v>
      </c>
      <c r="F54" s="256" t="s">
        <v>1904</v>
      </c>
      <c r="G54" s="258">
        <v>36666000000</v>
      </c>
      <c r="H54" s="265">
        <v>0.1</v>
      </c>
      <c r="I54" s="258">
        <v>3666600000</v>
      </c>
      <c r="J54" s="258">
        <v>40332600000</v>
      </c>
      <c r="K54" s="256" t="s">
        <v>1346</v>
      </c>
    </row>
    <row r="55" spans="1:11" x14ac:dyDescent="0.3">
      <c r="A55" s="256">
        <v>48</v>
      </c>
      <c r="B55" s="257" t="s">
        <v>1467</v>
      </c>
      <c r="C55" s="276">
        <v>44561</v>
      </c>
      <c r="D55" s="257" t="s">
        <v>1275</v>
      </c>
      <c r="E55" s="256" t="s">
        <v>1808</v>
      </c>
      <c r="F55" s="256" t="s">
        <v>1904</v>
      </c>
      <c r="G55" s="258">
        <v>32637000000</v>
      </c>
      <c r="H55" s="265">
        <v>0.1</v>
      </c>
      <c r="I55" s="258">
        <v>3263700000</v>
      </c>
      <c r="J55" s="258">
        <v>35900700000</v>
      </c>
      <c r="K55" s="256" t="s">
        <v>1346</v>
      </c>
    </row>
    <row r="56" spans="1:11" x14ac:dyDescent="0.3">
      <c r="A56" s="256">
        <v>49</v>
      </c>
      <c r="B56" s="257" t="s">
        <v>1469</v>
      </c>
      <c r="C56" s="276">
        <v>44561</v>
      </c>
      <c r="D56" s="257" t="s">
        <v>1260</v>
      </c>
      <c r="E56" s="256" t="s">
        <v>1804</v>
      </c>
      <c r="F56" s="256" t="s">
        <v>1904</v>
      </c>
      <c r="G56" s="258">
        <v>33069000000</v>
      </c>
      <c r="H56" s="265">
        <v>0.1</v>
      </c>
      <c r="I56" s="258">
        <v>3306900000</v>
      </c>
      <c r="J56" s="258">
        <v>36375900000</v>
      </c>
      <c r="K56" s="256" t="s">
        <v>1348</v>
      </c>
    </row>
    <row r="57" spans="1:11" x14ac:dyDescent="0.3">
      <c r="A57" s="256">
        <v>50</v>
      </c>
      <c r="B57" s="257" t="s">
        <v>1470</v>
      </c>
      <c r="C57" s="276">
        <v>44561</v>
      </c>
      <c r="D57" s="257" t="s">
        <v>1260</v>
      </c>
      <c r="E57" s="256" t="s">
        <v>1804</v>
      </c>
      <c r="F57" s="256" t="s">
        <v>1903</v>
      </c>
      <c r="G57" s="258">
        <v>49829000000</v>
      </c>
      <c r="H57" s="265">
        <v>0</v>
      </c>
      <c r="I57" s="258">
        <v>0</v>
      </c>
      <c r="J57" s="258">
        <v>49829000000</v>
      </c>
      <c r="K57" s="256" t="s">
        <v>1346</v>
      </c>
    </row>
    <row r="58" spans="1:11" x14ac:dyDescent="0.3">
      <c r="A58" s="266" t="s">
        <v>1351</v>
      </c>
      <c r="B58" s="266"/>
      <c r="C58" s="266"/>
      <c r="D58" s="266"/>
      <c r="E58" s="266"/>
      <c r="F58" s="266"/>
      <c r="G58" s="267">
        <f>SUM(G8:G57)</f>
        <v>1896044000000</v>
      </c>
      <c r="H58" s="266"/>
      <c r="I58" s="267">
        <f>SUM(I8:I57)</f>
        <v>164834100000</v>
      </c>
      <c r="J58" s="267">
        <f>SUM(J8:J57)</f>
        <v>2060878100000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1285</v>
      </c>
      <c r="E62" s="256" t="s">
        <v>1793</v>
      </c>
      <c r="F62" s="256" t="s">
        <v>1906</v>
      </c>
      <c r="G62" s="258">
        <v>63908000000</v>
      </c>
      <c r="H62" s="265">
        <v>0.1</v>
      </c>
      <c r="I62" s="258">
        <v>6390800000</v>
      </c>
      <c r="J62" s="258">
        <v>70298800000</v>
      </c>
      <c r="K62" s="256" t="s">
        <v>1346</v>
      </c>
    </row>
    <row r="63" spans="1:11" x14ac:dyDescent="0.3">
      <c r="A63" s="256">
        <v>2</v>
      </c>
      <c r="B63" s="257" t="s">
        <v>1201</v>
      </c>
      <c r="C63" s="276">
        <v>44318</v>
      </c>
      <c r="D63" s="257" t="s">
        <v>1267</v>
      </c>
      <c r="E63" s="256" t="s">
        <v>1810</v>
      </c>
      <c r="F63" s="256" t="s">
        <v>1907</v>
      </c>
      <c r="G63" s="258">
        <v>47183000000</v>
      </c>
      <c r="H63" s="265">
        <v>0.1</v>
      </c>
      <c r="I63" s="258">
        <v>4718300000</v>
      </c>
      <c r="J63" s="258">
        <v>51901300000</v>
      </c>
      <c r="K63" s="256" t="s">
        <v>1348</v>
      </c>
    </row>
    <row r="64" spans="1:11" x14ac:dyDescent="0.3">
      <c r="A64" s="256">
        <v>3</v>
      </c>
      <c r="B64" s="257" t="s">
        <v>1202</v>
      </c>
      <c r="C64" s="276">
        <v>44472</v>
      </c>
      <c r="D64" s="257" t="s">
        <v>1302</v>
      </c>
      <c r="E64" s="256" t="s">
        <v>1784</v>
      </c>
      <c r="F64" s="256" t="s">
        <v>1908</v>
      </c>
      <c r="G64" s="258">
        <v>49807000000</v>
      </c>
      <c r="H64" s="265">
        <v>0.1</v>
      </c>
      <c r="I64" s="258">
        <v>4980700000</v>
      </c>
      <c r="J64" s="258">
        <v>54787700000</v>
      </c>
      <c r="K64" s="256" t="s">
        <v>1346</v>
      </c>
    </row>
    <row r="65" spans="1:11" x14ac:dyDescent="0.3">
      <c r="A65" s="256">
        <v>4</v>
      </c>
      <c r="B65" s="257" t="s">
        <v>1355</v>
      </c>
      <c r="C65" s="276">
        <v>44473</v>
      </c>
      <c r="D65" s="257" t="s">
        <v>1290</v>
      </c>
      <c r="E65" s="256" t="s">
        <v>1796</v>
      </c>
      <c r="F65" s="256" t="s">
        <v>1907</v>
      </c>
      <c r="G65" s="258">
        <v>32727000000</v>
      </c>
      <c r="H65" s="265">
        <v>0</v>
      </c>
      <c r="I65" s="258">
        <v>0</v>
      </c>
      <c r="J65" s="258">
        <v>32727000000</v>
      </c>
      <c r="K65" s="256" t="s">
        <v>1346</v>
      </c>
    </row>
    <row r="66" spans="1:11" x14ac:dyDescent="0.3">
      <c r="A66" s="256">
        <v>5</v>
      </c>
      <c r="B66" s="257" t="s">
        <v>1356</v>
      </c>
      <c r="C66" s="276">
        <v>44474</v>
      </c>
      <c r="D66" s="257" t="s">
        <v>1261</v>
      </c>
      <c r="E66" s="256" t="s">
        <v>1813</v>
      </c>
      <c r="F66" s="256" t="s">
        <v>1909</v>
      </c>
      <c r="G66" s="258">
        <v>49141000000</v>
      </c>
      <c r="H66" s="265">
        <v>0.1</v>
      </c>
      <c r="I66" s="258">
        <v>4914100000</v>
      </c>
      <c r="J66" s="258">
        <v>54055100000</v>
      </c>
      <c r="K66" s="256" t="s">
        <v>1346</v>
      </c>
    </row>
    <row r="67" spans="1:11" x14ac:dyDescent="0.3">
      <c r="A67" s="256">
        <v>6</v>
      </c>
      <c r="B67" s="257" t="s">
        <v>1358</v>
      </c>
      <c r="C67" s="276">
        <v>44475</v>
      </c>
      <c r="D67" s="257" t="s">
        <v>1257</v>
      </c>
      <c r="E67" s="256" t="s">
        <v>1815</v>
      </c>
      <c r="F67" s="256" t="s">
        <v>1906</v>
      </c>
      <c r="G67" s="258">
        <v>51012000000</v>
      </c>
      <c r="H67" s="265">
        <v>0.1</v>
      </c>
      <c r="I67" s="258">
        <v>5101200000</v>
      </c>
      <c r="J67" s="258">
        <v>56113200000</v>
      </c>
      <c r="K67" s="256" t="s">
        <v>1346</v>
      </c>
    </row>
    <row r="68" spans="1:11" x14ac:dyDescent="0.3">
      <c r="A68" s="256">
        <v>7</v>
      </c>
      <c r="B68" s="257" t="s">
        <v>1360</v>
      </c>
      <c r="C68" s="276">
        <v>44476</v>
      </c>
      <c r="D68" s="257" t="s">
        <v>1261</v>
      </c>
      <c r="E68" s="256" t="s">
        <v>1813</v>
      </c>
      <c r="F68" s="256" t="s">
        <v>1907</v>
      </c>
      <c r="G68" s="258">
        <v>22451000000</v>
      </c>
      <c r="H68" s="265">
        <v>0.1</v>
      </c>
      <c r="I68" s="258">
        <v>2245100000</v>
      </c>
      <c r="J68" s="258">
        <v>24696100000</v>
      </c>
      <c r="K68" s="256" t="s">
        <v>1348</v>
      </c>
    </row>
    <row r="69" spans="1:11" x14ac:dyDescent="0.3">
      <c r="A69" s="256">
        <v>8</v>
      </c>
      <c r="B69" s="257" t="s">
        <v>1362</v>
      </c>
      <c r="C69" s="276">
        <v>44477</v>
      </c>
      <c r="D69" s="257" t="s">
        <v>1272</v>
      </c>
      <c r="E69" s="256" t="s">
        <v>1805</v>
      </c>
      <c r="F69" s="256" t="s">
        <v>1908</v>
      </c>
      <c r="G69" s="258">
        <v>45429000000</v>
      </c>
      <c r="H69" s="265">
        <v>0.1</v>
      </c>
      <c r="I69" s="258">
        <v>4542900000</v>
      </c>
      <c r="J69" s="258">
        <v>49971900000</v>
      </c>
      <c r="K69" s="256" t="s">
        <v>1346</v>
      </c>
    </row>
    <row r="70" spans="1:11" x14ac:dyDescent="0.3">
      <c r="A70" s="256">
        <v>9</v>
      </c>
      <c r="B70" s="257" t="s">
        <v>1364</v>
      </c>
      <c r="C70" s="276">
        <v>44478</v>
      </c>
      <c r="D70" s="257" t="s">
        <v>1284</v>
      </c>
      <c r="E70" s="256" t="s">
        <v>1786</v>
      </c>
      <c r="F70" s="256" t="s">
        <v>1909</v>
      </c>
      <c r="G70" s="258">
        <v>61314000000</v>
      </c>
      <c r="H70" s="265">
        <v>0.1</v>
      </c>
      <c r="I70" s="258">
        <v>6131400000</v>
      </c>
      <c r="J70" s="258">
        <v>67445400000</v>
      </c>
      <c r="K70" s="256" t="s">
        <v>1346</v>
      </c>
    </row>
    <row r="71" spans="1:11" x14ac:dyDescent="0.3">
      <c r="A71" s="256">
        <v>10</v>
      </c>
      <c r="B71" s="257" t="s">
        <v>1366</v>
      </c>
      <c r="C71" s="276">
        <v>44479</v>
      </c>
      <c r="D71" s="257" t="s">
        <v>1262</v>
      </c>
      <c r="E71" s="256" t="s">
        <v>1816</v>
      </c>
      <c r="F71" s="256" t="s">
        <v>1906</v>
      </c>
      <c r="G71" s="258">
        <v>61847000000</v>
      </c>
      <c r="H71" s="265">
        <v>0.1</v>
      </c>
      <c r="I71" s="258">
        <v>6184700000</v>
      </c>
      <c r="J71" s="258">
        <v>68031700000</v>
      </c>
      <c r="K71" s="256" t="s">
        <v>1346</v>
      </c>
    </row>
    <row r="72" spans="1:11" x14ac:dyDescent="0.3">
      <c r="A72" s="256">
        <v>11</v>
      </c>
      <c r="B72" s="257" t="s">
        <v>1368</v>
      </c>
      <c r="C72" s="276">
        <v>44480</v>
      </c>
      <c r="D72" s="257" t="s">
        <v>1285</v>
      </c>
      <c r="E72" s="256" t="s">
        <v>1793</v>
      </c>
      <c r="F72" s="256" t="s">
        <v>1907</v>
      </c>
      <c r="G72" s="258">
        <v>80990000000</v>
      </c>
      <c r="H72" s="265">
        <v>0</v>
      </c>
      <c r="I72" s="258">
        <v>0</v>
      </c>
      <c r="J72" s="258">
        <v>80990000000</v>
      </c>
      <c r="K72" s="256" t="s">
        <v>1346</v>
      </c>
    </row>
    <row r="73" spans="1:11" x14ac:dyDescent="0.3">
      <c r="A73" s="256">
        <v>12</v>
      </c>
      <c r="B73" s="257" t="s">
        <v>1371</v>
      </c>
      <c r="C73" s="276">
        <v>44481</v>
      </c>
      <c r="D73" s="257" t="s">
        <v>1303</v>
      </c>
      <c r="E73" s="256" t="s">
        <v>1817</v>
      </c>
      <c r="F73" s="256" t="s">
        <v>1908</v>
      </c>
      <c r="G73" s="258">
        <v>87314000000</v>
      </c>
      <c r="H73" s="265">
        <v>0.1</v>
      </c>
      <c r="I73" s="258">
        <v>8731400000</v>
      </c>
      <c r="J73" s="258">
        <v>96045400000</v>
      </c>
      <c r="K73" s="256" t="s">
        <v>1346</v>
      </c>
    </row>
    <row r="74" spans="1:11" x14ac:dyDescent="0.3">
      <c r="A74" s="256">
        <v>13</v>
      </c>
      <c r="B74" s="257" t="s">
        <v>1373</v>
      </c>
      <c r="C74" s="276">
        <v>44211</v>
      </c>
      <c r="D74" s="257" t="s">
        <v>1290</v>
      </c>
      <c r="E74" s="256" t="s">
        <v>1796</v>
      </c>
      <c r="F74" s="256" t="s">
        <v>1909</v>
      </c>
      <c r="G74" s="258">
        <v>81807000000</v>
      </c>
      <c r="H74" s="265">
        <v>0.1</v>
      </c>
      <c r="I74" s="258">
        <v>8180700000</v>
      </c>
      <c r="J74" s="258">
        <v>89987700000</v>
      </c>
      <c r="K74" s="256" t="s">
        <v>1346</v>
      </c>
    </row>
    <row r="75" spans="1:11" x14ac:dyDescent="0.3">
      <c r="A75" s="256">
        <v>14</v>
      </c>
      <c r="B75" s="257" t="s">
        <v>1374</v>
      </c>
      <c r="C75" s="276">
        <v>44242</v>
      </c>
      <c r="D75" s="257" t="s">
        <v>1284</v>
      </c>
      <c r="E75" s="256" t="s">
        <v>1786</v>
      </c>
      <c r="F75" s="256" t="s">
        <v>1908</v>
      </c>
      <c r="G75" s="258">
        <v>43829000000</v>
      </c>
      <c r="H75" s="265">
        <v>0.1</v>
      </c>
      <c r="I75" s="258">
        <v>4382900000</v>
      </c>
      <c r="J75" s="258">
        <v>48211900000</v>
      </c>
      <c r="K75" s="256" t="s">
        <v>1346</v>
      </c>
    </row>
    <row r="76" spans="1:11" x14ac:dyDescent="0.3">
      <c r="A76" s="256">
        <v>15</v>
      </c>
      <c r="B76" s="257" t="s">
        <v>1376</v>
      </c>
      <c r="C76" s="276">
        <v>44275</v>
      </c>
      <c r="D76" s="257" t="s">
        <v>1282</v>
      </c>
      <c r="E76" s="256" t="s">
        <v>1789</v>
      </c>
      <c r="F76" s="256" t="s">
        <v>1906</v>
      </c>
      <c r="G76" s="258">
        <v>40274000000</v>
      </c>
      <c r="H76" s="265">
        <v>0.1</v>
      </c>
      <c r="I76" s="258">
        <v>4027400000</v>
      </c>
      <c r="J76" s="258">
        <v>44301400000</v>
      </c>
      <c r="K76" s="256" t="s">
        <v>1346</v>
      </c>
    </row>
    <row r="77" spans="1:11" x14ac:dyDescent="0.3">
      <c r="A77" s="256">
        <v>16</v>
      </c>
      <c r="B77" s="257" t="s">
        <v>1378</v>
      </c>
      <c r="C77" s="276">
        <v>44306</v>
      </c>
      <c r="D77" s="257" t="s">
        <v>1261</v>
      </c>
      <c r="E77" s="256" t="s">
        <v>1813</v>
      </c>
      <c r="F77" s="256" t="s">
        <v>1906</v>
      </c>
      <c r="G77" s="258">
        <v>68069000000</v>
      </c>
      <c r="H77" s="265">
        <v>0.1</v>
      </c>
      <c r="I77" s="258">
        <v>6806900000</v>
      </c>
      <c r="J77" s="258">
        <v>74875900000</v>
      </c>
      <c r="K77" s="256" t="s">
        <v>1346</v>
      </c>
    </row>
    <row r="78" spans="1:11" x14ac:dyDescent="0.3">
      <c r="A78" s="256">
        <v>17</v>
      </c>
      <c r="B78" s="257" t="s">
        <v>1379</v>
      </c>
      <c r="C78" s="276">
        <v>44336</v>
      </c>
      <c r="D78" s="257" t="s">
        <v>1289</v>
      </c>
      <c r="E78" s="256" t="s">
        <v>1803</v>
      </c>
      <c r="F78" s="256" t="s">
        <v>1908</v>
      </c>
      <c r="G78" s="258">
        <v>34533000000</v>
      </c>
      <c r="H78" s="265">
        <v>0.1</v>
      </c>
      <c r="I78" s="258">
        <v>3453300000</v>
      </c>
      <c r="J78" s="258">
        <v>37986300000</v>
      </c>
      <c r="K78" s="256" t="s">
        <v>1346</v>
      </c>
    </row>
    <row r="79" spans="1:11" x14ac:dyDescent="0.3">
      <c r="A79" s="256">
        <v>18</v>
      </c>
      <c r="B79" s="257" t="s">
        <v>1381</v>
      </c>
      <c r="C79" s="276">
        <v>44367</v>
      </c>
      <c r="D79" s="257" t="s">
        <v>1290</v>
      </c>
      <c r="E79" s="256" t="s">
        <v>1796</v>
      </c>
      <c r="F79" s="256" t="s">
        <v>1906</v>
      </c>
      <c r="G79" s="258">
        <v>79852000000</v>
      </c>
      <c r="H79" s="265">
        <v>0.1</v>
      </c>
      <c r="I79" s="258">
        <v>7985200000</v>
      </c>
      <c r="J79" s="258">
        <v>87837200000</v>
      </c>
      <c r="K79" s="256" t="s">
        <v>1346</v>
      </c>
    </row>
    <row r="80" spans="1:11" x14ac:dyDescent="0.3">
      <c r="A80" s="256">
        <v>19</v>
      </c>
      <c r="B80" s="257" t="s">
        <v>1382</v>
      </c>
      <c r="C80" s="276">
        <v>44397</v>
      </c>
      <c r="D80" s="257" t="s">
        <v>1290</v>
      </c>
      <c r="E80" s="256" t="s">
        <v>1796</v>
      </c>
      <c r="F80" s="256" t="s">
        <v>1907</v>
      </c>
      <c r="G80" s="258">
        <v>79601000000</v>
      </c>
      <c r="H80" s="265">
        <v>0.1</v>
      </c>
      <c r="I80" s="258">
        <v>7960100000</v>
      </c>
      <c r="J80" s="258">
        <v>87561100000</v>
      </c>
      <c r="K80" s="256" t="s">
        <v>1346</v>
      </c>
    </row>
    <row r="81" spans="1:11" x14ac:dyDescent="0.3">
      <c r="A81" s="256">
        <v>20</v>
      </c>
      <c r="B81" s="257" t="s">
        <v>1383</v>
      </c>
      <c r="C81" s="276">
        <v>44428</v>
      </c>
      <c r="D81" s="257" t="s">
        <v>1283</v>
      </c>
      <c r="E81" s="256" t="s">
        <v>1798</v>
      </c>
      <c r="F81" s="256" t="s">
        <v>1906</v>
      </c>
      <c r="G81" s="258">
        <v>43756000000</v>
      </c>
      <c r="H81" s="265">
        <v>0.1</v>
      </c>
      <c r="I81" s="258">
        <v>4375600000</v>
      </c>
      <c r="J81" s="258">
        <v>48131600000</v>
      </c>
      <c r="K81" s="256" t="s">
        <v>1346</v>
      </c>
    </row>
    <row r="82" spans="1:11" x14ac:dyDescent="0.3">
      <c r="A82" s="256">
        <v>21</v>
      </c>
      <c r="B82" s="257" t="s">
        <v>1203</v>
      </c>
      <c r="C82" s="276">
        <v>44459</v>
      </c>
      <c r="D82" s="257" t="s">
        <v>1292</v>
      </c>
      <c r="E82" s="256" t="s">
        <v>1792</v>
      </c>
      <c r="F82" s="256" t="s">
        <v>1909</v>
      </c>
      <c r="G82" s="258">
        <v>38911000000</v>
      </c>
      <c r="H82" s="265">
        <v>0.1</v>
      </c>
      <c r="I82" s="258">
        <v>3891100000</v>
      </c>
      <c r="J82" s="258">
        <v>42802100000</v>
      </c>
      <c r="K82" s="256" t="s">
        <v>1346</v>
      </c>
    </row>
    <row r="83" spans="1:11" x14ac:dyDescent="0.3">
      <c r="A83" s="256">
        <v>22</v>
      </c>
      <c r="B83" s="257" t="s">
        <v>1204</v>
      </c>
      <c r="C83" s="276">
        <v>44489</v>
      </c>
      <c r="D83" s="257" t="s">
        <v>1300</v>
      </c>
      <c r="E83" s="256" t="s">
        <v>1818</v>
      </c>
      <c r="F83" s="256" t="s">
        <v>1906</v>
      </c>
      <c r="G83" s="258">
        <v>38918000000</v>
      </c>
      <c r="H83" s="265">
        <v>0.1</v>
      </c>
      <c r="I83" s="258">
        <v>3891800000</v>
      </c>
      <c r="J83" s="258">
        <v>42809800000</v>
      </c>
      <c r="K83" s="256" t="s">
        <v>1346</v>
      </c>
    </row>
    <row r="84" spans="1:11" x14ac:dyDescent="0.3">
      <c r="A84" s="256">
        <v>23</v>
      </c>
      <c r="B84" s="257" t="s">
        <v>1205</v>
      </c>
      <c r="C84" s="276">
        <v>44520</v>
      </c>
      <c r="D84" s="257" t="s">
        <v>1298</v>
      </c>
      <c r="E84" s="256" t="s">
        <v>1819</v>
      </c>
      <c r="F84" s="256" t="s">
        <v>1908</v>
      </c>
      <c r="G84" s="258">
        <v>79461000000</v>
      </c>
      <c r="H84" s="265">
        <v>0.1</v>
      </c>
      <c r="I84" s="258">
        <v>7946100000</v>
      </c>
      <c r="J84" s="258">
        <v>87407100000</v>
      </c>
      <c r="K84" s="256" t="s">
        <v>1346</v>
      </c>
    </row>
    <row r="85" spans="1:11" x14ac:dyDescent="0.3">
      <c r="A85" s="256">
        <v>24</v>
      </c>
      <c r="B85" s="257" t="s">
        <v>1385</v>
      </c>
      <c r="C85" s="276">
        <v>44550</v>
      </c>
      <c r="D85" s="257" t="s">
        <v>1294</v>
      </c>
      <c r="E85" s="256" t="s">
        <v>1795</v>
      </c>
      <c r="F85" s="256" t="s">
        <v>1907</v>
      </c>
      <c r="G85" s="258">
        <v>49315000000</v>
      </c>
      <c r="H85" s="265">
        <v>0.1</v>
      </c>
      <c r="I85" s="258">
        <v>4931500000</v>
      </c>
      <c r="J85" s="258">
        <v>54246500000</v>
      </c>
      <c r="K85" s="256" t="s">
        <v>1348</v>
      </c>
    </row>
    <row r="86" spans="1:11" x14ac:dyDescent="0.3">
      <c r="A86" s="256">
        <v>25</v>
      </c>
      <c r="B86" s="257" t="s">
        <v>1387</v>
      </c>
      <c r="C86" s="276">
        <v>44221</v>
      </c>
      <c r="D86" s="257" t="s">
        <v>1267</v>
      </c>
      <c r="E86" s="256" t="s">
        <v>1810</v>
      </c>
      <c r="F86" s="256" t="s">
        <v>1906</v>
      </c>
      <c r="G86" s="258">
        <v>73293000000</v>
      </c>
      <c r="H86" s="265">
        <v>0.1</v>
      </c>
      <c r="I86" s="258">
        <v>7329300000</v>
      </c>
      <c r="J86" s="258">
        <v>80622300000</v>
      </c>
      <c r="K86" s="256" t="s">
        <v>1346</v>
      </c>
    </row>
    <row r="87" spans="1:11" x14ac:dyDescent="0.3">
      <c r="A87" s="256">
        <v>26</v>
      </c>
      <c r="B87" s="257" t="s">
        <v>1388</v>
      </c>
      <c r="C87" s="276">
        <v>44255</v>
      </c>
      <c r="D87" s="257" t="s">
        <v>1297</v>
      </c>
      <c r="E87" s="256" t="s">
        <v>1820</v>
      </c>
      <c r="F87" s="256" t="s">
        <v>1908</v>
      </c>
      <c r="G87" s="258">
        <v>36729000000</v>
      </c>
      <c r="H87" s="265">
        <v>0.1</v>
      </c>
      <c r="I87" s="258">
        <v>3672900000</v>
      </c>
      <c r="J87" s="258">
        <v>40401900000</v>
      </c>
      <c r="K87" s="256" t="s">
        <v>1346</v>
      </c>
    </row>
    <row r="88" spans="1:11" x14ac:dyDescent="0.3">
      <c r="A88" s="256">
        <v>27</v>
      </c>
      <c r="B88" s="257" t="s">
        <v>1391</v>
      </c>
      <c r="C88" s="276">
        <v>44316</v>
      </c>
      <c r="D88" s="257" t="s">
        <v>1282</v>
      </c>
      <c r="E88" s="256" t="s">
        <v>1789</v>
      </c>
      <c r="F88" s="256" t="s">
        <v>1908</v>
      </c>
      <c r="G88" s="258">
        <v>79212000000</v>
      </c>
      <c r="H88" s="265">
        <v>0.1</v>
      </c>
      <c r="I88" s="258">
        <v>7921200000</v>
      </c>
      <c r="J88" s="258">
        <v>87133200000</v>
      </c>
      <c r="K88" s="256" t="s">
        <v>1348</v>
      </c>
    </row>
    <row r="89" spans="1:11" x14ac:dyDescent="0.3">
      <c r="A89" s="256">
        <v>28</v>
      </c>
      <c r="B89" s="257" t="s">
        <v>1392</v>
      </c>
      <c r="C89" s="276">
        <v>44377</v>
      </c>
      <c r="D89" s="257" t="s">
        <v>1302</v>
      </c>
      <c r="E89" s="256" t="s">
        <v>1784</v>
      </c>
      <c r="F89" s="256" t="s">
        <v>1906</v>
      </c>
      <c r="G89" s="258">
        <v>48471000000</v>
      </c>
      <c r="H89" s="265">
        <v>0</v>
      </c>
      <c r="I89" s="258">
        <v>0</v>
      </c>
      <c r="J89" s="258">
        <v>48471000000</v>
      </c>
      <c r="K89" s="256" t="s">
        <v>1346</v>
      </c>
    </row>
    <row r="90" spans="1:11" x14ac:dyDescent="0.3">
      <c r="A90" s="256">
        <v>29</v>
      </c>
      <c r="B90" s="257" t="s">
        <v>1394</v>
      </c>
      <c r="C90" s="276">
        <v>44469</v>
      </c>
      <c r="D90" s="257" t="s">
        <v>1289</v>
      </c>
      <c r="E90" s="256" t="s">
        <v>1803</v>
      </c>
      <c r="F90" s="256" t="s">
        <v>1906</v>
      </c>
      <c r="G90" s="258">
        <v>25720000000</v>
      </c>
      <c r="H90" s="265">
        <v>0.1</v>
      </c>
      <c r="I90" s="258">
        <v>2572000000</v>
      </c>
      <c r="J90" s="258">
        <v>28292000000</v>
      </c>
      <c r="K90" s="256" t="s">
        <v>1346</v>
      </c>
    </row>
    <row r="91" spans="1:11" x14ac:dyDescent="0.3">
      <c r="A91" s="256">
        <v>30</v>
      </c>
      <c r="B91" s="257" t="s">
        <v>1396</v>
      </c>
      <c r="C91" s="276">
        <v>44530</v>
      </c>
      <c r="D91" s="257" t="s">
        <v>1280</v>
      </c>
      <c r="E91" s="256" t="s">
        <v>1777</v>
      </c>
      <c r="F91" s="256" t="s">
        <v>1907</v>
      </c>
      <c r="G91" s="258">
        <v>78007000000</v>
      </c>
      <c r="H91" s="265">
        <v>0.1</v>
      </c>
      <c r="I91" s="258">
        <v>7800700000</v>
      </c>
      <c r="J91" s="258">
        <v>85807700000</v>
      </c>
      <c r="K91" s="256" t="s">
        <v>1346</v>
      </c>
    </row>
    <row r="92" spans="1:11" x14ac:dyDescent="0.3">
      <c r="A92" s="256">
        <v>31</v>
      </c>
      <c r="B92" s="257" t="s">
        <v>1397</v>
      </c>
      <c r="C92" s="276">
        <v>44286</v>
      </c>
      <c r="D92" s="257" t="s">
        <v>1299</v>
      </c>
      <c r="E92" s="256" t="s">
        <v>1776</v>
      </c>
      <c r="F92" s="256" t="s">
        <v>1906</v>
      </c>
      <c r="G92" s="258">
        <v>26069000000</v>
      </c>
      <c r="H92" s="265">
        <v>0.1</v>
      </c>
      <c r="I92" s="258">
        <v>2606900000</v>
      </c>
      <c r="J92" s="258">
        <v>28675900000</v>
      </c>
      <c r="K92" s="256" t="s">
        <v>1346</v>
      </c>
    </row>
    <row r="93" spans="1:11" x14ac:dyDescent="0.3">
      <c r="A93" s="256">
        <v>32</v>
      </c>
      <c r="B93" s="257" t="s">
        <v>1398</v>
      </c>
      <c r="C93" s="276">
        <v>44347</v>
      </c>
      <c r="D93" s="257" t="s">
        <v>1268</v>
      </c>
      <c r="E93" s="256" t="s">
        <v>1821</v>
      </c>
      <c r="F93" s="256" t="s">
        <v>1908</v>
      </c>
      <c r="G93" s="258">
        <v>64170000000</v>
      </c>
      <c r="H93" s="265">
        <v>0.1</v>
      </c>
      <c r="I93" s="258">
        <v>6417000000</v>
      </c>
      <c r="J93" s="258">
        <v>70587000000</v>
      </c>
      <c r="K93" s="256" t="s">
        <v>1348</v>
      </c>
    </row>
    <row r="94" spans="1:11" x14ac:dyDescent="0.3">
      <c r="A94" s="256">
        <v>33</v>
      </c>
      <c r="B94" s="257" t="s">
        <v>1399</v>
      </c>
      <c r="C94" s="276">
        <v>44408</v>
      </c>
      <c r="D94" s="257" t="s">
        <v>1276</v>
      </c>
      <c r="E94" s="256" t="s">
        <v>1822</v>
      </c>
      <c r="F94" s="256" t="s">
        <v>1908</v>
      </c>
      <c r="G94" s="258">
        <v>85305000000</v>
      </c>
      <c r="H94" s="265">
        <v>0</v>
      </c>
      <c r="I94" s="258">
        <v>0</v>
      </c>
      <c r="J94" s="258">
        <v>85305000000</v>
      </c>
      <c r="K94" s="256" t="s">
        <v>1346</v>
      </c>
    </row>
    <row r="95" spans="1:11" x14ac:dyDescent="0.3">
      <c r="A95" s="256">
        <v>34</v>
      </c>
      <c r="B95" s="257" t="s">
        <v>1401</v>
      </c>
      <c r="C95" s="276">
        <v>44439</v>
      </c>
      <c r="D95" s="257" t="s">
        <v>1263</v>
      </c>
      <c r="E95" s="256" t="s">
        <v>1790</v>
      </c>
      <c r="F95" s="256" t="s">
        <v>1909</v>
      </c>
      <c r="G95" s="258">
        <v>31674000000</v>
      </c>
      <c r="H95" s="265">
        <v>0.1</v>
      </c>
      <c r="I95" s="258">
        <v>3167400000</v>
      </c>
      <c r="J95" s="258">
        <v>34841400000</v>
      </c>
      <c r="K95" s="256" t="s">
        <v>1346</v>
      </c>
    </row>
    <row r="96" spans="1:11" x14ac:dyDescent="0.3">
      <c r="A96" s="256">
        <v>35</v>
      </c>
      <c r="B96" s="257" t="s">
        <v>1402</v>
      </c>
      <c r="C96" s="276">
        <v>44500</v>
      </c>
      <c r="D96" s="257" t="s">
        <v>1288</v>
      </c>
      <c r="E96" s="256" t="s">
        <v>1797</v>
      </c>
      <c r="F96" s="256" t="s">
        <v>1909</v>
      </c>
      <c r="G96" s="258">
        <v>39904000000</v>
      </c>
      <c r="H96" s="265">
        <v>0.1</v>
      </c>
      <c r="I96" s="258">
        <v>3990400000</v>
      </c>
      <c r="J96" s="258">
        <v>43894400000</v>
      </c>
      <c r="K96" s="256" t="s">
        <v>1346</v>
      </c>
    </row>
    <row r="97" spans="1:11" x14ac:dyDescent="0.3">
      <c r="A97" s="256">
        <v>36</v>
      </c>
      <c r="B97" s="257" t="s">
        <v>1403</v>
      </c>
      <c r="C97" s="276">
        <v>44561</v>
      </c>
      <c r="D97" s="257" t="s">
        <v>1268</v>
      </c>
      <c r="E97" s="256" t="s">
        <v>1821</v>
      </c>
      <c r="F97" s="256" t="s">
        <v>1906</v>
      </c>
      <c r="G97" s="258">
        <v>61651000000</v>
      </c>
      <c r="H97" s="265">
        <v>0.1</v>
      </c>
      <c r="I97" s="258">
        <v>6165100000</v>
      </c>
      <c r="J97" s="258">
        <v>67816100000</v>
      </c>
      <c r="K97" s="256" t="s">
        <v>1346</v>
      </c>
    </row>
    <row r="98" spans="1:11" x14ac:dyDescent="0.3">
      <c r="A98" s="256">
        <v>37</v>
      </c>
      <c r="B98" s="257" t="s">
        <v>1404</v>
      </c>
      <c r="C98" s="276">
        <v>44561</v>
      </c>
      <c r="D98" s="257" t="s">
        <v>1267</v>
      </c>
      <c r="E98" s="256" t="s">
        <v>1810</v>
      </c>
      <c r="F98" s="256" t="s">
        <v>1908</v>
      </c>
      <c r="G98" s="258">
        <v>26063000000</v>
      </c>
      <c r="H98" s="265">
        <v>0.1</v>
      </c>
      <c r="I98" s="258">
        <v>2606300000</v>
      </c>
      <c r="J98" s="258">
        <v>28669300000</v>
      </c>
      <c r="K98" s="256" t="s">
        <v>1346</v>
      </c>
    </row>
    <row r="99" spans="1:11" x14ac:dyDescent="0.3">
      <c r="A99" s="256">
        <v>38</v>
      </c>
      <c r="B99" s="257" t="s">
        <v>1405</v>
      </c>
      <c r="C99" s="276">
        <v>44561</v>
      </c>
      <c r="D99" s="257" t="s">
        <v>1287</v>
      </c>
      <c r="E99" s="256" t="s">
        <v>1801</v>
      </c>
      <c r="F99" s="256" t="s">
        <v>1908</v>
      </c>
      <c r="G99" s="258">
        <v>84658000000</v>
      </c>
      <c r="H99" s="265">
        <v>0</v>
      </c>
      <c r="I99" s="258">
        <v>0</v>
      </c>
      <c r="J99" s="258">
        <v>84658000000</v>
      </c>
      <c r="K99" s="256" t="s">
        <v>1346</v>
      </c>
    </row>
    <row r="100" spans="1:11" x14ac:dyDescent="0.3">
      <c r="A100" s="256">
        <v>39</v>
      </c>
      <c r="B100" s="257" t="s">
        <v>1406</v>
      </c>
      <c r="C100" s="276">
        <v>44561</v>
      </c>
      <c r="D100" s="257" t="s">
        <v>1281</v>
      </c>
      <c r="E100" s="256" t="s">
        <v>1806</v>
      </c>
      <c r="F100" s="256" t="s">
        <v>1907</v>
      </c>
      <c r="G100" s="258">
        <v>24190000000</v>
      </c>
      <c r="H100" s="265">
        <v>0</v>
      </c>
      <c r="I100" s="258">
        <v>0</v>
      </c>
      <c r="J100" s="258">
        <v>24190000000</v>
      </c>
      <c r="K100" s="256" t="s">
        <v>1348</v>
      </c>
    </row>
    <row r="101" spans="1:11" x14ac:dyDescent="0.3">
      <c r="A101" s="256">
        <v>40</v>
      </c>
      <c r="B101" s="257" t="s">
        <v>1408</v>
      </c>
      <c r="C101" s="276">
        <v>44561</v>
      </c>
      <c r="D101" s="257" t="s">
        <v>1278</v>
      </c>
      <c r="E101" s="256" t="s">
        <v>1785</v>
      </c>
      <c r="F101" s="256" t="s">
        <v>1906</v>
      </c>
      <c r="G101" s="258">
        <v>75719000000</v>
      </c>
      <c r="H101" s="265">
        <v>0.1</v>
      </c>
      <c r="I101" s="258">
        <v>7571900000</v>
      </c>
      <c r="J101" s="258">
        <v>83290900000</v>
      </c>
      <c r="K101" s="256" t="s">
        <v>1346</v>
      </c>
    </row>
    <row r="102" spans="1:11" x14ac:dyDescent="0.3">
      <c r="A102" s="256">
        <v>41</v>
      </c>
      <c r="B102" s="257" t="s">
        <v>1409</v>
      </c>
      <c r="C102" s="276">
        <v>44561</v>
      </c>
      <c r="D102" s="257" t="s">
        <v>1281</v>
      </c>
      <c r="E102" s="256" t="s">
        <v>1806</v>
      </c>
      <c r="F102" s="256" t="s">
        <v>1906</v>
      </c>
      <c r="G102" s="258">
        <v>68101000000</v>
      </c>
      <c r="H102" s="265">
        <v>0.1</v>
      </c>
      <c r="I102" s="258">
        <v>6810100000</v>
      </c>
      <c r="J102" s="258">
        <v>74911100000</v>
      </c>
      <c r="K102" s="256" t="s">
        <v>1346</v>
      </c>
    </row>
    <row r="103" spans="1:11" x14ac:dyDescent="0.3">
      <c r="A103" s="256">
        <v>42</v>
      </c>
      <c r="B103" s="257" t="s">
        <v>1411</v>
      </c>
      <c r="C103" s="276">
        <v>44561</v>
      </c>
      <c r="D103" s="257" t="s">
        <v>1271</v>
      </c>
      <c r="E103" s="256" t="s">
        <v>1799</v>
      </c>
      <c r="F103" s="256" t="s">
        <v>1906</v>
      </c>
      <c r="G103" s="258">
        <v>59167000000</v>
      </c>
      <c r="H103" s="265">
        <v>0.1</v>
      </c>
      <c r="I103" s="258">
        <v>5916700000</v>
      </c>
      <c r="J103" s="258">
        <v>65083700000</v>
      </c>
      <c r="K103" s="256" t="s">
        <v>1346</v>
      </c>
    </row>
    <row r="104" spans="1:11" x14ac:dyDescent="0.3">
      <c r="A104" s="256">
        <v>43</v>
      </c>
      <c r="B104" s="257" t="s">
        <v>1414</v>
      </c>
      <c r="C104" s="276">
        <v>44561</v>
      </c>
      <c r="D104" s="257" t="s">
        <v>1289</v>
      </c>
      <c r="E104" s="256" t="s">
        <v>1803</v>
      </c>
      <c r="F104" s="256" t="s">
        <v>1908</v>
      </c>
      <c r="G104" s="258">
        <v>70911000000</v>
      </c>
      <c r="H104" s="265">
        <v>0.1</v>
      </c>
      <c r="I104" s="258">
        <v>7091100000</v>
      </c>
      <c r="J104" s="258">
        <v>78002100000</v>
      </c>
      <c r="K104" s="256" t="s">
        <v>1346</v>
      </c>
    </row>
    <row r="105" spans="1:11" x14ac:dyDescent="0.3">
      <c r="A105" s="256">
        <v>44</v>
      </c>
      <c r="B105" s="257" t="s">
        <v>1415</v>
      </c>
      <c r="C105" s="276">
        <v>44561</v>
      </c>
      <c r="D105" s="257" t="s">
        <v>1269</v>
      </c>
      <c r="E105" s="256" t="s">
        <v>1823</v>
      </c>
      <c r="F105" s="256" t="s">
        <v>1906</v>
      </c>
      <c r="G105" s="258">
        <v>40393000000</v>
      </c>
      <c r="H105" s="265">
        <v>0.1</v>
      </c>
      <c r="I105" s="258">
        <v>4039300000</v>
      </c>
      <c r="J105" s="258">
        <v>44432300000</v>
      </c>
      <c r="K105" s="256" t="s">
        <v>1348</v>
      </c>
    </row>
    <row r="106" spans="1:11" x14ac:dyDescent="0.3">
      <c r="A106" s="256">
        <v>45</v>
      </c>
      <c r="B106" s="257" t="s">
        <v>1206</v>
      </c>
      <c r="C106" s="276">
        <v>44561</v>
      </c>
      <c r="D106" s="257" t="s">
        <v>1267</v>
      </c>
      <c r="E106" s="256" t="s">
        <v>1810</v>
      </c>
      <c r="F106" s="256" t="s">
        <v>1909</v>
      </c>
      <c r="G106" s="258">
        <v>27683000000</v>
      </c>
      <c r="H106" s="265">
        <v>0.1</v>
      </c>
      <c r="I106" s="258">
        <v>2768300000</v>
      </c>
      <c r="J106" s="258">
        <v>30451300000</v>
      </c>
      <c r="K106" s="256" t="s">
        <v>1346</v>
      </c>
    </row>
    <row r="107" spans="1:11" x14ac:dyDescent="0.3">
      <c r="A107" s="256">
        <v>46</v>
      </c>
      <c r="B107" s="257" t="s">
        <v>1207</v>
      </c>
      <c r="C107" s="276">
        <v>44561</v>
      </c>
      <c r="D107" s="257" t="s">
        <v>1291</v>
      </c>
      <c r="E107" s="256" t="s">
        <v>1800</v>
      </c>
      <c r="F107" s="256" t="s">
        <v>1906</v>
      </c>
      <c r="G107" s="258">
        <v>63029000000</v>
      </c>
      <c r="H107" s="265">
        <v>0.1</v>
      </c>
      <c r="I107" s="258">
        <v>6302900000</v>
      </c>
      <c r="J107" s="258">
        <v>69331900000</v>
      </c>
      <c r="K107" s="256" t="s">
        <v>1348</v>
      </c>
    </row>
    <row r="108" spans="1:11" x14ac:dyDescent="0.3">
      <c r="A108" s="256">
        <v>47</v>
      </c>
      <c r="B108" s="257" t="s">
        <v>1208</v>
      </c>
      <c r="C108" s="276">
        <v>44561</v>
      </c>
      <c r="D108" s="257" t="s">
        <v>1263</v>
      </c>
      <c r="E108" s="256" t="s">
        <v>1790</v>
      </c>
      <c r="F108" s="256" t="s">
        <v>1906</v>
      </c>
      <c r="G108" s="258">
        <v>23399000000</v>
      </c>
      <c r="H108" s="265">
        <v>0.1</v>
      </c>
      <c r="I108" s="258">
        <v>2339900000</v>
      </c>
      <c r="J108" s="258">
        <v>25738900000</v>
      </c>
      <c r="K108" s="256" t="s">
        <v>1346</v>
      </c>
    </row>
    <row r="109" spans="1:11" x14ac:dyDescent="0.3">
      <c r="A109" s="256">
        <v>48</v>
      </c>
      <c r="B109" s="257" t="s">
        <v>1209</v>
      </c>
      <c r="C109" s="276">
        <v>44561</v>
      </c>
      <c r="D109" s="257" t="s">
        <v>1270</v>
      </c>
      <c r="E109" s="256" t="s">
        <v>1782</v>
      </c>
      <c r="F109" s="256" t="s">
        <v>1906</v>
      </c>
      <c r="G109" s="258">
        <v>28554000000</v>
      </c>
      <c r="H109" s="265">
        <v>0.1</v>
      </c>
      <c r="I109" s="258">
        <v>2855400000</v>
      </c>
      <c r="J109" s="258">
        <v>31409400000</v>
      </c>
      <c r="K109" s="256" t="s">
        <v>1346</v>
      </c>
    </row>
    <row r="110" spans="1:11" x14ac:dyDescent="0.3">
      <c r="A110" s="256">
        <v>49</v>
      </c>
      <c r="B110" s="257" t="s">
        <v>1418</v>
      </c>
      <c r="C110" s="276">
        <v>44561</v>
      </c>
      <c r="D110" s="257" t="s">
        <v>1283</v>
      </c>
      <c r="E110" s="256" t="s">
        <v>1798</v>
      </c>
      <c r="F110" s="256" t="s">
        <v>1907</v>
      </c>
      <c r="G110" s="258">
        <v>32341000000</v>
      </c>
      <c r="H110" s="265">
        <v>0.1</v>
      </c>
      <c r="I110" s="258">
        <v>3234100000</v>
      </c>
      <c r="J110" s="258">
        <v>35575100000</v>
      </c>
      <c r="K110" s="256" t="s">
        <v>1346</v>
      </c>
    </row>
    <row r="111" spans="1:11" x14ac:dyDescent="0.3">
      <c r="A111" s="256">
        <v>50</v>
      </c>
      <c r="B111" s="257" t="s">
        <v>1419</v>
      </c>
      <c r="C111" s="276">
        <v>44561</v>
      </c>
      <c r="D111" s="257" t="s">
        <v>1266</v>
      </c>
      <c r="E111" s="256" t="s">
        <v>1824</v>
      </c>
      <c r="F111" s="256" t="s">
        <v>1909</v>
      </c>
      <c r="G111" s="258">
        <v>23380000000</v>
      </c>
      <c r="H111" s="265">
        <v>0.1</v>
      </c>
      <c r="I111" s="258">
        <v>2338000000</v>
      </c>
      <c r="J111" s="258">
        <v>25718000000</v>
      </c>
      <c r="K111" s="256" t="s">
        <v>1346</v>
      </c>
    </row>
    <row r="112" spans="1:11" x14ac:dyDescent="0.3">
      <c r="A112" s="266" t="s">
        <v>1351</v>
      </c>
      <c r="B112" s="266"/>
      <c r="C112" s="266"/>
      <c r="D112" s="266"/>
      <c r="E112" s="266"/>
      <c r="F112" s="266"/>
      <c r="G112" s="267">
        <f>SUM(G62:G111)</f>
        <v>2629242000000</v>
      </c>
      <c r="H112" s="266"/>
      <c r="I112" s="267">
        <f>SUM(I62:I111)</f>
        <v>227290100000</v>
      </c>
      <c r="J112" s="267">
        <f>SUM(J62:J111)</f>
        <v>2856532100000</v>
      </c>
      <c r="K112" s="266"/>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867</v>
      </c>
      <c r="C1" s="256"/>
      <c r="D1" s="256"/>
      <c r="E1" s="256"/>
      <c r="F1" s="256"/>
      <c r="G1" s="256"/>
      <c r="H1" s="256"/>
      <c r="I1" s="256"/>
      <c r="J1" s="256"/>
      <c r="K1" s="256"/>
    </row>
    <row r="2" spans="1:11" x14ac:dyDescent="0.3">
      <c r="A2" s="256" t="s">
        <v>1339</v>
      </c>
      <c r="B2" s="257">
        <v>106980045</v>
      </c>
      <c r="C2" s="256"/>
      <c r="D2" s="256"/>
      <c r="E2" s="256"/>
      <c r="F2" s="256"/>
      <c r="G2" s="256"/>
      <c r="H2" s="256"/>
      <c r="I2" s="256"/>
      <c r="J2" s="256"/>
      <c r="K2" s="256"/>
    </row>
    <row r="3" spans="1:11" x14ac:dyDescent="0.3">
      <c r="A3" s="256" t="s">
        <v>1343</v>
      </c>
      <c r="B3" s="258">
        <v>2947558928163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1461</v>
      </c>
      <c r="C8" s="276">
        <v>44317</v>
      </c>
      <c r="D8" s="257" t="s">
        <v>1283</v>
      </c>
      <c r="E8" s="256" t="s">
        <v>1798</v>
      </c>
      <c r="F8" s="256" t="s">
        <v>1910</v>
      </c>
      <c r="G8" s="258">
        <v>56993000000</v>
      </c>
      <c r="H8" s="265">
        <v>0</v>
      </c>
      <c r="I8" s="258">
        <v>0</v>
      </c>
      <c r="J8" s="258">
        <v>56993000000</v>
      </c>
      <c r="K8" s="256" t="s">
        <v>1346</v>
      </c>
    </row>
    <row r="9" spans="1:11" x14ac:dyDescent="0.3">
      <c r="A9" s="256">
        <v>2</v>
      </c>
      <c r="B9" s="257" t="s">
        <v>1470</v>
      </c>
      <c r="C9" s="276">
        <v>44318</v>
      </c>
      <c r="D9" s="257" t="s">
        <v>1272</v>
      </c>
      <c r="E9" s="256" t="s">
        <v>1805</v>
      </c>
      <c r="F9" s="256" t="s">
        <v>1911</v>
      </c>
      <c r="G9" s="258">
        <v>37236000000</v>
      </c>
      <c r="H9" s="265">
        <v>0.1</v>
      </c>
      <c r="I9" s="258">
        <v>3723600000</v>
      </c>
      <c r="J9" s="258">
        <v>40959600000</v>
      </c>
      <c r="K9" s="256" t="s">
        <v>1348</v>
      </c>
    </row>
    <row r="10" spans="1:11" x14ac:dyDescent="0.3">
      <c r="A10" s="256">
        <v>3</v>
      </c>
      <c r="B10" s="257" t="s">
        <v>1469</v>
      </c>
      <c r="C10" s="276">
        <v>44472</v>
      </c>
      <c r="D10" s="257" t="s">
        <v>1271</v>
      </c>
      <c r="E10" s="256" t="s">
        <v>1799</v>
      </c>
      <c r="F10" s="256" t="s">
        <v>1741</v>
      </c>
      <c r="G10" s="258">
        <v>39176000000</v>
      </c>
      <c r="H10" s="265">
        <v>0.1</v>
      </c>
      <c r="I10" s="258">
        <v>3917600000</v>
      </c>
      <c r="J10" s="258">
        <v>43093600000</v>
      </c>
      <c r="K10" s="256" t="s">
        <v>1346</v>
      </c>
    </row>
    <row r="11" spans="1:11" x14ac:dyDescent="0.3">
      <c r="A11" s="256">
        <v>4</v>
      </c>
      <c r="B11" s="257" t="s">
        <v>1458</v>
      </c>
      <c r="C11" s="276">
        <v>44473</v>
      </c>
      <c r="D11" s="257" t="s">
        <v>1285</v>
      </c>
      <c r="E11" s="256" t="s">
        <v>1793</v>
      </c>
      <c r="F11" s="256" t="s">
        <v>1912</v>
      </c>
      <c r="G11" s="258">
        <v>59856000000</v>
      </c>
      <c r="H11" s="265">
        <v>0</v>
      </c>
      <c r="I11" s="258">
        <v>0</v>
      </c>
      <c r="J11" s="258">
        <v>59856000000</v>
      </c>
      <c r="K11" s="256" t="s">
        <v>1346</v>
      </c>
    </row>
    <row r="12" spans="1:11" x14ac:dyDescent="0.3">
      <c r="A12" s="256">
        <v>5</v>
      </c>
      <c r="B12" s="257" t="s">
        <v>1387</v>
      </c>
      <c r="C12" s="276">
        <v>44474</v>
      </c>
      <c r="D12" s="257" t="s">
        <v>1294</v>
      </c>
      <c r="E12" s="256" t="s">
        <v>1795</v>
      </c>
      <c r="F12" s="256" t="s">
        <v>1741</v>
      </c>
      <c r="G12" s="258">
        <v>51381000000</v>
      </c>
      <c r="H12" s="265">
        <v>0.1</v>
      </c>
      <c r="I12" s="258">
        <v>5138100000</v>
      </c>
      <c r="J12" s="258">
        <v>56519100000</v>
      </c>
      <c r="K12" s="256" t="s">
        <v>1346</v>
      </c>
    </row>
    <row r="13" spans="1:11" x14ac:dyDescent="0.3">
      <c r="A13" s="256">
        <v>6</v>
      </c>
      <c r="B13" s="257" t="s">
        <v>1460</v>
      </c>
      <c r="C13" s="276">
        <v>44475</v>
      </c>
      <c r="D13" s="257" t="s">
        <v>1288</v>
      </c>
      <c r="E13" s="256" t="s">
        <v>1797</v>
      </c>
      <c r="F13" s="256" t="s">
        <v>1912</v>
      </c>
      <c r="G13" s="258">
        <v>30179000000</v>
      </c>
      <c r="H13" s="265">
        <v>0.1</v>
      </c>
      <c r="I13" s="258">
        <v>3017900000</v>
      </c>
      <c r="J13" s="258">
        <v>33196900000</v>
      </c>
      <c r="K13" s="256" t="s">
        <v>1346</v>
      </c>
    </row>
    <row r="14" spans="1:11" x14ac:dyDescent="0.3">
      <c r="A14" s="256">
        <v>7</v>
      </c>
      <c r="B14" s="257" t="s">
        <v>1485</v>
      </c>
      <c r="C14" s="276">
        <v>44476</v>
      </c>
      <c r="D14" s="257" t="s">
        <v>1284</v>
      </c>
      <c r="E14" s="256" t="s">
        <v>1786</v>
      </c>
      <c r="F14" s="256" t="s">
        <v>1913</v>
      </c>
      <c r="G14" s="258">
        <v>27990000000</v>
      </c>
      <c r="H14" s="265">
        <v>0.1</v>
      </c>
      <c r="I14" s="258">
        <v>2799000000</v>
      </c>
      <c r="J14" s="258">
        <v>30789000000</v>
      </c>
      <c r="K14" s="256" t="s">
        <v>1346</v>
      </c>
    </row>
    <row r="15" spans="1:11" x14ac:dyDescent="0.3">
      <c r="A15" s="256">
        <v>8</v>
      </c>
      <c r="B15" s="257" t="s">
        <v>1470</v>
      </c>
      <c r="C15" s="276">
        <v>44477</v>
      </c>
      <c r="D15" s="257" t="s">
        <v>1271</v>
      </c>
      <c r="E15" s="256" t="s">
        <v>1799</v>
      </c>
      <c r="F15" s="256" t="s">
        <v>1914</v>
      </c>
      <c r="G15" s="258">
        <v>43461000000</v>
      </c>
      <c r="H15" s="265">
        <v>0.1</v>
      </c>
      <c r="I15" s="258">
        <v>4346100000</v>
      </c>
      <c r="J15" s="258">
        <v>47807100000</v>
      </c>
      <c r="K15" s="256" t="s">
        <v>1346</v>
      </c>
    </row>
    <row r="16" spans="1:11" x14ac:dyDescent="0.3">
      <c r="A16" s="256">
        <v>9</v>
      </c>
      <c r="B16" s="257" t="s">
        <v>1468</v>
      </c>
      <c r="C16" s="276">
        <v>44478</v>
      </c>
      <c r="D16" s="257" t="s">
        <v>1304</v>
      </c>
      <c r="E16" s="256" t="s">
        <v>1831</v>
      </c>
      <c r="F16" s="256" t="s">
        <v>1741</v>
      </c>
      <c r="G16" s="258">
        <v>28615000000</v>
      </c>
      <c r="H16" s="265">
        <v>0.1</v>
      </c>
      <c r="I16" s="258">
        <v>2861500000</v>
      </c>
      <c r="J16" s="258">
        <v>31476500000</v>
      </c>
      <c r="K16" s="256" t="s">
        <v>1348</v>
      </c>
    </row>
    <row r="17" spans="1:11" x14ac:dyDescent="0.3">
      <c r="A17" s="256">
        <v>10</v>
      </c>
      <c r="B17" s="257" t="s">
        <v>1419</v>
      </c>
      <c r="C17" s="276">
        <v>44479</v>
      </c>
      <c r="D17" s="257" t="s">
        <v>1265</v>
      </c>
      <c r="E17" s="256" t="s">
        <v>1830</v>
      </c>
      <c r="F17" s="256" t="s">
        <v>1913</v>
      </c>
      <c r="G17" s="258">
        <v>26502000000</v>
      </c>
      <c r="H17" s="265">
        <v>0.1</v>
      </c>
      <c r="I17" s="258">
        <v>2650200000</v>
      </c>
      <c r="J17" s="258">
        <v>29152200000</v>
      </c>
      <c r="K17" s="256" t="s">
        <v>1346</v>
      </c>
    </row>
    <row r="18" spans="1:11" x14ac:dyDescent="0.3">
      <c r="A18" s="256">
        <v>11</v>
      </c>
      <c r="B18" s="257" t="s">
        <v>1415</v>
      </c>
      <c r="C18" s="276">
        <v>44480</v>
      </c>
      <c r="D18" s="257" t="s">
        <v>1299</v>
      </c>
      <c r="E18" s="256" t="s">
        <v>1776</v>
      </c>
      <c r="F18" s="256" t="s">
        <v>1912</v>
      </c>
      <c r="G18" s="258">
        <v>27267000000</v>
      </c>
      <c r="H18" s="265">
        <v>0.1</v>
      </c>
      <c r="I18" s="258">
        <v>2726700000</v>
      </c>
      <c r="J18" s="258">
        <v>29993700000</v>
      </c>
      <c r="K18" s="256" t="s">
        <v>1346</v>
      </c>
    </row>
    <row r="19" spans="1:11" x14ac:dyDescent="0.3">
      <c r="A19" s="256">
        <v>12</v>
      </c>
      <c r="B19" s="257" t="s">
        <v>1476</v>
      </c>
      <c r="C19" s="276">
        <v>44481</v>
      </c>
      <c r="D19" s="257" t="s">
        <v>1274</v>
      </c>
      <c r="E19" s="256" t="s">
        <v>1794</v>
      </c>
      <c r="F19" s="256" t="s">
        <v>1741</v>
      </c>
      <c r="G19" s="258">
        <v>42135000000</v>
      </c>
      <c r="H19" s="265">
        <v>0.1</v>
      </c>
      <c r="I19" s="258">
        <v>4213500000</v>
      </c>
      <c r="J19" s="258">
        <v>46348500000</v>
      </c>
      <c r="K19" s="256" t="s">
        <v>1348</v>
      </c>
    </row>
    <row r="20" spans="1:11" x14ac:dyDescent="0.3">
      <c r="A20" s="256">
        <v>13</v>
      </c>
      <c r="B20" s="257" t="s">
        <v>1457</v>
      </c>
      <c r="C20" s="276">
        <v>44211</v>
      </c>
      <c r="D20" s="257" t="s">
        <v>1266</v>
      </c>
      <c r="E20" s="256" t="s">
        <v>1824</v>
      </c>
      <c r="F20" s="256" t="s">
        <v>1910</v>
      </c>
      <c r="G20" s="258">
        <v>57121000000</v>
      </c>
      <c r="H20" s="265">
        <v>0.1</v>
      </c>
      <c r="I20" s="258">
        <v>5712100000</v>
      </c>
      <c r="J20" s="258">
        <v>62833100000</v>
      </c>
      <c r="K20" s="256" t="s">
        <v>1346</v>
      </c>
    </row>
    <row r="21" spans="1:11" x14ac:dyDescent="0.3">
      <c r="A21" s="256">
        <v>14</v>
      </c>
      <c r="B21" s="257" t="s">
        <v>1469</v>
      </c>
      <c r="C21" s="276">
        <v>44242</v>
      </c>
      <c r="D21" s="257" t="s">
        <v>1304</v>
      </c>
      <c r="E21" s="256" t="s">
        <v>1831</v>
      </c>
      <c r="F21" s="256" t="s">
        <v>1910</v>
      </c>
      <c r="G21" s="258">
        <v>45406000000</v>
      </c>
      <c r="H21" s="265">
        <v>0.1</v>
      </c>
      <c r="I21" s="258">
        <v>4540600000</v>
      </c>
      <c r="J21" s="258">
        <v>49946600000</v>
      </c>
      <c r="K21" s="256" t="s">
        <v>1346</v>
      </c>
    </row>
    <row r="22" spans="1:11" x14ac:dyDescent="0.3">
      <c r="A22" s="256">
        <v>15</v>
      </c>
      <c r="B22" s="257" t="s">
        <v>1476</v>
      </c>
      <c r="C22" s="276">
        <v>44275</v>
      </c>
      <c r="D22" s="257" t="s">
        <v>1281</v>
      </c>
      <c r="E22" s="256" t="s">
        <v>1806</v>
      </c>
      <c r="F22" s="256" t="s">
        <v>1910</v>
      </c>
      <c r="G22" s="258">
        <v>57616000000</v>
      </c>
      <c r="H22" s="265">
        <v>0.1</v>
      </c>
      <c r="I22" s="258">
        <v>5761600000</v>
      </c>
      <c r="J22" s="258">
        <v>63377600000</v>
      </c>
      <c r="K22" s="256" t="s">
        <v>1346</v>
      </c>
    </row>
    <row r="23" spans="1:11" x14ac:dyDescent="0.3">
      <c r="A23" s="256">
        <v>16</v>
      </c>
      <c r="B23" s="257" t="s">
        <v>1477</v>
      </c>
      <c r="C23" s="276">
        <v>44306</v>
      </c>
      <c r="D23" s="257" t="s">
        <v>1281</v>
      </c>
      <c r="E23" s="256" t="s">
        <v>1806</v>
      </c>
      <c r="F23" s="256" t="s">
        <v>1913</v>
      </c>
      <c r="G23" s="258">
        <v>26058000000</v>
      </c>
      <c r="H23" s="265">
        <v>0.1</v>
      </c>
      <c r="I23" s="258">
        <v>2605800000</v>
      </c>
      <c r="J23" s="258">
        <v>28663800000</v>
      </c>
      <c r="K23" s="256" t="s">
        <v>1346</v>
      </c>
    </row>
    <row r="24" spans="1:11" x14ac:dyDescent="0.3">
      <c r="A24" s="256">
        <v>17</v>
      </c>
      <c r="B24" s="257" t="s">
        <v>1467</v>
      </c>
      <c r="C24" s="276">
        <v>44336</v>
      </c>
      <c r="D24" s="257" t="s">
        <v>1273</v>
      </c>
      <c r="E24" s="256" t="s">
        <v>1829</v>
      </c>
      <c r="F24" s="256" t="s">
        <v>1914</v>
      </c>
      <c r="G24" s="258">
        <v>41903000000</v>
      </c>
      <c r="H24" s="265">
        <v>0.1</v>
      </c>
      <c r="I24" s="258">
        <v>4190300000</v>
      </c>
      <c r="J24" s="258">
        <v>46093300000</v>
      </c>
      <c r="K24" s="256" t="s">
        <v>1346</v>
      </c>
    </row>
    <row r="25" spans="1:11" x14ac:dyDescent="0.3">
      <c r="A25" s="256">
        <v>18</v>
      </c>
      <c r="B25" s="257" t="s">
        <v>1486</v>
      </c>
      <c r="C25" s="276">
        <v>44367</v>
      </c>
      <c r="D25" s="257" t="s">
        <v>1284</v>
      </c>
      <c r="E25" s="256" t="s">
        <v>1786</v>
      </c>
      <c r="F25" s="256" t="s">
        <v>1741</v>
      </c>
      <c r="G25" s="258">
        <v>23938000000</v>
      </c>
      <c r="H25" s="265">
        <v>0.1</v>
      </c>
      <c r="I25" s="258">
        <v>2393800000</v>
      </c>
      <c r="J25" s="258">
        <v>26331800000</v>
      </c>
      <c r="K25" s="256" t="s">
        <v>1346</v>
      </c>
    </row>
    <row r="26" spans="1:11" x14ac:dyDescent="0.3">
      <c r="A26" s="256">
        <v>19</v>
      </c>
      <c r="B26" s="257" t="s">
        <v>1487</v>
      </c>
      <c r="C26" s="276">
        <v>44397</v>
      </c>
      <c r="D26" s="257" t="s">
        <v>1284</v>
      </c>
      <c r="E26" s="256" t="s">
        <v>1786</v>
      </c>
      <c r="F26" s="256" t="s">
        <v>1912</v>
      </c>
      <c r="G26" s="258">
        <v>54431000000</v>
      </c>
      <c r="H26" s="265">
        <v>0.1</v>
      </c>
      <c r="I26" s="258">
        <v>5443100000</v>
      </c>
      <c r="J26" s="258">
        <v>59874100000</v>
      </c>
      <c r="K26" s="256" t="s">
        <v>1346</v>
      </c>
    </row>
    <row r="27" spans="1:11" x14ac:dyDescent="0.3">
      <c r="A27" s="256">
        <v>20</v>
      </c>
      <c r="B27" s="257" t="s">
        <v>1415</v>
      </c>
      <c r="C27" s="276">
        <v>44428</v>
      </c>
      <c r="D27" s="257" t="s">
        <v>1290</v>
      </c>
      <c r="E27" s="256" t="s">
        <v>1796</v>
      </c>
      <c r="F27" s="256" t="s">
        <v>1910</v>
      </c>
      <c r="G27" s="258">
        <v>47279000000</v>
      </c>
      <c r="H27" s="265">
        <v>0.1</v>
      </c>
      <c r="I27" s="258">
        <v>4727900000</v>
      </c>
      <c r="J27" s="258">
        <v>52006900000</v>
      </c>
      <c r="K27" s="256" t="s">
        <v>1346</v>
      </c>
    </row>
    <row r="28" spans="1:11" x14ac:dyDescent="0.3">
      <c r="A28" s="256">
        <v>21</v>
      </c>
      <c r="B28" s="257" t="s">
        <v>1403</v>
      </c>
      <c r="C28" s="276">
        <v>44459</v>
      </c>
      <c r="D28" s="257" t="s">
        <v>1300</v>
      </c>
      <c r="E28" s="256" t="s">
        <v>1818</v>
      </c>
      <c r="F28" s="256" t="s">
        <v>1911</v>
      </c>
      <c r="G28" s="258">
        <v>60628000000</v>
      </c>
      <c r="H28" s="265">
        <v>0.1</v>
      </c>
      <c r="I28" s="258">
        <v>6062800000</v>
      </c>
      <c r="J28" s="258">
        <v>66690800000</v>
      </c>
      <c r="K28" s="256" t="s">
        <v>1348</v>
      </c>
    </row>
    <row r="29" spans="1:11" x14ac:dyDescent="0.3">
      <c r="A29" s="256">
        <v>22</v>
      </c>
      <c r="B29" s="257" t="s">
        <v>1415</v>
      </c>
      <c r="C29" s="276">
        <v>44489</v>
      </c>
      <c r="D29" s="257" t="s">
        <v>1269</v>
      </c>
      <c r="E29" s="256" t="s">
        <v>1823</v>
      </c>
      <c r="F29" s="256" t="s">
        <v>1910</v>
      </c>
      <c r="G29" s="258">
        <v>59168000000</v>
      </c>
      <c r="H29" s="265">
        <v>0.1</v>
      </c>
      <c r="I29" s="258">
        <v>5916800000</v>
      </c>
      <c r="J29" s="258">
        <v>65084800000</v>
      </c>
      <c r="K29" s="256" t="s">
        <v>1346</v>
      </c>
    </row>
    <row r="30" spans="1:11" x14ac:dyDescent="0.3">
      <c r="A30" s="256">
        <v>23</v>
      </c>
      <c r="B30" s="257" t="s">
        <v>1456</v>
      </c>
      <c r="C30" s="276">
        <v>44520</v>
      </c>
      <c r="D30" s="257" t="s">
        <v>1265</v>
      </c>
      <c r="E30" s="256" t="s">
        <v>1830</v>
      </c>
      <c r="F30" s="256" t="s">
        <v>1911</v>
      </c>
      <c r="G30" s="258">
        <v>21220000000</v>
      </c>
      <c r="H30" s="265">
        <v>0.1</v>
      </c>
      <c r="I30" s="258">
        <v>2122000000</v>
      </c>
      <c r="J30" s="258">
        <v>23342000000</v>
      </c>
      <c r="K30" s="256" t="s">
        <v>1346</v>
      </c>
    </row>
    <row r="31" spans="1:11" x14ac:dyDescent="0.3">
      <c r="A31" s="256">
        <v>24</v>
      </c>
      <c r="B31" s="257" t="s">
        <v>1470</v>
      </c>
      <c r="C31" s="276">
        <v>44550</v>
      </c>
      <c r="D31" s="257" t="s">
        <v>1304</v>
      </c>
      <c r="E31" s="256" t="s">
        <v>1831</v>
      </c>
      <c r="F31" s="256" t="s">
        <v>1912</v>
      </c>
      <c r="G31" s="258">
        <v>57561000000</v>
      </c>
      <c r="H31" s="265">
        <v>0.1</v>
      </c>
      <c r="I31" s="258">
        <v>5756100000</v>
      </c>
      <c r="J31" s="258">
        <v>63317100000</v>
      </c>
      <c r="K31" s="256" t="s">
        <v>1346</v>
      </c>
    </row>
    <row r="32" spans="1:11" x14ac:dyDescent="0.3">
      <c r="A32" s="256">
        <v>25</v>
      </c>
      <c r="B32" s="257" t="s">
        <v>1415</v>
      </c>
      <c r="C32" s="276">
        <v>44221</v>
      </c>
      <c r="D32" s="257" t="s">
        <v>1293</v>
      </c>
      <c r="E32" s="256" t="s">
        <v>1826</v>
      </c>
      <c r="F32" s="256" t="s">
        <v>1912</v>
      </c>
      <c r="G32" s="258">
        <v>57296000000</v>
      </c>
      <c r="H32" s="265">
        <v>0.1</v>
      </c>
      <c r="I32" s="258">
        <v>5729600000</v>
      </c>
      <c r="J32" s="258">
        <v>63025600000</v>
      </c>
      <c r="K32" s="256" t="s">
        <v>1346</v>
      </c>
    </row>
    <row r="33" spans="1:11" x14ac:dyDescent="0.3">
      <c r="A33" s="256">
        <v>26</v>
      </c>
      <c r="B33" s="257" t="s">
        <v>1460</v>
      </c>
      <c r="C33" s="276">
        <v>44255</v>
      </c>
      <c r="D33" s="257" t="s">
        <v>1262</v>
      </c>
      <c r="E33" s="256" t="s">
        <v>1816</v>
      </c>
      <c r="F33" s="256" t="s">
        <v>1741</v>
      </c>
      <c r="G33" s="258">
        <v>62403000000</v>
      </c>
      <c r="H33" s="265">
        <v>0.1</v>
      </c>
      <c r="I33" s="258">
        <v>6240300000</v>
      </c>
      <c r="J33" s="258">
        <v>68643300000</v>
      </c>
      <c r="K33" s="256" t="s">
        <v>1346</v>
      </c>
    </row>
    <row r="34" spans="1:11" x14ac:dyDescent="0.3">
      <c r="A34" s="256">
        <v>27</v>
      </c>
      <c r="B34" s="257" t="s">
        <v>1397</v>
      </c>
      <c r="C34" s="276">
        <v>44316</v>
      </c>
      <c r="D34" s="257" t="s">
        <v>1286</v>
      </c>
      <c r="E34" s="256" t="s">
        <v>1828</v>
      </c>
      <c r="F34" s="256" t="s">
        <v>1910</v>
      </c>
      <c r="G34" s="258">
        <v>18142000000</v>
      </c>
      <c r="H34" s="265">
        <v>0.1</v>
      </c>
      <c r="I34" s="258">
        <v>1814200000</v>
      </c>
      <c r="J34" s="258">
        <v>19956200000</v>
      </c>
      <c r="K34" s="256" t="s">
        <v>1348</v>
      </c>
    </row>
    <row r="35" spans="1:11" x14ac:dyDescent="0.3">
      <c r="A35" s="256">
        <v>28</v>
      </c>
      <c r="B35" s="257" t="s">
        <v>1471</v>
      </c>
      <c r="C35" s="276">
        <v>44377</v>
      </c>
      <c r="D35" s="257" t="s">
        <v>1304</v>
      </c>
      <c r="E35" s="256" t="s">
        <v>1831</v>
      </c>
      <c r="F35" s="256" t="s">
        <v>1913</v>
      </c>
      <c r="G35" s="258">
        <v>57258000000</v>
      </c>
      <c r="H35" s="265">
        <v>0.1</v>
      </c>
      <c r="I35" s="258">
        <v>5725800000</v>
      </c>
      <c r="J35" s="258">
        <v>62983800000</v>
      </c>
      <c r="K35" s="256" t="s">
        <v>1346</v>
      </c>
    </row>
    <row r="36" spans="1:11" x14ac:dyDescent="0.3">
      <c r="A36" s="256">
        <v>29</v>
      </c>
      <c r="B36" s="257" t="s">
        <v>1456</v>
      </c>
      <c r="C36" s="276">
        <v>44469</v>
      </c>
      <c r="D36" s="257" t="s">
        <v>1289</v>
      </c>
      <c r="E36" s="256" t="s">
        <v>1803</v>
      </c>
      <c r="F36" s="256" t="s">
        <v>1910</v>
      </c>
      <c r="G36" s="258">
        <v>31465000000</v>
      </c>
      <c r="H36" s="265">
        <v>0.1</v>
      </c>
      <c r="I36" s="258">
        <v>3146500000</v>
      </c>
      <c r="J36" s="258">
        <v>34611500000</v>
      </c>
      <c r="K36" s="256" t="s">
        <v>1346</v>
      </c>
    </row>
    <row r="37" spans="1:11" x14ac:dyDescent="0.3">
      <c r="A37" s="256">
        <v>30</v>
      </c>
      <c r="B37" s="257" t="s">
        <v>1457</v>
      </c>
      <c r="C37" s="276">
        <v>44530</v>
      </c>
      <c r="D37" s="257" t="s">
        <v>1289</v>
      </c>
      <c r="E37" s="256" t="s">
        <v>1803</v>
      </c>
      <c r="F37" s="256" t="s">
        <v>1911</v>
      </c>
      <c r="G37" s="258">
        <v>63465000000</v>
      </c>
      <c r="H37" s="265">
        <v>0.1</v>
      </c>
      <c r="I37" s="258">
        <v>6346500000</v>
      </c>
      <c r="J37" s="258">
        <v>69811500000</v>
      </c>
      <c r="K37" s="256" t="s">
        <v>1346</v>
      </c>
    </row>
    <row r="38" spans="1:11" x14ac:dyDescent="0.3">
      <c r="A38" s="256">
        <v>31</v>
      </c>
      <c r="B38" s="257" t="s">
        <v>1206</v>
      </c>
      <c r="C38" s="276">
        <v>44286</v>
      </c>
      <c r="D38" s="257" t="s">
        <v>1293</v>
      </c>
      <c r="E38" s="256" t="s">
        <v>1826</v>
      </c>
      <c r="F38" s="256" t="s">
        <v>1912</v>
      </c>
      <c r="G38" s="258">
        <v>43714000000</v>
      </c>
      <c r="H38" s="265">
        <v>0</v>
      </c>
      <c r="I38" s="258">
        <v>0</v>
      </c>
      <c r="J38" s="258">
        <v>43714000000</v>
      </c>
      <c r="K38" s="256" t="s">
        <v>1348</v>
      </c>
    </row>
    <row r="39" spans="1:11" x14ac:dyDescent="0.3">
      <c r="A39" s="256">
        <v>32</v>
      </c>
      <c r="B39" s="257" t="s">
        <v>1396</v>
      </c>
      <c r="C39" s="276">
        <v>44347</v>
      </c>
      <c r="D39" s="257" t="s">
        <v>1296</v>
      </c>
      <c r="E39" s="256" t="s">
        <v>1807</v>
      </c>
      <c r="F39" s="256" t="s">
        <v>1914</v>
      </c>
      <c r="G39" s="258">
        <v>30097000000</v>
      </c>
      <c r="H39" s="265">
        <v>0.1</v>
      </c>
      <c r="I39" s="258">
        <v>3009700000</v>
      </c>
      <c r="J39" s="258">
        <v>33106700000</v>
      </c>
      <c r="K39" s="256" t="s">
        <v>1346</v>
      </c>
    </row>
    <row r="40" spans="1:11" x14ac:dyDescent="0.3">
      <c r="A40" s="256">
        <v>33</v>
      </c>
      <c r="B40" s="257" t="s">
        <v>1471</v>
      </c>
      <c r="C40" s="276">
        <v>44408</v>
      </c>
      <c r="D40" s="257" t="s">
        <v>1272</v>
      </c>
      <c r="E40" s="256" t="s">
        <v>1805</v>
      </c>
      <c r="F40" s="256" t="s">
        <v>1910</v>
      </c>
      <c r="G40" s="258">
        <v>44400000000</v>
      </c>
      <c r="H40" s="265">
        <v>0.1</v>
      </c>
      <c r="I40" s="258">
        <v>4440000000</v>
      </c>
      <c r="J40" s="258">
        <v>48840000000</v>
      </c>
      <c r="K40" s="256" t="s">
        <v>1346</v>
      </c>
    </row>
    <row r="41" spans="1:11" x14ac:dyDescent="0.3">
      <c r="A41" s="256">
        <v>34</v>
      </c>
      <c r="B41" s="257" t="s">
        <v>1404</v>
      </c>
      <c r="C41" s="276">
        <v>44439</v>
      </c>
      <c r="D41" s="257" t="s">
        <v>1300</v>
      </c>
      <c r="E41" s="256" t="s">
        <v>1818</v>
      </c>
      <c r="F41" s="256" t="s">
        <v>1911</v>
      </c>
      <c r="G41" s="258">
        <v>62546000000</v>
      </c>
      <c r="H41" s="265">
        <v>0.1</v>
      </c>
      <c r="I41" s="258">
        <v>6254600000</v>
      </c>
      <c r="J41" s="258">
        <v>68800600000</v>
      </c>
      <c r="K41" s="256" t="s">
        <v>1346</v>
      </c>
    </row>
    <row r="42" spans="1:11" x14ac:dyDescent="0.3">
      <c r="A42" s="256">
        <v>35</v>
      </c>
      <c r="B42" s="257" t="s">
        <v>1479</v>
      </c>
      <c r="C42" s="276">
        <v>44500</v>
      </c>
      <c r="D42" s="257" t="s">
        <v>1259</v>
      </c>
      <c r="E42" s="256" t="s">
        <v>1788</v>
      </c>
      <c r="F42" s="256" t="s">
        <v>1912</v>
      </c>
      <c r="G42" s="258">
        <v>60839000000</v>
      </c>
      <c r="H42" s="265">
        <v>0.1</v>
      </c>
      <c r="I42" s="258">
        <v>6083900000</v>
      </c>
      <c r="J42" s="258">
        <v>66922900000</v>
      </c>
      <c r="K42" s="256" t="s">
        <v>1346</v>
      </c>
    </row>
    <row r="43" spans="1:11" x14ac:dyDescent="0.3">
      <c r="A43" s="256">
        <v>36</v>
      </c>
      <c r="B43" s="257" t="s">
        <v>1404</v>
      </c>
      <c r="C43" s="276">
        <v>44561</v>
      </c>
      <c r="D43" s="257" t="s">
        <v>1287</v>
      </c>
      <c r="E43" s="256" t="s">
        <v>1801</v>
      </c>
      <c r="F43" s="256" t="s">
        <v>1911</v>
      </c>
      <c r="G43" s="258">
        <v>68774000000</v>
      </c>
      <c r="H43" s="265">
        <v>0.1</v>
      </c>
      <c r="I43" s="258">
        <v>6877400000</v>
      </c>
      <c r="J43" s="258">
        <v>75651400000</v>
      </c>
      <c r="K43" s="256" t="s">
        <v>1346</v>
      </c>
    </row>
    <row r="44" spans="1:11" x14ac:dyDescent="0.3">
      <c r="A44" s="256">
        <v>37</v>
      </c>
      <c r="B44" s="257" t="s">
        <v>1464</v>
      </c>
      <c r="C44" s="276">
        <v>44561</v>
      </c>
      <c r="D44" s="257" t="s">
        <v>1268</v>
      </c>
      <c r="E44" s="256" t="s">
        <v>1821</v>
      </c>
      <c r="F44" s="256" t="s">
        <v>1741</v>
      </c>
      <c r="G44" s="258">
        <v>54585000000</v>
      </c>
      <c r="H44" s="265">
        <v>0.1</v>
      </c>
      <c r="I44" s="258">
        <v>5458500000</v>
      </c>
      <c r="J44" s="258">
        <v>60043500000</v>
      </c>
      <c r="K44" s="256" t="s">
        <v>1346</v>
      </c>
    </row>
    <row r="45" spans="1:11" x14ac:dyDescent="0.3">
      <c r="A45" s="256">
        <v>38</v>
      </c>
      <c r="B45" s="257" t="s">
        <v>1472</v>
      </c>
      <c r="C45" s="276">
        <v>44561</v>
      </c>
      <c r="D45" s="257" t="s">
        <v>1270</v>
      </c>
      <c r="E45" s="256" t="s">
        <v>1782</v>
      </c>
      <c r="F45" s="256" t="s">
        <v>1914</v>
      </c>
      <c r="G45" s="258">
        <v>45350000000</v>
      </c>
      <c r="H45" s="265">
        <v>0.1</v>
      </c>
      <c r="I45" s="258">
        <v>4535000000</v>
      </c>
      <c r="J45" s="258">
        <v>49885000000</v>
      </c>
      <c r="K45" s="256" t="s">
        <v>1346</v>
      </c>
    </row>
    <row r="46" spans="1:11" x14ac:dyDescent="0.3">
      <c r="A46" s="256">
        <v>39</v>
      </c>
      <c r="B46" s="257" t="s">
        <v>1206</v>
      </c>
      <c r="C46" s="276">
        <v>44561</v>
      </c>
      <c r="D46" s="257" t="s">
        <v>1290</v>
      </c>
      <c r="E46" s="256" t="s">
        <v>1796</v>
      </c>
      <c r="F46" s="256" t="s">
        <v>1741</v>
      </c>
      <c r="G46" s="258">
        <v>51063000000</v>
      </c>
      <c r="H46" s="265">
        <v>0.1</v>
      </c>
      <c r="I46" s="258">
        <v>5106300000</v>
      </c>
      <c r="J46" s="258">
        <v>56169300000</v>
      </c>
      <c r="K46" s="256" t="s">
        <v>1346</v>
      </c>
    </row>
    <row r="47" spans="1:11" x14ac:dyDescent="0.3">
      <c r="A47" s="256">
        <v>40</v>
      </c>
      <c r="B47" s="257" t="s">
        <v>1461</v>
      </c>
      <c r="C47" s="276">
        <v>44561</v>
      </c>
      <c r="D47" s="257" t="s">
        <v>1288</v>
      </c>
      <c r="E47" s="256" t="s">
        <v>1797</v>
      </c>
      <c r="F47" s="256" t="s">
        <v>1912</v>
      </c>
      <c r="G47" s="258">
        <v>37038000000</v>
      </c>
      <c r="H47" s="265">
        <v>0.1</v>
      </c>
      <c r="I47" s="258">
        <v>3703800000</v>
      </c>
      <c r="J47" s="258">
        <v>40741800000</v>
      </c>
      <c r="K47" s="256" t="s">
        <v>1346</v>
      </c>
    </row>
    <row r="48" spans="1:11" x14ac:dyDescent="0.3">
      <c r="A48" s="256">
        <v>41</v>
      </c>
      <c r="B48" s="257" t="s">
        <v>1419</v>
      </c>
      <c r="C48" s="276">
        <v>44561</v>
      </c>
      <c r="D48" s="257" t="s">
        <v>1282</v>
      </c>
      <c r="E48" s="256" t="s">
        <v>1789</v>
      </c>
      <c r="F48" s="256" t="s">
        <v>1912</v>
      </c>
      <c r="G48" s="258">
        <v>67376000000</v>
      </c>
      <c r="H48" s="265">
        <v>0.1</v>
      </c>
      <c r="I48" s="258">
        <v>6737600000</v>
      </c>
      <c r="J48" s="258">
        <v>74113600000</v>
      </c>
      <c r="K48" s="256" t="s">
        <v>1346</v>
      </c>
    </row>
    <row r="49" spans="1:11" x14ac:dyDescent="0.3">
      <c r="A49" s="256">
        <v>42</v>
      </c>
      <c r="B49" s="257" t="s">
        <v>1457</v>
      </c>
      <c r="C49" s="276">
        <v>44561</v>
      </c>
      <c r="D49" s="257" t="s">
        <v>1265</v>
      </c>
      <c r="E49" s="256" t="s">
        <v>1830</v>
      </c>
      <c r="F49" s="256" t="s">
        <v>1911</v>
      </c>
      <c r="G49" s="258">
        <v>17453000000</v>
      </c>
      <c r="H49" s="265">
        <v>0.1</v>
      </c>
      <c r="I49" s="258">
        <v>1745300000</v>
      </c>
      <c r="J49" s="258">
        <v>19198300000</v>
      </c>
      <c r="K49" s="256" t="s">
        <v>1346</v>
      </c>
    </row>
    <row r="50" spans="1:11" x14ac:dyDescent="0.3">
      <c r="A50" s="256">
        <v>43</v>
      </c>
      <c r="B50" s="257" t="s">
        <v>1480</v>
      </c>
      <c r="C50" s="276">
        <v>44561</v>
      </c>
      <c r="D50" s="257" t="s">
        <v>1259</v>
      </c>
      <c r="E50" s="256" t="s">
        <v>1788</v>
      </c>
      <c r="F50" s="256" t="s">
        <v>1910</v>
      </c>
      <c r="G50" s="258">
        <v>49379000000</v>
      </c>
      <c r="H50" s="265">
        <v>0.1</v>
      </c>
      <c r="I50" s="258">
        <v>4937900000</v>
      </c>
      <c r="J50" s="258">
        <v>54316900000</v>
      </c>
      <c r="K50" s="256" t="s">
        <v>1346</v>
      </c>
    </row>
    <row r="51" spans="1:11" x14ac:dyDescent="0.3">
      <c r="A51" s="256">
        <v>44</v>
      </c>
      <c r="B51" s="257" t="s">
        <v>1397</v>
      </c>
      <c r="C51" s="276">
        <v>44561</v>
      </c>
      <c r="D51" s="257" t="s">
        <v>1258</v>
      </c>
      <c r="E51" s="256" t="s">
        <v>1833</v>
      </c>
      <c r="F51" s="256" t="s">
        <v>1912</v>
      </c>
      <c r="G51" s="258">
        <v>58232000000</v>
      </c>
      <c r="H51" s="265">
        <v>0.1</v>
      </c>
      <c r="I51" s="258">
        <v>5823200000</v>
      </c>
      <c r="J51" s="258">
        <v>64055200000</v>
      </c>
      <c r="K51" s="256" t="s">
        <v>1346</v>
      </c>
    </row>
    <row r="52" spans="1:11" x14ac:dyDescent="0.3">
      <c r="A52" s="256">
        <v>45</v>
      </c>
      <c r="B52" s="257" t="s">
        <v>1468</v>
      </c>
      <c r="C52" s="276">
        <v>44561</v>
      </c>
      <c r="D52" s="257" t="s">
        <v>1279</v>
      </c>
      <c r="E52" s="256" t="s">
        <v>1827</v>
      </c>
      <c r="F52" s="256" t="s">
        <v>1912</v>
      </c>
      <c r="G52" s="258">
        <v>26284000000</v>
      </c>
      <c r="H52" s="265">
        <v>0</v>
      </c>
      <c r="I52" s="258">
        <v>0</v>
      </c>
      <c r="J52" s="258">
        <v>26284000000</v>
      </c>
      <c r="K52" s="256" t="s">
        <v>1346</v>
      </c>
    </row>
    <row r="53" spans="1:11" x14ac:dyDescent="0.3">
      <c r="A53" s="256">
        <v>46</v>
      </c>
      <c r="B53" s="257" t="s">
        <v>1481</v>
      </c>
      <c r="C53" s="276">
        <v>44561</v>
      </c>
      <c r="D53" s="257" t="s">
        <v>1259</v>
      </c>
      <c r="E53" s="256" t="s">
        <v>1788</v>
      </c>
      <c r="F53" s="256" t="s">
        <v>1912</v>
      </c>
      <c r="G53" s="258">
        <v>48109000000</v>
      </c>
      <c r="H53" s="265">
        <v>0.1</v>
      </c>
      <c r="I53" s="258">
        <v>4810900000</v>
      </c>
      <c r="J53" s="258">
        <v>52919900000</v>
      </c>
      <c r="K53" s="256" t="s">
        <v>1346</v>
      </c>
    </row>
    <row r="54" spans="1:11" x14ac:dyDescent="0.3">
      <c r="A54" s="256">
        <v>47</v>
      </c>
      <c r="B54" s="257" t="s">
        <v>1468</v>
      </c>
      <c r="C54" s="276">
        <v>44561</v>
      </c>
      <c r="D54" s="257" t="s">
        <v>1273</v>
      </c>
      <c r="E54" s="256" t="s">
        <v>1829</v>
      </c>
      <c r="F54" s="256" t="s">
        <v>1914</v>
      </c>
      <c r="G54" s="258">
        <v>43955000000</v>
      </c>
      <c r="H54" s="265">
        <v>0.1</v>
      </c>
      <c r="I54" s="258">
        <v>4395500000</v>
      </c>
      <c r="J54" s="258">
        <v>48350500000</v>
      </c>
      <c r="K54" s="256" t="s">
        <v>1346</v>
      </c>
    </row>
    <row r="55" spans="1:11" x14ac:dyDescent="0.3">
      <c r="A55" s="256">
        <v>48</v>
      </c>
      <c r="B55" s="257" t="s">
        <v>1406</v>
      </c>
      <c r="C55" s="276">
        <v>44561</v>
      </c>
      <c r="D55" s="257" t="s">
        <v>1301</v>
      </c>
      <c r="E55" s="256" t="s">
        <v>1781</v>
      </c>
      <c r="F55" s="256" t="s">
        <v>1912</v>
      </c>
      <c r="G55" s="258">
        <v>33608000000</v>
      </c>
      <c r="H55" s="265">
        <v>0.1</v>
      </c>
      <c r="I55" s="258">
        <v>3360800000</v>
      </c>
      <c r="J55" s="258">
        <v>36968800000</v>
      </c>
      <c r="K55" s="256" t="s">
        <v>1346</v>
      </c>
    </row>
    <row r="56" spans="1:11" x14ac:dyDescent="0.3">
      <c r="A56" s="256">
        <v>49</v>
      </c>
      <c r="B56" s="257" t="s">
        <v>1206</v>
      </c>
      <c r="C56" s="276">
        <v>44561</v>
      </c>
      <c r="D56" s="257" t="s">
        <v>1299</v>
      </c>
      <c r="E56" s="256" t="s">
        <v>1776</v>
      </c>
      <c r="F56" s="256" t="s">
        <v>1911</v>
      </c>
      <c r="G56" s="258">
        <v>32440000000</v>
      </c>
      <c r="H56" s="265">
        <v>0.1</v>
      </c>
      <c r="I56" s="258">
        <v>3244000000</v>
      </c>
      <c r="J56" s="258">
        <v>35684000000</v>
      </c>
      <c r="K56" s="256" t="s">
        <v>1346</v>
      </c>
    </row>
    <row r="57" spans="1:11" x14ac:dyDescent="0.3">
      <c r="A57" s="256">
        <v>50</v>
      </c>
      <c r="B57" s="257" t="s">
        <v>1405</v>
      </c>
      <c r="C57" s="276">
        <v>44561</v>
      </c>
      <c r="D57" s="257" t="s">
        <v>1287</v>
      </c>
      <c r="E57" s="256" t="s">
        <v>1801</v>
      </c>
      <c r="F57" s="256" t="s">
        <v>1741</v>
      </c>
      <c r="G57" s="258">
        <v>50041000000</v>
      </c>
      <c r="H57" s="265">
        <v>0.1</v>
      </c>
      <c r="I57" s="258">
        <v>5004100000</v>
      </c>
      <c r="J57" s="258">
        <v>55045100000</v>
      </c>
      <c r="K57" s="256" t="s">
        <v>1346</v>
      </c>
    </row>
    <row r="58" spans="1:11" x14ac:dyDescent="0.3">
      <c r="A58" s="266" t="s">
        <v>1351</v>
      </c>
      <c r="B58" s="266"/>
      <c r="C58" s="266"/>
      <c r="D58" s="266"/>
      <c r="E58" s="266"/>
      <c r="F58" s="266"/>
      <c r="G58" s="267">
        <f>SUM(G8:G57)</f>
        <v>2238432000000</v>
      </c>
      <c r="H58" s="266"/>
      <c r="I58" s="267">
        <f>SUM(I8:I57)</f>
        <v>205158500000</v>
      </c>
      <c r="J58" s="267">
        <f>SUM(J8:J57)</f>
        <v>2443590500000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1269</v>
      </c>
      <c r="E62" s="256" t="s">
        <v>1823</v>
      </c>
      <c r="F62" s="256" t="s">
        <v>1915</v>
      </c>
      <c r="G62" s="258">
        <v>60122000000</v>
      </c>
      <c r="H62" s="265">
        <v>0.1</v>
      </c>
      <c r="I62" s="258">
        <v>6012200000</v>
      </c>
      <c r="J62" s="258">
        <v>66134200000</v>
      </c>
      <c r="K62" s="256" t="s">
        <v>1346</v>
      </c>
    </row>
    <row r="63" spans="1:11" x14ac:dyDescent="0.3">
      <c r="A63" s="256">
        <v>2</v>
      </c>
      <c r="B63" s="257" t="s">
        <v>1201</v>
      </c>
      <c r="C63" s="276">
        <v>44318</v>
      </c>
      <c r="D63" s="257" t="s">
        <v>1294</v>
      </c>
      <c r="E63" s="256" t="s">
        <v>1795</v>
      </c>
      <c r="F63" s="256" t="s">
        <v>1916</v>
      </c>
      <c r="G63" s="258">
        <v>87660000000</v>
      </c>
      <c r="H63" s="265">
        <v>0</v>
      </c>
      <c r="I63" s="258">
        <v>0</v>
      </c>
      <c r="J63" s="258">
        <v>87660000000</v>
      </c>
      <c r="K63" s="256" t="s">
        <v>1346</v>
      </c>
    </row>
    <row r="64" spans="1:11" x14ac:dyDescent="0.3">
      <c r="A64" s="256">
        <v>3</v>
      </c>
      <c r="B64" s="257" t="s">
        <v>1202</v>
      </c>
      <c r="C64" s="276">
        <v>44472</v>
      </c>
      <c r="D64" s="257" t="s">
        <v>1268</v>
      </c>
      <c r="E64" s="256" t="s">
        <v>1821</v>
      </c>
      <c r="F64" s="256" t="s">
        <v>1916</v>
      </c>
      <c r="G64" s="258">
        <v>28709000000</v>
      </c>
      <c r="H64" s="265">
        <v>0.1</v>
      </c>
      <c r="I64" s="258">
        <v>2870900000</v>
      </c>
      <c r="J64" s="258">
        <v>31579900000</v>
      </c>
      <c r="K64" s="256" t="s">
        <v>1348</v>
      </c>
    </row>
    <row r="65" spans="1:11" x14ac:dyDescent="0.3">
      <c r="A65" s="256">
        <v>4</v>
      </c>
      <c r="B65" s="257" t="s">
        <v>1355</v>
      </c>
      <c r="C65" s="276">
        <v>44473</v>
      </c>
      <c r="D65" s="257" t="s">
        <v>1268</v>
      </c>
      <c r="E65" s="256" t="s">
        <v>1821</v>
      </c>
      <c r="F65" s="256" t="s">
        <v>1916</v>
      </c>
      <c r="G65" s="258">
        <v>25553000000</v>
      </c>
      <c r="H65" s="265">
        <v>0.1</v>
      </c>
      <c r="I65" s="258">
        <v>2555300000</v>
      </c>
      <c r="J65" s="258">
        <v>28108300000</v>
      </c>
      <c r="K65" s="256" t="s">
        <v>1346</v>
      </c>
    </row>
    <row r="66" spans="1:11" x14ac:dyDescent="0.3">
      <c r="A66" s="256">
        <v>5</v>
      </c>
      <c r="B66" s="257" t="s">
        <v>1356</v>
      </c>
      <c r="C66" s="276">
        <v>44474</v>
      </c>
      <c r="D66" s="257" t="s">
        <v>1258</v>
      </c>
      <c r="E66" s="256" t="s">
        <v>1833</v>
      </c>
      <c r="F66" s="256" t="s">
        <v>1916</v>
      </c>
      <c r="G66" s="258">
        <v>37268000000</v>
      </c>
      <c r="H66" s="265">
        <v>0.1</v>
      </c>
      <c r="I66" s="258">
        <v>3726800000</v>
      </c>
      <c r="J66" s="258">
        <v>40994800000</v>
      </c>
      <c r="K66" s="256" t="s">
        <v>1346</v>
      </c>
    </row>
    <row r="67" spans="1:11" x14ac:dyDescent="0.3">
      <c r="A67" s="256">
        <v>6</v>
      </c>
      <c r="B67" s="257" t="s">
        <v>1358</v>
      </c>
      <c r="C67" s="276">
        <v>44475</v>
      </c>
      <c r="D67" s="257" t="s">
        <v>1263</v>
      </c>
      <c r="E67" s="256" t="s">
        <v>1790</v>
      </c>
      <c r="F67" s="256" t="s">
        <v>1915</v>
      </c>
      <c r="G67" s="258">
        <v>25498000000</v>
      </c>
      <c r="H67" s="265">
        <v>0.1</v>
      </c>
      <c r="I67" s="258">
        <v>2549800000</v>
      </c>
      <c r="J67" s="258">
        <v>28047800000</v>
      </c>
      <c r="K67" s="256" t="s">
        <v>1346</v>
      </c>
    </row>
    <row r="68" spans="1:11" x14ac:dyDescent="0.3">
      <c r="A68" s="256">
        <v>7</v>
      </c>
      <c r="B68" s="257" t="s">
        <v>1360</v>
      </c>
      <c r="C68" s="276">
        <v>44476</v>
      </c>
      <c r="D68" s="257" t="s">
        <v>1276</v>
      </c>
      <c r="E68" s="256" t="s">
        <v>1822</v>
      </c>
      <c r="F68" s="256" t="s">
        <v>1917</v>
      </c>
      <c r="G68" s="258">
        <v>42966000000</v>
      </c>
      <c r="H68" s="265">
        <v>0.1</v>
      </c>
      <c r="I68" s="258">
        <v>4296600000</v>
      </c>
      <c r="J68" s="258">
        <v>47262600000</v>
      </c>
      <c r="K68" s="256" t="s">
        <v>1346</v>
      </c>
    </row>
    <row r="69" spans="1:11" x14ac:dyDescent="0.3">
      <c r="A69" s="256">
        <v>8</v>
      </c>
      <c r="B69" s="257" t="s">
        <v>1362</v>
      </c>
      <c r="C69" s="276">
        <v>44477</v>
      </c>
      <c r="D69" s="257" t="s">
        <v>1264</v>
      </c>
      <c r="E69" s="256" t="s">
        <v>1779</v>
      </c>
      <c r="F69" s="256" t="s">
        <v>1918</v>
      </c>
      <c r="G69" s="258">
        <v>52578000000</v>
      </c>
      <c r="H69" s="265">
        <v>0.1</v>
      </c>
      <c r="I69" s="258">
        <v>5257800000</v>
      </c>
      <c r="J69" s="258">
        <v>57835800000</v>
      </c>
      <c r="K69" s="256" t="s">
        <v>1346</v>
      </c>
    </row>
    <row r="70" spans="1:11" x14ac:dyDescent="0.3">
      <c r="A70" s="256">
        <v>9</v>
      </c>
      <c r="B70" s="257" t="s">
        <v>1364</v>
      </c>
      <c r="C70" s="276">
        <v>44478</v>
      </c>
      <c r="D70" s="257" t="s">
        <v>1284</v>
      </c>
      <c r="E70" s="256" t="s">
        <v>1786</v>
      </c>
      <c r="F70" s="256" t="s">
        <v>1916</v>
      </c>
      <c r="G70" s="258">
        <v>69002000000</v>
      </c>
      <c r="H70" s="265">
        <v>0.1</v>
      </c>
      <c r="I70" s="258">
        <v>6900200000</v>
      </c>
      <c r="J70" s="258">
        <v>75902200000</v>
      </c>
      <c r="K70" s="256" t="s">
        <v>1346</v>
      </c>
    </row>
    <row r="71" spans="1:11" x14ac:dyDescent="0.3">
      <c r="A71" s="256">
        <v>10</v>
      </c>
      <c r="B71" s="257" t="s">
        <v>1366</v>
      </c>
      <c r="C71" s="276">
        <v>44479</v>
      </c>
      <c r="D71" s="257" t="s">
        <v>1257</v>
      </c>
      <c r="E71" s="256" t="s">
        <v>1815</v>
      </c>
      <c r="F71" s="256" t="s">
        <v>1916</v>
      </c>
      <c r="G71" s="258">
        <v>61641000000</v>
      </c>
      <c r="H71" s="265">
        <v>0.1</v>
      </c>
      <c r="I71" s="258">
        <v>6164100000</v>
      </c>
      <c r="J71" s="258">
        <v>67805100000</v>
      </c>
      <c r="K71" s="256" t="s">
        <v>1348</v>
      </c>
    </row>
    <row r="72" spans="1:11" x14ac:dyDescent="0.3">
      <c r="A72" s="256">
        <v>11</v>
      </c>
      <c r="B72" s="257" t="s">
        <v>1368</v>
      </c>
      <c r="C72" s="276">
        <v>44480</v>
      </c>
      <c r="D72" s="257" t="s">
        <v>1299</v>
      </c>
      <c r="E72" s="256" t="s">
        <v>1776</v>
      </c>
      <c r="F72" s="256" t="s">
        <v>1918</v>
      </c>
      <c r="G72" s="258">
        <v>26089000000</v>
      </c>
      <c r="H72" s="265">
        <v>0.1</v>
      </c>
      <c r="I72" s="258">
        <v>2608900000</v>
      </c>
      <c r="J72" s="258">
        <v>28697900000</v>
      </c>
      <c r="K72" s="256" t="s">
        <v>1348</v>
      </c>
    </row>
    <row r="73" spans="1:11" x14ac:dyDescent="0.3">
      <c r="A73" s="256">
        <v>12</v>
      </c>
      <c r="B73" s="257" t="s">
        <v>1371</v>
      </c>
      <c r="C73" s="276">
        <v>44481</v>
      </c>
      <c r="D73" s="257" t="s">
        <v>1274</v>
      </c>
      <c r="E73" s="256" t="s">
        <v>1794</v>
      </c>
      <c r="F73" s="256" t="s">
        <v>1915</v>
      </c>
      <c r="G73" s="258">
        <v>61101000000</v>
      </c>
      <c r="H73" s="265">
        <v>0.1</v>
      </c>
      <c r="I73" s="258">
        <v>6110100000</v>
      </c>
      <c r="J73" s="258">
        <v>67211100000</v>
      </c>
      <c r="K73" s="256" t="s">
        <v>1346</v>
      </c>
    </row>
    <row r="74" spans="1:11" x14ac:dyDescent="0.3">
      <c r="A74" s="256">
        <v>13</v>
      </c>
      <c r="B74" s="257" t="s">
        <v>1373</v>
      </c>
      <c r="C74" s="276">
        <v>44211</v>
      </c>
      <c r="D74" s="257" t="s">
        <v>1299</v>
      </c>
      <c r="E74" s="256" t="s">
        <v>1776</v>
      </c>
      <c r="F74" s="256" t="s">
        <v>1918</v>
      </c>
      <c r="G74" s="258">
        <v>41018000000</v>
      </c>
      <c r="H74" s="265">
        <v>0.1</v>
      </c>
      <c r="I74" s="258">
        <v>4101800000</v>
      </c>
      <c r="J74" s="258">
        <v>45119800000</v>
      </c>
      <c r="K74" s="256" t="s">
        <v>1346</v>
      </c>
    </row>
    <row r="75" spans="1:11" x14ac:dyDescent="0.3">
      <c r="A75" s="256">
        <v>14</v>
      </c>
      <c r="B75" s="257" t="s">
        <v>1374</v>
      </c>
      <c r="C75" s="276">
        <v>44242</v>
      </c>
      <c r="D75" s="257" t="s">
        <v>1287</v>
      </c>
      <c r="E75" s="256" t="s">
        <v>1801</v>
      </c>
      <c r="F75" s="256" t="s">
        <v>1916</v>
      </c>
      <c r="G75" s="258">
        <v>90153000000</v>
      </c>
      <c r="H75" s="265">
        <v>0.1</v>
      </c>
      <c r="I75" s="258">
        <v>9015300000</v>
      </c>
      <c r="J75" s="258">
        <v>99168300000</v>
      </c>
      <c r="K75" s="256" t="s">
        <v>1348</v>
      </c>
    </row>
    <row r="76" spans="1:11" x14ac:dyDescent="0.3">
      <c r="A76" s="256">
        <v>15</v>
      </c>
      <c r="B76" s="257" t="s">
        <v>1376</v>
      </c>
      <c r="C76" s="276">
        <v>44275</v>
      </c>
      <c r="D76" s="257" t="s">
        <v>1282</v>
      </c>
      <c r="E76" s="256" t="s">
        <v>1789</v>
      </c>
      <c r="F76" s="256" t="s">
        <v>1915</v>
      </c>
      <c r="G76" s="258">
        <v>87482000000</v>
      </c>
      <c r="H76" s="265">
        <v>0.1</v>
      </c>
      <c r="I76" s="258">
        <v>8748200000</v>
      </c>
      <c r="J76" s="258">
        <v>96230200000</v>
      </c>
      <c r="K76" s="256" t="s">
        <v>1346</v>
      </c>
    </row>
    <row r="77" spans="1:11" x14ac:dyDescent="0.3">
      <c r="A77" s="256">
        <v>16</v>
      </c>
      <c r="B77" s="257" t="s">
        <v>1378</v>
      </c>
      <c r="C77" s="276">
        <v>44306</v>
      </c>
      <c r="D77" s="257" t="s">
        <v>1297</v>
      </c>
      <c r="E77" s="256" t="s">
        <v>1820</v>
      </c>
      <c r="F77" s="256" t="s">
        <v>1918</v>
      </c>
      <c r="G77" s="258">
        <v>83721000000</v>
      </c>
      <c r="H77" s="265">
        <v>0.1</v>
      </c>
      <c r="I77" s="258">
        <v>8372100000</v>
      </c>
      <c r="J77" s="258">
        <v>92093100000</v>
      </c>
      <c r="K77" s="256" t="s">
        <v>1346</v>
      </c>
    </row>
    <row r="78" spans="1:11" x14ac:dyDescent="0.3">
      <c r="A78" s="256">
        <v>17</v>
      </c>
      <c r="B78" s="257" t="s">
        <v>1379</v>
      </c>
      <c r="C78" s="276">
        <v>44336</v>
      </c>
      <c r="D78" s="257" t="s">
        <v>1264</v>
      </c>
      <c r="E78" s="256" t="s">
        <v>1779</v>
      </c>
      <c r="F78" s="256" t="s">
        <v>1915</v>
      </c>
      <c r="G78" s="258">
        <v>82094000000</v>
      </c>
      <c r="H78" s="265">
        <v>0</v>
      </c>
      <c r="I78" s="258">
        <v>0</v>
      </c>
      <c r="J78" s="258">
        <v>82094000000</v>
      </c>
      <c r="K78" s="256" t="s">
        <v>1346</v>
      </c>
    </row>
    <row r="79" spans="1:11" x14ac:dyDescent="0.3">
      <c r="A79" s="256">
        <v>18</v>
      </c>
      <c r="B79" s="257" t="s">
        <v>1381</v>
      </c>
      <c r="C79" s="276">
        <v>44367</v>
      </c>
      <c r="D79" s="257" t="s">
        <v>1282</v>
      </c>
      <c r="E79" s="256" t="s">
        <v>1789</v>
      </c>
      <c r="F79" s="256" t="s">
        <v>1915</v>
      </c>
      <c r="G79" s="258">
        <v>37511000000</v>
      </c>
      <c r="H79" s="265">
        <v>0.1</v>
      </c>
      <c r="I79" s="258">
        <v>3751100000</v>
      </c>
      <c r="J79" s="258">
        <v>41262100000</v>
      </c>
      <c r="K79" s="256" t="s">
        <v>1348</v>
      </c>
    </row>
    <row r="80" spans="1:11" x14ac:dyDescent="0.3">
      <c r="A80" s="256">
        <v>19</v>
      </c>
      <c r="B80" s="257" t="s">
        <v>1382</v>
      </c>
      <c r="C80" s="276">
        <v>44397</v>
      </c>
      <c r="D80" s="257" t="s">
        <v>1266</v>
      </c>
      <c r="E80" s="256" t="s">
        <v>1824</v>
      </c>
      <c r="F80" s="256" t="s">
        <v>1917</v>
      </c>
      <c r="G80" s="258">
        <v>44226000000</v>
      </c>
      <c r="H80" s="265">
        <v>0.1</v>
      </c>
      <c r="I80" s="258">
        <v>4422600000</v>
      </c>
      <c r="J80" s="258">
        <v>48648600000</v>
      </c>
      <c r="K80" s="256" t="s">
        <v>1346</v>
      </c>
    </row>
    <row r="81" spans="1:11" x14ac:dyDescent="0.3">
      <c r="A81" s="256">
        <v>20</v>
      </c>
      <c r="B81" s="257" t="s">
        <v>1383</v>
      </c>
      <c r="C81" s="276">
        <v>44428</v>
      </c>
      <c r="D81" s="257" t="s">
        <v>1299</v>
      </c>
      <c r="E81" s="256" t="s">
        <v>1776</v>
      </c>
      <c r="F81" s="256" t="s">
        <v>1918</v>
      </c>
      <c r="G81" s="258">
        <v>36513000000</v>
      </c>
      <c r="H81" s="265">
        <v>0.1</v>
      </c>
      <c r="I81" s="258">
        <v>3651300000</v>
      </c>
      <c r="J81" s="258">
        <v>40164300000</v>
      </c>
      <c r="K81" s="256" t="s">
        <v>1348</v>
      </c>
    </row>
    <row r="82" spans="1:11" x14ac:dyDescent="0.3">
      <c r="A82" s="256">
        <v>21</v>
      </c>
      <c r="B82" s="257" t="s">
        <v>1203</v>
      </c>
      <c r="C82" s="276">
        <v>44459</v>
      </c>
      <c r="D82" s="257" t="s">
        <v>1303</v>
      </c>
      <c r="E82" s="256" t="s">
        <v>1817</v>
      </c>
      <c r="F82" s="256" t="s">
        <v>1918</v>
      </c>
      <c r="G82" s="258">
        <v>83440000000</v>
      </c>
      <c r="H82" s="265">
        <v>0.1</v>
      </c>
      <c r="I82" s="258">
        <v>8344000000</v>
      </c>
      <c r="J82" s="258">
        <v>91784000000</v>
      </c>
      <c r="K82" s="256" t="s">
        <v>1346</v>
      </c>
    </row>
    <row r="83" spans="1:11" x14ac:dyDescent="0.3">
      <c r="A83" s="256">
        <v>22</v>
      </c>
      <c r="B83" s="257" t="s">
        <v>1204</v>
      </c>
      <c r="C83" s="276">
        <v>44489</v>
      </c>
      <c r="D83" s="257" t="s">
        <v>1297</v>
      </c>
      <c r="E83" s="256" t="s">
        <v>1820</v>
      </c>
      <c r="F83" s="256" t="s">
        <v>1917</v>
      </c>
      <c r="G83" s="258">
        <v>55693000000</v>
      </c>
      <c r="H83" s="265">
        <v>0.1</v>
      </c>
      <c r="I83" s="258">
        <v>5569300000</v>
      </c>
      <c r="J83" s="258">
        <v>61262300000</v>
      </c>
      <c r="K83" s="256" t="s">
        <v>1346</v>
      </c>
    </row>
    <row r="84" spans="1:11" x14ac:dyDescent="0.3">
      <c r="A84" s="256">
        <v>23</v>
      </c>
      <c r="B84" s="257" t="s">
        <v>1205</v>
      </c>
      <c r="C84" s="276">
        <v>44520</v>
      </c>
      <c r="D84" s="257" t="s">
        <v>1268</v>
      </c>
      <c r="E84" s="256" t="s">
        <v>1821</v>
      </c>
      <c r="F84" s="256" t="s">
        <v>1915</v>
      </c>
      <c r="G84" s="258">
        <v>88007000000</v>
      </c>
      <c r="H84" s="265">
        <v>0.1</v>
      </c>
      <c r="I84" s="258">
        <v>8800700000</v>
      </c>
      <c r="J84" s="258">
        <v>96807700000</v>
      </c>
      <c r="K84" s="256" t="s">
        <v>1346</v>
      </c>
    </row>
    <row r="85" spans="1:11" x14ac:dyDescent="0.3">
      <c r="A85" s="256">
        <v>24</v>
      </c>
      <c r="B85" s="257" t="s">
        <v>1385</v>
      </c>
      <c r="C85" s="276">
        <v>44550</v>
      </c>
      <c r="D85" s="257" t="s">
        <v>1289</v>
      </c>
      <c r="E85" s="256" t="s">
        <v>1803</v>
      </c>
      <c r="F85" s="256" t="s">
        <v>1918</v>
      </c>
      <c r="G85" s="258">
        <v>53392000000</v>
      </c>
      <c r="H85" s="265">
        <v>0.1</v>
      </c>
      <c r="I85" s="258">
        <v>5339200000</v>
      </c>
      <c r="J85" s="258">
        <v>58731200000</v>
      </c>
      <c r="K85" s="256" t="s">
        <v>1346</v>
      </c>
    </row>
    <row r="86" spans="1:11" x14ac:dyDescent="0.3">
      <c r="A86" s="256">
        <v>25</v>
      </c>
      <c r="B86" s="257" t="s">
        <v>1387</v>
      </c>
      <c r="C86" s="276">
        <v>44221</v>
      </c>
      <c r="D86" s="257" t="s">
        <v>1297</v>
      </c>
      <c r="E86" s="256" t="s">
        <v>1820</v>
      </c>
      <c r="F86" s="256" t="s">
        <v>1917</v>
      </c>
      <c r="G86" s="258">
        <v>53969000000</v>
      </c>
      <c r="H86" s="265">
        <v>0.1</v>
      </c>
      <c r="I86" s="258">
        <v>5396900000</v>
      </c>
      <c r="J86" s="258">
        <v>59365900000</v>
      </c>
      <c r="K86" s="256" t="s">
        <v>1346</v>
      </c>
    </row>
    <row r="87" spans="1:11" x14ac:dyDescent="0.3">
      <c r="A87" s="256">
        <v>26</v>
      </c>
      <c r="B87" s="257" t="s">
        <v>1388</v>
      </c>
      <c r="C87" s="276">
        <v>44255</v>
      </c>
      <c r="D87" s="257" t="s">
        <v>1287</v>
      </c>
      <c r="E87" s="256" t="s">
        <v>1801</v>
      </c>
      <c r="F87" s="256" t="s">
        <v>1918</v>
      </c>
      <c r="G87" s="258">
        <v>59051000000</v>
      </c>
      <c r="H87" s="265">
        <v>0.1</v>
      </c>
      <c r="I87" s="258">
        <v>5905100000</v>
      </c>
      <c r="J87" s="258">
        <v>64956100000</v>
      </c>
      <c r="K87" s="256" t="s">
        <v>1346</v>
      </c>
    </row>
    <row r="88" spans="1:11" x14ac:dyDescent="0.3">
      <c r="A88" s="256">
        <v>27</v>
      </c>
      <c r="B88" s="257" t="s">
        <v>1391</v>
      </c>
      <c r="C88" s="276">
        <v>44316</v>
      </c>
      <c r="D88" s="257" t="s">
        <v>1255</v>
      </c>
      <c r="E88" s="273">
        <v>46152</v>
      </c>
      <c r="F88" s="256" t="s">
        <v>1915</v>
      </c>
      <c r="G88" s="258">
        <v>80073000000</v>
      </c>
      <c r="H88" s="265">
        <v>0.1</v>
      </c>
      <c r="I88" s="258">
        <v>8007300000</v>
      </c>
      <c r="J88" s="258">
        <v>88080300000</v>
      </c>
      <c r="K88" s="256" t="s">
        <v>1346</v>
      </c>
    </row>
    <row r="89" spans="1:11" x14ac:dyDescent="0.3">
      <c r="A89" s="256">
        <v>28</v>
      </c>
      <c r="B89" s="257" t="s">
        <v>1392</v>
      </c>
      <c r="C89" s="276">
        <v>44377</v>
      </c>
      <c r="D89" s="257" t="s">
        <v>1297</v>
      </c>
      <c r="E89" s="256" t="s">
        <v>1820</v>
      </c>
      <c r="F89" s="256" t="s">
        <v>1918</v>
      </c>
      <c r="G89" s="258">
        <v>73199000000</v>
      </c>
      <c r="H89" s="265">
        <v>0.1</v>
      </c>
      <c r="I89" s="258">
        <v>7319900000</v>
      </c>
      <c r="J89" s="258">
        <v>80518900000</v>
      </c>
      <c r="K89" s="256" t="s">
        <v>1348</v>
      </c>
    </row>
    <row r="90" spans="1:11" x14ac:dyDescent="0.3">
      <c r="A90" s="256">
        <v>29</v>
      </c>
      <c r="B90" s="257" t="s">
        <v>1394</v>
      </c>
      <c r="C90" s="276">
        <v>44469</v>
      </c>
      <c r="D90" s="257" t="s">
        <v>1276</v>
      </c>
      <c r="E90" s="256" t="s">
        <v>1822</v>
      </c>
      <c r="F90" s="256" t="s">
        <v>1915</v>
      </c>
      <c r="G90" s="258">
        <v>60916000000</v>
      </c>
      <c r="H90" s="265">
        <v>0.1</v>
      </c>
      <c r="I90" s="258">
        <v>6091600000</v>
      </c>
      <c r="J90" s="258">
        <v>67007600000</v>
      </c>
      <c r="K90" s="256" t="s">
        <v>1346</v>
      </c>
    </row>
    <row r="91" spans="1:11" x14ac:dyDescent="0.3">
      <c r="A91" s="256">
        <v>30</v>
      </c>
      <c r="B91" s="257" t="s">
        <v>1396</v>
      </c>
      <c r="C91" s="276">
        <v>44530</v>
      </c>
      <c r="D91" s="257" t="s">
        <v>1259</v>
      </c>
      <c r="E91" s="256" t="s">
        <v>1788</v>
      </c>
      <c r="F91" s="256" t="s">
        <v>1917</v>
      </c>
      <c r="G91" s="258">
        <v>35261000000</v>
      </c>
      <c r="H91" s="265">
        <v>0.1</v>
      </c>
      <c r="I91" s="258">
        <v>3526100000</v>
      </c>
      <c r="J91" s="258">
        <v>38787100000</v>
      </c>
      <c r="K91" s="256" t="s">
        <v>1346</v>
      </c>
    </row>
    <row r="92" spans="1:11" x14ac:dyDescent="0.3">
      <c r="A92" s="256">
        <v>31</v>
      </c>
      <c r="B92" s="257" t="s">
        <v>1397</v>
      </c>
      <c r="C92" s="276">
        <v>44286</v>
      </c>
      <c r="D92" s="257" t="s">
        <v>1290</v>
      </c>
      <c r="E92" s="256" t="s">
        <v>1796</v>
      </c>
      <c r="F92" s="256" t="s">
        <v>1915</v>
      </c>
      <c r="G92" s="258">
        <v>29631000000</v>
      </c>
      <c r="H92" s="265">
        <v>0.1</v>
      </c>
      <c r="I92" s="258">
        <v>2963100000</v>
      </c>
      <c r="J92" s="258">
        <v>32594100000</v>
      </c>
      <c r="K92" s="256" t="s">
        <v>1346</v>
      </c>
    </row>
    <row r="93" spans="1:11" x14ac:dyDescent="0.3">
      <c r="A93" s="256">
        <v>32</v>
      </c>
      <c r="B93" s="257" t="s">
        <v>1398</v>
      </c>
      <c r="C93" s="276">
        <v>44347</v>
      </c>
      <c r="D93" s="257" t="s">
        <v>1304</v>
      </c>
      <c r="E93" s="256" t="s">
        <v>1831</v>
      </c>
      <c r="F93" s="256" t="s">
        <v>1918</v>
      </c>
      <c r="G93" s="258">
        <v>49561000000</v>
      </c>
      <c r="H93" s="265">
        <v>0.1</v>
      </c>
      <c r="I93" s="258">
        <v>4956100000</v>
      </c>
      <c r="J93" s="258">
        <v>54517100000</v>
      </c>
      <c r="K93" s="256" t="s">
        <v>1348</v>
      </c>
    </row>
    <row r="94" spans="1:11" x14ac:dyDescent="0.3">
      <c r="A94" s="256">
        <v>33</v>
      </c>
      <c r="B94" s="257" t="s">
        <v>1399</v>
      </c>
      <c r="C94" s="276">
        <v>44408</v>
      </c>
      <c r="D94" s="257" t="s">
        <v>1269</v>
      </c>
      <c r="E94" s="256" t="s">
        <v>1823</v>
      </c>
      <c r="F94" s="256" t="s">
        <v>1915</v>
      </c>
      <c r="G94" s="258">
        <v>90838000000</v>
      </c>
      <c r="H94" s="265">
        <v>0.1</v>
      </c>
      <c r="I94" s="258">
        <v>9083800000</v>
      </c>
      <c r="J94" s="258">
        <v>99921800000</v>
      </c>
      <c r="K94" s="256" t="s">
        <v>1346</v>
      </c>
    </row>
    <row r="95" spans="1:11" x14ac:dyDescent="0.3">
      <c r="A95" s="256">
        <v>34</v>
      </c>
      <c r="B95" s="257" t="s">
        <v>1401</v>
      </c>
      <c r="C95" s="276">
        <v>44439</v>
      </c>
      <c r="D95" s="257" t="s">
        <v>1291</v>
      </c>
      <c r="E95" s="256" t="s">
        <v>1800</v>
      </c>
      <c r="F95" s="256" t="s">
        <v>1917</v>
      </c>
      <c r="G95" s="258">
        <v>70949000000</v>
      </c>
      <c r="H95" s="265">
        <v>0.1</v>
      </c>
      <c r="I95" s="258">
        <v>7094900000</v>
      </c>
      <c r="J95" s="258">
        <v>78043900000</v>
      </c>
      <c r="K95" s="256" t="s">
        <v>1346</v>
      </c>
    </row>
    <row r="96" spans="1:11" x14ac:dyDescent="0.3">
      <c r="A96" s="256">
        <v>35</v>
      </c>
      <c r="B96" s="257" t="s">
        <v>1402</v>
      </c>
      <c r="C96" s="276">
        <v>44500</v>
      </c>
      <c r="D96" s="257" t="s">
        <v>1257</v>
      </c>
      <c r="E96" s="256" t="s">
        <v>1815</v>
      </c>
      <c r="F96" s="256" t="s">
        <v>1915</v>
      </c>
      <c r="G96" s="258">
        <v>91201000000</v>
      </c>
      <c r="H96" s="265">
        <v>0.1</v>
      </c>
      <c r="I96" s="258">
        <v>9120100000</v>
      </c>
      <c r="J96" s="258">
        <v>100321100000</v>
      </c>
      <c r="K96" s="256" t="s">
        <v>1346</v>
      </c>
    </row>
    <row r="97" spans="1:11" x14ac:dyDescent="0.3">
      <c r="A97" s="256">
        <v>36</v>
      </c>
      <c r="B97" s="257" t="s">
        <v>1403</v>
      </c>
      <c r="C97" s="276">
        <v>44561</v>
      </c>
      <c r="D97" s="257" t="s">
        <v>1265</v>
      </c>
      <c r="E97" s="256" t="s">
        <v>1830</v>
      </c>
      <c r="F97" s="256" t="s">
        <v>1917</v>
      </c>
      <c r="G97" s="258">
        <v>26944000000</v>
      </c>
      <c r="H97" s="265">
        <v>0.1</v>
      </c>
      <c r="I97" s="258">
        <v>2694400000</v>
      </c>
      <c r="J97" s="258">
        <v>29638400000</v>
      </c>
      <c r="K97" s="256" t="s">
        <v>1346</v>
      </c>
    </row>
    <row r="98" spans="1:11" x14ac:dyDescent="0.3">
      <c r="A98" s="256">
        <v>37</v>
      </c>
      <c r="B98" s="257" t="s">
        <v>1404</v>
      </c>
      <c r="C98" s="276">
        <v>44561</v>
      </c>
      <c r="D98" s="257" t="s">
        <v>1270</v>
      </c>
      <c r="E98" s="256" t="s">
        <v>1782</v>
      </c>
      <c r="F98" s="256" t="s">
        <v>1917</v>
      </c>
      <c r="G98" s="258">
        <v>84335000000</v>
      </c>
      <c r="H98" s="265">
        <v>0.1</v>
      </c>
      <c r="I98" s="258">
        <v>8433500000</v>
      </c>
      <c r="J98" s="258">
        <v>92768500000</v>
      </c>
      <c r="K98" s="256" t="s">
        <v>1346</v>
      </c>
    </row>
    <row r="99" spans="1:11" x14ac:dyDescent="0.3">
      <c r="A99" s="256">
        <v>38</v>
      </c>
      <c r="B99" s="257" t="s">
        <v>1405</v>
      </c>
      <c r="C99" s="276">
        <v>44561</v>
      </c>
      <c r="D99" s="257" t="s">
        <v>1286</v>
      </c>
      <c r="E99" s="256" t="s">
        <v>1828</v>
      </c>
      <c r="F99" s="256" t="s">
        <v>1916</v>
      </c>
      <c r="G99" s="258">
        <v>75185000000</v>
      </c>
      <c r="H99" s="265">
        <v>0.1</v>
      </c>
      <c r="I99" s="258">
        <v>7518500000</v>
      </c>
      <c r="J99" s="258">
        <v>82703500000</v>
      </c>
      <c r="K99" s="256" t="s">
        <v>1346</v>
      </c>
    </row>
    <row r="100" spans="1:11" x14ac:dyDescent="0.3">
      <c r="A100" s="256">
        <v>39</v>
      </c>
      <c r="B100" s="257" t="s">
        <v>1406</v>
      </c>
      <c r="C100" s="276">
        <v>44561</v>
      </c>
      <c r="D100" s="257" t="s">
        <v>1273</v>
      </c>
      <c r="E100" s="256" t="s">
        <v>1829</v>
      </c>
      <c r="F100" s="256" t="s">
        <v>1915</v>
      </c>
      <c r="G100" s="258">
        <v>92851000000</v>
      </c>
      <c r="H100" s="265">
        <v>0.1</v>
      </c>
      <c r="I100" s="258">
        <v>9285100000</v>
      </c>
      <c r="J100" s="258">
        <v>102136100000</v>
      </c>
      <c r="K100" s="256" t="s">
        <v>1346</v>
      </c>
    </row>
    <row r="101" spans="1:11" x14ac:dyDescent="0.3">
      <c r="A101" s="256">
        <v>40</v>
      </c>
      <c r="B101" s="257" t="s">
        <v>1408</v>
      </c>
      <c r="C101" s="276">
        <v>44561</v>
      </c>
      <c r="D101" s="257" t="s">
        <v>1283</v>
      </c>
      <c r="E101" s="256" t="s">
        <v>1798</v>
      </c>
      <c r="F101" s="256" t="s">
        <v>1915</v>
      </c>
      <c r="G101" s="258">
        <v>57432000000</v>
      </c>
      <c r="H101" s="265">
        <v>0.1</v>
      </c>
      <c r="I101" s="258">
        <v>5743200000</v>
      </c>
      <c r="J101" s="258">
        <v>63175200000</v>
      </c>
      <c r="K101" s="256" t="s">
        <v>1346</v>
      </c>
    </row>
    <row r="102" spans="1:11" x14ac:dyDescent="0.3">
      <c r="A102" s="256">
        <v>41</v>
      </c>
      <c r="B102" s="257" t="s">
        <v>1409</v>
      </c>
      <c r="C102" s="276">
        <v>44561</v>
      </c>
      <c r="D102" s="257" t="s">
        <v>1277</v>
      </c>
      <c r="E102" s="256" t="s">
        <v>1783</v>
      </c>
      <c r="F102" s="256" t="s">
        <v>1916</v>
      </c>
      <c r="G102" s="258">
        <v>64457000000</v>
      </c>
      <c r="H102" s="265">
        <v>0.1</v>
      </c>
      <c r="I102" s="258">
        <v>6445700000</v>
      </c>
      <c r="J102" s="258">
        <v>70902700000</v>
      </c>
      <c r="K102" s="256" t="s">
        <v>1348</v>
      </c>
    </row>
    <row r="103" spans="1:11" x14ac:dyDescent="0.3">
      <c r="A103" s="256">
        <v>42</v>
      </c>
      <c r="B103" s="257" t="s">
        <v>1411</v>
      </c>
      <c r="C103" s="276">
        <v>44561</v>
      </c>
      <c r="D103" s="257" t="s">
        <v>1257</v>
      </c>
      <c r="E103" s="256" t="s">
        <v>1815</v>
      </c>
      <c r="F103" s="256" t="s">
        <v>1916</v>
      </c>
      <c r="G103" s="258">
        <v>29204000000</v>
      </c>
      <c r="H103" s="265">
        <v>0.1</v>
      </c>
      <c r="I103" s="258">
        <v>2920400000</v>
      </c>
      <c r="J103" s="258">
        <v>32124400000</v>
      </c>
      <c r="K103" s="256" t="s">
        <v>1348</v>
      </c>
    </row>
    <row r="104" spans="1:11" x14ac:dyDescent="0.3">
      <c r="A104" s="256">
        <v>43</v>
      </c>
      <c r="B104" s="257" t="s">
        <v>1414</v>
      </c>
      <c r="C104" s="276">
        <v>44561</v>
      </c>
      <c r="D104" s="257" t="s">
        <v>1298</v>
      </c>
      <c r="E104" s="256" t="s">
        <v>1819</v>
      </c>
      <c r="F104" s="256" t="s">
        <v>1916</v>
      </c>
      <c r="G104" s="258">
        <v>39898000000</v>
      </c>
      <c r="H104" s="265">
        <v>0.1</v>
      </c>
      <c r="I104" s="258">
        <v>3989800000</v>
      </c>
      <c r="J104" s="258">
        <v>43887800000</v>
      </c>
      <c r="K104" s="256" t="s">
        <v>1346</v>
      </c>
    </row>
    <row r="105" spans="1:11" x14ac:dyDescent="0.3">
      <c r="A105" s="256">
        <v>44</v>
      </c>
      <c r="B105" s="257" t="s">
        <v>1415</v>
      </c>
      <c r="C105" s="276">
        <v>44561</v>
      </c>
      <c r="D105" s="257" t="s">
        <v>1297</v>
      </c>
      <c r="E105" s="256" t="s">
        <v>1820</v>
      </c>
      <c r="F105" s="256" t="s">
        <v>1915</v>
      </c>
      <c r="G105" s="258">
        <v>59297000000</v>
      </c>
      <c r="H105" s="265">
        <v>0.1</v>
      </c>
      <c r="I105" s="258">
        <v>5929700000</v>
      </c>
      <c r="J105" s="258">
        <v>65226700000</v>
      </c>
      <c r="K105" s="256" t="s">
        <v>1346</v>
      </c>
    </row>
    <row r="106" spans="1:11" x14ac:dyDescent="0.3">
      <c r="A106" s="256">
        <v>45</v>
      </c>
      <c r="B106" s="257" t="s">
        <v>1206</v>
      </c>
      <c r="C106" s="276">
        <v>44561</v>
      </c>
      <c r="D106" s="257" t="s">
        <v>1278</v>
      </c>
      <c r="E106" s="256" t="s">
        <v>1785</v>
      </c>
      <c r="F106" s="256" t="s">
        <v>1916</v>
      </c>
      <c r="G106" s="258">
        <v>28006000000</v>
      </c>
      <c r="H106" s="265">
        <v>0.1</v>
      </c>
      <c r="I106" s="258">
        <v>2800600000</v>
      </c>
      <c r="J106" s="258">
        <v>30806600000</v>
      </c>
      <c r="K106" s="256" t="s">
        <v>1346</v>
      </c>
    </row>
    <row r="107" spans="1:11" x14ac:dyDescent="0.3">
      <c r="A107" s="256">
        <v>46</v>
      </c>
      <c r="B107" s="257" t="s">
        <v>1207</v>
      </c>
      <c r="C107" s="276">
        <v>44561</v>
      </c>
      <c r="D107" s="257" t="s">
        <v>1280</v>
      </c>
      <c r="E107" s="256" t="s">
        <v>1777</v>
      </c>
      <c r="F107" s="256" t="s">
        <v>1916</v>
      </c>
      <c r="G107" s="258">
        <v>69961000000</v>
      </c>
      <c r="H107" s="265">
        <v>0.1</v>
      </c>
      <c r="I107" s="258">
        <v>6996100000</v>
      </c>
      <c r="J107" s="258">
        <v>76957100000</v>
      </c>
      <c r="K107" s="256" t="s">
        <v>1346</v>
      </c>
    </row>
    <row r="108" spans="1:11" x14ac:dyDescent="0.3">
      <c r="A108" s="256">
        <v>47</v>
      </c>
      <c r="B108" s="257" t="s">
        <v>1208</v>
      </c>
      <c r="C108" s="276">
        <v>44561</v>
      </c>
      <c r="D108" s="257" t="s">
        <v>1256</v>
      </c>
      <c r="E108" s="256" t="s">
        <v>1802</v>
      </c>
      <c r="F108" s="256" t="s">
        <v>1916</v>
      </c>
      <c r="G108" s="258">
        <v>76699000000</v>
      </c>
      <c r="H108" s="265">
        <v>0.1</v>
      </c>
      <c r="I108" s="258">
        <v>7669900000</v>
      </c>
      <c r="J108" s="258">
        <v>84368900000</v>
      </c>
      <c r="K108" s="256" t="s">
        <v>1348</v>
      </c>
    </row>
    <row r="109" spans="1:11" x14ac:dyDescent="0.3">
      <c r="A109" s="256">
        <v>48</v>
      </c>
      <c r="B109" s="257" t="s">
        <v>1209</v>
      </c>
      <c r="C109" s="276">
        <v>44561</v>
      </c>
      <c r="D109" s="257" t="s">
        <v>1289</v>
      </c>
      <c r="E109" s="256" t="s">
        <v>1803</v>
      </c>
      <c r="F109" s="256" t="s">
        <v>1917</v>
      </c>
      <c r="G109" s="258">
        <v>58277000000</v>
      </c>
      <c r="H109" s="265">
        <v>0.1</v>
      </c>
      <c r="I109" s="258">
        <v>5827700000</v>
      </c>
      <c r="J109" s="258">
        <v>64104700000</v>
      </c>
      <c r="K109" s="256" t="s">
        <v>1346</v>
      </c>
    </row>
    <row r="110" spans="1:11" x14ac:dyDescent="0.3">
      <c r="A110" s="256">
        <v>49</v>
      </c>
      <c r="B110" s="257" t="s">
        <v>1418</v>
      </c>
      <c r="C110" s="276">
        <v>44561</v>
      </c>
      <c r="D110" s="257" t="s">
        <v>1258</v>
      </c>
      <c r="E110" s="256" t="s">
        <v>1833</v>
      </c>
      <c r="F110" s="256" t="s">
        <v>1916</v>
      </c>
      <c r="G110" s="258">
        <v>34814000000</v>
      </c>
      <c r="H110" s="265">
        <v>0.1</v>
      </c>
      <c r="I110" s="258">
        <v>3481400000</v>
      </c>
      <c r="J110" s="258">
        <v>38295400000</v>
      </c>
      <c r="K110" s="256" t="s">
        <v>1348</v>
      </c>
    </row>
    <row r="111" spans="1:11" x14ac:dyDescent="0.3">
      <c r="A111" s="256">
        <v>50</v>
      </c>
      <c r="B111" s="257" t="s">
        <v>1419</v>
      </c>
      <c r="C111" s="276">
        <v>44561</v>
      </c>
      <c r="D111" s="257" t="s">
        <v>1276</v>
      </c>
      <c r="E111" s="256" t="s">
        <v>1822</v>
      </c>
      <c r="F111" s="256" t="s">
        <v>1916</v>
      </c>
      <c r="G111" s="258">
        <v>28810000000</v>
      </c>
      <c r="H111" s="265">
        <v>0.1</v>
      </c>
      <c r="I111" s="258">
        <v>2881000000</v>
      </c>
      <c r="J111" s="258">
        <v>31691000000</v>
      </c>
      <c r="K111" s="256" t="s">
        <v>1346</v>
      </c>
    </row>
    <row r="112" spans="1:11" x14ac:dyDescent="0.3">
      <c r="A112" s="266" t="s">
        <v>1351</v>
      </c>
      <c r="B112" s="266"/>
      <c r="C112" s="266"/>
      <c r="D112" s="266"/>
      <c r="E112" s="266"/>
      <c r="F112" s="266"/>
      <c r="G112" s="267">
        <f>SUM(G62:G111)</f>
        <v>2882256000000</v>
      </c>
      <c r="H112" s="266"/>
      <c r="I112" s="267">
        <f>SUM(I62:I111)</f>
        <v>271250200000</v>
      </c>
      <c r="J112" s="267">
        <f>SUM(J62:J111)</f>
        <v>3153506200000</v>
      </c>
      <c r="K112" s="266"/>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878</v>
      </c>
      <c r="C1" s="256"/>
      <c r="D1" s="256"/>
      <c r="E1" s="256"/>
      <c r="F1" s="256"/>
      <c r="G1" s="256"/>
      <c r="H1" s="256"/>
      <c r="I1" s="256"/>
      <c r="J1" s="256"/>
      <c r="K1" s="256"/>
    </row>
    <row r="2" spans="1:11" x14ac:dyDescent="0.3">
      <c r="A2" s="256" t="s">
        <v>1339</v>
      </c>
      <c r="B2" s="257">
        <v>107383796</v>
      </c>
      <c r="C2" s="256"/>
      <c r="D2" s="256"/>
      <c r="E2" s="256"/>
      <c r="F2" s="256"/>
      <c r="G2" s="256"/>
      <c r="H2" s="256"/>
      <c r="I2" s="256"/>
      <c r="J2" s="256"/>
      <c r="K2" s="256"/>
    </row>
    <row r="3" spans="1:11" x14ac:dyDescent="0.3">
      <c r="A3" s="256" t="s">
        <v>1343</v>
      </c>
      <c r="B3" s="258">
        <v>367286841847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1472</v>
      </c>
      <c r="C8" s="276">
        <v>44317</v>
      </c>
      <c r="D8" s="257" t="s">
        <v>1304</v>
      </c>
      <c r="E8" s="256" t="s">
        <v>1831</v>
      </c>
      <c r="F8" s="256" t="s">
        <v>1871</v>
      </c>
      <c r="G8" s="258">
        <v>2640000000</v>
      </c>
      <c r="H8" s="265">
        <v>0.1</v>
      </c>
      <c r="I8" s="258">
        <v>264000000</v>
      </c>
      <c r="J8" s="258">
        <v>2904000000</v>
      </c>
      <c r="K8" s="256" t="s">
        <v>1346</v>
      </c>
    </row>
    <row r="9" spans="1:11" x14ac:dyDescent="0.3">
      <c r="A9" s="256">
        <v>2</v>
      </c>
      <c r="B9" s="257" t="s">
        <v>1478</v>
      </c>
      <c r="C9" s="276">
        <v>44318</v>
      </c>
      <c r="D9" s="257" t="s">
        <v>1281</v>
      </c>
      <c r="E9" s="256" t="s">
        <v>1806</v>
      </c>
      <c r="F9" s="256" t="s">
        <v>1734</v>
      </c>
      <c r="G9" s="258">
        <v>8193000000</v>
      </c>
      <c r="H9" s="265">
        <v>0</v>
      </c>
      <c r="I9" s="258">
        <v>0</v>
      </c>
      <c r="J9" s="258">
        <v>8193000000</v>
      </c>
      <c r="K9" s="256" t="s">
        <v>1346</v>
      </c>
    </row>
    <row r="10" spans="1:11" x14ac:dyDescent="0.3">
      <c r="A10" s="256">
        <v>3</v>
      </c>
      <c r="B10" s="257" t="s">
        <v>1385</v>
      </c>
      <c r="C10" s="276">
        <v>44472</v>
      </c>
      <c r="D10" s="257" t="s">
        <v>1298</v>
      </c>
      <c r="E10" s="256" t="s">
        <v>1819</v>
      </c>
      <c r="F10" s="256" t="s">
        <v>1870</v>
      </c>
      <c r="G10" s="258">
        <v>2916000000</v>
      </c>
      <c r="H10" s="265">
        <v>0.1</v>
      </c>
      <c r="I10" s="258">
        <v>291600000</v>
      </c>
      <c r="J10" s="258">
        <v>3207600000</v>
      </c>
      <c r="K10" s="256" t="s">
        <v>1348</v>
      </c>
    </row>
    <row r="11" spans="1:11" x14ac:dyDescent="0.3">
      <c r="A11" s="256">
        <v>4</v>
      </c>
      <c r="B11" s="257" t="s">
        <v>1388</v>
      </c>
      <c r="C11" s="276">
        <v>44473</v>
      </c>
      <c r="D11" s="257" t="s">
        <v>1261</v>
      </c>
      <c r="E11" s="256" t="s">
        <v>1813</v>
      </c>
      <c r="F11" s="256" t="s">
        <v>1730</v>
      </c>
      <c r="G11" s="258">
        <v>3942000000</v>
      </c>
      <c r="H11" s="265">
        <v>0.1</v>
      </c>
      <c r="I11" s="258">
        <v>394200000</v>
      </c>
      <c r="J11" s="258">
        <v>4336200000</v>
      </c>
      <c r="K11" s="256" t="s">
        <v>1346</v>
      </c>
    </row>
    <row r="12" spans="1:11" x14ac:dyDescent="0.3">
      <c r="A12" s="256">
        <v>5</v>
      </c>
      <c r="B12" s="257" t="s">
        <v>1458</v>
      </c>
      <c r="C12" s="276">
        <v>44474</v>
      </c>
      <c r="D12" s="257" t="s">
        <v>1265</v>
      </c>
      <c r="E12" s="256" t="s">
        <v>1830</v>
      </c>
      <c r="F12" s="256" t="s">
        <v>1870</v>
      </c>
      <c r="G12" s="258">
        <v>6058000000</v>
      </c>
      <c r="H12" s="265">
        <v>0.1</v>
      </c>
      <c r="I12" s="258">
        <v>605800000</v>
      </c>
      <c r="J12" s="258">
        <v>6663800000</v>
      </c>
      <c r="K12" s="256" t="s">
        <v>1346</v>
      </c>
    </row>
    <row r="13" spans="1:11" x14ac:dyDescent="0.3">
      <c r="A13" s="256">
        <v>6</v>
      </c>
      <c r="B13" s="257" t="s">
        <v>1472</v>
      </c>
      <c r="C13" s="276">
        <v>44475</v>
      </c>
      <c r="D13" s="257" t="s">
        <v>1276</v>
      </c>
      <c r="E13" s="256" t="s">
        <v>1822</v>
      </c>
      <c r="F13" s="256" t="s">
        <v>1734</v>
      </c>
      <c r="G13" s="258">
        <v>2183000000</v>
      </c>
      <c r="H13" s="265">
        <v>0.1</v>
      </c>
      <c r="I13" s="258">
        <v>218300000</v>
      </c>
      <c r="J13" s="258">
        <v>2401300000</v>
      </c>
      <c r="K13" s="256" t="s">
        <v>1348</v>
      </c>
    </row>
    <row r="14" spans="1:11" x14ac:dyDescent="0.3">
      <c r="A14" s="256">
        <v>7</v>
      </c>
      <c r="B14" s="257" t="s">
        <v>1401</v>
      </c>
      <c r="C14" s="276">
        <v>44476</v>
      </c>
      <c r="D14" s="257" t="s">
        <v>1297</v>
      </c>
      <c r="E14" s="256" t="s">
        <v>1820</v>
      </c>
      <c r="F14" s="256" t="s">
        <v>1730</v>
      </c>
      <c r="G14" s="258">
        <v>5278000000</v>
      </c>
      <c r="H14" s="265">
        <v>0.1</v>
      </c>
      <c r="I14" s="258">
        <v>527800000</v>
      </c>
      <c r="J14" s="258">
        <v>5805800000</v>
      </c>
      <c r="K14" s="256" t="s">
        <v>1346</v>
      </c>
    </row>
    <row r="15" spans="1:11" x14ac:dyDescent="0.3">
      <c r="A15" s="256">
        <v>8</v>
      </c>
      <c r="B15" s="257" t="s">
        <v>1482</v>
      </c>
      <c r="C15" s="276">
        <v>44477</v>
      </c>
      <c r="D15" s="257" t="s">
        <v>1259</v>
      </c>
      <c r="E15" s="256" t="s">
        <v>1788</v>
      </c>
      <c r="F15" s="256" t="s">
        <v>1869</v>
      </c>
      <c r="G15" s="258">
        <v>4184000000</v>
      </c>
      <c r="H15" s="265">
        <v>0</v>
      </c>
      <c r="I15" s="258">
        <v>0</v>
      </c>
      <c r="J15" s="258">
        <v>4184000000</v>
      </c>
      <c r="K15" s="256" t="s">
        <v>1346</v>
      </c>
    </row>
    <row r="16" spans="1:11" x14ac:dyDescent="0.3">
      <c r="A16" s="256">
        <v>9</v>
      </c>
      <c r="B16" s="257" t="s">
        <v>1472</v>
      </c>
      <c r="C16" s="276">
        <v>44478</v>
      </c>
      <c r="D16" s="257" t="s">
        <v>1272</v>
      </c>
      <c r="E16" s="256" t="s">
        <v>1805</v>
      </c>
      <c r="F16" s="256" t="s">
        <v>1734</v>
      </c>
      <c r="G16" s="258">
        <v>5344000000</v>
      </c>
      <c r="H16" s="265">
        <v>0.1</v>
      </c>
      <c r="I16" s="258">
        <v>534400000</v>
      </c>
      <c r="J16" s="258">
        <v>5878400000</v>
      </c>
      <c r="K16" s="256" t="s">
        <v>1346</v>
      </c>
    </row>
    <row r="17" spans="1:11" x14ac:dyDescent="0.3">
      <c r="A17" s="256">
        <v>10</v>
      </c>
      <c r="B17" s="257" t="s">
        <v>1469</v>
      </c>
      <c r="C17" s="276">
        <v>44479</v>
      </c>
      <c r="D17" s="257" t="s">
        <v>1273</v>
      </c>
      <c r="E17" s="256" t="s">
        <v>1829</v>
      </c>
      <c r="F17" s="256" t="s">
        <v>1868</v>
      </c>
      <c r="G17" s="258">
        <v>3113000000</v>
      </c>
      <c r="H17" s="265">
        <v>0.1</v>
      </c>
      <c r="I17" s="258">
        <v>311300000</v>
      </c>
      <c r="J17" s="258">
        <v>3424300000</v>
      </c>
      <c r="K17" s="256" t="s">
        <v>1346</v>
      </c>
    </row>
    <row r="18" spans="1:11" x14ac:dyDescent="0.3">
      <c r="A18" s="256">
        <v>11</v>
      </c>
      <c r="B18" s="257" t="s">
        <v>1458</v>
      </c>
      <c r="C18" s="276">
        <v>44480</v>
      </c>
      <c r="D18" s="257" t="s">
        <v>1266</v>
      </c>
      <c r="E18" s="256" t="s">
        <v>1824</v>
      </c>
      <c r="F18" s="256" t="s">
        <v>1730</v>
      </c>
      <c r="G18" s="258">
        <v>6587000000</v>
      </c>
      <c r="H18" s="265">
        <v>0.1</v>
      </c>
      <c r="I18" s="258">
        <v>658700000</v>
      </c>
      <c r="J18" s="258">
        <v>7245700000</v>
      </c>
      <c r="K18" s="256" t="s">
        <v>1346</v>
      </c>
    </row>
    <row r="19" spans="1:11" x14ac:dyDescent="0.3">
      <c r="A19" s="256">
        <v>12</v>
      </c>
      <c r="B19" s="257" t="s">
        <v>1467</v>
      </c>
      <c r="C19" s="276">
        <v>44481</v>
      </c>
      <c r="D19" s="257" t="s">
        <v>1256</v>
      </c>
      <c r="E19" s="256" t="s">
        <v>1802</v>
      </c>
      <c r="F19" s="256" t="s">
        <v>1741</v>
      </c>
      <c r="G19" s="258">
        <v>7917000000</v>
      </c>
      <c r="H19" s="265">
        <v>0.1</v>
      </c>
      <c r="I19" s="258">
        <v>791700000</v>
      </c>
      <c r="J19" s="258">
        <v>8708700000</v>
      </c>
      <c r="K19" s="256" t="s">
        <v>1346</v>
      </c>
    </row>
    <row r="20" spans="1:11" x14ac:dyDescent="0.3">
      <c r="A20" s="256">
        <v>13</v>
      </c>
      <c r="B20" s="257" t="s">
        <v>1473</v>
      </c>
      <c r="C20" s="276">
        <v>44211</v>
      </c>
      <c r="D20" s="257" t="s">
        <v>1276</v>
      </c>
      <c r="E20" s="256" t="s">
        <v>1822</v>
      </c>
      <c r="F20" s="256" t="s">
        <v>1871</v>
      </c>
      <c r="G20" s="258">
        <v>5007000000</v>
      </c>
      <c r="H20" s="265">
        <v>0.1</v>
      </c>
      <c r="I20" s="258">
        <v>500700000</v>
      </c>
      <c r="J20" s="258">
        <v>5507700000</v>
      </c>
      <c r="K20" s="256" t="s">
        <v>1346</v>
      </c>
    </row>
    <row r="21" spans="1:11" x14ac:dyDescent="0.3">
      <c r="A21" s="256">
        <v>14</v>
      </c>
      <c r="B21" s="257" t="s">
        <v>1473</v>
      </c>
      <c r="C21" s="276">
        <v>44242</v>
      </c>
      <c r="D21" s="257" t="s">
        <v>1272</v>
      </c>
      <c r="E21" s="256" t="s">
        <v>1805</v>
      </c>
      <c r="F21" s="256" t="s">
        <v>1741</v>
      </c>
      <c r="G21" s="258">
        <v>8257000000</v>
      </c>
      <c r="H21" s="265">
        <v>0</v>
      </c>
      <c r="I21" s="258">
        <v>0</v>
      </c>
      <c r="J21" s="258">
        <v>8257000000</v>
      </c>
      <c r="K21" s="256" t="s">
        <v>1346</v>
      </c>
    </row>
    <row r="22" spans="1:11" x14ac:dyDescent="0.3">
      <c r="A22" s="256">
        <v>15</v>
      </c>
      <c r="B22" s="257" t="s">
        <v>1459</v>
      </c>
      <c r="C22" s="276">
        <v>44275</v>
      </c>
      <c r="D22" s="257" t="s">
        <v>1266</v>
      </c>
      <c r="E22" s="256" t="s">
        <v>1824</v>
      </c>
      <c r="F22" s="256" t="s">
        <v>1734</v>
      </c>
      <c r="G22" s="258">
        <v>5027000000</v>
      </c>
      <c r="H22" s="265">
        <v>0.1</v>
      </c>
      <c r="I22" s="258">
        <v>502700000</v>
      </c>
      <c r="J22" s="258">
        <v>5529700000</v>
      </c>
      <c r="K22" s="256" t="s">
        <v>1348</v>
      </c>
    </row>
    <row r="23" spans="1:11" x14ac:dyDescent="0.3">
      <c r="A23" s="256">
        <v>16</v>
      </c>
      <c r="B23" s="257" t="s">
        <v>1471</v>
      </c>
      <c r="C23" s="276">
        <v>44306</v>
      </c>
      <c r="D23" s="257" t="s">
        <v>1271</v>
      </c>
      <c r="E23" s="256" t="s">
        <v>1799</v>
      </c>
      <c r="F23" s="256" t="s">
        <v>1734</v>
      </c>
      <c r="G23" s="258">
        <v>5907000000</v>
      </c>
      <c r="H23" s="265">
        <v>0.1</v>
      </c>
      <c r="I23" s="258">
        <v>590700000</v>
      </c>
      <c r="J23" s="258">
        <v>6497700000</v>
      </c>
      <c r="K23" s="256" t="s">
        <v>1346</v>
      </c>
    </row>
    <row r="24" spans="1:11" x14ac:dyDescent="0.3">
      <c r="A24" s="256">
        <v>17</v>
      </c>
      <c r="B24" s="257" t="s">
        <v>1207</v>
      </c>
      <c r="C24" s="276">
        <v>44336</v>
      </c>
      <c r="D24" s="257" t="s">
        <v>1293</v>
      </c>
      <c r="E24" s="256" t="s">
        <v>1826</v>
      </c>
      <c r="F24" s="256" t="s">
        <v>1870</v>
      </c>
      <c r="G24" s="258">
        <v>8136000000</v>
      </c>
      <c r="H24" s="265">
        <v>0.1</v>
      </c>
      <c r="I24" s="258">
        <v>813600000</v>
      </c>
      <c r="J24" s="258">
        <v>8949600000</v>
      </c>
      <c r="K24" s="256" t="s">
        <v>1346</v>
      </c>
    </row>
    <row r="25" spans="1:11" x14ac:dyDescent="0.3">
      <c r="A25" s="256">
        <v>18</v>
      </c>
      <c r="B25" s="257" t="s">
        <v>1398</v>
      </c>
      <c r="C25" s="276">
        <v>44367</v>
      </c>
      <c r="D25" s="257" t="s">
        <v>1291</v>
      </c>
      <c r="E25" s="256" t="s">
        <v>1800</v>
      </c>
      <c r="F25" s="256" t="s">
        <v>1731</v>
      </c>
      <c r="G25" s="258">
        <v>2211000000</v>
      </c>
      <c r="H25" s="265">
        <v>0.1</v>
      </c>
      <c r="I25" s="258">
        <v>221100000</v>
      </c>
      <c r="J25" s="258">
        <v>2432100000</v>
      </c>
      <c r="K25" s="256" t="s">
        <v>1346</v>
      </c>
    </row>
    <row r="26" spans="1:11" x14ac:dyDescent="0.3">
      <c r="A26" s="256">
        <v>19</v>
      </c>
      <c r="B26" s="257" t="s">
        <v>1460</v>
      </c>
      <c r="C26" s="276">
        <v>44397</v>
      </c>
      <c r="D26" s="257" t="s">
        <v>1266</v>
      </c>
      <c r="E26" s="256" t="s">
        <v>1824</v>
      </c>
      <c r="F26" s="256" t="s">
        <v>1741</v>
      </c>
      <c r="G26" s="258">
        <v>7364000000</v>
      </c>
      <c r="H26" s="265">
        <v>0.1</v>
      </c>
      <c r="I26" s="258">
        <v>736400000</v>
      </c>
      <c r="J26" s="258">
        <v>8100400000</v>
      </c>
      <c r="K26" s="256" t="s">
        <v>1346</v>
      </c>
    </row>
    <row r="27" spans="1:11" x14ac:dyDescent="0.3">
      <c r="A27" s="256">
        <v>20</v>
      </c>
      <c r="B27" s="257" t="s">
        <v>1465</v>
      </c>
      <c r="C27" s="276">
        <v>44428</v>
      </c>
      <c r="D27" s="257" t="s">
        <v>1268</v>
      </c>
      <c r="E27" s="256" t="s">
        <v>1821</v>
      </c>
      <c r="F27" s="256" t="s">
        <v>1741</v>
      </c>
      <c r="G27" s="258">
        <v>3684000000</v>
      </c>
      <c r="H27" s="265">
        <v>0.1</v>
      </c>
      <c r="I27" s="258">
        <v>368400000</v>
      </c>
      <c r="J27" s="258">
        <v>4052400000</v>
      </c>
      <c r="K27" s="256" t="s">
        <v>1346</v>
      </c>
    </row>
    <row r="28" spans="1:11" x14ac:dyDescent="0.3">
      <c r="A28" s="256">
        <v>21</v>
      </c>
      <c r="B28" s="257" t="s">
        <v>1468</v>
      </c>
      <c r="C28" s="276">
        <v>44459</v>
      </c>
      <c r="D28" s="257" t="s">
        <v>1275</v>
      </c>
      <c r="E28" s="256" t="s">
        <v>1808</v>
      </c>
      <c r="F28" s="256" t="s">
        <v>1734</v>
      </c>
      <c r="G28" s="258">
        <v>6440000000</v>
      </c>
      <c r="H28" s="265">
        <v>0.1</v>
      </c>
      <c r="I28" s="258">
        <v>644000000</v>
      </c>
      <c r="J28" s="258">
        <v>7084000000</v>
      </c>
      <c r="K28" s="256" t="s">
        <v>1348</v>
      </c>
    </row>
    <row r="29" spans="1:11" x14ac:dyDescent="0.3">
      <c r="A29" s="256">
        <v>22</v>
      </c>
      <c r="B29" s="257" t="s">
        <v>1456</v>
      </c>
      <c r="C29" s="276">
        <v>44489</v>
      </c>
      <c r="D29" s="257" t="s">
        <v>1282</v>
      </c>
      <c r="E29" s="256" t="s">
        <v>1789</v>
      </c>
      <c r="F29" s="256" t="s">
        <v>1734</v>
      </c>
      <c r="G29" s="258">
        <v>7984000000</v>
      </c>
      <c r="H29" s="265">
        <v>0.1</v>
      </c>
      <c r="I29" s="258">
        <v>798400000</v>
      </c>
      <c r="J29" s="258">
        <v>8782400000</v>
      </c>
      <c r="K29" s="256" t="s">
        <v>1346</v>
      </c>
    </row>
    <row r="30" spans="1:11" x14ac:dyDescent="0.3">
      <c r="A30" s="256">
        <v>23</v>
      </c>
      <c r="B30" s="257" t="s">
        <v>1408</v>
      </c>
      <c r="C30" s="276">
        <v>44520</v>
      </c>
      <c r="D30" s="257" t="s">
        <v>1302</v>
      </c>
      <c r="E30" s="256" t="s">
        <v>1784</v>
      </c>
      <c r="F30" s="256" t="s">
        <v>1871</v>
      </c>
      <c r="G30" s="258">
        <v>6368000000</v>
      </c>
      <c r="H30" s="265">
        <v>0.1</v>
      </c>
      <c r="I30" s="258">
        <v>636800000</v>
      </c>
      <c r="J30" s="258">
        <v>7004800000</v>
      </c>
      <c r="K30" s="256" t="s">
        <v>1346</v>
      </c>
    </row>
    <row r="31" spans="1:11" x14ac:dyDescent="0.3">
      <c r="A31" s="256">
        <v>24</v>
      </c>
      <c r="B31" s="257" t="s">
        <v>1458</v>
      </c>
      <c r="C31" s="276">
        <v>44550</v>
      </c>
      <c r="D31" s="257" t="s">
        <v>1289</v>
      </c>
      <c r="E31" s="256" t="s">
        <v>1803</v>
      </c>
      <c r="F31" s="256" t="s">
        <v>1734</v>
      </c>
      <c r="G31" s="258">
        <v>6984000000</v>
      </c>
      <c r="H31" s="265">
        <v>0.1</v>
      </c>
      <c r="I31" s="258">
        <v>698400000</v>
      </c>
      <c r="J31" s="258">
        <v>7682400000</v>
      </c>
      <c r="K31" s="256" t="s">
        <v>1346</v>
      </c>
    </row>
    <row r="32" spans="1:11" x14ac:dyDescent="0.3">
      <c r="A32" s="256">
        <v>25</v>
      </c>
      <c r="B32" s="257" t="s">
        <v>1468</v>
      </c>
      <c r="C32" s="276">
        <v>44221</v>
      </c>
      <c r="D32" s="257" t="s">
        <v>1256</v>
      </c>
      <c r="E32" s="256" t="s">
        <v>1802</v>
      </c>
      <c r="F32" s="256" t="s">
        <v>1871</v>
      </c>
      <c r="G32" s="258">
        <v>2926000000</v>
      </c>
      <c r="H32" s="265">
        <v>0.1</v>
      </c>
      <c r="I32" s="258">
        <v>292600000</v>
      </c>
      <c r="J32" s="258">
        <v>3218600000</v>
      </c>
      <c r="K32" s="256" t="s">
        <v>1346</v>
      </c>
    </row>
    <row r="33" spans="1:11" x14ac:dyDescent="0.3">
      <c r="A33" s="256">
        <v>26</v>
      </c>
      <c r="B33" s="257" t="s">
        <v>1472</v>
      </c>
      <c r="C33" s="276">
        <v>44255</v>
      </c>
      <c r="D33" s="257" t="s">
        <v>1271</v>
      </c>
      <c r="E33" s="256" t="s">
        <v>1799</v>
      </c>
      <c r="F33" s="256" t="s">
        <v>1741</v>
      </c>
      <c r="G33" s="258">
        <v>2444000000</v>
      </c>
      <c r="H33" s="265">
        <v>0</v>
      </c>
      <c r="I33" s="258">
        <v>0</v>
      </c>
      <c r="J33" s="258">
        <v>2444000000</v>
      </c>
      <c r="K33" s="256" t="s">
        <v>1348</v>
      </c>
    </row>
    <row r="34" spans="1:11" x14ac:dyDescent="0.3">
      <c r="A34" s="256">
        <v>27</v>
      </c>
      <c r="B34" s="257" t="s">
        <v>1208</v>
      </c>
      <c r="C34" s="276">
        <v>44316</v>
      </c>
      <c r="D34" s="257" t="s">
        <v>1293</v>
      </c>
      <c r="E34" s="256" t="s">
        <v>1826</v>
      </c>
      <c r="F34" s="256" t="s">
        <v>1741</v>
      </c>
      <c r="G34" s="258">
        <v>6893000000</v>
      </c>
      <c r="H34" s="265">
        <v>0.1</v>
      </c>
      <c r="I34" s="258">
        <v>689300000</v>
      </c>
      <c r="J34" s="258">
        <v>7582300000</v>
      </c>
      <c r="K34" s="256" t="s">
        <v>1346</v>
      </c>
    </row>
    <row r="35" spans="1:11" x14ac:dyDescent="0.3">
      <c r="A35" s="256">
        <v>28</v>
      </c>
      <c r="B35" s="257" t="s">
        <v>1483</v>
      </c>
      <c r="C35" s="276">
        <v>44377</v>
      </c>
      <c r="D35" s="257" t="s">
        <v>1259</v>
      </c>
      <c r="E35" s="256" t="s">
        <v>1788</v>
      </c>
      <c r="F35" s="256" t="s">
        <v>1869</v>
      </c>
      <c r="G35" s="258">
        <v>3854000000</v>
      </c>
      <c r="H35" s="265">
        <v>0</v>
      </c>
      <c r="I35" s="258">
        <v>0</v>
      </c>
      <c r="J35" s="258">
        <v>3854000000</v>
      </c>
      <c r="K35" s="256" t="s">
        <v>1346</v>
      </c>
    </row>
    <row r="36" spans="1:11" x14ac:dyDescent="0.3">
      <c r="A36" s="256">
        <v>29</v>
      </c>
      <c r="B36" s="257" t="s">
        <v>1408</v>
      </c>
      <c r="C36" s="276">
        <v>44469</v>
      </c>
      <c r="D36" s="257" t="s">
        <v>1301</v>
      </c>
      <c r="E36" s="256" t="s">
        <v>1781</v>
      </c>
      <c r="F36" s="256" t="s">
        <v>1870</v>
      </c>
      <c r="G36" s="258">
        <v>2530000000</v>
      </c>
      <c r="H36" s="265">
        <v>0.1</v>
      </c>
      <c r="I36" s="258">
        <v>253000000</v>
      </c>
      <c r="J36" s="258">
        <v>2783000000</v>
      </c>
      <c r="K36" s="256" t="s">
        <v>1348</v>
      </c>
    </row>
    <row r="37" spans="1:11" x14ac:dyDescent="0.3">
      <c r="A37" s="256">
        <v>30</v>
      </c>
      <c r="B37" s="257" t="s">
        <v>1409</v>
      </c>
      <c r="C37" s="276">
        <v>44530</v>
      </c>
      <c r="D37" s="257" t="s">
        <v>1302</v>
      </c>
      <c r="E37" s="256" t="s">
        <v>1784</v>
      </c>
      <c r="F37" s="256" t="s">
        <v>1870</v>
      </c>
      <c r="G37" s="258">
        <v>3630000000</v>
      </c>
      <c r="H37" s="265">
        <v>0.1</v>
      </c>
      <c r="I37" s="258">
        <v>363000000</v>
      </c>
      <c r="J37" s="258">
        <v>3993000000</v>
      </c>
      <c r="K37" s="256" t="s">
        <v>1346</v>
      </c>
    </row>
    <row r="38" spans="1:11" x14ac:dyDescent="0.3">
      <c r="A38" s="256">
        <v>31</v>
      </c>
      <c r="B38" s="257" t="s">
        <v>1461</v>
      </c>
      <c r="C38" s="276">
        <v>44286</v>
      </c>
      <c r="D38" s="257" t="s">
        <v>1266</v>
      </c>
      <c r="E38" s="256" t="s">
        <v>1824</v>
      </c>
      <c r="F38" s="256" t="s">
        <v>1730</v>
      </c>
      <c r="G38" s="258">
        <v>5672000000</v>
      </c>
      <c r="H38" s="265">
        <v>0.1</v>
      </c>
      <c r="I38" s="258">
        <v>567200000</v>
      </c>
      <c r="J38" s="258">
        <v>6239200000</v>
      </c>
      <c r="K38" s="256" t="s">
        <v>1346</v>
      </c>
    </row>
    <row r="39" spans="1:11" x14ac:dyDescent="0.3">
      <c r="A39" s="256">
        <v>32</v>
      </c>
      <c r="B39" s="257" t="s">
        <v>1387</v>
      </c>
      <c r="C39" s="276">
        <v>44347</v>
      </c>
      <c r="D39" s="257" t="s">
        <v>1298</v>
      </c>
      <c r="E39" s="256" t="s">
        <v>1819</v>
      </c>
      <c r="F39" s="256" t="s">
        <v>1734</v>
      </c>
      <c r="G39" s="258">
        <v>2391000000</v>
      </c>
      <c r="H39" s="265">
        <v>0</v>
      </c>
      <c r="I39" s="258">
        <v>0</v>
      </c>
      <c r="J39" s="258">
        <v>2391000000</v>
      </c>
      <c r="K39" s="256" t="s">
        <v>1346</v>
      </c>
    </row>
    <row r="40" spans="1:11" x14ac:dyDescent="0.3">
      <c r="A40" s="256">
        <v>33</v>
      </c>
      <c r="B40" s="257" t="s">
        <v>1388</v>
      </c>
      <c r="C40" s="276">
        <v>44408</v>
      </c>
      <c r="D40" s="257" t="s">
        <v>1294</v>
      </c>
      <c r="E40" s="256" t="s">
        <v>1795</v>
      </c>
      <c r="F40" s="256" t="s">
        <v>1869</v>
      </c>
      <c r="G40" s="258">
        <v>6317000000</v>
      </c>
      <c r="H40" s="265">
        <v>0.1</v>
      </c>
      <c r="I40" s="258">
        <v>631700000</v>
      </c>
      <c r="J40" s="258">
        <v>6948700000</v>
      </c>
      <c r="K40" s="256" t="s">
        <v>1346</v>
      </c>
    </row>
    <row r="41" spans="1:11" x14ac:dyDescent="0.3">
      <c r="A41" s="256">
        <v>34</v>
      </c>
      <c r="B41" s="257" t="s">
        <v>1398</v>
      </c>
      <c r="C41" s="276">
        <v>44439</v>
      </c>
      <c r="D41" s="257" t="s">
        <v>1258</v>
      </c>
      <c r="E41" s="256" t="s">
        <v>1833</v>
      </c>
      <c r="F41" s="256" t="s">
        <v>1734</v>
      </c>
      <c r="G41" s="258">
        <v>6115000000</v>
      </c>
      <c r="H41" s="265">
        <v>0.1</v>
      </c>
      <c r="I41" s="258">
        <v>611500000</v>
      </c>
      <c r="J41" s="258">
        <v>6726500000</v>
      </c>
      <c r="K41" s="256" t="s">
        <v>1346</v>
      </c>
    </row>
    <row r="42" spans="1:11" x14ac:dyDescent="0.3">
      <c r="A42" s="256">
        <v>35</v>
      </c>
      <c r="B42" s="257" t="s">
        <v>1469</v>
      </c>
      <c r="C42" s="276">
        <v>44500</v>
      </c>
      <c r="D42" s="257" t="s">
        <v>1279</v>
      </c>
      <c r="E42" s="256" t="s">
        <v>1827</v>
      </c>
      <c r="F42" s="256" t="s">
        <v>1741</v>
      </c>
      <c r="G42" s="258">
        <v>7274000000</v>
      </c>
      <c r="H42" s="265">
        <v>0.1</v>
      </c>
      <c r="I42" s="258">
        <v>727400000</v>
      </c>
      <c r="J42" s="258">
        <v>8001400000</v>
      </c>
      <c r="K42" s="256" t="s">
        <v>1346</v>
      </c>
    </row>
    <row r="43" spans="1:11" x14ac:dyDescent="0.3">
      <c r="A43" s="256">
        <v>36</v>
      </c>
      <c r="B43" s="257" t="s">
        <v>1399</v>
      </c>
      <c r="C43" s="276">
        <v>44561</v>
      </c>
      <c r="D43" s="257" t="s">
        <v>1291</v>
      </c>
      <c r="E43" s="256" t="s">
        <v>1800</v>
      </c>
      <c r="F43" s="256" t="s">
        <v>1869</v>
      </c>
      <c r="G43" s="258">
        <v>6940000000</v>
      </c>
      <c r="H43" s="265">
        <v>0.1</v>
      </c>
      <c r="I43" s="258">
        <v>694000000</v>
      </c>
      <c r="J43" s="258">
        <v>7634000000</v>
      </c>
      <c r="K43" s="256" t="s">
        <v>1346</v>
      </c>
    </row>
    <row r="44" spans="1:11" x14ac:dyDescent="0.3">
      <c r="A44" s="256">
        <v>37</v>
      </c>
      <c r="B44" s="257" t="s">
        <v>1406</v>
      </c>
      <c r="C44" s="276">
        <v>44561</v>
      </c>
      <c r="D44" s="257" t="s">
        <v>1287</v>
      </c>
      <c r="E44" s="256" t="s">
        <v>1801</v>
      </c>
      <c r="F44" s="256" t="s">
        <v>1870</v>
      </c>
      <c r="G44" s="258">
        <v>6649000000</v>
      </c>
      <c r="H44" s="265">
        <v>0.1</v>
      </c>
      <c r="I44" s="258">
        <v>664900000</v>
      </c>
      <c r="J44" s="258">
        <v>7313900000</v>
      </c>
      <c r="K44" s="256" t="s">
        <v>1346</v>
      </c>
    </row>
    <row r="45" spans="1:11" x14ac:dyDescent="0.3">
      <c r="A45" s="256">
        <v>38</v>
      </c>
      <c r="B45" s="257" t="s">
        <v>1461</v>
      </c>
      <c r="C45" s="276">
        <v>44561</v>
      </c>
      <c r="D45" s="257" t="s">
        <v>1278</v>
      </c>
      <c r="E45" s="256" t="s">
        <v>1785</v>
      </c>
      <c r="F45" s="256" t="s">
        <v>1871</v>
      </c>
      <c r="G45" s="258">
        <v>7729000000</v>
      </c>
      <c r="H45" s="265">
        <v>0.1</v>
      </c>
      <c r="I45" s="258">
        <v>772900000</v>
      </c>
      <c r="J45" s="258">
        <v>8501900000</v>
      </c>
      <c r="K45" s="256" t="s">
        <v>1346</v>
      </c>
    </row>
    <row r="46" spans="1:11" x14ac:dyDescent="0.3">
      <c r="A46" s="256">
        <v>39</v>
      </c>
      <c r="B46" s="257" t="s">
        <v>1473</v>
      </c>
      <c r="C46" s="276">
        <v>44561</v>
      </c>
      <c r="D46" s="257" t="s">
        <v>1304</v>
      </c>
      <c r="E46" s="256" t="s">
        <v>1831</v>
      </c>
      <c r="F46" s="256" t="s">
        <v>1868</v>
      </c>
      <c r="G46" s="258">
        <v>2176000000</v>
      </c>
      <c r="H46" s="265">
        <v>0.1</v>
      </c>
      <c r="I46" s="258">
        <v>217600000</v>
      </c>
      <c r="J46" s="258">
        <v>2393600000</v>
      </c>
      <c r="K46" s="256" t="s">
        <v>1346</v>
      </c>
    </row>
    <row r="47" spans="1:11" x14ac:dyDescent="0.3">
      <c r="A47" s="256">
        <v>40</v>
      </c>
      <c r="B47" s="257" t="s">
        <v>1473</v>
      </c>
      <c r="C47" s="276">
        <v>44561</v>
      </c>
      <c r="D47" s="257" t="s">
        <v>1271</v>
      </c>
      <c r="E47" s="256" t="s">
        <v>1799</v>
      </c>
      <c r="F47" s="256" t="s">
        <v>1734</v>
      </c>
      <c r="G47" s="258">
        <v>7821000000</v>
      </c>
      <c r="H47" s="265">
        <v>0</v>
      </c>
      <c r="I47" s="258">
        <v>0</v>
      </c>
      <c r="J47" s="258">
        <v>7821000000</v>
      </c>
      <c r="K47" s="256" t="s">
        <v>1346</v>
      </c>
    </row>
    <row r="48" spans="1:11" x14ac:dyDescent="0.3">
      <c r="A48" s="256">
        <v>41</v>
      </c>
      <c r="B48" s="257" t="s">
        <v>1462</v>
      </c>
      <c r="C48" s="276">
        <v>44561</v>
      </c>
      <c r="D48" s="257" t="s">
        <v>1266</v>
      </c>
      <c r="E48" s="256" t="s">
        <v>1824</v>
      </c>
      <c r="F48" s="256" t="s">
        <v>1734</v>
      </c>
      <c r="G48" s="258">
        <v>3234000000</v>
      </c>
      <c r="H48" s="265">
        <v>0.1</v>
      </c>
      <c r="I48" s="258">
        <v>323400000</v>
      </c>
      <c r="J48" s="258">
        <v>3557400000</v>
      </c>
      <c r="K48" s="256" t="s">
        <v>1346</v>
      </c>
    </row>
    <row r="49" spans="1:11" x14ac:dyDescent="0.3">
      <c r="A49" s="256">
        <v>42</v>
      </c>
      <c r="B49" s="257" t="s">
        <v>1488</v>
      </c>
      <c r="C49" s="276">
        <v>44561</v>
      </c>
      <c r="D49" s="257" t="s">
        <v>1284</v>
      </c>
      <c r="E49" s="256" t="s">
        <v>1786</v>
      </c>
      <c r="F49" s="256" t="s">
        <v>1734</v>
      </c>
      <c r="G49" s="258">
        <v>4640000000</v>
      </c>
      <c r="H49" s="265">
        <v>0.1</v>
      </c>
      <c r="I49" s="258">
        <v>464000000</v>
      </c>
      <c r="J49" s="258">
        <v>5104000000</v>
      </c>
      <c r="K49" s="256" t="s">
        <v>1346</v>
      </c>
    </row>
    <row r="50" spans="1:11" x14ac:dyDescent="0.3">
      <c r="A50" s="256">
        <v>43</v>
      </c>
      <c r="B50" s="257" t="s">
        <v>1209</v>
      </c>
      <c r="C50" s="276">
        <v>44561</v>
      </c>
      <c r="D50" s="257" t="s">
        <v>1293</v>
      </c>
      <c r="E50" s="256" t="s">
        <v>1826</v>
      </c>
      <c r="F50" s="256" t="s">
        <v>1731</v>
      </c>
      <c r="G50" s="258">
        <v>4635000000</v>
      </c>
      <c r="H50" s="265">
        <v>0.1</v>
      </c>
      <c r="I50" s="258">
        <v>463500000</v>
      </c>
      <c r="J50" s="258">
        <v>5098500000</v>
      </c>
      <c r="K50" s="256" t="s">
        <v>1346</v>
      </c>
    </row>
    <row r="51" spans="1:11" x14ac:dyDescent="0.3">
      <c r="A51" s="256">
        <v>44</v>
      </c>
      <c r="B51" s="257" t="s">
        <v>1474</v>
      </c>
      <c r="C51" s="276">
        <v>44561</v>
      </c>
      <c r="D51" s="257" t="s">
        <v>1271</v>
      </c>
      <c r="E51" s="256" t="s">
        <v>1799</v>
      </c>
      <c r="F51" s="256" t="s">
        <v>1870</v>
      </c>
      <c r="G51" s="258">
        <v>4813000000</v>
      </c>
      <c r="H51" s="265">
        <v>0.1</v>
      </c>
      <c r="I51" s="258">
        <v>481300000</v>
      </c>
      <c r="J51" s="258">
        <v>5294300000</v>
      </c>
      <c r="K51" s="256" t="s">
        <v>1346</v>
      </c>
    </row>
    <row r="52" spans="1:11" x14ac:dyDescent="0.3">
      <c r="A52" s="256">
        <v>45</v>
      </c>
      <c r="B52" s="257" t="s">
        <v>1411</v>
      </c>
      <c r="C52" s="276">
        <v>44561</v>
      </c>
      <c r="D52" s="257" t="s">
        <v>1264</v>
      </c>
      <c r="E52" s="256" t="s">
        <v>1779</v>
      </c>
      <c r="F52" s="256" t="s">
        <v>1869</v>
      </c>
      <c r="G52" s="258">
        <v>5019000000</v>
      </c>
      <c r="H52" s="265">
        <v>0.1</v>
      </c>
      <c r="I52" s="258">
        <v>501900000</v>
      </c>
      <c r="J52" s="258">
        <v>5520900000</v>
      </c>
      <c r="K52" s="256" t="s">
        <v>1346</v>
      </c>
    </row>
    <row r="53" spans="1:11" x14ac:dyDescent="0.3">
      <c r="A53" s="256">
        <v>46</v>
      </c>
      <c r="B53" s="257" t="s">
        <v>1469</v>
      </c>
      <c r="C53" s="276">
        <v>44561</v>
      </c>
      <c r="D53" s="257" t="s">
        <v>1275</v>
      </c>
      <c r="E53" s="256" t="s">
        <v>1808</v>
      </c>
      <c r="F53" s="256" t="s">
        <v>1869</v>
      </c>
      <c r="G53" s="258">
        <v>5699000000</v>
      </c>
      <c r="H53" s="265">
        <v>0.1</v>
      </c>
      <c r="I53" s="258">
        <v>569900000</v>
      </c>
      <c r="J53" s="258">
        <v>6268900000</v>
      </c>
      <c r="K53" s="256" t="s">
        <v>1346</v>
      </c>
    </row>
    <row r="54" spans="1:11" x14ac:dyDescent="0.3">
      <c r="A54" s="256">
        <v>47</v>
      </c>
      <c r="B54" s="257" t="s">
        <v>1474</v>
      </c>
      <c r="C54" s="276">
        <v>44561</v>
      </c>
      <c r="D54" s="257" t="s">
        <v>1276</v>
      </c>
      <c r="E54" s="256" t="s">
        <v>1822</v>
      </c>
      <c r="F54" s="256" t="s">
        <v>1734</v>
      </c>
      <c r="G54" s="258">
        <v>8236000000</v>
      </c>
      <c r="H54" s="265">
        <v>0.1</v>
      </c>
      <c r="I54" s="258">
        <v>823600000</v>
      </c>
      <c r="J54" s="258">
        <v>9059600000</v>
      </c>
      <c r="K54" s="256" t="s">
        <v>1346</v>
      </c>
    </row>
    <row r="55" spans="1:11" x14ac:dyDescent="0.3">
      <c r="A55" s="256">
        <v>48</v>
      </c>
      <c r="B55" s="257" t="s">
        <v>1458</v>
      </c>
      <c r="C55" s="276">
        <v>44561</v>
      </c>
      <c r="D55" s="257" t="s">
        <v>1257</v>
      </c>
      <c r="E55" s="256" t="s">
        <v>1815</v>
      </c>
      <c r="F55" s="256" t="s">
        <v>1731</v>
      </c>
      <c r="G55" s="258">
        <v>7105000000</v>
      </c>
      <c r="H55" s="265">
        <v>0.1</v>
      </c>
      <c r="I55" s="258">
        <v>710500000</v>
      </c>
      <c r="J55" s="258">
        <v>7815500000</v>
      </c>
      <c r="K55" s="256" t="s">
        <v>1346</v>
      </c>
    </row>
    <row r="56" spans="1:11" x14ac:dyDescent="0.3">
      <c r="A56" s="256">
        <v>49</v>
      </c>
      <c r="B56" s="257" t="s">
        <v>1470</v>
      </c>
      <c r="C56" s="276">
        <v>44561</v>
      </c>
      <c r="D56" s="257" t="s">
        <v>1275</v>
      </c>
      <c r="E56" s="256" t="s">
        <v>1808</v>
      </c>
      <c r="F56" s="256" t="s">
        <v>1734</v>
      </c>
      <c r="G56" s="258">
        <v>7844000000</v>
      </c>
      <c r="H56" s="265">
        <v>0.1</v>
      </c>
      <c r="I56" s="258">
        <v>784400000</v>
      </c>
      <c r="J56" s="258">
        <v>8628400000</v>
      </c>
      <c r="K56" s="256" t="s">
        <v>1346</v>
      </c>
    </row>
    <row r="57" spans="1:11" x14ac:dyDescent="0.3">
      <c r="A57" s="256">
        <v>50</v>
      </c>
      <c r="B57" s="257" t="s">
        <v>1461</v>
      </c>
      <c r="C57" s="276">
        <v>44561</v>
      </c>
      <c r="D57" s="257" t="s">
        <v>1262</v>
      </c>
      <c r="E57" s="256" t="s">
        <v>1816</v>
      </c>
      <c r="F57" s="256" t="s">
        <v>1869</v>
      </c>
      <c r="G57" s="258">
        <v>6625000000</v>
      </c>
      <c r="H57" s="265">
        <v>0.1</v>
      </c>
      <c r="I57" s="258">
        <v>662500000</v>
      </c>
      <c r="J57" s="258">
        <v>7287500000</v>
      </c>
      <c r="K57" s="256" t="s">
        <v>1348</v>
      </c>
    </row>
    <row r="58" spans="1:11" x14ac:dyDescent="0.3">
      <c r="A58" s="266" t="s">
        <v>1351</v>
      </c>
      <c r="B58" s="266"/>
      <c r="C58" s="266"/>
      <c r="D58" s="266"/>
      <c r="E58" s="266"/>
      <c r="F58" s="266"/>
      <c r="G58" s="267">
        <f>SUM(G8:G57)</f>
        <v>270935000000</v>
      </c>
      <c r="H58" s="266"/>
      <c r="I58" s="267">
        <f>SUM(I8:I57)</f>
        <v>23379100000</v>
      </c>
      <c r="J58" s="267">
        <f>SUM(J8:J57)</f>
        <v>294314100000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1279</v>
      </c>
      <c r="E62" s="256" t="s">
        <v>1827</v>
      </c>
      <c r="F62" s="256" t="s">
        <v>1872</v>
      </c>
      <c r="G62" s="258">
        <v>8403000000</v>
      </c>
      <c r="H62" s="265">
        <v>0.1</v>
      </c>
      <c r="I62" s="258">
        <v>840300000</v>
      </c>
      <c r="J62" s="258">
        <v>9243300000</v>
      </c>
      <c r="K62" s="256" t="s">
        <v>1346</v>
      </c>
    </row>
    <row r="63" spans="1:11" x14ac:dyDescent="0.3">
      <c r="A63" s="256">
        <v>2</v>
      </c>
      <c r="B63" s="257" t="s">
        <v>1201</v>
      </c>
      <c r="C63" s="276">
        <v>44318</v>
      </c>
      <c r="D63" s="257" t="s">
        <v>1285</v>
      </c>
      <c r="E63" s="256" t="s">
        <v>1793</v>
      </c>
      <c r="F63" s="256" t="s">
        <v>1873</v>
      </c>
      <c r="G63" s="258">
        <v>9596000000</v>
      </c>
      <c r="H63" s="265">
        <v>0.1</v>
      </c>
      <c r="I63" s="258">
        <v>959600000</v>
      </c>
      <c r="J63" s="258">
        <v>10555600000</v>
      </c>
      <c r="K63" s="256" t="s">
        <v>1346</v>
      </c>
    </row>
    <row r="64" spans="1:11" x14ac:dyDescent="0.3">
      <c r="A64" s="256">
        <v>3</v>
      </c>
      <c r="B64" s="257" t="s">
        <v>1202</v>
      </c>
      <c r="C64" s="276">
        <v>44472</v>
      </c>
      <c r="D64" s="257" t="s">
        <v>1273</v>
      </c>
      <c r="E64" s="256" t="s">
        <v>1829</v>
      </c>
      <c r="F64" s="256" t="s">
        <v>1872</v>
      </c>
      <c r="G64" s="258">
        <v>11530000000</v>
      </c>
      <c r="H64" s="265">
        <v>0.1</v>
      </c>
      <c r="I64" s="258">
        <v>1153000000</v>
      </c>
      <c r="J64" s="258">
        <v>12683000000</v>
      </c>
      <c r="K64" s="256" t="s">
        <v>1346</v>
      </c>
    </row>
    <row r="65" spans="1:11" x14ac:dyDescent="0.3">
      <c r="A65" s="256">
        <v>4</v>
      </c>
      <c r="B65" s="257" t="s">
        <v>1355</v>
      </c>
      <c r="C65" s="276">
        <v>44473</v>
      </c>
      <c r="D65" s="257" t="s">
        <v>1289</v>
      </c>
      <c r="E65" s="256" t="s">
        <v>1803</v>
      </c>
      <c r="F65" s="256" t="s">
        <v>1872</v>
      </c>
      <c r="G65" s="258">
        <v>10215000000</v>
      </c>
      <c r="H65" s="265">
        <v>0.1</v>
      </c>
      <c r="I65" s="258">
        <v>1021500000</v>
      </c>
      <c r="J65" s="258">
        <v>11236500000</v>
      </c>
      <c r="K65" s="256" t="s">
        <v>1346</v>
      </c>
    </row>
    <row r="66" spans="1:11" x14ac:dyDescent="0.3">
      <c r="A66" s="256">
        <v>5</v>
      </c>
      <c r="B66" s="257" t="s">
        <v>1356</v>
      </c>
      <c r="C66" s="276">
        <v>44474</v>
      </c>
      <c r="D66" s="257" t="s">
        <v>1270</v>
      </c>
      <c r="E66" s="256" t="s">
        <v>1782</v>
      </c>
      <c r="F66" s="256" t="s">
        <v>1873</v>
      </c>
      <c r="G66" s="258">
        <v>4032000000</v>
      </c>
      <c r="H66" s="265">
        <v>0.1</v>
      </c>
      <c r="I66" s="258">
        <v>403200000</v>
      </c>
      <c r="J66" s="258">
        <v>4435200000</v>
      </c>
      <c r="K66" s="256" t="s">
        <v>1346</v>
      </c>
    </row>
    <row r="67" spans="1:11" x14ac:dyDescent="0.3">
      <c r="A67" s="256">
        <v>6</v>
      </c>
      <c r="B67" s="257" t="s">
        <v>1358</v>
      </c>
      <c r="C67" s="276">
        <v>44475</v>
      </c>
      <c r="D67" s="257" t="s">
        <v>1282</v>
      </c>
      <c r="E67" s="256" t="s">
        <v>1789</v>
      </c>
      <c r="F67" s="256" t="s">
        <v>1872</v>
      </c>
      <c r="G67" s="258">
        <v>5656000000</v>
      </c>
      <c r="H67" s="265">
        <v>0.1</v>
      </c>
      <c r="I67" s="258">
        <v>565600000</v>
      </c>
      <c r="J67" s="258">
        <v>6221600000</v>
      </c>
      <c r="K67" s="256" t="s">
        <v>1346</v>
      </c>
    </row>
    <row r="68" spans="1:11" x14ac:dyDescent="0.3">
      <c r="A68" s="256">
        <v>7</v>
      </c>
      <c r="B68" s="257" t="s">
        <v>1360</v>
      </c>
      <c r="C68" s="276">
        <v>44476</v>
      </c>
      <c r="D68" s="257" t="s">
        <v>1292</v>
      </c>
      <c r="E68" s="256" t="s">
        <v>1792</v>
      </c>
      <c r="F68" s="256" t="s">
        <v>1874</v>
      </c>
      <c r="G68" s="258">
        <v>8918000000</v>
      </c>
      <c r="H68" s="265">
        <v>0</v>
      </c>
      <c r="I68" s="258">
        <v>0</v>
      </c>
      <c r="J68" s="258">
        <v>8918000000</v>
      </c>
      <c r="K68" s="256" t="s">
        <v>1346</v>
      </c>
    </row>
    <row r="69" spans="1:11" x14ac:dyDescent="0.3">
      <c r="A69" s="256">
        <v>8</v>
      </c>
      <c r="B69" s="257" t="s">
        <v>1362</v>
      </c>
      <c r="C69" s="276">
        <v>44477</v>
      </c>
      <c r="D69" s="257" t="s">
        <v>1277</v>
      </c>
      <c r="E69" s="256" t="s">
        <v>1783</v>
      </c>
      <c r="F69" s="256" t="s">
        <v>1874</v>
      </c>
      <c r="G69" s="258">
        <v>9092000000</v>
      </c>
      <c r="H69" s="265">
        <v>0.1</v>
      </c>
      <c r="I69" s="258">
        <v>909200000</v>
      </c>
      <c r="J69" s="258">
        <v>10001200000</v>
      </c>
      <c r="K69" s="256" t="s">
        <v>1346</v>
      </c>
    </row>
    <row r="70" spans="1:11" x14ac:dyDescent="0.3">
      <c r="A70" s="256">
        <v>9</v>
      </c>
      <c r="B70" s="257" t="s">
        <v>1364</v>
      </c>
      <c r="C70" s="276">
        <v>44478</v>
      </c>
      <c r="D70" s="257" t="s">
        <v>1284</v>
      </c>
      <c r="E70" s="256" t="s">
        <v>1786</v>
      </c>
      <c r="F70" s="256" t="s">
        <v>1875</v>
      </c>
      <c r="G70" s="258">
        <v>9990000000</v>
      </c>
      <c r="H70" s="265">
        <v>0.1</v>
      </c>
      <c r="I70" s="258">
        <v>999000000</v>
      </c>
      <c r="J70" s="258">
        <v>10989000000</v>
      </c>
      <c r="K70" s="256" t="s">
        <v>1346</v>
      </c>
    </row>
    <row r="71" spans="1:11" x14ac:dyDescent="0.3">
      <c r="A71" s="256">
        <v>10</v>
      </c>
      <c r="B71" s="257" t="s">
        <v>1366</v>
      </c>
      <c r="C71" s="276">
        <v>44479</v>
      </c>
      <c r="D71" s="257" t="s">
        <v>1262</v>
      </c>
      <c r="E71" s="256" t="s">
        <v>1816</v>
      </c>
      <c r="F71" s="256" t="s">
        <v>1873</v>
      </c>
      <c r="G71" s="258">
        <v>7803000000</v>
      </c>
      <c r="H71" s="265">
        <v>0.1</v>
      </c>
      <c r="I71" s="258">
        <v>780300000</v>
      </c>
      <c r="J71" s="258">
        <v>8583300000</v>
      </c>
      <c r="K71" s="256" t="s">
        <v>1346</v>
      </c>
    </row>
    <row r="72" spans="1:11" x14ac:dyDescent="0.3">
      <c r="A72" s="256">
        <v>11</v>
      </c>
      <c r="B72" s="257" t="s">
        <v>1368</v>
      </c>
      <c r="C72" s="276">
        <v>44480</v>
      </c>
      <c r="D72" s="257" t="s">
        <v>1291</v>
      </c>
      <c r="E72" s="256" t="s">
        <v>1800</v>
      </c>
      <c r="F72" s="256" t="s">
        <v>1875</v>
      </c>
      <c r="G72" s="258">
        <v>5031000000</v>
      </c>
      <c r="H72" s="265">
        <v>0.1</v>
      </c>
      <c r="I72" s="258">
        <v>503100000</v>
      </c>
      <c r="J72" s="258">
        <v>5534100000</v>
      </c>
      <c r="K72" s="256" t="s">
        <v>1348</v>
      </c>
    </row>
    <row r="73" spans="1:11" x14ac:dyDescent="0.3">
      <c r="A73" s="256">
        <v>12</v>
      </c>
      <c r="B73" s="257" t="s">
        <v>1371</v>
      </c>
      <c r="C73" s="276">
        <v>44481</v>
      </c>
      <c r="D73" s="257" t="s">
        <v>1270</v>
      </c>
      <c r="E73" s="256" t="s">
        <v>1782</v>
      </c>
      <c r="F73" s="256" t="s">
        <v>1875</v>
      </c>
      <c r="G73" s="258">
        <v>6857000000</v>
      </c>
      <c r="H73" s="265">
        <v>0.1</v>
      </c>
      <c r="I73" s="258">
        <v>685700000</v>
      </c>
      <c r="J73" s="258">
        <v>7542700000</v>
      </c>
      <c r="K73" s="256" t="s">
        <v>1346</v>
      </c>
    </row>
    <row r="74" spans="1:11" x14ac:dyDescent="0.3">
      <c r="A74" s="256">
        <v>13</v>
      </c>
      <c r="B74" s="257" t="s">
        <v>1373</v>
      </c>
      <c r="C74" s="276">
        <v>44211</v>
      </c>
      <c r="D74" s="257" t="s">
        <v>1296</v>
      </c>
      <c r="E74" s="256" t="s">
        <v>1807</v>
      </c>
      <c r="F74" s="256" t="s">
        <v>1875</v>
      </c>
      <c r="G74" s="258">
        <v>3045000000</v>
      </c>
      <c r="H74" s="265">
        <v>0.1</v>
      </c>
      <c r="I74" s="258">
        <v>304500000</v>
      </c>
      <c r="J74" s="258">
        <v>3349500000</v>
      </c>
      <c r="K74" s="256" t="s">
        <v>1346</v>
      </c>
    </row>
    <row r="75" spans="1:11" x14ac:dyDescent="0.3">
      <c r="A75" s="256">
        <v>14</v>
      </c>
      <c r="B75" s="257" t="s">
        <v>1374</v>
      </c>
      <c r="C75" s="276">
        <v>44242</v>
      </c>
      <c r="D75" s="257" t="s">
        <v>1273</v>
      </c>
      <c r="E75" s="256" t="s">
        <v>1829</v>
      </c>
      <c r="F75" s="256" t="s">
        <v>1874</v>
      </c>
      <c r="G75" s="258">
        <v>9447000000</v>
      </c>
      <c r="H75" s="265">
        <v>0.1</v>
      </c>
      <c r="I75" s="258">
        <v>944700000</v>
      </c>
      <c r="J75" s="258">
        <v>10391700000</v>
      </c>
      <c r="K75" s="256" t="s">
        <v>1346</v>
      </c>
    </row>
    <row r="76" spans="1:11" x14ac:dyDescent="0.3">
      <c r="A76" s="256">
        <v>15</v>
      </c>
      <c r="B76" s="257" t="s">
        <v>1376</v>
      </c>
      <c r="C76" s="276">
        <v>44275</v>
      </c>
      <c r="D76" s="257" t="s">
        <v>1287</v>
      </c>
      <c r="E76" s="256" t="s">
        <v>1801</v>
      </c>
      <c r="F76" s="256" t="s">
        <v>1873</v>
      </c>
      <c r="G76" s="258">
        <v>11364000000</v>
      </c>
      <c r="H76" s="265">
        <v>0.1</v>
      </c>
      <c r="I76" s="258">
        <v>1136400000</v>
      </c>
      <c r="J76" s="258">
        <v>12500400000</v>
      </c>
      <c r="K76" s="256" t="s">
        <v>1346</v>
      </c>
    </row>
    <row r="77" spans="1:11" x14ac:dyDescent="0.3">
      <c r="A77" s="256">
        <v>16</v>
      </c>
      <c r="B77" s="257" t="s">
        <v>1378</v>
      </c>
      <c r="C77" s="276">
        <v>44306</v>
      </c>
      <c r="D77" s="257" t="s">
        <v>1266</v>
      </c>
      <c r="E77" s="256" t="s">
        <v>1824</v>
      </c>
      <c r="F77" s="256" t="s">
        <v>1873</v>
      </c>
      <c r="G77" s="258">
        <v>9207000000</v>
      </c>
      <c r="H77" s="265">
        <v>0.1</v>
      </c>
      <c r="I77" s="258">
        <v>920700000</v>
      </c>
      <c r="J77" s="258">
        <v>10127700000</v>
      </c>
      <c r="K77" s="256" t="s">
        <v>1346</v>
      </c>
    </row>
    <row r="78" spans="1:11" x14ac:dyDescent="0.3">
      <c r="A78" s="256">
        <v>17</v>
      </c>
      <c r="B78" s="257" t="s">
        <v>1379</v>
      </c>
      <c r="C78" s="276">
        <v>44336</v>
      </c>
      <c r="D78" s="257" t="s">
        <v>1271</v>
      </c>
      <c r="E78" s="256" t="s">
        <v>1799</v>
      </c>
      <c r="F78" s="256" t="s">
        <v>1873</v>
      </c>
      <c r="G78" s="258">
        <v>6138000000</v>
      </c>
      <c r="H78" s="265">
        <v>0.1</v>
      </c>
      <c r="I78" s="258">
        <v>613800000</v>
      </c>
      <c r="J78" s="258">
        <v>6751800000</v>
      </c>
      <c r="K78" s="256" t="s">
        <v>1346</v>
      </c>
    </row>
    <row r="79" spans="1:11" x14ac:dyDescent="0.3">
      <c r="A79" s="256">
        <v>18</v>
      </c>
      <c r="B79" s="257" t="s">
        <v>1381</v>
      </c>
      <c r="C79" s="276">
        <v>44367</v>
      </c>
      <c r="D79" s="257" t="s">
        <v>1271</v>
      </c>
      <c r="E79" s="256" t="s">
        <v>1799</v>
      </c>
      <c r="F79" s="256" t="s">
        <v>1874</v>
      </c>
      <c r="G79" s="258">
        <v>6594000000</v>
      </c>
      <c r="H79" s="265">
        <v>0.1</v>
      </c>
      <c r="I79" s="258">
        <v>659400000</v>
      </c>
      <c r="J79" s="258">
        <v>7253400000</v>
      </c>
      <c r="K79" s="256" t="s">
        <v>1346</v>
      </c>
    </row>
    <row r="80" spans="1:11" x14ac:dyDescent="0.3">
      <c r="A80" s="256">
        <v>19</v>
      </c>
      <c r="B80" s="257" t="s">
        <v>1382</v>
      </c>
      <c r="C80" s="276">
        <v>44397</v>
      </c>
      <c r="D80" s="257" t="s">
        <v>1257</v>
      </c>
      <c r="E80" s="256" t="s">
        <v>1815</v>
      </c>
      <c r="F80" s="256" t="s">
        <v>1872</v>
      </c>
      <c r="G80" s="258">
        <v>11556000000</v>
      </c>
      <c r="H80" s="265">
        <v>0.1</v>
      </c>
      <c r="I80" s="258">
        <v>1155600000</v>
      </c>
      <c r="J80" s="258">
        <v>12711600000</v>
      </c>
      <c r="K80" s="256" t="s">
        <v>1346</v>
      </c>
    </row>
    <row r="81" spans="1:11" x14ac:dyDescent="0.3">
      <c r="A81" s="256">
        <v>20</v>
      </c>
      <c r="B81" s="257" t="s">
        <v>1383</v>
      </c>
      <c r="C81" s="276">
        <v>44428</v>
      </c>
      <c r="D81" s="257" t="s">
        <v>1259</v>
      </c>
      <c r="E81" s="256" t="s">
        <v>1788</v>
      </c>
      <c r="F81" s="256" t="s">
        <v>1875</v>
      </c>
      <c r="G81" s="258">
        <v>8042000000</v>
      </c>
      <c r="H81" s="265">
        <v>0.1</v>
      </c>
      <c r="I81" s="258">
        <v>804200000</v>
      </c>
      <c r="J81" s="258">
        <v>8846200000</v>
      </c>
      <c r="K81" s="256" t="s">
        <v>1348</v>
      </c>
    </row>
    <row r="82" spans="1:11" x14ac:dyDescent="0.3">
      <c r="A82" s="256">
        <v>21</v>
      </c>
      <c r="B82" s="257" t="s">
        <v>1203</v>
      </c>
      <c r="C82" s="276">
        <v>44459</v>
      </c>
      <c r="D82" s="257" t="s">
        <v>1291</v>
      </c>
      <c r="E82" s="256" t="s">
        <v>1800</v>
      </c>
      <c r="F82" s="256" t="s">
        <v>1873</v>
      </c>
      <c r="G82" s="258">
        <v>10981000000</v>
      </c>
      <c r="H82" s="265">
        <v>0.1</v>
      </c>
      <c r="I82" s="258">
        <v>1098100000</v>
      </c>
      <c r="J82" s="258">
        <v>12079100000</v>
      </c>
      <c r="K82" s="256" t="s">
        <v>1346</v>
      </c>
    </row>
    <row r="83" spans="1:11" x14ac:dyDescent="0.3">
      <c r="A83" s="256">
        <v>22</v>
      </c>
      <c r="B83" s="257" t="s">
        <v>1204</v>
      </c>
      <c r="C83" s="276">
        <v>44489</v>
      </c>
      <c r="D83" s="257" t="s">
        <v>1299</v>
      </c>
      <c r="E83" s="256" t="s">
        <v>1776</v>
      </c>
      <c r="F83" s="256" t="s">
        <v>1872</v>
      </c>
      <c r="G83" s="258">
        <v>6369000000</v>
      </c>
      <c r="H83" s="265">
        <v>0.1</v>
      </c>
      <c r="I83" s="258">
        <v>636900000</v>
      </c>
      <c r="J83" s="258">
        <v>7005900000</v>
      </c>
      <c r="K83" s="256" t="s">
        <v>1346</v>
      </c>
    </row>
    <row r="84" spans="1:11" x14ac:dyDescent="0.3">
      <c r="A84" s="256">
        <v>23</v>
      </c>
      <c r="B84" s="257" t="s">
        <v>1205</v>
      </c>
      <c r="C84" s="276">
        <v>44520</v>
      </c>
      <c r="D84" s="257" t="s">
        <v>1302</v>
      </c>
      <c r="E84" s="256" t="s">
        <v>1784</v>
      </c>
      <c r="F84" s="256" t="s">
        <v>1874</v>
      </c>
      <c r="G84" s="258">
        <v>7186000000</v>
      </c>
      <c r="H84" s="265">
        <v>0.1</v>
      </c>
      <c r="I84" s="258">
        <v>718600000</v>
      </c>
      <c r="J84" s="258">
        <v>7904600000</v>
      </c>
      <c r="K84" s="256" t="s">
        <v>1346</v>
      </c>
    </row>
    <row r="85" spans="1:11" x14ac:dyDescent="0.3">
      <c r="A85" s="256">
        <v>24</v>
      </c>
      <c r="B85" s="257" t="s">
        <v>1385</v>
      </c>
      <c r="C85" s="276">
        <v>44550</v>
      </c>
      <c r="D85" s="257" t="s">
        <v>1278</v>
      </c>
      <c r="E85" s="256" t="s">
        <v>1785</v>
      </c>
      <c r="F85" s="256" t="s">
        <v>1872</v>
      </c>
      <c r="G85" s="258">
        <v>8313000000</v>
      </c>
      <c r="H85" s="265">
        <v>0.1</v>
      </c>
      <c r="I85" s="258">
        <v>831300000</v>
      </c>
      <c r="J85" s="258">
        <v>9144300000</v>
      </c>
      <c r="K85" s="256" t="s">
        <v>1346</v>
      </c>
    </row>
    <row r="86" spans="1:11" x14ac:dyDescent="0.3">
      <c r="A86" s="256">
        <v>25</v>
      </c>
      <c r="B86" s="257" t="s">
        <v>1387</v>
      </c>
      <c r="C86" s="276">
        <v>44221</v>
      </c>
      <c r="D86" s="257" t="s">
        <v>1303</v>
      </c>
      <c r="E86" s="256" t="s">
        <v>1817</v>
      </c>
      <c r="F86" s="256" t="s">
        <v>1873</v>
      </c>
      <c r="G86" s="258">
        <v>6112000000</v>
      </c>
      <c r="H86" s="265">
        <v>0.1</v>
      </c>
      <c r="I86" s="258">
        <v>611200000</v>
      </c>
      <c r="J86" s="258">
        <v>6723200000</v>
      </c>
      <c r="K86" s="256" t="s">
        <v>1346</v>
      </c>
    </row>
    <row r="87" spans="1:11" x14ac:dyDescent="0.3">
      <c r="A87" s="256">
        <v>26</v>
      </c>
      <c r="B87" s="257" t="s">
        <v>1388</v>
      </c>
      <c r="C87" s="276">
        <v>44255</v>
      </c>
      <c r="D87" s="257" t="s">
        <v>1261</v>
      </c>
      <c r="E87" s="256" t="s">
        <v>1813</v>
      </c>
      <c r="F87" s="256" t="s">
        <v>1875</v>
      </c>
      <c r="G87" s="258">
        <v>9323000000</v>
      </c>
      <c r="H87" s="265">
        <v>0.1</v>
      </c>
      <c r="I87" s="258">
        <v>932300000</v>
      </c>
      <c r="J87" s="258">
        <v>10255300000</v>
      </c>
      <c r="K87" s="256" t="s">
        <v>1346</v>
      </c>
    </row>
    <row r="88" spans="1:11" x14ac:dyDescent="0.3">
      <c r="A88" s="256">
        <v>27</v>
      </c>
      <c r="B88" s="257" t="s">
        <v>1391</v>
      </c>
      <c r="C88" s="276">
        <v>44316</v>
      </c>
      <c r="D88" s="257" t="s">
        <v>1300</v>
      </c>
      <c r="E88" s="256" t="s">
        <v>1818</v>
      </c>
      <c r="F88" s="256" t="s">
        <v>1873</v>
      </c>
      <c r="G88" s="258">
        <v>3576000000</v>
      </c>
      <c r="H88" s="265">
        <v>0.1</v>
      </c>
      <c r="I88" s="258">
        <v>357600000</v>
      </c>
      <c r="J88" s="258">
        <v>3933600000</v>
      </c>
      <c r="K88" s="256" t="s">
        <v>1346</v>
      </c>
    </row>
    <row r="89" spans="1:11" x14ac:dyDescent="0.3">
      <c r="A89" s="256">
        <v>28</v>
      </c>
      <c r="B89" s="257" t="s">
        <v>1392</v>
      </c>
      <c r="C89" s="276">
        <v>44377</v>
      </c>
      <c r="D89" s="257" t="s">
        <v>1257</v>
      </c>
      <c r="E89" s="256" t="s">
        <v>1815</v>
      </c>
      <c r="F89" s="256" t="s">
        <v>1875</v>
      </c>
      <c r="G89" s="258">
        <v>9716000000</v>
      </c>
      <c r="H89" s="265">
        <v>0</v>
      </c>
      <c r="I89" s="258">
        <v>0</v>
      </c>
      <c r="J89" s="258">
        <v>9716000000</v>
      </c>
      <c r="K89" s="256" t="s">
        <v>1346</v>
      </c>
    </row>
    <row r="90" spans="1:11" x14ac:dyDescent="0.3">
      <c r="A90" s="256">
        <v>29</v>
      </c>
      <c r="B90" s="257" t="s">
        <v>1394</v>
      </c>
      <c r="C90" s="276">
        <v>44469</v>
      </c>
      <c r="D90" s="257" t="s">
        <v>1283</v>
      </c>
      <c r="E90" s="256" t="s">
        <v>1798</v>
      </c>
      <c r="F90" s="256" t="s">
        <v>1873</v>
      </c>
      <c r="G90" s="258">
        <v>9847000000</v>
      </c>
      <c r="H90" s="265">
        <v>0.1</v>
      </c>
      <c r="I90" s="258">
        <v>984700000</v>
      </c>
      <c r="J90" s="258">
        <v>10831700000</v>
      </c>
      <c r="K90" s="256" t="s">
        <v>1346</v>
      </c>
    </row>
    <row r="91" spans="1:11" x14ac:dyDescent="0.3">
      <c r="A91" s="256">
        <v>30</v>
      </c>
      <c r="B91" s="257" t="s">
        <v>1396</v>
      </c>
      <c r="C91" s="276">
        <v>44530</v>
      </c>
      <c r="D91" s="257" t="s">
        <v>1283</v>
      </c>
      <c r="E91" s="256" t="s">
        <v>1798</v>
      </c>
      <c r="F91" s="256" t="s">
        <v>1875</v>
      </c>
      <c r="G91" s="258">
        <v>4485000000</v>
      </c>
      <c r="H91" s="265">
        <v>0.1</v>
      </c>
      <c r="I91" s="258">
        <v>448500000</v>
      </c>
      <c r="J91" s="258">
        <v>4933500000</v>
      </c>
      <c r="K91" s="256" t="s">
        <v>1348</v>
      </c>
    </row>
    <row r="92" spans="1:11" x14ac:dyDescent="0.3">
      <c r="A92" s="256">
        <v>31</v>
      </c>
      <c r="B92" s="257" t="s">
        <v>1397</v>
      </c>
      <c r="C92" s="276">
        <v>44286</v>
      </c>
      <c r="D92" s="257" t="s">
        <v>1285</v>
      </c>
      <c r="E92" s="256" t="s">
        <v>1793</v>
      </c>
      <c r="F92" s="256" t="s">
        <v>1875</v>
      </c>
      <c r="G92" s="258">
        <v>9098000000</v>
      </c>
      <c r="H92" s="265">
        <v>0.1</v>
      </c>
      <c r="I92" s="258">
        <v>909800000</v>
      </c>
      <c r="J92" s="258">
        <v>10007800000</v>
      </c>
      <c r="K92" s="256" t="s">
        <v>1346</v>
      </c>
    </row>
    <row r="93" spans="1:11" x14ac:dyDescent="0.3">
      <c r="A93" s="256">
        <v>32</v>
      </c>
      <c r="B93" s="257" t="s">
        <v>1398</v>
      </c>
      <c r="C93" s="276">
        <v>44347</v>
      </c>
      <c r="D93" s="257" t="s">
        <v>1292</v>
      </c>
      <c r="E93" s="256" t="s">
        <v>1792</v>
      </c>
      <c r="F93" s="256" t="s">
        <v>1872</v>
      </c>
      <c r="G93" s="258">
        <v>11554000000</v>
      </c>
      <c r="H93" s="265">
        <v>0</v>
      </c>
      <c r="I93" s="258">
        <v>0</v>
      </c>
      <c r="J93" s="258">
        <v>11554000000</v>
      </c>
      <c r="K93" s="256" t="s">
        <v>1346</v>
      </c>
    </row>
    <row r="94" spans="1:11" x14ac:dyDescent="0.3">
      <c r="A94" s="256">
        <v>33</v>
      </c>
      <c r="B94" s="257" t="s">
        <v>1399</v>
      </c>
      <c r="C94" s="276">
        <v>44408</v>
      </c>
      <c r="D94" s="257" t="s">
        <v>1262</v>
      </c>
      <c r="E94" s="256" t="s">
        <v>1816</v>
      </c>
      <c r="F94" s="256" t="s">
        <v>1872</v>
      </c>
      <c r="G94" s="258">
        <v>7655000000</v>
      </c>
      <c r="H94" s="265">
        <v>0.1</v>
      </c>
      <c r="I94" s="258">
        <v>765500000</v>
      </c>
      <c r="J94" s="258">
        <v>8420500000</v>
      </c>
      <c r="K94" s="256" t="s">
        <v>1346</v>
      </c>
    </row>
    <row r="95" spans="1:11" x14ac:dyDescent="0.3">
      <c r="A95" s="256">
        <v>34</v>
      </c>
      <c r="B95" s="257" t="s">
        <v>1401</v>
      </c>
      <c r="C95" s="276">
        <v>44439</v>
      </c>
      <c r="D95" s="257" t="s">
        <v>1293</v>
      </c>
      <c r="E95" s="256" t="s">
        <v>1826</v>
      </c>
      <c r="F95" s="256" t="s">
        <v>1873</v>
      </c>
      <c r="G95" s="258">
        <v>10769000000</v>
      </c>
      <c r="H95" s="265">
        <v>0.1</v>
      </c>
      <c r="I95" s="258">
        <v>1076900000</v>
      </c>
      <c r="J95" s="258">
        <v>11845900000</v>
      </c>
      <c r="K95" s="256" t="s">
        <v>1346</v>
      </c>
    </row>
    <row r="96" spans="1:11" x14ac:dyDescent="0.3">
      <c r="A96" s="256">
        <v>35</v>
      </c>
      <c r="B96" s="257" t="s">
        <v>1402</v>
      </c>
      <c r="C96" s="276">
        <v>44500</v>
      </c>
      <c r="D96" s="257" t="s">
        <v>1256</v>
      </c>
      <c r="E96" s="256" t="s">
        <v>1802</v>
      </c>
      <c r="F96" s="256" t="s">
        <v>1873</v>
      </c>
      <c r="G96" s="258">
        <v>4586000000</v>
      </c>
      <c r="H96" s="265">
        <v>0.1</v>
      </c>
      <c r="I96" s="258">
        <v>458600000</v>
      </c>
      <c r="J96" s="258">
        <v>5044600000</v>
      </c>
      <c r="K96" s="256" t="s">
        <v>1348</v>
      </c>
    </row>
    <row r="97" spans="1:11" x14ac:dyDescent="0.3">
      <c r="A97" s="256">
        <v>36</v>
      </c>
      <c r="B97" s="257" t="s">
        <v>1403</v>
      </c>
      <c r="C97" s="276">
        <v>44561</v>
      </c>
      <c r="D97" s="257" t="s">
        <v>1259</v>
      </c>
      <c r="E97" s="256" t="s">
        <v>1788</v>
      </c>
      <c r="F97" s="256" t="s">
        <v>1874</v>
      </c>
      <c r="G97" s="258">
        <v>5718000000</v>
      </c>
      <c r="H97" s="265">
        <v>0.1</v>
      </c>
      <c r="I97" s="258">
        <v>571800000</v>
      </c>
      <c r="J97" s="258">
        <v>6289800000</v>
      </c>
      <c r="K97" s="256" t="s">
        <v>1346</v>
      </c>
    </row>
    <row r="98" spans="1:11" x14ac:dyDescent="0.3">
      <c r="A98" s="256">
        <v>37</v>
      </c>
      <c r="B98" s="257" t="s">
        <v>1404</v>
      </c>
      <c r="C98" s="276">
        <v>44561</v>
      </c>
      <c r="D98" s="257" t="s">
        <v>1276</v>
      </c>
      <c r="E98" s="256" t="s">
        <v>1822</v>
      </c>
      <c r="F98" s="256" t="s">
        <v>1873</v>
      </c>
      <c r="G98" s="258">
        <v>7130000000</v>
      </c>
      <c r="H98" s="265">
        <v>0.1</v>
      </c>
      <c r="I98" s="258">
        <v>713000000</v>
      </c>
      <c r="J98" s="258">
        <v>7843000000</v>
      </c>
      <c r="K98" s="256" t="s">
        <v>1346</v>
      </c>
    </row>
    <row r="99" spans="1:11" x14ac:dyDescent="0.3">
      <c r="A99" s="256">
        <v>38</v>
      </c>
      <c r="B99" s="257" t="s">
        <v>1405</v>
      </c>
      <c r="C99" s="276">
        <v>44561</v>
      </c>
      <c r="D99" s="257" t="s">
        <v>1299</v>
      </c>
      <c r="E99" s="256" t="s">
        <v>1776</v>
      </c>
      <c r="F99" s="256" t="s">
        <v>1875</v>
      </c>
      <c r="G99" s="258">
        <v>8323000000</v>
      </c>
      <c r="H99" s="265">
        <v>0.1</v>
      </c>
      <c r="I99" s="258">
        <v>832300000</v>
      </c>
      <c r="J99" s="258">
        <v>9155300000</v>
      </c>
      <c r="K99" s="256" t="s">
        <v>1346</v>
      </c>
    </row>
    <row r="100" spans="1:11" x14ac:dyDescent="0.3">
      <c r="A100" s="256">
        <v>39</v>
      </c>
      <c r="B100" s="257" t="s">
        <v>1406</v>
      </c>
      <c r="C100" s="276">
        <v>44561</v>
      </c>
      <c r="D100" s="257" t="s">
        <v>1301</v>
      </c>
      <c r="E100" s="256" t="s">
        <v>1781</v>
      </c>
      <c r="F100" s="256" t="s">
        <v>1873</v>
      </c>
      <c r="G100" s="258">
        <v>10343000000</v>
      </c>
      <c r="H100" s="265">
        <v>0.1</v>
      </c>
      <c r="I100" s="258">
        <v>1034300000</v>
      </c>
      <c r="J100" s="258">
        <v>11377300000</v>
      </c>
      <c r="K100" s="256" t="s">
        <v>1346</v>
      </c>
    </row>
    <row r="101" spans="1:11" x14ac:dyDescent="0.3">
      <c r="A101" s="256">
        <v>40</v>
      </c>
      <c r="B101" s="257" t="s">
        <v>1408</v>
      </c>
      <c r="C101" s="276">
        <v>44561</v>
      </c>
      <c r="D101" s="257" t="s">
        <v>1274</v>
      </c>
      <c r="E101" s="256" t="s">
        <v>1794</v>
      </c>
      <c r="F101" s="256" t="s">
        <v>1873</v>
      </c>
      <c r="G101" s="258">
        <v>3670000000</v>
      </c>
      <c r="H101" s="265">
        <v>0.1</v>
      </c>
      <c r="I101" s="258">
        <v>367000000</v>
      </c>
      <c r="J101" s="258">
        <v>4037000000</v>
      </c>
      <c r="K101" s="256" t="s">
        <v>1348</v>
      </c>
    </row>
    <row r="102" spans="1:11" x14ac:dyDescent="0.3">
      <c r="A102" s="256">
        <v>41</v>
      </c>
      <c r="B102" s="257" t="s">
        <v>1409</v>
      </c>
      <c r="C102" s="276">
        <v>44561</v>
      </c>
      <c r="D102" s="257" t="s">
        <v>1272</v>
      </c>
      <c r="E102" s="256" t="s">
        <v>1805</v>
      </c>
      <c r="F102" s="256" t="s">
        <v>1875</v>
      </c>
      <c r="G102" s="258">
        <v>11182000000</v>
      </c>
      <c r="H102" s="265">
        <v>0.1</v>
      </c>
      <c r="I102" s="258">
        <v>1118200000</v>
      </c>
      <c r="J102" s="258">
        <v>12300200000</v>
      </c>
      <c r="K102" s="256" t="s">
        <v>1346</v>
      </c>
    </row>
    <row r="103" spans="1:11" x14ac:dyDescent="0.3">
      <c r="A103" s="256">
        <v>42</v>
      </c>
      <c r="B103" s="257" t="s">
        <v>1411</v>
      </c>
      <c r="C103" s="276">
        <v>44561</v>
      </c>
      <c r="D103" s="257" t="s">
        <v>1269</v>
      </c>
      <c r="E103" s="256" t="s">
        <v>1823</v>
      </c>
      <c r="F103" s="256" t="s">
        <v>1872</v>
      </c>
      <c r="G103" s="258">
        <v>8102000000</v>
      </c>
      <c r="H103" s="265">
        <v>0.1</v>
      </c>
      <c r="I103" s="258">
        <v>810200000</v>
      </c>
      <c r="J103" s="258">
        <v>8912200000</v>
      </c>
      <c r="K103" s="256" t="s">
        <v>1346</v>
      </c>
    </row>
    <row r="104" spans="1:11" x14ac:dyDescent="0.3">
      <c r="A104" s="256">
        <v>43</v>
      </c>
      <c r="B104" s="257" t="s">
        <v>1414</v>
      </c>
      <c r="C104" s="276">
        <v>44561</v>
      </c>
      <c r="D104" s="257" t="s">
        <v>1276</v>
      </c>
      <c r="E104" s="256" t="s">
        <v>1822</v>
      </c>
      <c r="F104" s="256" t="s">
        <v>1872</v>
      </c>
      <c r="G104" s="258">
        <v>4863000000</v>
      </c>
      <c r="H104" s="265">
        <v>0.1</v>
      </c>
      <c r="I104" s="258">
        <v>486300000</v>
      </c>
      <c r="J104" s="258">
        <v>5349300000</v>
      </c>
      <c r="K104" s="256" t="s">
        <v>1346</v>
      </c>
    </row>
    <row r="105" spans="1:11" x14ac:dyDescent="0.3">
      <c r="A105" s="256">
        <v>44</v>
      </c>
      <c r="B105" s="257" t="s">
        <v>1415</v>
      </c>
      <c r="C105" s="276">
        <v>44561</v>
      </c>
      <c r="D105" s="257" t="s">
        <v>1293</v>
      </c>
      <c r="E105" s="256" t="s">
        <v>1826</v>
      </c>
      <c r="F105" s="256" t="s">
        <v>1873</v>
      </c>
      <c r="G105" s="258">
        <v>4684000000</v>
      </c>
      <c r="H105" s="265">
        <v>0.1</v>
      </c>
      <c r="I105" s="258">
        <v>468400000</v>
      </c>
      <c r="J105" s="258">
        <v>5152400000</v>
      </c>
      <c r="K105" s="256" t="s">
        <v>1346</v>
      </c>
    </row>
    <row r="106" spans="1:11" x14ac:dyDescent="0.3">
      <c r="A106" s="256">
        <v>45</v>
      </c>
      <c r="B106" s="257" t="s">
        <v>1206</v>
      </c>
      <c r="C106" s="276">
        <v>44561</v>
      </c>
      <c r="D106" s="257" t="s">
        <v>1258</v>
      </c>
      <c r="E106" s="256" t="s">
        <v>1833</v>
      </c>
      <c r="F106" s="256" t="s">
        <v>1875</v>
      </c>
      <c r="G106" s="258">
        <v>6058000000</v>
      </c>
      <c r="H106" s="265">
        <v>0.1</v>
      </c>
      <c r="I106" s="258">
        <v>605800000</v>
      </c>
      <c r="J106" s="258">
        <v>6663800000</v>
      </c>
      <c r="K106" s="256" t="s">
        <v>1346</v>
      </c>
    </row>
    <row r="107" spans="1:11" x14ac:dyDescent="0.3">
      <c r="A107" s="256">
        <v>46</v>
      </c>
      <c r="B107" s="257" t="s">
        <v>1207</v>
      </c>
      <c r="C107" s="276">
        <v>44561</v>
      </c>
      <c r="D107" s="257" t="s">
        <v>1285</v>
      </c>
      <c r="E107" s="256" t="s">
        <v>1793</v>
      </c>
      <c r="F107" s="256" t="s">
        <v>1872</v>
      </c>
      <c r="G107" s="258">
        <v>8710000000</v>
      </c>
      <c r="H107" s="265">
        <v>0.1</v>
      </c>
      <c r="I107" s="258">
        <v>871000000</v>
      </c>
      <c r="J107" s="258">
        <v>9581000000</v>
      </c>
      <c r="K107" s="256" t="s">
        <v>1346</v>
      </c>
    </row>
    <row r="108" spans="1:11" x14ac:dyDescent="0.3">
      <c r="A108" s="256">
        <v>47</v>
      </c>
      <c r="B108" s="257" t="s">
        <v>1208</v>
      </c>
      <c r="C108" s="276">
        <v>44561</v>
      </c>
      <c r="D108" s="257" t="s">
        <v>1278</v>
      </c>
      <c r="E108" s="256" t="s">
        <v>1785</v>
      </c>
      <c r="F108" s="256" t="s">
        <v>1875</v>
      </c>
      <c r="G108" s="258">
        <v>3102000000</v>
      </c>
      <c r="H108" s="265">
        <v>0.1</v>
      </c>
      <c r="I108" s="258">
        <v>310200000</v>
      </c>
      <c r="J108" s="258">
        <v>3412200000</v>
      </c>
      <c r="K108" s="256" t="s">
        <v>1346</v>
      </c>
    </row>
    <row r="109" spans="1:11" x14ac:dyDescent="0.3">
      <c r="A109" s="256">
        <v>48</v>
      </c>
      <c r="B109" s="257" t="s">
        <v>1209</v>
      </c>
      <c r="C109" s="276">
        <v>44561</v>
      </c>
      <c r="D109" s="257" t="s">
        <v>1274</v>
      </c>
      <c r="E109" s="256" t="s">
        <v>1794</v>
      </c>
      <c r="F109" s="256" t="s">
        <v>1875</v>
      </c>
      <c r="G109" s="258">
        <v>11518000000</v>
      </c>
      <c r="H109" s="265">
        <v>0.1</v>
      </c>
      <c r="I109" s="258">
        <v>1151800000</v>
      </c>
      <c r="J109" s="258">
        <v>12669800000</v>
      </c>
      <c r="K109" s="256" t="s">
        <v>1346</v>
      </c>
    </row>
    <row r="110" spans="1:11" x14ac:dyDescent="0.3">
      <c r="A110" s="256">
        <v>49</v>
      </c>
      <c r="B110" s="257" t="s">
        <v>1418</v>
      </c>
      <c r="C110" s="276">
        <v>44561</v>
      </c>
      <c r="D110" s="257" t="s">
        <v>1279</v>
      </c>
      <c r="E110" s="256" t="s">
        <v>1827</v>
      </c>
      <c r="F110" s="256" t="s">
        <v>1874</v>
      </c>
      <c r="G110" s="258">
        <v>3555000000</v>
      </c>
      <c r="H110" s="265">
        <v>0.1</v>
      </c>
      <c r="I110" s="258">
        <v>355500000</v>
      </c>
      <c r="J110" s="258">
        <v>3910500000</v>
      </c>
      <c r="K110" s="256" t="s">
        <v>1346</v>
      </c>
    </row>
    <row r="111" spans="1:11" x14ac:dyDescent="0.3">
      <c r="A111" s="256">
        <v>50</v>
      </c>
      <c r="B111" s="257" t="s">
        <v>1419</v>
      </c>
      <c r="C111" s="276">
        <v>44561</v>
      </c>
      <c r="D111" s="257" t="s">
        <v>1287</v>
      </c>
      <c r="E111" s="256" t="s">
        <v>1801</v>
      </c>
      <c r="F111" s="256" t="s">
        <v>1872</v>
      </c>
      <c r="G111" s="258">
        <v>7595000000</v>
      </c>
      <c r="H111" s="265">
        <v>0.1</v>
      </c>
      <c r="I111" s="258">
        <v>759500000</v>
      </c>
      <c r="J111" s="258">
        <v>8354500000</v>
      </c>
      <c r="K111" s="256" t="s">
        <v>1346</v>
      </c>
    </row>
    <row r="112" spans="1:11" x14ac:dyDescent="0.3">
      <c r="A112" s="266" t="s">
        <v>1351</v>
      </c>
      <c r="B112" s="266"/>
      <c r="C112" s="266"/>
      <c r="D112" s="266"/>
      <c r="E112" s="266"/>
      <c r="F112" s="266"/>
      <c r="G112" s="267">
        <f>SUM(G62:G111)</f>
        <v>386639000000</v>
      </c>
      <c r="H112" s="266"/>
      <c r="I112" s="267">
        <f>SUM(I62:I111)</f>
        <v>35645100000</v>
      </c>
      <c r="J112" s="267">
        <f>SUM(J62:J111)</f>
        <v>422284100000</v>
      </c>
      <c r="K112" s="266"/>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888</v>
      </c>
      <c r="C1" s="256"/>
      <c r="D1" s="256"/>
      <c r="E1" s="256"/>
      <c r="F1" s="256"/>
      <c r="G1" s="256"/>
      <c r="H1" s="256"/>
      <c r="I1" s="256"/>
      <c r="J1" s="256"/>
      <c r="K1" s="256"/>
    </row>
    <row r="2" spans="1:11" x14ac:dyDescent="0.3">
      <c r="A2" s="256" t="s">
        <v>1339</v>
      </c>
      <c r="B2" s="257">
        <v>107422036</v>
      </c>
      <c r="C2" s="256"/>
      <c r="D2" s="256"/>
      <c r="E2" s="256"/>
      <c r="F2" s="256"/>
      <c r="G2" s="256"/>
      <c r="H2" s="256"/>
      <c r="I2" s="256"/>
      <c r="J2" s="256"/>
      <c r="K2" s="256"/>
    </row>
    <row r="3" spans="1:11" x14ac:dyDescent="0.3">
      <c r="A3" s="256" t="s">
        <v>1343</v>
      </c>
      <c r="B3" s="258">
        <v>777897084416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1477</v>
      </c>
      <c r="C8" s="276">
        <v>44317</v>
      </c>
      <c r="D8" s="257" t="s">
        <v>1274</v>
      </c>
      <c r="E8" s="256" t="s">
        <v>1794</v>
      </c>
      <c r="F8" s="256" t="s">
        <v>1741</v>
      </c>
      <c r="G8" s="258">
        <v>17579000000</v>
      </c>
      <c r="H8" s="265">
        <v>0.1</v>
      </c>
      <c r="I8" s="258">
        <v>1757900000</v>
      </c>
      <c r="J8" s="258">
        <v>19336900000</v>
      </c>
      <c r="K8" s="256" t="s">
        <v>1348</v>
      </c>
    </row>
    <row r="9" spans="1:11" x14ac:dyDescent="0.3">
      <c r="A9" s="256">
        <v>2</v>
      </c>
      <c r="B9" s="257" t="s">
        <v>1489</v>
      </c>
      <c r="C9" s="276">
        <v>44318</v>
      </c>
      <c r="D9" s="257" t="s">
        <v>1284</v>
      </c>
      <c r="E9" s="256" t="s">
        <v>1786</v>
      </c>
      <c r="F9" s="256" t="s">
        <v>1787</v>
      </c>
      <c r="G9" s="258">
        <v>6079000000</v>
      </c>
      <c r="H9" s="265">
        <v>0.1</v>
      </c>
      <c r="I9" s="258">
        <v>607900000</v>
      </c>
      <c r="J9" s="258">
        <v>6686900000</v>
      </c>
      <c r="K9" s="256" t="s">
        <v>1346</v>
      </c>
    </row>
    <row r="10" spans="1:11" x14ac:dyDescent="0.3">
      <c r="A10" s="256">
        <v>3</v>
      </c>
      <c r="B10" s="257" t="s">
        <v>1462</v>
      </c>
      <c r="C10" s="276">
        <v>44472</v>
      </c>
      <c r="D10" s="257" t="s">
        <v>1283</v>
      </c>
      <c r="E10" s="256" t="s">
        <v>1798</v>
      </c>
      <c r="F10" s="256" t="s">
        <v>1791</v>
      </c>
      <c r="G10" s="258">
        <v>17855000000</v>
      </c>
      <c r="H10" s="265">
        <v>0.1</v>
      </c>
      <c r="I10" s="258">
        <v>1785500000</v>
      </c>
      <c r="J10" s="258">
        <v>19640500000</v>
      </c>
      <c r="K10" s="256" t="s">
        <v>1346</v>
      </c>
    </row>
    <row r="11" spans="1:11" x14ac:dyDescent="0.3">
      <c r="A11" s="256">
        <v>4</v>
      </c>
      <c r="B11" s="257" t="s">
        <v>1478</v>
      </c>
      <c r="C11" s="276">
        <v>44473</v>
      </c>
      <c r="D11" s="257" t="s">
        <v>1274</v>
      </c>
      <c r="E11" s="256" t="s">
        <v>1794</v>
      </c>
      <c r="F11" s="256" t="s">
        <v>1731</v>
      </c>
      <c r="G11" s="258">
        <v>17552000000</v>
      </c>
      <c r="H11" s="265">
        <v>0.1</v>
      </c>
      <c r="I11" s="258">
        <v>1755200000</v>
      </c>
      <c r="J11" s="258">
        <v>19307200000</v>
      </c>
      <c r="K11" s="256" t="s">
        <v>1348</v>
      </c>
    </row>
    <row r="12" spans="1:11" x14ac:dyDescent="0.3">
      <c r="A12" s="256">
        <v>5</v>
      </c>
      <c r="B12" s="257" t="s">
        <v>1470</v>
      </c>
      <c r="C12" s="276">
        <v>44474</v>
      </c>
      <c r="D12" s="257" t="s">
        <v>1273</v>
      </c>
      <c r="E12" s="256" t="s">
        <v>1829</v>
      </c>
      <c r="F12" s="256" t="s">
        <v>1780</v>
      </c>
      <c r="G12" s="258">
        <v>8823000000</v>
      </c>
      <c r="H12" s="265">
        <v>0.1</v>
      </c>
      <c r="I12" s="258">
        <v>882300000</v>
      </c>
      <c r="J12" s="258">
        <v>9705300000</v>
      </c>
      <c r="K12" s="256" t="s">
        <v>1346</v>
      </c>
    </row>
    <row r="13" spans="1:11" x14ac:dyDescent="0.3">
      <c r="A13" s="256">
        <v>6</v>
      </c>
      <c r="B13" s="257" t="s">
        <v>1391</v>
      </c>
      <c r="C13" s="276">
        <v>44475</v>
      </c>
      <c r="D13" s="257" t="s">
        <v>1261</v>
      </c>
      <c r="E13" s="256" t="s">
        <v>1813</v>
      </c>
      <c r="F13" s="256" t="s">
        <v>1791</v>
      </c>
      <c r="G13" s="258">
        <v>5996000000</v>
      </c>
      <c r="H13" s="265">
        <v>0.1</v>
      </c>
      <c r="I13" s="258">
        <v>599600000</v>
      </c>
      <c r="J13" s="258">
        <v>6595600000</v>
      </c>
      <c r="K13" s="256" t="s">
        <v>1346</v>
      </c>
    </row>
    <row r="14" spans="1:11" x14ac:dyDescent="0.3">
      <c r="A14" s="256">
        <v>7</v>
      </c>
      <c r="B14" s="257" t="s">
        <v>1414</v>
      </c>
      <c r="C14" s="276">
        <v>44476</v>
      </c>
      <c r="D14" s="257" t="s">
        <v>1264</v>
      </c>
      <c r="E14" s="256" t="s">
        <v>1779</v>
      </c>
      <c r="F14" s="256" t="s">
        <v>1741</v>
      </c>
      <c r="G14" s="258">
        <v>5008000000</v>
      </c>
      <c r="H14" s="265">
        <v>0.1</v>
      </c>
      <c r="I14" s="258">
        <v>500800000</v>
      </c>
      <c r="J14" s="258">
        <v>5508800000</v>
      </c>
      <c r="K14" s="256" t="s">
        <v>1346</v>
      </c>
    </row>
    <row r="15" spans="1:11" x14ac:dyDescent="0.3">
      <c r="A15" s="256">
        <v>8</v>
      </c>
      <c r="B15" s="257" t="s">
        <v>1409</v>
      </c>
      <c r="C15" s="276">
        <v>44477</v>
      </c>
      <c r="D15" s="257" t="s">
        <v>1301</v>
      </c>
      <c r="E15" s="256" t="s">
        <v>1781</v>
      </c>
      <c r="F15" s="256" t="s">
        <v>1780</v>
      </c>
      <c r="G15" s="258">
        <v>13460000000</v>
      </c>
      <c r="H15" s="265">
        <v>0.1</v>
      </c>
      <c r="I15" s="258">
        <v>1346000000</v>
      </c>
      <c r="J15" s="258">
        <v>14806000000</v>
      </c>
      <c r="K15" s="256" t="s">
        <v>1346</v>
      </c>
    </row>
    <row r="16" spans="1:11" x14ac:dyDescent="0.3">
      <c r="A16" s="256">
        <v>9</v>
      </c>
      <c r="B16" s="257" t="s">
        <v>1474</v>
      </c>
      <c r="C16" s="276">
        <v>44478</v>
      </c>
      <c r="D16" s="257" t="s">
        <v>1304</v>
      </c>
      <c r="E16" s="256" t="s">
        <v>1831</v>
      </c>
      <c r="F16" s="256" t="s">
        <v>1778</v>
      </c>
      <c r="G16" s="258">
        <v>7032000000</v>
      </c>
      <c r="H16" s="265">
        <v>0.1</v>
      </c>
      <c r="I16" s="258">
        <v>703200000</v>
      </c>
      <c r="J16" s="258">
        <v>7735200000</v>
      </c>
      <c r="K16" s="256" t="s">
        <v>1346</v>
      </c>
    </row>
    <row r="17" spans="1:11" x14ac:dyDescent="0.3">
      <c r="A17" s="256">
        <v>10</v>
      </c>
      <c r="B17" s="257" t="s">
        <v>1459</v>
      </c>
      <c r="C17" s="276">
        <v>44479</v>
      </c>
      <c r="D17" s="257" t="s">
        <v>1257</v>
      </c>
      <c r="E17" s="256" t="s">
        <v>1815</v>
      </c>
      <c r="F17" s="256" t="s">
        <v>1791</v>
      </c>
      <c r="G17" s="258">
        <v>17956000000</v>
      </c>
      <c r="H17" s="265">
        <v>0</v>
      </c>
      <c r="I17" s="258">
        <v>0</v>
      </c>
      <c r="J17" s="258">
        <v>17956000000</v>
      </c>
      <c r="K17" s="256" t="s">
        <v>1348</v>
      </c>
    </row>
    <row r="18" spans="1:11" x14ac:dyDescent="0.3">
      <c r="A18" s="256">
        <v>11</v>
      </c>
      <c r="B18" s="257" t="s">
        <v>1206</v>
      </c>
      <c r="C18" s="276">
        <v>44480</v>
      </c>
      <c r="D18" s="257" t="s">
        <v>1269</v>
      </c>
      <c r="E18" s="256" t="s">
        <v>1823</v>
      </c>
      <c r="F18" s="256" t="s">
        <v>1787</v>
      </c>
      <c r="G18" s="258">
        <v>11888000000</v>
      </c>
      <c r="H18" s="265">
        <v>0.1</v>
      </c>
      <c r="I18" s="258">
        <v>1188800000</v>
      </c>
      <c r="J18" s="258">
        <v>13076800000</v>
      </c>
      <c r="K18" s="256" t="s">
        <v>1348</v>
      </c>
    </row>
    <row r="19" spans="1:11" x14ac:dyDescent="0.3">
      <c r="A19" s="256">
        <v>12</v>
      </c>
      <c r="B19" s="257" t="s">
        <v>1460</v>
      </c>
      <c r="C19" s="276">
        <v>44481</v>
      </c>
      <c r="D19" s="257" t="s">
        <v>1257</v>
      </c>
      <c r="E19" s="256" t="s">
        <v>1815</v>
      </c>
      <c r="F19" s="256" t="s">
        <v>1787</v>
      </c>
      <c r="G19" s="258">
        <v>16442000000</v>
      </c>
      <c r="H19" s="265">
        <v>0.1</v>
      </c>
      <c r="I19" s="258">
        <v>1644200000</v>
      </c>
      <c r="J19" s="258">
        <v>18086200000</v>
      </c>
      <c r="K19" s="256" t="s">
        <v>1346</v>
      </c>
    </row>
    <row r="20" spans="1:11" x14ac:dyDescent="0.3">
      <c r="A20" s="256">
        <v>13</v>
      </c>
      <c r="B20" s="257" t="s">
        <v>1411</v>
      </c>
      <c r="C20" s="276">
        <v>44211</v>
      </c>
      <c r="D20" s="257" t="s">
        <v>1302</v>
      </c>
      <c r="E20" s="256" t="s">
        <v>1784</v>
      </c>
      <c r="F20" s="256" t="s">
        <v>1741</v>
      </c>
      <c r="G20" s="258">
        <v>6368000000</v>
      </c>
      <c r="H20" s="265">
        <v>0.1</v>
      </c>
      <c r="I20" s="258">
        <v>636800000</v>
      </c>
      <c r="J20" s="258">
        <v>7004800000</v>
      </c>
      <c r="K20" s="256" t="s">
        <v>1346</v>
      </c>
    </row>
    <row r="21" spans="1:11" x14ac:dyDescent="0.3">
      <c r="A21" s="256">
        <v>14</v>
      </c>
      <c r="B21" s="257" t="s">
        <v>1397</v>
      </c>
      <c r="C21" s="276">
        <v>44242</v>
      </c>
      <c r="D21" s="257" t="s">
        <v>1296</v>
      </c>
      <c r="E21" s="256" t="s">
        <v>1807</v>
      </c>
      <c r="F21" s="256" t="s">
        <v>1731</v>
      </c>
      <c r="G21" s="258">
        <v>7467000000</v>
      </c>
      <c r="H21" s="265">
        <v>0.1</v>
      </c>
      <c r="I21" s="258">
        <v>746700000</v>
      </c>
      <c r="J21" s="258">
        <v>8213700000</v>
      </c>
      <c r="K21" s="256" t="s">
        <v>1346</v>
      </c>
    </row>
    <row r="22" spans="1:11" x14ac:dyDescent="0.3">
      <c r="A22" s="256">
        <v>15</v>
      </c>
      <c r="B22" s="257" t="s">
        <v>1415</v>
      </c>
      <c r="C22" s="276">
        <v>44275</v>
      </c>
      <c r="D22" s="257" t="s">
        <v>1264</v>
      </c>
      <c r="E22" s="256" t="s">
        <v>1779</v>
      </c>
      <c r="F22" s="256" t="s">
        <v>1780</v>
      </c>
      <c r="G22" s="258">
        <v>10357000000</v>
      </c>
      <c r="H22" s="265">
        <v>0</v>
      </c>
      <c r="I22" s="258">
        <v>0</v>
      </c>
      <c r="J22" s="258">
        <v>10357000000</v>
      </c>
      <c r="K22" s="256" t="s">
        <v>1346</v>
      </c>
    </row>
    <row r="23" spans="1:11" x14ac:dyDescent="0.3">
      <c r="A23" s="256">
        <v>16</v>
      </c>
      <c r="B23" s="257" t="s">
        <v>1398</v>
      </c>
      <c r="C23" s="276">
        <v>44306</v>
      </c>
      <c r="D23" s="257" t="s">
        <v>1286</v>
      </c>
      <c r="E23" s="256" t="s">
        <v>1828</v>
      </c>
      <c r="F23" s="256" t="s">
        <v>1791</v>
      </c>
      <c r="G23" s="258">
        <v>16024000000</v>
      </c>
      <c r="H23" s="265">
        <v>0.1</v>
      </c>
      <c r="I23" s="258">
        <v>1602400000</v>
      </c>
      <c r="J23" s="258">
        <v>17626400000</v>
      </c>
      <c r="K23" s="256" t="s">
        <v>1346</v>
      </c>
    </row>
    <row r="24" spans="1:11" x14ac:dyDescent="0.3">
      <c r="A24" s="256">
        <v>17</v>
      </c>
      <c r="B24" s="257" t="s">
        <v>1469</v>
      </c>
      <c r="C24" s="276">
        <v>44336</v>
      </c>
      <c r="D24" s="257" t="s">
        <v>1263</v>
      </c>
      <c r="E24" s="256" t="s">
        <v>1790</v>
      </c>
      <c r="F24" s="256" t="s">
        <v>1741</v>
      </c>
      <c r="G24" s="258">
        <v>5755000000</v>
      </c>
      <c r="H24" s="265">
        <v>0.1</v>
      </c>
      <c r="I24" s="258">
        <v>575500000</v>
      </c>
      <c r="J24" s="258">
        <v>6330500000</v>
      </c>
      <c r="K24" s="256" t="s">
        <v>1348</v>
      </c>
    </row>
    <row r="25" spans="1:11" x14ac:dyDescent="0.3">
      <c r="A25" s="256">
        <v>18</v>
      </c>
      <c r="B25" s="257" t="s">
        <v>1458</v>
      </c>
      <c r="C25" s="276">
        <v>44367</v>
      </c>
      <c r="D25" s="257" t="s">
        <v>1280</v>
      </c>
      <c r="E25" s="256" t="s">
        <v>1777</v>
      </c>
      <c r="F25" s="256" t="s">
        <v>1780</v>
      </c>
      <c r="G25" s="258">
        <v>9204000000</v>
      </c>
      <c r="H25" s="265">
        <v>0.1</v>
      </c>
      <c r="I25" s="258">
        <v>920400000</v>
      </c>
      <c r="J25" s="258">
        <v>10124400000</v>
      </c>
      <c r="K25" s="256" t="s">
        <v>1346</v>
      </c>
    </row>
    <row r="26" spans="1:11" x14ac:dyDescent="0.3">
      <c r="A26" s="256">
        <v>19</v>
      </c>
      <c r="B26" s="257" t="s">
        <v>1474</v>
      </c>
      <c r="C26" s="276">
        <v>44397</v>
      </c>
      <c r="D26" s="257" t="s">
        <v>1272</v>
      </c>
      <c r="E26" s="256" t="s">
        <v>1805</v>
      </c>
      <c r="F26" s="256" t="s">
        <v>1731</v>
      </c>
      <c r="G26" s="258">
        <v>9670000000</v>
      </c>
      <c r="H26" s="265">
        <v>0.1</v>
      </c>
      <c r="I26" s="258">
        <v>967000000</v>
      </c>
      <c r="J26" s="258">
        <v>10637000000</v>
      </c>
      <c r="K26" s="256" t="s">
        <v>1346</v>
      </c>
    </row>
    <row r="27" spans="1:11" x14ac:dyDescent="0.3">
      <c r="A27" s="256">
        <v>20</v>
      </c>
      <c r="B27" s="257" t="s">
        <v>1206</v>
      </c>
      <c r="C27" s="276">
        <v>44428</v>
      </c>
      <c r="D27" s="257" t="s">
        <v>1264</v>
      </c>
      <c r="E27" s="256" t="s">
        <v>1779</v>
      </c>
      <c r="F27" s="256" t="s">
        <v>1741</v>
      </c>
      <c r="G27" s="258">
        <v>7747000000</v>
      </c>
      <c r="H27" s="265">
        <v>0.1</v>
      </c>
      <c r="I27" s="258">
        <v>774700000</v>
      </c>
      <c r="J27" s="258">
        <v>8521700000</v>
      </c>
      <c r="K27" s="256" t="s">
        <v>1346</v>
      </c>
    </row>
    <row r="28" spans="1:11" x14ac:dyDescent="0.3">
      <c r="A28" s="256">
        <v>21</v>
      </c>
      <c r="B28" s="257" t="s">
        <v>1388</v>
      </c>
      <c r="C28" s="276">
        <v>44459</v>
      </c>
      <c r="D28" s="257" t="s">
        <v>1298</v>
      </c>
      <c r="E28" s="256" t="s">
        <v>1819</v>
      </c>
      <c r="F28" s="256" t="s">
        <v>1787</v>
      </c>
      <c r="G28" s="258">
        <v>4852000000</v>
      </c>
      <c r="H28" s="265">
        <v>0.1</v>
      </c>
      <c r="I28" s="258">
        <v>485200000</v>
      </c>
      <c r="J28" s="258">
        <v>5337200000</v>
      </c>
      <c r="K28" s="256" t="s">
        <v>1346</v>
      </c>
    </row>
    <row r="29" spans="1:11" x14ac:dyDescent="0.3">
      <c r="A29" s="256">
        <v>22</v>
      </c>
      <c r="B29" s="257" t="s">
        <v>1457</v>
      </c>
      <c r="C29" s="276">
        <v>44489</v>
      </c>
      <c r="D29" s="257" t="s">
        <v>1282</v>
      </c>
      <c r="E29" s="256" t="s">
        <v>1789</v>
      </c>
      <c r="F29" s="256" t="s">
        <v>1731</v>
      </c>
      <c r="G29" s="258">
        <v>10413000000</v>
      </c>
      <c r="H29" s="265">
        <v>0.1</v>
      </c>
      <c r="I29" s="258">
        <v>1041300000</v>
      </c>
      <c r="J29" s="258">
        <v>11454300000</v>
      </c>
      <c r="K29" s="256" t="s">
        <v>1346</v>
      </c>
    </row>
    <row r="30" spans="1:11" x14ac:dyDescent="0.3">
      <c r="A30" s="256">
        <v>23</v>
      </c>
      <c r="B30" s="257" t="s">
        <v>1475</v>
      </c>
      <c r="C30" s="276">
        <v>44520</v>
      </c>
      <c r="D30" s="257" t="s">
        <v>1304</v>
      </c>
      <c r="E30" s="256" t="s">
        <v>1831</v>
      </c>
      <c r="F30" s="256" t="s">
        <v>1778</v>
      </c>
      <c r="G30" s="258">
        <v>9188000000</v>
      </c>
      <c r="H30" s="265">
        <v>0.1</v>
      </c>
      <c r="I30" s="258">
        <v>918800000</v>
      </c>
      <c r="J30" s="258">
        <v>10106800000</v>
      </c>
      <c r="K30" s="256" t="s">
        <v>1348</v>
      </c>
    </row>
    <row r="31" spans="1:11" x14ac:dyDescent="0.3">
      <c r="A31" s="256">
        <v>24</v>
      </c>
      <c r="B31" s="257" t="s">
        <v>1401</v>
      </c>
      <c r="C31" s="276">
        <v>44550</v>
      </c>
      <c r="D31" s="257" t="s">
        <v>1291</v>
      </c>
      <c r="E31" s="256" t="s">
        <v>1800</v>
      </c>
      <c r="F31" s="256" t="s">
        <v>1741</v>
      </c>
      <c r="G31" s="258">
        <v>7811000000</v>
      </c>
      <c r="H31" s="265">
        <v>0.1</v>
      </c>
      <c r="I31" s="258">
        <v>781100000</v>
      </c>
      <c r="J31" s="258">
        <v>8592100000</v>
      </c>
      <c r="K31" s="256" t="s">
        <v>1346</v>
      </c>
    </row>
    <row r="32" spans="1:11" x14ac:dyDescent="0.3">
      <c r="A32" s="256">
        <v>25</v>
      </c>
      <c r="B32" s="257" t="s">
        <v>1402</v>
      </c>
      <c r="C32" s="276">
        <v>44221</v>
      </c>
      <c r="D32" s="257" t="s">
        <v>1297</v>
      </c>
      <c r="E32" s="256" t="s">
        <v>1820</v>
      </c>
      <c r="F32" s="256" t="s">
        <v>1787</v>
      </c>
      <c r="G32" s="258">
        <v>8977000000</v>
      </c>
      <c r="H32" s="265">
        <v>0.1</v>
      </c>
      <c r="I32" s="258">
        <v>897700000</v>
      </c>
      <c r="J32" s="258">
        <v>9874700000</v>
      </c>
      <c r="K32" s="256" t="s">
        <v>1346</v>
      </c>
    </row>
    <row r="33" spans="1:11" x14ac:dyDescent="0.3">
      <c r="A33" s="256">
        <v>26</v>
      </c>
      <c r="B33" s="257" t="s">
        <v>1462</v>
      </c>
      <c r="C33" s="276">
        <v>44255</v>
      </c>
      <c r="D33" s="257" t="s">
        <v>1288</v>
      </c>
      <c r="E33" s="256" t="s">
        <v>1797</v>
      </c>
      <c r="F33" s="256" t="s">
        <v>1787</v>
      </c>
      <c r="G33" s="258">
        <v>14972000000</v>
      </c>
      <c r="H33" s="265">
        <v>0.1</v>
      </c>
      <c r="I33" s="258">
        <v>1497200000</v>
      </c>
      <c r="J33" s="258">
        <v>16469200000</v>
      </c>
      <c r="K33" s="256" t="s">
        <v>1346</v>
      </c>
    </row>
    <row r="34" spans="1:11" x14ac:dyDescent="0.3">
      <c r="A34" s="256">
        <v>27</v>
      </c>
      <c r="B34" s="257" t="s">
        <v>1399</v>
      </c>
      <c r="C34" s="276">
        <v>44316</v>
      </c>
      <c r="D34" s="257" t="s">
        <v>1286</v>
      </c>
      <c r="E34" s="256" t="s">
        <v>1828</v>
      </c>
      <c r="F34" s="256" t="s">
        <v>1780</v>
      </c>
      <c r="G34" s="258">
        <v>14567000000</v>
      </c>
      <c r="H34" s="265">
        <v>0</v>
      </c>
      <c r="I34" s="258">
        <v>0</v>
      </c>
      <c r="J34" s="258">
        <v>14567000000</v>
      </c>
      <c r="K34" s="256" t="s">
        <v>1348</v>
      </c>
    </row>
    <row r="35" spans="1:11" x14ac:dyDescent="0.3">
      <c r="A35" s="256">
        <v>28</v>
      </c>
      <c r="B35" s="257" t="s">
        <v>1414</v>
      </c>
      <c r="C35" s="276">
        <v>44377</v>
      </c>
      <c r="D35" s="257" t="s">
        <v>1302</v>
      </c>
      <c r="E35" s="256" t="s">
        <v>1784</v>
      </c>
      <c r="F35" s="256" t="s">
        <v>1778</v>
      </c>
      <c r="G35" s="258">
        <v>7806000000</v>
      </c>
      <c r="H35" s="265">
        <v>0.1</v>
      </c>
      <c r="I35" s="258">
        <v>780600000</v>
      </c>
      <c r="J35" s="258">
        <v>8586600000</v>
      </c>
      <c r="K35" s="256" t="s">
        <v>1346</v>
      </c>
    </row>
    <row r="36" spans="1:11" x14ac:dyDescent="0.3">
      <c r="A36" s="256">
        <v>29</v>
      </c>
      <c r="B36" s="257" t="s">
        <v>1459</v>
      </c>
      <c r="C36" s="276">
        <v>44469</v>
      </c>
      <c r="D36" s="257" t="s">
        <v>1265</v>
      </c>
      <c r="E36" s="256" t="s">
        <v>1830</v>
      </c>
      <c r="F36" s="256" t="s">
        <v>1731</v>
      </c>
      <c r="G36" s="258">
        <v>8141000000</v>
      </c>
      <c r="H36" s="265">
        <v>0.1</v>
      </c>
      <c r="I36" s="258">
        <v>814100000</v>
      </c>
      <c r="J36" s="258">
        <v>8955100000</v>
      </c>
      <c r="K36" s="256" t="s">
        <v>1346</v>
      </c>
    </row>
    <row r="37" spans="1:11" x14ac:dyDescent="0.3">
      <c r="A37" s="256">
        <v>30</v>
      </c>
      <c r="B37" s="257" t="s">
        <v>1462</v>
      </c>
      <c r="C37" s="276">
        <v>44530</v>
      </c>
      <c r="D37" s="257" t="s">
        <v>1278</v>
      </c>
      <c r="E37" s="256" t="s">
        <v>1785</v>
      </c>
      <c r="F37" s="256" t="s">
        <v>1787</v>
      </c>
      <c r="G37" s="258">
        <v>10200000000</v>
      </c>
      <c r="H37" s="265">
        <v>0.1</v>
      </c>
      <c r="I37" s="258">
        <v>1020000000</v>
      </c>
      <c r="J37" s="258">
        <v>11220000000</v>
      </c>
      <c r="K37" s="256" t="s">
        <v>1346</v>
      </c>
    </row>
    <row r="38" spans="1:11" x14ac:dyDescent="0.3">
      <c r="A38" s="256">
        <v>31</v>
      </c>
      <c r="B38" s="257" t="s">
        <v>1403</v>
      </c>
      <c r="C38" s="276">
        <v>44286</v>
      </c>
      <c r="D38" s="257" t="s">
        <v>1297</v>
      </c>
      <c r="E38" s="256" t="s">
        <v>1820</v>
      </c>
      <c r="F38" s="256" t="s">
        <v>1741</v>
      </c>
      <c r="G38" s="258">
        <v>12045000000</v>
      </c>
      <c r="H38" s="265">
        <v>0.1</v>
      </c>
      <c r="I38" s="258">
        <v>1204500000</v>
      </c>
      <c r="J38" s="258">
        <v>13249500000</v>
      </c>
      <c r="K38" s="256" t="s">
        <v>1346</v>
      </c>
    </row>
    <row r="39" spans="1:11" x14ac:dyDescent="0.3">
      <c r="A39" s="256">
        <v>32</v>
      </c>
      <c r="B39" s="257" t="s">
        <v>1207</v>
      </c>
      <c r="C39" s="276">
        <v>44347</v>
      </c>
      <c r="D39" s="257" t="s">
        <v>1269</v>
      </c>
      <c r="E39" s="256" t="s">
        <v>1823</v>
      </c>
      <c r="F39" s="256" t="s">
        <v>1791</v>
      </c>
      <c r="G39" s="258">
        <v>17384000000</v>
      </c>
      <c r="H39" s="265">
        <v>0.1</v>
      </c>
      <c r="I39" s="258">
        <v>1738400000</v>
      </c>
      <c r="J39" s="258">
        <v>19122400000</v>
      </c>
      <c r="K39" s="256" t="s">
        <v>1348</v>
      </c>
    </row>
    <row r="40" spans="1:11" x14ac:dyDescent="0.3">
      <c r="A40" s="256">
        <v>33</v>
      </c>
      <c r="B40" s="257" t="s">
        <v>1459</v>
      </c>
      <c r="C40" s="276">
        <v>44408</v>
      </c>
      <c r="D40" s="257" t="s">
        <v>1289</v>
      </c>
      <c r="E40" s="256" t="s">
        <v>1803</v>
      </c>
      <c r="F40" s="256" t="s">
        <v>1780</v>
      </c>
      <c r="G40" s="258">
        <v>13820000000</v>
      </c>
      <c r="H40" s="265">
        <v>0.1</v>
      </c>
      <c r="I40" s="258">
        <v>1382000000</v>
      </c>
      <c r="J40" s="258">
        <v>15202000000</v>
      </c>
      <c r="K40" s="256" t="s">
        <v>1346</v>
      </c>
    </row>
    <row r="41" spans="1:11" x14ac:dyDescent="0.3">
      <c r="A41" s="256">
        <v>34</v>
      </c>
      <c r="B41" s="257" t="s">
        <v>1463</v>
      </c>
      <c r="C41" s="276">
        <v>44439</v>
      </c>
      <c r="D41" s="257" t="s">
        <v>1288</v>
      </c>
      <c r="E41" s="256" t="s">
        <v>1797</v>
      </c>
      <c r="F41" s="256" t="s">
        <v>1780</v>
      </c>
      <c r="G41" s="258">
        <v>4928000000</v>
      </c>
      <c r="H41" s="265">
        <v>0.1</v>
      </c>
      <c r="I41" s="258">
        <v>492800000</v>
      </c>
      <c r="J41" s="258">
        <v>5420800000</v>
      </c>
      <c r="K41" s="256" t="s">
        <v>1346</v>
      </c>
    </row>
    <row r="42" spans="1:11" x14ac:dyDescent="0.3">
      <c r="A42" s="256">
        <v>35</v>
      </c>
      <c r="B42" s="257" t="s">
        <v>1207</v>
      </c>
      <c r="C42" s="276">
        <v>44500</v>
      </c>
      <c r="D42" s="257" t="s">
        <v>1264</v>
      </c>
      <c r="E42" s="256" t="s">
        <v>1779</v>
      </c>
      <c r="F42" s="256" t="s">
        <v>1741</v>
      </c>
      <c r="G42" s="258">
        <v>8964000000</v>
      </c>
      <c r="H42" s="265">
        <v>0</v>
      </c>
      <c r="I42" s="258">
        <v>0</v>
      </c>
      <c r="J42" s="258">
        <v>8964000000</v>
      </c>
      <c r="K42" s="256" t="s">
        <v>1348</v>
      </c>
    </row>
    <row r="43" spans="1:11" x14ac:dyDescent="0.3">
      <c r="A43" s="256">
        <v>36</v>
      </c>
      <c r="B43" s="257" t="s">
        <v>1471</v>
      </c>
      <c r="C43" s="276">
        <v>44561</v>
      </c>
      <c r="D43" s="257" t="s">
        <v>1260</v>
      </c>
      <c r="E43" s="256" t="s">
        <v>1804</v>
      </c>
      <c r="F43" s="256" t="s">
        <v>1731</v>
      </c>
      <c r="G43" s="258">
        <v>15083000000</v>
      </c>
      <c r="H43" s="265">
        <v>0.1</v>
      </c>
      <c r="I43" s="258">
        <v>1508300000</v>
      </c>
      <c r="J43" s="258">
        <v>16591300000</v>
      </c>
      <c r="K43" s="256" t="s">
        <v>1346</v>
      </c>
    </row>
    <row r="44" spans="1:11" x14ac:dyDescent="0.3">
      <c r="A44" s="256">
        <v>37</v>
      </c>
      <c r="B44" s="257" t="s">
        <v>1391</v>
      </c>
      <c r="C44" s="276">
        <v>44561</v>
      </c>
      <c r="D44" s="257" t="s">
        <v>1294</v>
      </c>
      <c r="E44" s="256" t="s">
        <v>1795</v>
      </c>
      <c r="F44" s="256" t="s">
        <v>1780</v>
      </c>
      <c r="G44" s="258">
        <v>5707000000</v>
      </c>
      <c r="H44" s="265">
        <v>0.1</v>
      </c>
      <c r="I44" s="258">
        <v>570700000</v>
      </c>
      <c r="J44" s="258">
        <v>6277700000</v>
      </c>
      <c r="K44" s="256" t="s">
        <v>1348</v>
      </c>
    </row>
    <row r="45" spans="1:11" x14ac:dyDescent="0.3">
      <c r="A45" s="256">
        <v>38</v>
      </c>
      <c r="B45" s="257" t="s">
        <v>1475</v>
      </c>
      <c r="C45" s="276">
        <v>44561</v>
      </c>
      <c r="D45" s="257" t="s">
        <v>1271</v>
      </c>
      <c r="E45" s="256" t="s">
        <v>1799</v>
      </c>
      <c r="F45" s="256" t="s">
        <v>1787</v>
      </c>
      <c r="G45" s="258">
        <v>17308000000</v>
      </c>
      <c r="H45" s="265">
        <v>0</v>
      </c>
      <c r="I45" s="258">
        <v>0</v>
      </c>
      <c r="J45" s="258">
        <v>17308000000</v>
      </c>
      <c r="K45" s="256" t="s">
        <v>1346</v>
      </c>
    </row>
    <row r="46" spans="1:11" x14ac:dyDescent="0.3">
      <c r="A46" s="256">
        <v>39</v>
      </c>
      <c r="B46" s="257" t="s">
        <v>1460</v>
      </c>
      <c r="C46" s="276">
        <v>44561</v>
      </c>
      <c r="D46" s="257" t="s">
        <v>1289</v>
      </c>
      <c r="E46" s="256" t="s">
        <v>1803</v>
      </c>
      <c r="F46" s="256" t="s">
        <v>1778</v>
      </c>
      <c r="G46" s="258">
        <v>17569000000</v>
      </c>
      <c r="H46" s="265">
        <v>0.1</v>
      </c>
      <c r="I46" s="258">
        <v>1756900000</v>
      </c>
      <c r="J46" s="258">
        <v>19325900000</v>
      </c>
      <c r="K46" s="256" t="s">
        <v>1346</v>
      </c>
    </row>
    <row r="47" spans="1:11" x14ac:dyDescent="0.3">
      <c r="A47" s="256">
        <v>40</v>
      </c>
      <c r="B47" s="257" t="s">
        <v>1397</v>
      </c>
      <c r="C47" s="276">
        <v>44561</v>
      </c>
      <c r="D47" s="257" t="s">
        <v>1295</v>
      </c>
      <c r="E47" s="256" t="s">
        <v>1825</v>
      </c>
      <c r="F47" s="256" t="s">
        <v>1787</v>
      </c>
      <c r="G47" s="258">
        <v>7736000000</v>
      </c>
      <c r="H47" s="265">
        <v>0.1</v>
      </c>
      <c r="I47" s="258">
        <v>773600000</v>
      </c>
      <c r="J47" s="258">
        <v>8509600000</v>
      </c>
      <c r="K47" s="256" t="s">
        <v>1346</v>
      </c>
    </row>
    <row r="48" spans="1:11" x14ac:dyDescent="0.3">
      <c r="A48" s="256">
        <v>41</v>
      </c>
      <c r="B48" s="257" t="s">
        <v>1385</v>
      </c>
      <c r="C48" s="276">
        <v>44561</v>
      </c>
      <c r="D48" s="257" t="s">
        <v>1303</v>
      </c>
      <c r="E48" s="256" t="s">
        <v>1817</v>
      </c>
      <c r="F48" s="256" t="s">
        <v>1780</v>
      </c>
      <c r="G48" s="258">
        <v>16484000000</v>
      </c>
      <c r="H48" s="265">
        <v>0</v>
      </c>
      <c r="I48" s="258">
        <v>0</v>
      </c>
      <c r="J48" s="258">
        <v>16484000000</v>
      </c>
      <c r="K48" s="256" t="s">
        <v>1348</v>
      </c>
    </row>
    <row r="49" spans="1:11" x14ac:dyDescent="0.3">
      <c r="A49" s="256">
        <v>42</v>
      </c>
      <c r="B49" s="257" t="s">
        <v>1387</v>
      </c>
      <c r="C49" s="276">
        <v>44561</v>
      </c>
      <c r="D49" s="257" t="s">
        <v>1303</v>
      </c>
      <c r="E49" s="256" t="s">
        <v>1817</v>
      </c>
      <c r="F49" s="256" t="s">
        <v>1791</v>
      </c>
      <c r="G49" s="258">
        <v>15200000000</v>
      </c>
      <c r="H49" s="265">
        <v>0.1</v>
      </c>
      <c r="I49" s="258">
        <v>1520000000</v>
      </c>
      <c r="J49" s="258">
        <v>16720000000</v>
      </c>
      <c r="K49" s="256" t="s">
        <v>1346</v>
      </c>
    </row>
    <row r="50" spans="1:11" x14ac:dyDescent="0.3">
      <c r="A50" s="256">
        <v>43</v>
      </c>
      <c r="B50" s="257" t="s">
        <v>1459</v>
      </c>
      <c r="C50" s="276">
        <v>44561</v>
      </c>
      <c r="D50" s="257" t="s">
        <v>1285</v>
      </c>
      <c r="E50" s="256" t="s">
        <v>1793</v>
      </c>
      <c r="F50" s="256" t="s">
        <v>1741</v>
      </c>
      <c r="G50" s="258">
        <v>5402000000</v>
      </c>
      <c r="H50" s="265">
        <v>0.1</v>
      </c>
      <c r="I50" s="258">
        <v>540200000</v>
      </c>
      <c r="J50" s="258">
        <v>5942200000</v>
      </c>
      <c r="K50" s="256" t="s">
        <v>1346</v>
      </c>
    </row>
    <row r="51" spans="1:11" x14ac:dyDescent="0.3">
      <c r="A51" s="256">
        <v>44</v>
      </c>
      <c r="B51" s="257" t="s">
        <v>1475</v>
      </c>
      <c r="C51" s="276">
        <v>44561</v>
      </c>
      <c r="D51" s="257" t="s">
        <v>1276</v>
      </c>
      <c r="E51" s="256" t="s">
        <v>1822</v>
      </c>
      <c r="F51" s="256" t="s">
        <v>1787</v>
      </c>
      <c r="G51" s="258">
        <v>11315000000</v>
      </c>
      <c r="H51" s="265">
        <v>0.1</v>
      </c>
      <c r="I51" s="258">
        <v>1131500000</v>
      </c>
      <c r="J51" s="258">
        <v>12446500000</v>
      </c>
      <c r="K51" s="256" t="s">
        <v>1346</v>
      </c>
    </row>
    <row r="52" spans="1:11" x14ac:dyDescent="0.3">
      <c r="A52" s="256">
        <v>45</v>
      </c>
      <c r="B52" s="257" t="s">
        <v>1418</v>
      </c>
      <c r="C52" s="276">
        <v>44561</v>
      </c>
      <c r="D52" s="257" t="s">
        <v>1293</v>
      </c>
      <c r="E52" s="256" t="s">
        <v>1826</v>
      </c>
      <c r="F52" s="256" t="s">
        <v>1731</v>
      </c>
      <c r="G52" s="258">
        <v>14394000000</v>
      </c>
      <c r="H52" s="265">
        <v>0.1</v>
      </c>
      <c r="I52" s="258">
        <v>1439400000</v>
      </c>
      <c r="J52" s="258">
        <v>15833400000</v>
      </c>
      <c r="K52" s="256" t="s">
        <v>1346</v>
      </c>
    </row>
    <row r="53" spans="1:11" x14ac:dyDescent="0.3">
      <c r="A53" s="256">
        <v>46</v>
      </c>
      <c r="B53" s="257" t="s">
        <v>1479</v>
      </c>
      <c r="C53" s="276">
        <v>44561</v>
      </c>
      <c r="D53" s="257" t="s">
        <v>1281</v>
      </c>
      <c r="E53" s="256" t="s">
        <v>1806</v>
      </c>
      <c r="F53" s="256" t="s">
        <v>1791</v>
      </c>
      <c r="G53" s="258">
        <v>13517000000</v>
      </c>
      <c r="H53" s="265">
        <v>0.1</v>
      </c>
      <c r="I53" s="258">
        <v>1351700000</v>
      </c>
      <c r="J53" s="258">
        <v>14868700000</v>
      </c>
      <c r="K53" s="256" t="s">
        <v>1346</v>
      </c>
    </row>
    <row r="54" spans="1:11" x14ac:dyDescent="0.3">
      <c r="A54" s="256">
        <v>47</v>
      </c>
      <c r="B54" s="257" t="s">
        <v>1463</v>
      </c>
      <c r="C54" s="276">
        <v>44561</v>
      </c>
      <c r="D54" s="257" t="s">
        <v>1283</v>
      </c>
      <c r="E54" s="256" t="s">
        <v>1798</v>
      </c>
      <c r="F54" s="256" t="s">
        <v>1741</v>
      </c>
      <c r="G54" s="258">
        <v>10960000000</v>
      </c>
      <c r="H54" s="265">
        <v>0.1</v>
      </c>
      <c r="I54" s="258">
        <v>1096000000</v>
      </c>
      <c r="J54" s="258">
        <v>12056000000</v>
      </c>
      <c r="K54" s="256" t="s">
        <v>1346</v>
      </c>
    </row>
    <row r="55" spans="1:11" x14ac:dyDescent="0.3">
      <c r="A55" s="256">
        <v>48</v>
      </c>
      <c r="B55" s="257" t="s">
        <v>1392</v>
      </c>
      <c r="C55" s="276">
        <v>44561</v>
      </c>
      <c r="D55" s="257" t="s">
        <v>1294</v>
      </c>
      <c r="E55" s="256" t="s">
        <v>1795</v>
      </c>
      <c r="F55" s="256" t="s">
        <v>1778</v>
      </c>
      <c r="G55" s="258">
        <v>18117000000</v>
      </c>
      <c r="H55" s="265">
        <v>0</v>
      </c>
      <c r="I55" s="258">
        <v>0</v>
      </c>
      <c r="J55" s="258">
        <v>18117000000</v>
      </c>
      <c r="K55" s="256" t="s">
        <v>1346</v>
      </c>
    </row>
    <row r="56" spans="1:11" x14ac:dyDescent="0.3">
      <c r="A56" s="256">
        <v>49</v>
      </c>
      <c r="B56" s="257" t="s">
        <v>1460</v>
      </c>
      <c r="C56" s="276">
        <v>44561</v>
      </c>
      <c r="D56" s="257" t="s">
        <v>1285</v>
      </c>
      <c r="E56" s="256" t="s">
        <v>1793</v>
      </c>
      <c r="F56" s="256" t="s">
        <v>1787</v>
      </c>
      <c r="G56" s="258">
        <v>9092000000</v>
      </c>
      <c r="H56" s="265">
        <v>0.1</v>
      </c>
      <c r="I56" s="258">
        <v>909200000</v>
      </c>
      <c r="J56" s="258">
        <v>10001200000</v>
      </c>
      <c r="K56" s="256" t="s">
        <v>1348</v>
      </c>
    </row>
    <row r="57" spans="1:11" x14ac:dyDescent="0.3">
      <c r="A57" s="256">
        <v>50</v>
      </c>
      <c r="B57" s="257" t="s">
        <v>1411</v>
      </c>
      <c r="C57" s="276">
        <v>44561</v>
      </c>
      <c r="D57" s="257" t="s">
        <v>1301</v>
      </c>
      <c r="E57" s="256" t="s">
        <v>1781</v>
      </c>
      <c r="F57" s="256" t="s">
        <v>1778</v>
      </c>
      <c r="G57" s="258">
        <v>7710000000</v>
      </c>
      <c r="H57" s="265">
        <v>0.1</v>
      </c>
      <c r="I57" s="258">
        <v>771000000</v>
      </c>
      <c r="J57" s="258">
        <v>8481000000</v>
      </c>
      <c r="K57" s="256" t="s">
        <v>1346</v>
      </c>
    </row>
    <row r="58" spans="1:11" x14ac:dyDescent="0.3">
      <c r="A58" s="266" t="s">
        <v>1351</v>
      </c>
      <c r="B58" s="266"/>
      <c r="C58" s="266"/>
      <c r="D58" s="266"/>
      <c r="E58" s="266"/>
      <c r="F58" s="266"/>
      <c r="G58" s="267">
        <f>SUM(G8:G57)</f>
        <v>557924000000</v>
      </c>
      <c r="H58" s="266"/>
      <c r="I58" s="267">
        <f>SUM(I8:I57)</f>
        <v>45417100000</v>
      </c>
      <c r="J58" s="267">
        <f>SUM(J8:J57)</f>
        <v>603341100000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1280</v>
      </c>
      <c r="E62" s="256" t="s">
        <v>1777</v>
      </c>
      <c r="F62" s="256" t="s">
        <v>1811</v>
      </c>
      <c r="G62" s="258">
        <v>20999000000</v>
      </c>
      <c r="H62" s="265">
        <v>0.1</v>
      </c>
      <c r="I62" s="258">
        <v>2099900000</v>
      </c>
      <c r="J62" s="258">
        <v>23098900000</v>
      </c>
      <c r="K62" s="256" t="s">
        <v>1346</v>
      </c>
    </row>
    <row r="63" spans="1:11" x14ac:dyDescent="0.3">
      <c r="A63" s="256">
        <v>2</v>
      </c>
      <c r="B63" s="257" t="s">
        <v>1201</v>
      </c>
      <c r="C63" s="276">
        <v>44318</v>
      </c>
      <c r="D63" s="257" t="s">
        <v>1277</v>
      </c>
      <c r="E63" s="256" t="s">
        <v>1783</v>
      </c>
      <c r="F63" s="256" t="s">
        <v>1919</v>
      </c>
      <c r="G63" s="258">
        <v>16952000000</v>
      </c>
      <c r="H63" s="265">
        <v>0.1</v>
      </c>
      <c r="I63" s="258">
        <v>1695200000</v>
      </c>
      <c r="J63" s="258">
        <v>18647200000</v>
      </c>
      <c r="K63" s="256" t="s">
        <v>1346</v>
      </c>
    </row>
    <row r="64" spans="1:11" x14ac:dyDescent="0.3">
      <c r="A64" s="256">
        <v>3</v>
      </c>
      <c r="B64" s="257" t="s">
        <v>1202</v>
      </c>
      <c r="C64" s="276">
        <v>44472</v>
      </c>
      <c r="D64" s="257" t="s">
        <v>1277</v>
      </c>
      <c r="E64" s="256" t="s">
        <v>1783</v>
      </c>
      <c r="F64" s="256" t="s">
        <v>1811</v>
      </c>
      <c r="G64" s="258">
        <v>15300000000</v>
      </c>
      <c r="H64" s="265">
        <v>0.1</v>
      </c>
      <c r="I64" s="258">
        <v>1530000000</v>
      </c>
      <c r="J64" s="258">
        <v>16830000000</v>
      </c>
      <c r="K64" s="256" t="s">
        <v>1346</v>
      </c>
    </row>
    <row r="65" spans="1:11" x14ac:dyDescent="0.3">
      <c r="A65" s="256">
        <v>4</v>
      </c>
      <c r="B65" s="257" t="s">
        <v>1355</v>
      </c>
      <c r="C65" s="276">
        <v>44473</v>
      </c>
      <c r="D65" s="257" t="s">
        <v>1303</v>
      </c>
      <c r="E65" s="256" t="s">
        <v>1817</v>
      </c>
      <c r="F65" s="256" t="s">
        <v>1920</v>
      </c>
      <c r="G65" s="258">
        <v>9039000000</v>
      </c>
      <c r="H65" s="265">
        <v>0.1</v>
      </c>
      <c r="I65" s="258">
        <v>903900000</v>
      </c>
      <c r="J65" s="258">
        <v>9942900000</v>
      </c>
      <c r="K65" s="256" t="s">
        <v>1346</v>
      </c>
    </row>
    <row r="66" spans="1:11" x14ac:dyDescent="0.3">
      <c r="A66" s="256">
        <v>5</v>
      </c>
      <c r="B66" s="257" t="s">
        <v>1356</v>
      </c>
      <c r="C66" s="276">
        <v>44474</v>
      </c>
      <c r="D66" s="257" t="s">
        <v>1284</v>
      </c>
      <c r="E66" s="256" t="s">
        <v>1786</v>
      </c>
      <c r="F66" s="256" t="s">
        <v>1921</v>
      </c>
      <c r="G66" s="258">
        <v>14488000000</v>
      </c>
      <c r="H66" s="265">
        <v>0.1</v>
      </c>
      <c r="I66" s="258">
        <v>1448800000</v>
      </c>
      <c r="J66" s="258">
        <v>15936800000</v>
      </c>
      <c r="K66" s="256" t="s">
        <v>1346</v>
      </c>
    </row>
    <row r="67" spans="1:11" x14ac:dyDescent="0.3">
      <c r="A67" s="256">
        <v>6</v>
      </c>
      <c r="B67" s="257" t="s">
        <v>1358</v>
      </c>
      <c r="C67" s="276">
        <v>44475</v>
      </c>
      <c r="D67" s="257" t="s">
        <v>1263</v>
      </c>
      <c r="E67" s="256" t="s">
        <v>1790</v>
      </c>
      <c r="F67" s="256" t="s">
        <v>1811</v>
      </c>
      <c r="G67" s="258">
        <v>13508000000</v>
      </c>
      <c r="H67" s="265">
        <v>0.1</v>
      </c>
      <c r="I67" s="258">
        <v>1350800000</v>
      </c>
      <c r="J67" s="258">
        <v>14858800000</v>
      </c>
      <c r="K67" s="256" t="s">
        <v>1346</v>
      </c>
    </row>
    <row r="68" spans="1:11" x14ac:dyDescent="0.3">
      <c r="A68" s="256">
        <v>7</v>
      </c>
      <c r="B68" s="257" t="s">
        <v>1360</v>
      </c>
      <c r="C68" s="276">
        <v>44476</v>
      </c>
      <c r="D68" s="257" t="s">
        <v>1259</v>
      </c>
      <c r="E68" s="256" t="s">
        <v>1788</v>
      </c>
      <c r="F68" s="256" t="s">
        <v>1920</v>
      </c>
      <c r="G68" s="258">
        <v>6392000000</v>
      </c>
      <c r="H68" s="265">
        <v>0.1</v>
      </c>
      <c r="I68" s="258">
        <v>639200000</v>
      </c>
      <c r="J68" s="258">
        <v>7031200000</v>
      </c>
      <c r="K68" s="256" t="s">
        <v>1346</v>
      </c>
    </row>
    <row r="69" spans="1:11" x14ac:dyDescent="0.3">
      <c r="A69" s="256">
        <v>8</v>
      </c>
      <c r="B69" s="257" t="s">
        <v>1362</v>
      </c>
      <c r="C69" s="276">
        <v>44477</v>
      </c>
      <c r="D69" s="257" t="s">
        <v>1255</v>
      </c>
      <c r="E69" s="273">
        <v>46152</v>
      </c>
      <c r="F69" s="256" t="s">
        <v>1920</v>
      </c>
      <c r="G69" s="258">
        <v>22919000000</v>
      </c>
      <c r="H69" s="265">
        <v>0.1</v>
      </c>
      <c r="I69" s="258">
        <v>2291900000</v>
      </c>
      <c r="J69" s="258">
        <v>25210900000</v>
      </c>
      <c r="K69" s="256" t="s">
        <v>1348</v>
      </c>
    </row>
    <row r="70" spans="1:11" x14ac:dyDescent="0.3">
      <c r="A70" s="256">
        <v>9</v>
      </c>
      <c r="B70" s="257" t="s">
        <v>1364</v>
      </c>
      <c r="C70" s="276">
        <v>44478</v>
      </c>
      <c r="D70" s="257" t="s">
        <v>1260</v>
      </c>
      <c r="E70" s="256" t="s">
        <v>1804</v>
      </c>
      <c r="F70" s="256" t="s">
        <v>1920</v>
      </c>
      <c r="G70" s="258">
        <v>23464000000</v>
      </c>
      <c r="H70" s="265">
        <v>0.1</v>
      </c>
      <c r="I70" s="258">
        <v>2346400000</v>
      </c>
      <c r="J70" s="258">
        <v>25810400000</v>
      </c>
      <c r="K70" s="256" t="s">
        <v>1346</v>
      </c>
    </row>
    <row r="71" spans="1:11" x14ac:dyDescent="0.3">
      <c r="A71" s="256">
        <v>10</v>
      </c>
      <c r="B71" s="257" t="s">
        <v>1366</v>
      </c>
      <c r="C71" s="276">
        <v>44479</v>
      </c>
      <c r="D71" s="257" t="s">
        <v>1292</v>
      </c>
      <c r="E71" s="256" t="s">
        <v>1792</v>
      </c>
      <c r="F71" s="256" t="s">
        <v>1920</v>
      </c>
      <c r="G71" s="258">
        <v>22832000000</v>
      </c>
      <c r="H71" s="265">
        <v>0.1</v>
      </c>
      <c r="I71" s="258">
        <v>2283200000</v>
      </c>
      <c r="J71" s="258">
        <v>25115200000</v>
      </c>
      <c r="K71" s="256" t="s">
        <v>1346</v>
      </c>
    </row>
    <row r="72" spans="1:11" x14ac:dyDescent="0.3">
      <c r="A72" s="256">
        <v>11</v>
      </c>
      <c r="B72" s="257" t="s">
        <v>1368</v>
      </c>
      <c r="C72" s="276">
        <v>44480</v>
      </c>
      <c r="D72" s="257" t="s">
        <v>1276</v>
      </c>
      <c r="E72" s="256" t="s">
        <v>1822</v>
      </c>
      <c r="F72" s="256" t="s">
        <v>1919</v>
      </c>
      <c r="G72" s="258">
        <v>24704000000</v>
      </c>
      <c r="H72" s="265">
        <v>0.1</v>
      </c>
      <c r="I72" s="258">
        <v>2470400000</v>
      </c>
      <c r="J72" s="258">
        <v>27174400000</v>
      </c>
      <c r="K72" s="256" t="s">
        <v>1346</v>
      </c>
    </row>
    <row r="73" spans="1:11" x14ac:dyDescent="0.3">
      <c r="A73" s="256">
        <v>12</v>
      </c>
      <c r="B73" s="257" t="s">
        <v>1371</v>
      </c>
      <c r="C73" s="276">
        <v>44481</v>
      </c>
      <c r="D73" s="257" t="s">
        <v>1302</v>
      </c>
      <c r="E73" s="256" t="s">
        <v>1784</v>
      </c>
      <c r="F73" s="256" t="s">
        <v>1919</v>
      </c>
      <c r="G73" s="258">
        <v>17186000000</v>
      </c>
      <c r="H73" s="265">
        <v>0.1</v>
      </c>
      <c r="I73" s="258">
        <v>1718600000</v>
      </c>
      <c r="J73" s="258">
        <v>18904600000</v>
      </c>
      <c r="K73" s="256" t="s">
        <v>1346</v>
      </c>
    </row>
    <row r="74" spans="1:11" x14ac:dyDescent="0.3">
      <c r="A74" s="256">
        <v>13</v>
      </c>
      <c r="B74" s="257" t="s">
        <v>1373</v>
      </c>
      <c r="C74" s="276">
        <v>44211</v>
      </c>
      <c r="D74" s="257" t="s">
        <v>1255</v>
      </c>
      <c r="E74" s="273">
        <v>46152</v>
      </c>
      <c r="F74" s="256" t="s">
        <v>1921</v>
      </c>
      <c r="G74" s="258">
        <v>9118000000</v>
      </c>
      <c r="H74" s="265">
        <v>0.1</v>
      </c>
      <c r="I74" s="258">
        <v>911800000</v>
      </c>
      <c r="J74" s="258">
        <v>10029800000</v>
      </c>
      <c r="K74" s="256" t="s">
        <v>1346</v>
      </c>
    </row>
    <row r="75" spans="1:11" x14ac:dyDescent="0.3">
      <c r="A75" s="256">
        <v>14</v>
      </c>
      <c r="B75" s="257" t="s">
        <v>1374</v>
      </c>
      <c r="C75" s="276">
        <v>44242</v>
      </c>
      <c r="D75" s="257" t="s">
        <v>1259</v>
      </c>
      <c r="E75" s="256" t="s">
        <v>1788</v>
      </c>
      <c r="F75" s="256" t="s">
        <v>1921</v>
      </c>
      <c r="G75" s="258">
        <v>20980000000</v>
      </c>
      <c r="H75" s="265">
        <v>0.1</v>
      </c>
      <c r="I75" s="258">
        <v>2098000000</v>
      </c>
      <c r="J75" s="258">
        <v>23078000000</v>
      </c>
      <c r="K75" s="256" t="s">
        <v>1346</v>
      </c>
    </row>
    <row r="76" spans="1:11" x14ac:dyDescent="0.3">
      <c r="A76" s="256">
        <v>15</v>
      </c>
      <c r="B76" s="257" t="s">
        <v>1376</v>
      </c>
      <c r="C76" s="276">
        <v>44275</v>
      </c>
      <c r="D76" s="257" t="s">
        <v>1295</v>
      </c>
      <c r="E76" s="256" t="s">
        <v>1825</v>
      </c>
      <c r="F76" s="256" t="s">
        <v>1920</v>
      </c>
      <c r="G76" s="258">
        <v>9135000000</v>
      </c>
      <c r="H76" s="265">
        <v>0.1</v>
      </c>
      <c r="I76" s="258">
        <v>913500000</v>
      </c>
      <c r="J76" s="258">
        <v>10048500000</v>
      </c>
      <c r="K76" s="256" t="s">
        <v>1346</v>
      </c>
    </row>
    <row r="77" spans="1:11" x14ac:dyDescent="0.3">
      <c r="A77" s="256">
        <v>16</v>
      </c>
      <c r="B77" s="257" t="s">
        <v>1378</v>
      </c>
      <c r="C77" s="276">
        <v>44306</v>
      </c>
      <c r="D77" s="257" t="s">
        <v>1288</v>
      </c>
      <c r="E77" s="256" t="s">
        <v>1797</v>
      </c>
      <c r="F77" s="256" t="s">
        <v>1921</v>
      </c>
      <c r="G77" s="258">
        <v>24832000000</v>
      </c>
      <c r="H77" s="265">
        <v>0.1</v>
      </c>
      <c r="I77" s="258">
        <v>2483200000</v>
      </c>
      <c r="J77" s="258">
        <v>27315200000</v>
      </c>
      <c r="K77" s="256" t="s">
        <v>1346</v>
      </c>
    </row>
    <row r="78" spans="1:11" x14ac:dyDescent="0.3">
      <c r="A78" s="256">
        <v>17</v>
      </c>
      <c r="B78" s="257" t="s">
        <v>1379</v>
      </c>
      <c r="C78" s="276">
        <v>44336</v>
      </c>
      <c r="D78" s="257" t="s">
        <v>1302</v>
      </c>
      <c r="E78" s="256" t="s">
        <v>1784</v>
      </c>
      <c r="F78" s="256" t="s">
        <v>1920</v>
      </c>
      <c r="G78" s="258">
        <v>12667000000</v>
      </c>
      <c r="H78" s="265">
        <v>0</v>
      </c>
      <c r="I78" s="258">
        <v>0</v>
      </c>
      <c r="J78" s="258">
        <v>12667000000</v>
      </c>
      <c r="K78" s="256" t="s">
        <v>1346</v>
      </c>
    </row>
    <row r="79" spans="1:11" x14ac:dyDescent="0.3">
      <c r="A79" s="256">
        <v>18</v>
      </c>
      <c r="B79" s="257" t="s">
        <v>1381</v>
      </c>
      <c r="C79" s="276">
        <v>44367</v>
      </c>
      <c r="D79" s="257" t="s">
        <v>1256</v>
      </c>
      <c r="E79" s="256" t="s">
        <v>1802</v>
      </c>
      <c r="F79" s="256" t="s">
        <v>1811</v>
      </c>
      <c r="G79" s="258">
        <v>22104000000</v>
      </c>
      <c r="H79" s="265">
        <v>0.1</v>
      </c>
      <c r="I79" s="258">
        <v>2210400000</v>
      </c>
      <c r="J79" s="258">
        <v>24314400000</v>
      </c>
      <c r="K79" s="256" t="s">
        <v>1346</v>
      </c>
    </row>
    <row r="80" spans="1:11" x14ac:dyDescent="0.3">
      <c r="A80" s="256">
        <v>19</v>
      </c>
      <c r="B80" s="257" t="s">
        <v>1382</v>
      </c>
      <c r="C80" s="276">
        <v>44397</v>
      </c>
      <c r="D80" s="257" t="s">
        <v>1283</v>
      </c>
      <c r="E80" s="256" t="s">
        <v>1798</v>
      </c>
      <c r="F80" s="256" t="s">
        <v>1811</v>
      </c>
      <c r="G80" s="258">
        <v>9504000000</v>
      </c>
      <c r="H80" s="265">
        <v>0.1</v>
      </c>
      <c r="I80" s="258">
        <v>950400000</v>
      </c>
      <c r="J80" s="258">
        <v>10454400000</v>
      </c>
      <c r="K80" s="256" t="s">
        <v>1346</v>
      </c>
    </row>
    <row r="81" spans="1:11" x14ac:dyDescent="0.3">
      <c r="A81" s="256">
        <v>20</v>
      </c>
      <c r="B81" s="257" t="s">
        <v>1383</v>
      </c>
      <c r="C81" s="276">
        <v>44428</v>
      </c>
      <c r="D81" s="257" t="s">
        <v>1295</v>
      </c>
      <c r="E81" s="256" t="s">
        <v>1825</v>
      </c>
      <c r="F81" s="256" t="s">
        <v>1811</v>
      </c>
      <c r="G81" s="258">
        <v>22393000000</v>
      </c>
      <c r="H81" s="265">
        <v>0.1</v>
      </c>
      <c r="I81" s="258">
        <v>2239300000</v>
      </c>
      <c r="J81" s="258">
        <v>24632300000</v>
      </c>
      <c r="K81" s="256" t="s">
        <v>1346</v>
      </c>
    </row>
    <row r="82" spans="1:11" x14ac:dyDescent="0.3">
      <c r="A82" s="256">
        <v>21</v>
      </c>
      <c r="B82" s="257" t="s">
        <v>1203</v>
      </c>
      <c r="C82" s="276">
        <v>44459</v>
      </c>
      <c r="D82" s="257" t="s">
        <v>1286</v>
      </c>
      <c r="E82" s="256" t="s">
        <v>1828</v>
      </c>
      <c r="F82" s="256" t="s">
        <v>1811</v>
      </c>
      <c r="G82" s="258">
        <v>8284000000</v>
      </c>
      <c r="H82" s="265">
        <v>0.1</v>
      </c>
      <c r="I82" s="258">
        <v>828400000</v>
      </c>
      <c r="J82" s="258">
        <v>9112400000</v>
      </c>
      <c r="K82" s="256" t="s">
        <v>1346</v>
      </c>
    </row>
    <row r="83" spans="1:11" x14ac:dyDescent="0.3">
      <c r="A83" s="256">
        <v>22</v>
      </c>
      <c r="B83" s="257" t="s">
        <v>1204</v>
      </c>
      <c r="C83" s="276">
        <v>44489</v>
      </c>
      <c r="D83" s="257" t="s">
        <v>1283</v>
      </c>
      <c r="E83" s="256" t="s">
        <v>1798</v>
      </c>
      <c r="F83" s="256" t="s">
        <v>1920</v>
      </c>
      <c r="G83" s="258">
        <v>19289000000</v>
      </c>
      <c r="H83" s="265">
        <v>0.1</v>
      </c>
      <c r="I83" s="258">
        <v>1928900000</v>
      </c>
      <c r="J83" s="258">
        <v>21217900000</v>
      </c>
      <c r="K83" s="256" t="s">
        <v>1346</v>
      </c>
    </row>
    <row r="84" spans="1:11" x14ac:dyDescent="0.3">
      <c r="A84" s="256">
        <v>23</v>
      </c>
      <c r="B84" s="257" t="s">
        <v>1205</v>
      </c>
      <c r="C84" s="276">
        <v>44520</v>
      </c>
      <c r="D84" s="257" t="s">
        <v>1276</v>
      </c>
      <c r="E84" s="256" t="s">
        <v>1822</v>
      </c>
      <c r="F84" s="256" t="s">
        <v>1919</v>
      </c>
      <c r="G84" s="258">
        <v>6524000000</v>
      </c>
      <c r="H84" s="265">
        <v>0.1</v>
      </c>
      <c r="I84" s="258">
        <v>652400000</v>
      </c>
      <c r="J84" s="258">
        <v>7176400000</v>
      </c>
      <c r="K84" s="256" t="s">
        <v>1346</v>
      </c>
    </row>
    <row r="85" spans="1:11" x14ac:dyDescent="0.3">
      <c r="A85" s="256">
        <v>24</v>
      </c>
      <c r="B85" s="257" t="s">
        <v>1385</v>
      </c>
      <c r="C85" s="276">
        <v>44550</v>
      </c>
      <c r="D85" s="257" t="s">
        <v>1298</v>
      </c>
      <c r="E85" s="256" t="s">
        <v>1819</v>
      </c>
      <c r="F85" s="256" t="s">
        <v>1920</v>
      </c>
      <c r="G85" s="258">
        <v>22566000000</v>
      </c>
      <c r="H85" s="265">
        <v>0.1</v>
      </c>
      <c r="I85" s="258">
        <v>2256600000</v>
      </c>
      <c r="J85" s="258">
        <v>24822600000</v>
      </c>
      <c r="K85" s="256" t="s">
        <v>1346</v>
      </c>
    </row>
    <row r="86" spans="1:11" x14ac:dyDescent="0.3">
      <c r="A86" s="256">
        <v>25</v>
      </c>
      <c r="B86" s="257" t="s">
        <v>1387</v>
      </c>
      <c r="C86" s="276">
        <v>44221</v>
      </c>
      <c r="D86" s="257" t="s">
        <v>1302</v>
      </c>
      <c r="E86" s="256" t="s">
        <v>1784</v>
      </c>
      <c r="F86" s="256" t="s">
        <v>1811</v>
      </c>
      <c r="G86" s="258">
        <v>8838000000</v>
      </c>
      <c r="H86" s="265">
        <v>0.1</v>
      </c>
      <c r="I86" s="258">
        <v>883800000</v>
      </c>
      <c r="J86" s="258">
        <v>9721800000</v>
      </c>
      <c r="K86" s="256" t="s">
        <v>1346</v>
      </c>
    </row>
    <row r="87" spans="1:11" x14ac:dyDescent="0.3">
      <c r="A87" s="256">
        <v>26</v>
      </c>
      <c r="B87" s="257" t="s">
        <v>1388</v>
      </c>
      <c r="C87" s="276">
        <v>44255</v>
      </c>
      <c r="D87" s="257" t="s">
        <v>1276</v>
      </c>
      <c r="E87" s="256" t="s">
        <v>1822</v>
      </c>
      <c r="F87" s="256" t="s">
        <v>1919</v>
      </c>
      <c r="G87" s="258">
        <v>6341000000</v>
      </c>
      <c r="H87" s="265">
        <v>0.1</v>
      </c>
      <c r="I87" s="258">
        <v>634100000</v>
      </c>
      <c r="J87" s="258">
        <v>6975100000</v>
      </c>
      <c r="K87" s="256" t="s">
        <v>1346</v>
      </c>
    </row>
    <row r="88" spans="1:11" x14ac:dyDescent="0.3">
      <c r="A88" s="256">
        <v>27</v>
      </c>
      <c r="B88" s="257" t="s">
        <v>1391</v>
      </c>
      <c r="C88" s="276">
        <v>44316</v>
      </c>
      <c r="D88" s="257" t="s">
        <v>1283</v>
      </c>
      <c r="E88" s="256" t="s">
        <v>1798</v>
      </c>
      <c r="F88" s="256" t="s">
        <v>1811</v>
      </c>
      <c r="G88" s="258">
        <v>18679000000</v>
      </c>
      <c r="H88" s="265">
        <v>0.1</v>
      </c>
      <c r="I88" s="258">
        <v>1867900000</v>
      </c>
      <c r="J88" s="258">
        <v>20546900000</v>
      </c>
      <c r="K88" s="256" t="s">
        <v>1346</v>
      </c>
    </row>
    <row r="89" spans="1:11" x14ac:dyDescent="0.3">
      <c r="A89" s="256">
        <v>28</v>
      </c>
      <c r="B89" s="257" t="s">
        <v>1392</v>
      </c>
      <c r="C89" s="276">
        <v>44377</v>
      </c>
      <c r="D89" s="257" t="s">
        <v>1304</v>
      </c>
      <c r="E89" s="256" t="s">
        <v>1831</v>
      </c>
      <c r="F89" s="256" t="s">
        <v>1919</v>
      </c>
      <c r="G89" s="258">
        <v>18682000000</v>
      </c>
      <c r="H89" s="265">
        <v>0.1</v>
      </c>
      <c r="I89" s="258">
        <v>1868200000</v>
      </c>
      <c r="J89" s="258">
        <v>20550200000</v>
      </c>
      <c r="K89" s="256" t="s">
        <v>1346</v>
      </c>
    </row>
    <row r="90" spans="1:11" x14ac:dyDescent="0.3">
      <c r="A90" s="256">
        <v>29</v>
      </c>
      <c r="B90" s="257" t="s">
        <v>1394</v>
      </c>
      <c r="C90" s="276">
        <v>44469</v>
      </c>
      <c r="D90" s="257" t="s">
        <v>1273</v>
      </c>
      <c r="E90" s="256" t="s">
        <v>1829</v>
      </c>
      <c r="F90" s="256" t="s">
        <v>1919</v>
      </c>
      <c r="G90" s="258">
        <v>10654000000</v>
      </c>
      <c r="H90" s="265">
        <v>0</v>
      </c>
      <c r="I90" s="258">
        <v>0</v>
      </c>
      <c r="J90" s="258">
        <v>10654000000</v>
      </c>
      <c r="K90" s="256" t="s">
        <v>1346</v>
      </c>
    </row>
    <row r="91" spans="1:11" x14ac:dyDescent="0.3">
      <c r="A91" s="256">
        <v>30</v>
      </c>
      <c r="B91" s="257" t="s">
        <v>1396</v>
      </c>
      <c r="C91" s="276">
        <v>44530</v>
      </c>
      <c r="D91" s="257" t="s">
        <v>1302</v>
      </c>
      <c r="E91" s="256" t="s">
        <v>1784</v>
      </c>
      <c r="F91" s="256" t="s">
        <v>1921</v>
      </c>
      <c r="G91" s="258">
        <v>13661000000</v>
      </c>
      <c r="H91" s="265">
        <v>0.1</v>
      </c>
      <c r="I91" s="258">
        <v>1366100000</v>
      </c>
      <c r="J91" s="258">
        <v>15027100000</v>
      </c>
      <c r="K91" s="256" t="s">
        <v>1346</v>
      </c>
    </row>
    <row r="92" spans="1:11" x14ac:dyDescent="0.3">
      <c r="A92" s="256">
        <v>31</v>
      </c>
      <c r="B92" s="257" t="s">
        <v>1397</v>
      </c>
      <c r="C92" s="276">
        <v>44286</v>
      </c>
      <c r="D92" s="257" t="s">
        <v>1283</v>
      </c>
      <c r="E92" s="256" t="s">
        <v>1798</v>
      </c>
      <c r="F92" s="256" t="s">
        <v>1811</v>
      </c>
      <c r="G92" s="258">
        <v>13296000000</v>
      </c>
      <c r="H92" s="265">
        <v>0.1</v>
      </c>
      <c r="I92" s="258">
        <v>1329600000</v>
      </c>
      <c r="J92" s="258">
        <v>14625600000</v>
      </c>
      <c r="K92" s="256" t="s">
        <v>1346</v>
      </c>
    </row>
    <row r="93" spans="1:11" x14ac:dyDescent="0.3">
      <c r="A93" s="256">
        <v>32</v>
      </c>
      <c r="B93" s="257" t="s">
        <v>1398</v>
      </c>
      <c r="C93" s="276">
        <v>44347</v>
      </c>
      <c r="D93" s="257" t="s">
        <v>1300</v>
      </c>
      <c r="E93" s="256" t="s">
        <v>1818</v>
      </c>
      <c r="F93" s="256" t="s">
        <v>1921</v>
      </c>
      <c r="G93" s="258">
        <v>9484000000</v>
      </c>
      <c r="H93" s="265">
        <v>0.1</v>
      </c>
      <c r="I93" s="258">
        <v>948400000</v>
      </c>
      <c r="J93" s="258">
        <v>10432400000</v>
      </c>
      <c r="K93" s="256" t="s">
        <v>1346</v>
      </c>
    </row>
    <row r="94" spans="1:11" x14ac:dyDescent="0.3">
      <c r="A94" s="256">
        <v>33</v>
      </c>
      <c r="B94" s="257" t="s">
        <v>1399</v>
      </c>
      <c r="C94" s="276">
        <v>44408</v>
      </c>
      <c r="D94" s="257" t="s">
        <v>1286</v>
      </c>
      <c r="E94" s="256" t="s">
        <v>1828</v>
      </c>
      <c r="F94" s="256" t="s">
        <v>1921</v>
      </c>
      <c r="G94" s="258">
        <v>16798000000</v>
      </c>
      <c r="H94" s="265">
        <v>0.1</v>
      </c>
      <c r="I94" s="258">
        <v>1679800000</v>
      </c>
      <c r="J94" s="258">
        <v>18477800000</v>
      </c>
      <c r="K94" s="256" t="s">
        <v>1346</v>
      </c>
    </row>
    <row r="95" spans="1:11" x14ac:dyDescent="0.3">
      <c r="A95" s="256">
        <v>34</v>
      </c>
      <c r="B95" s="257" t="s">
        <v>1401</v>
      </c>
      <c r="C95" s="276">
        <v>44439</v>
      </c>
      <c r="D95" s="257" t="s">
        <v>1275</v>
      </c>
      <c r="E95" s="256" t="s">
        <v>1808</v>
      </c>
      <c r="F95" s="256" t="s">
        <v>1920</v>
      </c>
      <c r="G95" s="258">
        <v>13054000000</v>
      </c>
      <c r="H95" s="265">
        <v>0.1</v>
      </c>
      <c r="I95" s="258">
        <v>1305400000</v>
      </c>
      <c r="J95" s="258">
        <v>14359400000</v>
      </c>
      <c r="K95" s="256" t="s">
        <v>1346</v>
      </c>
    </row>
    <row r="96" spans="1:11" x14ac:dyDescent="0.3">
      <c r="A96" s="256">
        <v>35</v>
      </c>
      <c r="B96" s="257" t="s">
        <v>1402</v>
      </c>
      <c r="C96" s="276">
        <v>44500</v>
      </c>
      <c r="D96" s="257" t="s">
        <v>1284</v>
      </c>
      <c r="E96" s="256" t="s">
        <v>1786</v>
      </c>
      <c r="F96" s="256" t="s">
        <v>1920</v>
      </c>
      <c r="G96" s="258">
        <v>7656000000</v>
      </c>
      <c r="H96" s="265">
        <v>0.1</v>
      </c>
      <c r="I96" s="258">
        <v>765600000</v>
      </c>
      <c r="J96" s="258">
        <v>8421600000</v>
      </c>
      <c r="K96" s="256" t="s">
        <v>1346</v>
      </c>
    </row>
    <row r="97" spans="1:11" x14ac:dyDescent="0.3">
      <c r="A97" s="256">
        <v>36</v>
      </c>
      <c r="B97" s="257" t="s">
        <v>1403</v>
      </c>
      <c r="C97" s="276">
        <v>44561</v>
      </c>
      <c r="D97" s="257" t="s">
        <v>1293</v>
      </c>
      <c r="E97" s="256" t="s">
        <v>1826</v>
      </c>
      <c r="F97" s="256" t="s">
        <v>1919</v>
      </c>
      <c r="G97" s="258">
        <v>9144000000</v>
      </c>
      <c r="H97" s="265">
        <v>0.1</v>
      </c>
      <c r="I97" s="258">
        <v>914400000</v>
      </c>
      <c r="J97" s="258">
        <v>10058400000</v>
      </c>
      <c r="K97" s="256" t="s">
        <v>1348</v>
      </c>
    </row>
    <row r="98" spans="1:11" x14ac:dyDescent="0.3">
      <c r="A98" s="256">
        <v>37</v>
      </c>
      <c r="B98" s="257" t="s">
        <v>1404</v>
      </c>
      <c r="C98" s="276">
        <v>44561</v>
      </c>
      <c r="D98" s="257" t="s">
        <v>1285</v>
      </c>
      <c r="E98" s="256" t="s">
        <v>1793</v>
      </c>
      <c r="F98" s="256" t="s">
        <v>1811</v>
      </c>
      <c r="G98" s="258">
        <v>10335000000</v>
      </c>
      <c r="H98" s="265">
        <v>0.1</v>
      </c>
      <c r="I98" s="258">
        <v>1033500000</v>
      </c>
      <c r="J98" s="258">
        <v>11368500000</v>
      </c>
      <c r="K98" s="256" t="s">
        <v>1346</v>
      </c>
    </row>
    <row r="99" spans="1:11" x14ac:dyDescent="0.3">
      <c r="A99" s="256">
        <v>38</v>
      </c>
      <c r="B99" s="257" t="s">
        <v>1405</v>
      </c>
      <c r="C99" s="276">
        <v>44561</v>
      </c>
      <c r="D99" s="257" t="s">
        <v>1276</v>
      </c>
      <c r="E99" s="256" t="s">
        <v>1822</v>
      </c>
      <c r="F99" s="256" t="s">
        <v>1921</v>
      </c>
      <c r="G99" s="258">
        <v>19003000000</v>
      </c>
      <c r="H99" s="265">
        <v>0.1</v>
      </c>
      <c r="I99" s="258">
        <v>1900300000</v>
      </c>
      <c r="J99" s="258">
        <v>20903300000</v>
      </c>
      <c r="K99" s="256" t="s">
        <v>1346</v>
      </c>
    </row>
    <row r="100" spans="1:11" x14ac:dyDescent="0.3">
      <c r="A100" s="256">
        <v>39</v>
      </c>
      <c r="B100" s="257" t="s">
        <v>1406</v>
      </c>
      <c r="C100" s="276">
        <v>44561</v>
      </c>
      <c r="D100" s="257" t="s">
        <v>1283</v>
      </c>
      <c r="E100" s="256" t="s">
        <v>1798</v>
      </c>
      <c r="F100" s="256" t="s">
        <v>1811</v>
      </c>
      <c r="G100" s="258">
        <v>14682000000</v>
      </c>
      <c r="H100" s="265">
        <v>0.1</v>
      </c>
      <c r="I100" s="258">
        <v>1468200000</v>
      </c>
      <c r="J100" s="258">
        <v>16150200000</v>
      </c>
      <c r="K100" s="256" t="s">
        <v>1346</v>
      </c>
    </row>
    <row r="101" spans="1:11" x14ac:dyDescent="0.3">
      <c r="A101" s="256">
        <v>40</v>
      </c>
      <c r="B101" s="257" t="s">
        <v>1408</v>
      </c>
      <c r="C101" s="276">
        <v>44561</v>
      </c>
      <c r="D101" s="257" t="s">
        <v>1272</v>
      </c>
      <c r="E101" s="256" t="s">
        <v>1805</v>
      </c>
      <c r="F101" s="256" t="s">
        <v>1920</v>
      </c>
      <c r="G101" s="258">
        <v>23679000000</v>
      </c>
      <c r="H101" s="265">
        <v>0.1</v>
      </c>
      <c r="I101" s="258">
        <v>2367900000</v>
      </c>
      <c r="J101" s="258">
        <v>26046900000</v>
      </c>
      <c r="K101" s="256" t="s">
        <v>1346</v>
      </c>
    </row>
    <row r="102" spans="1:11" x14ac:dyDescent="0.3">
      <c r="A102" s="256">
        <v>41</v>
      </c>
      <c r="B102" s="257" t="s">
        <v>1409</v>
      </c>
      <c r="C102" s="276">
        <v>44561</v>
      </c>
      <c r="D102" s="257" t="s">
        <v>1273</v>
      </c>
      <c r="E102" s="256" t="s">
        <v>1829</v>
      </c>
      <c r="F102" s="256" t="s">
        <v>1811</v>
      </c>
      <c r="G102" s="258">
        <v>17734000000</v>
      </c>
      <c r="H102" s="265">
        <v>0.1</v>
      </c>
      <c r="I102" s="258">
        <v>1773400000</v>
      </c>
      <c r="J102" s="258">
        <v>19507400000</v>
      </c>
      <c r="K102" s="256" t="s">
        <v>1346</v>
      </c>
    </row>
    <row r="103" spans="1:11" x14ac:dyDescent="0.3">
      <c r="A103" s="256">
        <v>42</v>
      </c>
      <c r="B103" s="257" t="s">
        <v>1411</v>
      </c>
      <c r="C103" s="276">
        <v>44561</v>
      </c>
      <c r="D103" s="257" t="s">
        <v>1259</v>
      </c>
      <c r="E103" s="256" t="s">
        <v>1788</v>
      </c>
      <c r="F103" s="256" t="s">
        <v>1921</v>
      </c>
      <c r="G103" s="258">
        <v>16984000000</v>
      </c>
      <c r="H103" s="265">
        <v>0.1</v>
      </c>
      <c r="I103" s="258">
        <v>1698400000</v>
      </c>
      <c r="J103" s="258">
        <v>18682400000</v>
      </c>
      <c r="K103" s="256" t="s">
        <v>1346</v>
      </c>
    </row>
    <row r="104" spans="1:11" x14ac:dyDescent="0.3">
      <c r="A104" s="256">
        <v>43</v>
      </c>
      <c r="B104" s="257" t="s">
        <v>1414</v>
      </c>
      <c r="C104" s="276">
        <v>44561</v>
      </c>
      <c r="D104" s="257" t="s">
        <v>1287</v>
      </c>
      <c r="E104" s="256" t="s">
        <v>1801</v>
      </c>
      <c r="F104" s="256" t="s">
        <v>1811</v>
      </c>
      <c r="G104" s="258">
        <v>16456000000</v>
      </c>
      <c r="H104" s="265">
        <v>0.1</v>
      </c>
      <c r="I104" s="258">
        <v>1645600000</v>
      </c>
      <c r="J104" s="258">
        <v>18101600000</v>
      </c>
      <c r="K104" s="256" t="s">
        <v>1348</v>
      </c>
    </row>
    <row r="105" spans="1:11" x14ac:dyDescent="0.3">
      <c r="A105" s="256">
        <v>44</v>
      </c>
      <c r="B105" s="257" t="s">
        <v>1415</v>
      </c>
      <c r="C105" s="276">
        <v>44561</v>
      </c>
      <c r="D105" s="257" t="s">
        <v>1288</v>
      </c>
      <c r="E105" s="256" t="s">
        <v>1797</v>
      </c>
      <c r="F105" s="256" t="s">
        <v>1919</v>
      </c>
      <c r="G105" s="258">
        <v>7238000000</v>
      </c>
      <c r="H105" s="265">
        <v>0.1</v>
      </c>
      <c r="I105" s="258">
        <v>723800000</v>
      </c>
      <c r="J105" s="258">
        <v>7961800000</v>
      </c>
      <c r="K105" s="256" t="s">
        <v>1346</v>
      </c>
    </row>
    <row r="106" spans="1:11" x14ac:dyDescent="0.3">
      <c r="A106" s="256">
        <v>45</v>
      </c>
      <c r="B106" s="257" t="s">
        <v>1206</v>
      </c>
      <c r="C106" s="276">
        <v>44561</v>
      </c>
      <c r="D106" s="257" t="s">
        <v>1255</v>
      </c>
      <c r="E106" s="273">
        <v>46152</v>
      </c>
      <c r="F106" s="256" t="s">
        <v>1921</v>
      </c>
      <c r="G106" s="258">
        <v>21700000000</v>
      </c>
      <c r="H106" s="265">
        <v>0.1</v>
      </c>
      <c r="I106" s="258">
        <v>2170000000</v>
      </c>
      <c r="J106" s="258">
        <v>23870000000</v>
      </c>
      <c r="K106" s="256" t="s">
        <v>1346</v>
      </c>
    </row>
    <row r="107" spans="1:11" x14ac:dyDescent="0.3">
      <c r="A107" s="256">
        <v>46</v>
      </c>
      <c r="B107" s="257" t="s">
        <v>1207</v>
      </c>
      <c r="C107" s="276">
        <v>44561</v>
      </c>
      <c r="D107" s="257" t="s">
        <v>1256</v>
      </c>
      <c r="E107" s="256" t="s">
        <v>1802</v>
      </c>
      <c r="F107" s="256" t="s">
        <v>1920</v>
      </c>
      <c r="G107" s="258">
        <v>18040000000</v>
      </c>
      <c r="H107" s="265">
        <v>0.1</v>
      </c>
      <c r="I107" s="258">
        <v>1804000000</v>
      </c>
      <c r="J107" s="258">
        <v>19844000000</v>
      </c>
      <c r="K107" s="256" t="s">
        <v>1346</v>
      </c>
    </row>
    <row r="108" spans="1:11" x14ac:dyDescent="0.3">
      <c r="A108" s="256">
        <v>47</v>
      </c>
      <c r="B108" s="257" t="s">
        <v>1208</v>
      </c>
      <c r="C108" s="276">
        <v>44561</v>
      </c>
      <c r="D108" s="257" t="s">
        <v>1258</v>
      </c>
      <c r="E108" s="256" t="s">
        <v>1833</v>
      </c>
      <c r="F108" s="256" t="s">
        <v>1920</v>
      </c>
      <c r="G108" s="258">
        <v>9504000000</v>
      </c>
      <c r="H108" s="265">
        <v>0.1</v>
      </c>
      <c r="I108" s="258">
        <v>950400000</v>
      </c>
      <c r="J108" s="258">
        <v>10454400000</v>
      </c>
      <c r="K108" s="256" t="s">
        <v>1346</v>
      </c>
    </row>
    <row r="109" spans="1:11" x14ac:dyDescent="0.3">
      <c r="A109" s="256">
        <v>48</v>
      </c>
      <c r="B109" s="257" t="s">
        <v>1209</v>
      </c>
      <c r="C109" s="276">
        <v>44561</v>
      </c>
      <c r="D109" s="257" t="s">
        <v>1286</v>
      </c>
      <c r="E109" s="256" t="s">
        <v>1828</v>
      </c>
      <c r="F109" s="256" t="s">
        <v>1921</v>
      </c>
      <c r="G109" s="258">
        <v>9196000000</v>
      </c>
      <c r="H109" s="265">
        <v>0.1</v>
      </c>
      <c r="I109" s="258">
        <v>919600000</v>
      </c>
      <c r="J109" s="258">
        <v>10115600000</v>
      </c>
      <c r="K109" s="256" t="s">
        <v>1346</v>
      </c>
    </row>
    <row r="110" spans="1:11" x14ac:dyDescent="0.3">
      <c r="A110" s="256">
        <v>49</v>
      </c>
      <c r="B110" s="257" t="s">
        <v>1418</v>
      </c>
      <c r="C110" s="276">
        <v>44561</v>
      </c>
      <c r="D110" s="257" t="s">
        <v>1257</v>
      </c>
      <c r="E110" s="256" t="s">
        <v>1815</v>
      </c>
      <c r="F110" s="256" t="s">
        <v>1920</v>
      </c>
      <c r="G110" s="258">
        <v>17202000000</v>
      </c>
      <c r="H110" s="265">
        <v>0.1</v>
      </c>
      <c r="I110" s="258">
        <v>1720200000</v>
      </c>
      <c r="J110" s="258">
        <v>18922200000</v>
      </c>
      <c r="K110" s="256" t="s">
        <v>1346</v>
      </c>
    </row>
    <row r="111" spans="1:11" x14ac:dyDescent="0.3">
      <c r="A111" s="256">
        <v>50</v>
      </c>
      <c r="B111" s="257" t="s">
        <v>1419</v>
      </c>
      <c r="C111" s="276">
        <v>44561</v>
      </c>
      <c r="D111" s="257" t="s">
        <v>1257</v>
      </c>
      <c r="E111" s="256" t="s">
        <v>1815</v>
      </c>
      <c r="F111" s="256" t="s">
        <v>1921</v>
      </c>
      <c r="G111" s="258">
        <v>20620000000</v>
      </c>
      <c r="H111" s="265">
        <v>0.1</v>
      </c>
      <c r="I111" s="258">
        <v>2062000000</v>
      </c>
      <c r="J111" s="258">
        <v>22682000000</v>
      </c>
      <c r="K111" s="256" t="s">
        <v>1346</v>
      </c>
    </row>
    <row r="112" spans="1:11" x14ac:dyDescent="0.3">
      <c r="A112" s="266" t="s">
        <v>1351</v>
      </c>
      <c r="B112" s="266"/>
      <c r="C112" s="266"/>
      <c r="D112" s="266"/>
      <c r="E112" s="266"/>
      <c r="F112" s="266"/>
      <c r="G112" s="267">
        <f>SUM(G62:G111)</f>
        <v>763839000000</v>
      </c>
      <c r="H112" s="266"/>
      <c r="I112" s="267">
        <f>SUM(I62:I111)</f>
        <v>74051800000</v>
      </c>
      <c r="J112" s="267">
        <f>SUM(J62:J111)</f>
        <v>837890800000</v>
      </c>
      <c r="K112" s="266"/>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897</v>
      </c>
      <c r="C1" s="256"/>
      <c r="D1" s="256"/>
      <c r="E1" s="256"/>
      <c r="F1" s="256"/>
      <c r="G1" s="256"/>
      <c r="H1" s="256"/>
      <c r="I1" s="256"/>
      <c r="J1" s="256"/>
      <c r="K1" s="256"/>
    </row>
    <row r="2" spans="1:11" x14ac:dyDescent="0.3">
      <c r="A2" s="256" t="s">
        <v>1339</v>
      </c>
      <c r="B2" s="257">
        <v>107572987</v>
      </c>
      <c r="C2" s="256"/>
      <c r="D2" s="256"/>
      <c r="E2" s="256"/>
      <c r="F2" s="256"/>
      <c r="G2" s="256"/>
      <c r="H2" s="256"/>
      <c r="I2" s="256"/>
      <c r="J2" s="256"/>
      <c r="K2" s="256"/>
    </row>
    <row r="3" spans="1:11" x14ac:dyDescent="0.3">
      <c r="A3" s="256" t="s">
        <v>1343</v>
      </c>
      <c r="B3" s="258">
        <v>967705956035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1464</v>
      </c>
      <c r="C8" s="276">
        <v>44317</v>
      </c>
      <c r="D8" s="257" t="s">
        <v>1288</v>
      </c>
      <c r="E8" s="256" t="s">
        <v>1797</v>
      </c>
      <c r="F8" s="256" t="s">
        <v>1858</v>
      </c>
      <c r="G8" s="258">
        <v>10801000000</v>
      </c>
      <c r="H8" s="265">
        <v>0.1</v>
      </c>
      <c r="I8" s="258">
        <v>1080100000</v>
      </c>
      <c r="J8" s="258">
        <v>11881100000</v>
      </c>
      <c r="K8" s="256" t="s">
        <v>1346</v>
      </c>
    </row>
    <row r="9" spans="1:11" x14ac:dyDescent="0.3">
      <c r="A9" s="256">
        <v>2</v>
      </c>
      <c r="B9" s="257" t="s">
        <v>1206</v>
      </c>
      <c r="C9" s="276">
        <v>44318</v>
      </c>
      <c r="D9" s="257" t="s">
        <v>1255</v>
      </c>
      <c r="E9" s="273">
        <v>46152</v>
      </c>
      <c r="F9" s="256" t="s">
        <v>1863</v>
      </c>
      <c r="G9" s="258">
        <v>20365000000</v>
      </c>
      <c r="H9" s="265">
        <v>0.1</v>
      </c>
      <c r="I9" s="258">
        <v>2036500000</v>
      </c>
      <c r="J9" s="258">
        <v>22401500000</v>
      </c>
      <c r="K9" s="256" t="s">
        <v>1346</v>
      </c>
    </row>
    <row r="10" spans="1:11" x14ac:dyDescent="0.3">
      <c r="A10" s="256">
        <v>3</v>
      </c>
      <c r="B10" s="257" t="s">
        <v>1470</v>
      </c>
      <c r="C10" s="276">
        <v>44472</v>
      </c>
      <c r="D10" s="257" t="s">
        <v>1263</v>
      </c>
      <c r="E10" s="256" t="s">
        <v>1790</v>
      </c>
      <c r="F10" s="256" t="s">
        <v>1861</v>
      </c>
      <c r="G10" s="258">
        <v>16929000000</v>
      </c>
      <c r="H10" s="265">
        <v>0.1</v>
      </c>
      <c r="I10" s="258">
        <v>1692900000</v>
      </c>
      <c r="J10" s="258">
        <v>18621900000</v>
      </c>
      <c r="K10" s="256" t="s">
        <v>1346</v>
      </c>
    </row>
    <row r="11" spans="1:11" x14ac:dyDescent="0.3">
      <c r="A11" s="256">
        <v>4</v>
      </c>
      <c r="B11" s="257" t="s">
        <v>1479</v>
      </c>
      <c r="C11" s="276">
        <v>44473</v>
      </c>
      <c r="D11" s="257" t="s">
        <v>1274</v>
      </c>
      <c r="E11" s="256" t="s">
        <v>1794</v>
      </c>
      <c r="F11" s="256" t="s">
        <v>1862</v>
      </c>
      <c r="G11" s="258">
        <v>10761000000</v>
      </c>
      <c r="H11" s="265">
        <v>0.1</v>
      </c>
      <c r="I11" s="258">
        <v>1076100000</v>
      </c>
      <c r="J11" s="258">
        <v>11837100000</v>
      </c>
      <c r="K11" s="256" t="s">
        <v>1346</v>
      </c>
    </row>
    <row r="12" spans="1:11" x14ac:dyDescent="0.3">
      <c r="A12" s="256">
        <v>5</v>
      </c>
      <c r="B12" s="257" t="s">
        <v>1476</v>
      </c>
      <c r="C12" s="276">
        <v>44474</v>
      </c>
      <c r="D12" s="257" t="s">
        <v>1271</v>
      </c>
      <c r="E12" s="256" t="s">
        <v>1799</v>
      </c>
      <c r="F12" s="256" t="s">
        <v>1861</v>
      </c>
      <c r="G12" s="258">
        <v>12086000000</v>
      </c>
      <c r="H12" s="265">
        <v>0.1</v>
      </c>
      <c r="I12" s="258">
        <v>1208600000</v>
      </c>
      <c r="J12" s="258">
        <v>13294600000</v>
      </c>
      <c r="K12" s="256" t="s">
        <v>1346</v>
      </c>
    </row>
    <row r="13" spans="1:11" x14ac:dyDescent="0.3">
      <c r="A13" s="256">
        <v>6</v>
      </c>
      <c r="B13" s="257" t="s">
        <v>1484</v>
      </c>
      <c r="C13" s="276">
        <v>44475</v>
      </c>
      <c r="D13" s="257" t="s">
        <v>1259</v>
      </c>
      <c r="E13" s="256" t="s">
        <v>1788</v>
      </c>
      <c r="F13" s="256" t="s">
        <v>1863</v>
      </c>
      <c r="G13" s="258">
        <v>15374000000</v>
      </c>
      <c r="H13" s="265">
        <v>0.1</v>
      </c>
      <c r="I13" s="258">
        <v>1537400000</v>
      </c>
      <c r="J13" s="258">
        <v>16911400000</v>
      </c>
      <c r="K13" s="256" t="s">
        <v>1346</v>
      </c>
    </row>
    <row r="14" spans="1:11" x14ac:dyDescent="0.3">
      <c r="A14" s="256">
        <v>7</v>
      </c>
      <c r="B14" s="257" t="s">
        <v>1473</v>
      </c>
      <c r="C14" s="276">
        <v>44476</v>
      </c>
      <c r="D14" s="257" t="s">
        <v>1270</v>
      </c>
      <c r="E14" s="256" t="s">
        <v>1782</v>
      </c>
      <c r="F14" s="256" t="s">
        <v>1862</v>
      </c>
      <c r="G14" s="258">
        <v>18092000000</v>
      </c>
      <c r="H14" s="265">
        <v>0.1</v>
      </c>
      <c r="I14" s="258">
        <v>1809200000</v>
      </c>
      <c r="J14" s="258">
        <v>19901200000</v>
      </c>
      <c r="K14" s="256" t="s">
        <v>1346</v>
      </c>
    </row>
    <row r="15" spans="1:11" x14ac:dyDescent="0.3">
      <c r="A15" s="256">
        <v>8</v>
      </c>
      <c r="B15" s="257" t="s">
        <v>1471</v>
      </c>
      <c r="C15" s="276">
        <v>44477</v>
      </c>
      <c r="D15" s="257" t="s">
        <v>1263</v>
      </c>
      <c r="E15" s="256" t="s">
        <v>1790</v>
      </c>
      <c r="F15" s="256" t="s">
        <v>1861</v>
      </c>
      <c r="G15" s="258">
        <v>17643000000</v>
      </c>
      <c r="H15" s="265">
        <v>0.1</v>
      </c>
      <c r="I15" s="258">
        <v>1764300000</v>
      </c>
      <c r="J15" s="258">
        <v>19407300000</v>
      </c>
      <c r="K15" s="256" t="s">
        <v>1346</v>
      </c>
    </row>
    <row r="16" spans="1:11" x14ac:dyDescent="0.3">
      <c r="A16" s="256">
        <v>9</v>
      </c>
      <c r="B16" s="257" t="s">
        <v>1463</v>
      </c>
      <c r="C16" s="276">
        <v>44478</v>
      </c>
      <c r="D16" s="257" t="s">
        <v>1278</v>
      </c>
      <c r="E16" s="256" t="s">
        <v>1785</v>
      </c>
      <c r="F16" s="256" t="s">
        <v>1859</v>
      </c>
      <c r="G16" s="258">
        <v>18645000000</v>
      </c>
      <c r="H16" s="265">
        <v>0.1</v>
      </c>
      <c r="I16" s="258">
        <v>1864500000</v>
      </c>
      <c r="J16" s="258">
        <v>20509500000</v>
      </c>
      <c r="K16" s="256" t="s">
        <v>1346</v>
      </c>
    </row>
    <row r="17" spans="1:11" x14ac:dyDescent="0.3">
      <c r="A17" s="256">
        <v>10</v>
      </c>
      <c r="B17" s="257" t="s">
        <v>1399</v>
      </c>
      <c r="C17" s="276">
        <v>44479</v>
      </c>
      <c r="D17" s="257" t="s">
        <v>1258</v>
      </c>
      <c r="E17" s="256" t="s">
        <v>1833</v>
      </c>
      <c r="F17" s="256" t="s">
        <v>1859</v>
      </c>
      <c r="G17" s="258">
        <v>10963000000</v>
      </c>
      <c r="H17" s="265">
        <v>0.1</v>
      </c>
      <c r="I17" s="258">
        <v>1096300000</v>
      </c>
      <c r="J17" s="258">
        <v>12059300000</v>
      </c>
      <c r="K17" s="256" t="s">
        <v>1346</v>
      </c>
    </row>
    <row r="18" spans="1:11" x14ac:dyDescent="0.3">
      <c r="A18" s="256">
        <v>11</v>
      </c>
      <c r="B18" s="257" t="s">
        <v>1208</v>
      </c>
      <c r="C18" s="276">
        <v>44480</v>
      </c>
      <c r="D18" s="257" t="s">
        <v>1269</v>
      </c>
      <c r="E18" s="256" t="s">
        <v>1823</v>
      </c>
      <c r="F18" s="256" t="s">
        <v>1863</v>
      </c>
      <c r="G18" s="258">
        <v>21789000000</v>
      </c>
      <c r="H18" s="265">
        <v>0.1</v>
      </c>
      <c r="I18" s="258">
        <v>2178900000</v>
      </c>
      <c r="J18" s="258">
        <v>23967900000</v>
      </c>
      <c r="K18" s="256" t="s">
        <v>1346</v>
      </c>
    </row>
    <row r="19" spans="1:11" x14ac:dyDescent="0.3">
      <c r="A19" s="256">
        <v>12</v>
      </c>
      <c r="B19" s="257" t="s">
        <v>1471</v>
      </c>
      <c r="C19" s="276">
        <v>44481</v>
      </c>
      <c r="D19" s="257" t="s">
        <v>1273</v>
      </c>
      <c r="E19" s="256" t="s">
        <v>1829</v>
      </c>
      <c r="F19" s="256" t="s">
        <v>1858</v>
      </c>
      <c r="G19" s="258">
        <v>16439000000</v>
      </c>
      <c r="H19" s="265">
        <v>0.1</v>
      </c>
      <c r="I19" s="258">
        <v>1643900000</v>
      </c>
      <c r="J19" s="258">
        <v>18082900000</v>
      </c>
      <c r="K19" s="256" t="s">
        <v>1346</v>
      </c>
    </row>
    <row r="20" spans="1:11" x14ac:dyDescent="0.3">
      <c r="A20" s="256">
        <v>13</v>
      </c>
      <c r="B20" s="257" t="s">
        <v>1466</v>
      </c>
      <c r="C20" s="276">
        <v>44211</v>
      </c>
      <c r="D20" s="257" t="s">
        <v>1268</v>
      </c>
      <c r="E20" s="256" t="s">
        <v>1821</v>
      </c>
      <c r="F20" s="256" t="s">
        <v>1858</v>
      </c>
      <c r="G20" s="258">
        <v>13365000000</v>
      </c>
      <c r="H20" s="265">
        <v>0.1</v>
      </c>
      <c r="I20" s="258">
        <v>1336500000</v>
      </c>
      <c r="J20" s="258">
        <v>14701500000</v>
      </c>
      <c r="K20" s="256" t="s">
        <v>1346</v>
      </c>
    </row>
    <row r="21" spans="1:11" x14ac:dyDescent="0.3">
      <c r="A21" s="256">
        <v>14</v>
      </c>
      <c r="B21" s="257" t="s">
        <v>1472</v>
      </c>
      <c r="C21" s="276">
        <v>44242</v>
      </c>
      <c r="D21" s="257" t="s">
        <v>1263</v>
      </c>
      <c r="E21" s="256" t="s">
        <v>1790</v>
      </c>
      <c r="F21" s="256" t="s">
        <v>1858</v>
      </c>
      <c r="G21" s="258">
        <v>17332000000</v>
      </c>
      <c r="H21" s="265">
        <v>0.1</v>
      </c>
      <c r="I21" s="258">
        <v>1733200000</v>
      </c>
      <c r="J21" s="258">
        <v>19065200000</v>
      </c>
      <c r="K21" s="256" t="s">
        <v>1346</v>
      </c>
    </row>
    <row r="22" spans="1:11" x14ac:dyDescent="0.3">
      <c r="A22" s="256">
        <v>15</v>
      </c>
      <c r="B22" s="257" t="s">
        <v>1388</v>
      </c>
      <c r="C22" s="276">
        <v>44275</v>
      </c>
      <c r="D22" s="257" t="s">
        <v>1303</v>
      </c>
      <c r="E22" s="256" t="s">
        <v>1817</v>
      </c>
      <c r="F22" s="256" t="s">
        <v>1861</v>
      </c>
      <c r="G22" s="258">
        <v>7493000000</v>
      </c>
      <c r="H22" s="265">
        <v>0.1</v>
      </c>
      <c r="I22" s="258">
        <v>749300000</v>
      </c>
      <c r="J22" s="258">
        <v>8242300000</v>
      </c>
      <c r="K22" s="256" t="s">
        <v>1346</v>
      </c>
    </row>
    <row r="23" spans="1:11" x14ac:dyDescent="0.3">
      <c r="A23" s="256">
        <v>16</v>
      </c>
      <c r="B23" s="257" t="s">
        <v>1402</v>
      </c>
      <c r="C23" s="276">
        <v>44306</v>
      </c>
      <c r="D23" s="257" t="s">
        <v>1291</v>
      </c>
      <c r="E23" s="256" t="s">
        <v>1800</v>
      </c>
      <c r="F23" s="256" t="s">
        <v>1863</v>
      </c>
      <c r="G23" s="258">
        <v>17625000000</v>
      </c>
      <c r="H23" s="265">
        <v>0.1</v>
      </c>
      <c r="I23" s="258">
        <v>1762500000</v>
      </c>
      <c r="J23" s="258">
        <v>19387500000</v>
      </c>
      <c r="K23" s="256" t="s">
        <v>1346</v>
      </c>
    </row>
    <row r="24" spans="1:11" x14ac:dyDescent="0.3">
      <c r="A24" s="256">
        <v>17</v>
      </c>
      <c r="B24" s="257" t="s">
        <v>1490</v>
      </c>
      <c r="C24" s="276">
        <v>44336</v>
      </c>
      <c r="D24" s="257" t="s">
        <v>1284</v>
      </c>
      <c r="E24" s="256" t="s">
        <v>1786</v>
      </c>
      <c r="F24" s="256" t="s">
        <v>1862</v>
      </c>
      <c r="G24" s="258">
        <v>6972000000</v>
      </c>
      <c r="H24" s="265">
        <v>0.1</v>
      </c>
      <c r="I24" s="258">
        <v>697200000</v>
      </c>
      <c r="J24" s="258">
        <v>7669200000</v>
      </c>
      <c r="K24" s="256" t="s">
        <v>1346</v>
      </c>
    </row>
    <row r="25" spans="1:11" x14ac:dyDescent="0.3">
      <c r="A25" s="256">
        <v>18</v>
      </c>
      <c r="B25" s="257" t="s">
        <v>1208</v>
      </c>
      <c r="C25" s="276">
        <v>44367</v>
      </c>
      <c r="D25" s="257" t="s">
        <v>1264</v>
      </c>
      <c r="E25" s="256" t="s">
        <v>1779</v>
      </c>
      <c r="F25" s="256" t="s">
        <v>1861</v>
      </c>
      <c r="G25" s="258">
        <v>11819000000</v>
      </c>
      <c r="H25" s="265">
        <v>0.1</v>
      </c>
      <c r="I25" s="258">
        <v>1181900000</v>
      </c>
      <c r="J25" s="258">
        <v>13000900000</v>
      </c>
      <c r="K25" s="256" t="s">
        <v>1346</v>
      </c>
    </row>
    <row r="26" spans="1:11" x14ac:dyDescent="0.3">
      <c r="A26" s="256">
        <v>19</v>
      </c>
      <c r="B26" s="257" t="s">
        <v>1392</v>
      </c>
      <c r="C26" s="276">
        <v>44397</v>
      </c>
      <c r="D26" s="257" t="s">
        <v>1261</v>
      </c>
      <c r="E26" s="256" t="s">
        <v>1813</v>
      </c>
      <c r="F26" s="256" t="s">
        <v>1857</v>
      </c>
      <c r="G26" s="258">
        <v>12462000000</v>
      </c>
      <c r="H26" s="265">
        <v>0.1</v>
      </c>
      <c r="I26" s="258">
        <v>1246200000</v>
      </c>
      <c r="J26" s="258">
        <v>13708200000</v>
      </c>
      <c r="K26" s="256" t="s">
        <v>1346</v>
      </c>
    </row>
    <row r="27" spans="1:11" x14ac:dyDescent="0.3">
      <c r="A27" s="256">
        <v>20</v>
      </c>
      <c r="B27" s="257" t="s">
        <v>1474</v>
      </c>
      <c r="C27" s="276">
        <v>44428</v>
      </c>
      <c r="D27" s="257" t="s">
        <v>1270</v>
      </c>
      <c r="E27" s="256" t="s">
        <v>1782</v>
      </c>
      <c r="F27" s="256" t="s">
        <v>1862</v>
      </c>
      <c r="G27" s="258">
        <v>16950000000</v>
      </c>
      <c r="H27" s="265">
        <v>0.1</v>
      </c>
      <c r="I27" s="258">
        <v>1695000000</v>
      </c>
      <c r="J27" s="258">
        <v>18645000000</v>
      </c>
      <c r="K27" s="256" t="s">
        <v>1346</v>
      </c>
    </row>
    <row r="28" spans="1:11" x14ac:dyDescent="0.3">
      <c r="A28" s="256">
        <v>21</v>
      </c>
      <c r="B28" s="257" t="s">
        <v>1464</v>
      </c>
      <c r="C28" s="276">
        <v>44459</v>
      </c>
      <c r="D28" s="257" t="s">
        <v>1278</v>
      </c>
      <c r="E28" s="256" t="s">
        <v>1785</v>
      </c>
      <c r="F28" s="256" t="s">
        <v>1858</v>
      </c>
      <c r="G28" s="258">
        <v>17057000000</v>
      </c>
      <c r="H28" s="265">
        <v>0.1</v>
      </c>
      <c r="I28" s="258">
        <v>1705700000</v>
      </c>
      <c r="J28" s="258">
        <v>18762700000</v>
      </c>
      <c r="K28" s="256" t="s">
        <v>1346</v>
      </c>
    </row>
    <row r="29" spans="1:11" x14ac:dyDescent="0.3">
      <c r="A29" s="256">
        <v>22</v>
      </c>
      <c r="B29" s="257" t="s">
        <v>1415</v>
      </c>
      <c r="C29" s="276">
        <v>44489</v>
      </c>
      <c r="D29" s="257" t="s">
        <v>1267</v>
      </c>
      <c r="E29" s="256" t="s">
        <v>1810</v>
      </c>
      <c r="F29" s="256" t="s">
        <v>1861</v>
      </c>
      <c r="G29" s="258">
        <v>9999000000</v>
      </c>
      <c r="H29" s="265">
        <v>0.1</v>
      </c>
      <c r="I29" s="258">
        <v>999900000</v>
      </c>
      <c r="J29" s="258">
        <v>10998900000</v>
      </c>
      <c r="K29" s="256" t="s">
        <v>1346</v>
      </c>
    </row>
    <row r="30" spans="1:11" x14ac:dyDescent="0.3">
      <c r="A30" s="256">
        <v>23</v>
      </c>
      <c r="B30" s="257" t="s">
        <v>1398</v>
      </c>
      <c r="C30" s="276">
        <v>44520</v>
      </c>
      <c r="D30" s="257" t="s">
        <v>1295</v>
      </c>
      <c r="E30" s="256" t="s">
        <v>1825</v>
      </c>
      <c r="F30" s="256" t="s">
        <v>1858</v>
      </c>
      <c r="G30" s="258">
        <v>18327000000</v>
      </c>
      <c r="H30" s="265">
        <v>0.1</v>
      </c>
      <c r="I30" s="258">
        <v>1832700000</v>
      </c>
      <c r="J30" s="258">
        <v>20159700000</v>
      </c>
      <c r="K30" s="256" t="s">
        <v>1346</v>
      </c>
    </row>
    <row r="31" spans="1:11" x14ac:dyDescent="0.3">
      <c r="A31" s="256">
        <v>24</v>
      </c>
      <c r="B31" s="257" t="s">
        <v>1469</v>
      </c>
      <c r="C31" s="276">
        <v>44550</v>
      </c>
      <c r="D31" s="257" t="s">
        <v>1256</v>
      </c>
      <c r="E31" s="256" t="s">
        <v>1802</v>
      </c>
      <c r="F31" s="256" t="s">
        <v>1858</v>
      </c>
      <c r="G31" s="258">
        <v>7961000000</v>
      </c>
      <c r="H31" s="265">
        <v>0.1</v>
      </c>
      <c r="I31" s="258">
        <v>796100000</v>
      </c>
      <c r="J31" s="258">
        <v>8757100000</v>
      </c>
      <c r="K31" s="256" t="s">
        <v>1348</v>
      </c>
    </row>
    <row r="32" spans="1:11" x14ac:dyDescent="0.3">
      <c r="A32" s="256">
        <v>25</v>
      </c>
      <c r="B32" s="257" t="s">
        <v>1467</v>
      </c>
      <c r="C32" s="276">
        <v>44221</v>
      </c>
      <c r="D32" s="257" t="s">
        <v>1268</v>
      </c>
      <c r="E32" s="256" t="s">
        <v>1821</v>
      </c>
      <c r="F32" s="256" t="s">
        <v>1857</v>
      </c>
      <c r="G32" s="258">
        <v>12546000000</v>
      </c>
      <c r="H32" s="265">
        <v>0.1</v>
      </c>
      <c r="I32" s="258">
        <v>1254600000</v>
      </c>
      <c r="J32" s="258">
        <v>13800600000</v>
      </c>
      <c r="K32" s="256" t="s">
        <v>1346</v>
      </c>
    </row>
    <row r="33" spans="1:11" x14ac:dyDescent="0.3">
      <c r="A33" s="256">
        <v>26</v>
      </c>
      <c r="B33" s="257" t="s">
        <v>1458</v>
      </c>
      <c r="C33" s="276">
        <v>44255</v>
      </c>
      <c r="D33" s="257" t="s">
        <v>1282</v>
      </c>
      <c r="E33" s="256" t="s">
        <v>1789</v>
      </c>
      <c r="F33" s="256" t="s">
        <v>1857</v>
      </c>
      <c r="G33" s="258">
        <v>20308000000</v>
      </c>
      <c r="H33" s="265">
        <v>0.1</v>
      </c>
      <c r="I33" s="258">
        <v>2030800000</v>
      </c>
      <c r="J33" s="258">
        <v>22338800000</v>
      </c>
      <c r="K33" s="256" t="s">
        <v>1346</v>
      </c>
    </row>
    <row r="34" spans="1:11" x14ac:dyDescent="0.3">
      <c r="A34" s="256">
        <v>27</v>
      </c>
      <c r="B34" s="257" t="s">
        <v>1209</v>
      </c>
      <c r="C34" s="276">
        <v>44316</v>
      </c>
      <c r="D34" s="257" t="s">
        <v>1269</v>
      </c>
      <c r="E34" s="256" t="s">
        <v>1823</v>
      </c>
      <c r="F34" s="256" t="s">
        <v>1863</v>
      </c>
      <c r="G34" s="258">
        <v>19562000000</v>
      </c>
      <c r="H34" s="265">
        <v>0.1</v>
      </c>
      <c r="I34" s="258">
        <v>1956200000</v>
      </c>
      <c r="J34" s="258">
        <v>21518200000</v>
      </c>
      <c r="K34" s="256" t="s">
        <v>1346</v>
      </c>
    </row>
    <row r="35" spans="1:11" x14ac:dyDescent="0.3">
      <c r="A35" s="256">
        <v>28</v>
      </c>
      <c r="B35" s="257" t="s">
        <v>1206</v>
      </c>
      <c r="C35" s="276">
        <v>44377</v>
      </c>
      <c r="D35" s="257" t="s">
        <v>1267</v>
      </c>
      <c r="E35" s="256" t="s">
        <v>1810</v>
      </c>
      <c r="F35" s="256" t="s">
        <v>1861</v>
      </c>
      <c r="G35" s="258">
        <v>6288000000</v>
      </c>
      <c r="H35" s="265">
        <v>0.1</v>
      </c>
      <c r="I35" s="258">
        <v>628800000</v>
      </c>
      <c r="J35" s="258">
        <v>6916800000</v>
      </c>
      <c r="K35" s="256" t="s">
        <v>1346</v>
      </c>
    </row>
    <row r="36" spans="1:11" x14ac:dyDescent="0.3">
      <c r="A36" s="256">
        <v>29</v>
      </c>
      <c r="B36" s="257" t="s">
        <v>1477</v>
      </c>
      <c r="C36" s="276">
        <v>44469</v>
      </c>
      <c r="D36" s="257" t="s">
        <v>1271</v>
      </c>
      <c r="E36" s="256" t="s">
        <v>1799</v>
      </c>
      <c r="F36" s="256" t="s">
        <v>1860</v>
      </c>
      <c r="G36" s="258">
        <v>12332000000</v>
      </c>
      <c r="H36" s="265">
        <v>0.1</v>
      </c>
      <c r="I36" s="258">
        <v>1233200000</v>
      </c>
      <c r="J36" s="258">
        <v>13565200000</v>
      </c>
      <c r="K36" s="256" t="s">
        <v>1346</v>
      </c>
    </row>
    <row r="37" spans="1:11" x14ac:dyDescent="0.3">
      <c r="A37" s="256">
        <v>30</v>
      </c>
      <c r="B37" s="257" t="s">
        <v>1391</v>
      </c>
      <c r="C37" s="276">
        <v>44530</v>
      </c>
      <c r="D37" s="257" t="s">
        <v>1303</v>
      </c>
      <c r="E37" s="256" t="s">
        <v>1817</v>
      </c>
      <c r="F37" s="256" t="s">
        <v>1858</v>
      </c>
      <c r="G37" s="258">
        <v>6227000000</v>
      </c>
      <c r="H37" s="265">
        <v>0.1</v>
      </c>
      <c r="I37" s="258">
        <v>622700000</v>
      </c>
      <c r="J37" s="258">
        <v>6849700000</v>
      </c>
      <c r="K37" s="256" t="s">
        <v>1346</v>
      </c>
    </row>
    <row r="38" spans="1:11" x14ac:dyDescent="0.3">
      <c r="A38" s="256">
        <v>31</v>
      </c>
      <c r="B38" s="257" t="s">
        <v>1459</v>
      </c>
      <c r="C38" s="276">
        <v>44286</v>
      </c>
      <c r="D38" s="257" t="s">
        <v>1280</v>
      </c>
      <c r="E38" s="256" t="s">
        <v>1777</v>
      </c>
      <c r="F38" s="256" t="s">
        <v>1862</v>
      </c>
      <c r="G38" s="258">
        <v>15749000000</v>
      </c>
      <c r="H38" s="265">
        <v>0.1</v>
      </c>
      <c r="I38" s="258">
        <v>1574900000</v>
      </c>
      <c r="J38" s="258">
        <v>17323900000</v>
      </c>
      <c r="K38" s="256" t="s">
        <v>1346</v>
      </c>
    </row>
    <row r="39" spans="1:11" x14ac:dyDescent="0.3">
      <c r="A39" s="256">
        <v>32</v>
      </c>
      <c r="B39" s="257" t="s">
        <v>1473</v>
      </c>
      <c r="C39" s="276">
        <v>44347</v>
      </c>
      <c r="D39" s="257" t="s">
        <v>1263</v>
      </c>
      <c r="E39" s="256" t="s">
        <v>1790</v>
      </c>
      <c r="F39" s="256" t="s">
        <v>1863</v>
      </c>
      <c r="G39" s="258">
        <v>20096000000</v>
      </c>
      <c r="H39" s="265">
        <v>0.1</v>
      </c>
      <c r="I39" s="258">
        <v>2009600000</v>
      </c>
      <c r="J39" s="258">
        <v>22105600000</v>
      </c>
      <c r="K39" s="256" t="s">
        <v>1346</v>
      </c>
    </row>
    <row r="40" spans="1:11" x14ac:dyDescent="0.3">
      <c r="A40" s="256">
        <v>33</v>
      </c>
      <c r="B40" s="257" t="s">
        <v>1475</v>
      </c>
      <c r="C40" s="276">
        <v>44408</v>
      </c>
      <c r="D40" s="257" t="s">
        <v>1270</v>
      </c>
      <c r="E40" s="256" t="s">
        <v>1782</v>
      </c>
      <c r="F40" s="256" t="s">
        <v>1858</v>
      </c>
      <c r="G40" s="258">
        <v>14821000000</v>
      </c>
      <c r="H40" s="265">
        <v>0.1</v>
      </c>
      <c r="I40" s="258">
        <v>1482100000</v>
      </c>
      <c r="J40" s="258">
        <v>16303100000</v>
      </c>
      <c r="K40" s="256" t="s">
        <v>1346</v>
      </c>
    </row>
    <row r="41" spans="1:11" x14ac:dyDescent="0.3">
      <c r="A41" s="256">
        <v>34</v>
      </c>
      <c r="B41" s="257" t="s">
        <v>1207</v>
      </c>
      <c r="C41" s="276">
        <v>44439</v>
      </c>
      <c r="D41" s="257" t="s">
        <v>1267</v>
      </c>
      <c r="E41" s="256" t="s">
        <v>1810</v>
      </c>
      <c r="F41" s="256" t="s">
        <v>1858</v>
      </c>
      <c r="G41" s="258">
        <v>11453000000</v>
      </c>
      <c r="H41" s="265">
        <v>0.1</v>
      </c>
      <c r="I41" s="258">
        <v>1145300000</v>
      </c>
      <c r="J41" s="258">
        <v>12598300000</v>
      </c>
      <c r="K41" s="256" t="s">
        <v>1346</v>
      </c>
    </row>
    <row r="42" spans="1:11" x14ac:dyDescent="0.3">
      <c r="A42" s="256">
        <v>35</v>
      </c>
      <c r="B42" s="257" t="s">
        <v>1480</v>
      </c>
      <c r="C42" s="276">
        <v>44500</v>
      </c>
      <c r="D42" s="257" t="s">
        <v>1281</v>
      </c>
      <c r="E42" s="256" t="s">
        <v>1806</v>
      </c>
      <c r="F42" s="256" t="s">
        <v>1859</v>
      </c>
      <c r="G42" s="258">
        <v>13853000000</v>
      </c>
      <c r="H42" s="265">
        <v>0.1</v>
      </c>
      <c r="I42" s="258">
        <v>1385300000</v>
      </c>
      <c r="J42" s="258">
        <v>15238300000</v>
      </c>
      <c r="K42" s="256" t="s">
        <v>1346</v>
      </c>
    </row>
    <row r="43" spans="1:11" x14ac:dyDescent="0.3">
      <c r="A43" s="256">
        <v>36</v>
      </c>
      <c r="B43" s="257" t="s">
        <v>1471</v>
      </c>
      <c r="C43" s="276">
        <v>44561</v>
      </c>
      <c r="D43" s="257" t="s">
        <v>1275</v>
      </c>
      <c r="E43" s="256" t="s">
        <v>1808</v>
      </c>
      <c r="F43" s="256" t="s">
        <v>1862</v>
      </c>
      <c r="G43" s="258">
        <v>7527000000</v>
      </c>
      <c r="H43" s="265">
        <v>0.1</v>
      </c>
      <c r="I43" s="258">
        <v>752700000</v>
      </c>
      <c r="J43" s="258">
        <v>8279700000</v>
      </c>
      <c r="K43" s="256" t="s">
        <v>1346</v>
      </c>
    </row>
    <row r="44" spans="1:11" x14ac:dyDescent="0.3">
      <c r="A44" s="256">
        <v>37</v>
      </c>
      <c r="B44" s="257" t="s">
        <v>1468</v>
      </c>
      <c r="C44" s="276">
        <v>44561</v>
      </c>
      <c r="D44" s="257" t="s">
        <v>1268</v>
      </c>
      <c r="E44" s="256" t="s">
        <v>1821</v>
      </c>
      <c r="F44" s="256" t="s">
        <v>1860</v>
      </c>
      <c r="G44" s="258">
        <v>18259000000</v>
      </c>
      <c r="H44" s="265">
        <v>0.1</v>
      </c>
      <c r="I44" s="258">
        <v>1825900000</v>
      </c>
      <c r="J44" s="258">
        <v>20084900000</v>
      </c>
      <c r="K44" s="256" t="s">
        <v>1346</v>
      </c>
    </row>
    <row r="45" spans="1:11" x14ac:dyDescent="0.3">
      <c r="A45" s="256">
        <v>38</v>
      </c>
      <c r="B45" s="257" t="s">
        <v>1465</v>
      </c>
      <c r="C45" s="276">
        <v>44561</v>
      </c>
      <c r="D45" s="257" t="s">
        <v>1288</v>
      </c>
      <c r="E45" s="256" t="s">
        <v>1797</v>
      </c>
      <c r="F45" s="256" t="s">
        <v>1860</v>
      </c>
      <c r="G45" s="258">
        <v>11743000000</v>
      </c>
      <c r="H45" s="265">
        <v>0.1</v>
      </c>
      <c r="I45" s="258">
        <v>1174300000</v>
      </c>
      <c r="J45" s="258">
        <v>12917300000</v>
      </c>
      <c r="K45" s="256" t="s">
        <v>1346</v>
      </c>
    </row>
    <row r="46" spans="1:11" x14ac:dyDescent="0.3">
      <c r="A46" s="256">
        <v>39</v>
      </c>
      <c r="B46" s="257" t="s">
        <v>1461</v>
      </c>
      <c r="C46" s="276">
        <v>44561</v>
      </c>
      <c r="D46" s="257" t="s">
        <v>1285</v>
      </c>
      <c r="E46" s="256" t="s">
        <v>1793</v>
      </c>
      <c r="F46" s="256" t="s">
        <v>1859</v>
      </c>
      <c r="G46" s="258">
        <v>11936000000</v>
      </c>
      <c r="H46" s="265">
        <v>0.1</v>
      </c>
      <c r="I46" s="258">
        <v>1193600000</v>
      </c>
      <c r="J46" s="258">
        <v>13129600000</v>
      </c>
      <c r="K46" s="256" t="s">
        <v>1346</v>
      </c>
    </row>
    <row r="47" spans="1:11" x14ac:dyDescent="0.3">
      <c r="A47" s="256">
        <v>40</v>
      </c>
      <c r="B47" s="257" t="s">
        <v>1478</v>
      </c>
      <c r="C47" s="276">
        <v>44561</v>
      </c>
      <c r="D47" s="257" t="s">
        <v>1271</v>
      </c>
      <c r="E47" s="256" t="s">
        <v>1799</v>
      </c>
      <c r="F47" s="256" t="s">
        <v>1860</v>
      </c>
      <c r="G47" s="258">
        <v>14044000000</v>
      </c>
      <c r="H47" s="265">
        <v>0.1</v>
      </c>
      <c r="I47" s="258">
        <v>1404400000</v>
      </c>
      <c r="J47" s="258">
        <v>15448400000</v>
      </c>
      <c r="K47" s="256" t="s">
        <v>1346</v>
      </c>
    </row>
    <row r="48" spans="1:11" x14ac:dyDescent="0.3">
      <c r="A48" s="256">
        <v>41</v>
      </c>
      <c r="B48" s="257" t="s">
        <v>1470</v>
      </c>
      <c r="C48" s="276">
        <v>44561</v>
      </c>
      <c r="D48" s="257" t="s">
        <v>1256</v>
      </c>
      <c r="E48" s="256" t="s">
        <v>1802</v>
      </c>
      <c r="F48" s="256" t="s">
        <v>1863</v>
      </c>
      <c r="G48" s="258">
        <v>20088000000</v>
      </c>
      <c r="H48" s="265">
        <v>0.1</v>
      </c>
      <c r="I48" s="258">
        <v>2008800000</v>
      </c>
      <c r="J48" s="258">
        <v>22096800000</v>
      </c>
      <c r="K48" s="256" t="s">
        <v>1346</v>
      </c>
    </row>
    <row r="49" spans="1:11" x14ac:dyDescent="0.3">
      <c r="A49" s="256">
        <v>42</v>
      </c>
      <c r="B49" s="257" t="s">
        <v>1459</v>
      </c>
      <c r="C49" s="276">
        <v>44561</v>
      </c>
      <c r="D49" s="257" t="s">
        <v>1282</v>
      </c>
      <c r="E49" s="256" t="s">
        <v>1789</v>
      </c>
      <c r="F49" s="256" t="s">
        <v>1861</v>
      </c>
      <c r="G49" s="258">
        <v>12277000000</v>
      </c>
      <c r="H49" s="265">
        <v>0.1</v>
      </c>
      <c r="I49" s="258">
        <v>1227700000</v>
      </c>
      <c r="J49" s="258">
        <v>13504700000</v>
      </c>
      <c r="K49" s="256" t="s">
        <v>1348</v>
      </c>
    </row>
    <row r="50" spans="1:11" x14ac:dyDescent="0.3">
      <c r="A50" s="256">
        <v>43</v>
      </c>
      <c r="B50" s="257" t="s">
        <v>1207</v>
      </c>
      <c r="C50" s="276">
        <v>44561</v>
      </c>
      <c r="D50" s="257" t="s">
        <v>1299</v>
      </c>
      <c r="E50" s="256" t="s">
        <v>1776</v>
      </c>
      <c r="F50" s="256" t="s">
        <v>1861</v>
      </c>
      <c r="G50" s="258">
        <v>7682000000</v>
      </c>
      <c r="H50" s="265">
        <v>0.1</v>
      </c>
      <c r="I50" s="258">
        <v>768200000</v>
      </c>
      <c r="J50" s="258">
        <v>8450200000</v>
      </c>
      <c r="K50" s="256" t="s">
        <v>1348</v>
      </c>
    </row>
    <row r="51" spans="1:11" x14ac:dyDescent="0.3">
      <c r="A51" s="256">
        <v>44</v>
      </c>
      <c r="B51" s="257" t="s">
        <v>1491</v>
      </c>
      <c r="C51" s="276">
        <v>44561</v>
      </c>
      <c r="D51" s="257" t="s">
        <v>1284</v>
      </c>
      <c r="E51" s="256" t="s">
        <v>1786</v>
      </c>
      <c r="F51" s="256" t="s">
        <v>1858</v>
      </c>
      <c r="G51" s="258">
        <v>16474000000</v>
      </c>
      <c r="H51" s="265">
        <v>0.1</v>
      </c>
      <c r="I51" s="258">
        <v>1647400000</v>
      </c>
      <c r="J51" s="258">
        <v>18121400000</v>
      </c>
      <c r="K51" s="256" t="s">
        <v>1346</v>
      </c>
    </row>
    <row r="52" spans="1:11" x14ac:dyDescent="0.3">
      <c r="A52" s="256">
        <v>45</v>
      </c>
      <c r="B52" s="257" t="s">
        <v>1394</v>
      </c>
      <c r="C52" s="276">
        <v>44561</v>
      </c>
      <c r="D52" s="257" t="s">
        <v>1294</v>
      </c>
      <c r="E52" s="256" t="s">
        <v>1795</v>
      </c>
      <c r="F52" s="256" t="s">
        <v>1858</v>
      </c>
      <c r="G52" s="258">
        <v>20729000000</v>
      </c>
      <c r="H52" s="265">
        <v>0.1</v>
      </c>
      <c r="I52" s="258">
        <v>2072900000</v>
      </c>
      <c r="J52" s="258">
        <v>22801900000</v>
      </c>
      <c r="K52" s="256" t="s">
        <v>1346</v>
      </c>
    </row>
    <row r="53" spans="1:11" x14ac:dyDescent="0.3">
      <c r="A53" s="256">
        <v>46</v>
      </c>
      <c r="B53" s="257" t="s">
        <v>1476</v>
      </c>
      <c r="C53" s="276">
        <v>44561</v>
      </c>
      <c r="D53" s="257" t="s">
        <v>1277</v>
      </c>
      <c r="E53" s="256" t="s">
        <v>1783</v>
      </c>
      <c r="F53" s="256" t="s">
        <v>1859</v>
      </c>
      <c r="G53" s="258">
        <v>15735000000</v>
      </c>
      <c r="H53" s="265">
        <v>0.1</v>
      </c>
      <c r="I53" s="258">
        <v>1573500000</v>
      </c>
      <c r="J53" s="258">
        <v>17308500000</v>
      </c>
      <c r="K53" s="256" t="s">
        <v>1346</v>
      </c>
    </row>
    <row r="54" spans="1:11" x14ac:dyDescent="0.3">
      <c r="A54" s="256">
        <v>47</v>
      </c>
      <c r="B54" s="257" t="s">
        <v>1471</v>
      </c>
      <c r="C54" s="276">
        <v>44561</v>
      </c>
      <c r="D54" s="257" t="s">
        <v>1256</v>
      </c>
      <c r="E54" s="256" t="s">
        <v>1802</v>
      </c>
      <c r="F54" s="256" t="s">
        <v>1863</v>
      </c>
      <c r="G54" s="258">
        <v>14995000000</v>
      </c>
      <c r="H54" s="265">
        <v>0</v>
      </c>
      <c r="I54" s="258">
        <v>0</v>
      </c>
      <c r="J54" s="258">
        <v>14995000000</v>
      </c>
      <c r="K54" s="256" t="s">
        <v>1346</v>
      </c>
    </row>
    <row r="55" spans="1:11" x14ac:dyDescent="0.3">
      <c r="A55" s="256">
        <v>48</v>
      </c>
      <c r="B55" s="257" t="s">
        <v>1399</v>
      </c>
      <c r="C55" s="276">
        <v>44561</v>
      </c>
      <c r="D55" s="257" t="s">
        <v>1295</v>
      </c>
      <c r="E55" s="256" t="s">
        <v>1825</v>
      </c>
      <c r="F55" s="256" t="s">
        <v>1859</v>
      </c>
      <c r="G55" s="258">
        <v>17073000000</v>
      </c>
      <c r="H55" s="265">
        <v>0.1</v>
      </c>
      <c r="I55" s="258">
        <v>1707300000</v>
      </c>
      <c r="J55" s="258">
        <v>18780300000</v>
      </c>
      <c r="K55" s="256" t="s">
        <v>1346</v>
      </c>
    </row>
    <row r="56" spans="1:11" x14ac:dyDescent="0.3">
      <c r="A56" s="256">
        <v>49</v>
      </c>
      <c r="B56" s="257" t="s">
        <v>1391</v>
      </c>
      <c r="C56" s="276">
        <v>44561</v>
      </c>
      <c r="D56" s="257" t="s">
        <v>1298</v>
      </c>
      <c r="E56" s="256" t="s">
        <v>1819</v>
      </c>
      <c r="F56" s="256" t="s">
        <v>1863</v>
      </c>
      <c r="G56" s="258">
        <v>16164000000</v>
      </c>
      <c r="H56" s="265">
        <v>0</v>
      </c>
      <c r="I56" s="258">
        <v>0</v>
      </c>
      <c r="J56" s="258">
        <v>16164000000</v>
      </c>
      <c r="K56" s="256" t="s">
        <v>1348</v>
      </c>
    </row>
    <row r="57" spans="1:11" x14ac:dyDescent="0.3">
      <c r="A57" s="256">
        <v>50</v>
      </c>
      <c r="B57" s="257" t="s">
        <v>1472</v>
      </c>
      <c r="C57" s="276">
        <v>44561</v>
      </c>
      <c r="D57" s="257" t="s">
        <v>1256</v>
      </c>
      <c r="E57" s="256" t="s">
        <v>1802</v>
      </c>
      <c r="F57" s="256" t="s">
        <v>1860</v>
      </c>
      <c r="G57" s="258">
        <v>21790000000</v>
      </c>
      <c r="H57" s="265">
        <v>0.1</v>
      </c>
      <c r="I57" s="258">
        <v>2179000000</v>
      </c>
      <c r="J57" s="258">
        <v>23969000000</v>
      </c>
      <c r="K57" s="256" t="s">
        <v>1346</v>
      </c>
    </row>
    <row r="58" spans="1:11" x14ac:dyDescent="0.3">
      <c r="A58" s="266" t="s">
        <v>1351</v>
      </c>
      <c r="B58" s="266"/>
      <c r="C58" s="266"/>
      <c r="D58" s="266"/>
      <c r="E58" s="266"/>
      <c r="F58" s="266"/>
      <c r="G58" s="267">
        <f>SUM(G8:G57)</f>
        <v>727000000000</v>
      </c>
      <c r="H58" s="266"/>
      <c r="I58" s="267">
        <f>SUM(I8:I57)</f>
        <v>69584100000</v>
      </c>
      <c r="J58" s="267">
        <f>SUM(J8:J57)</f>
        <v>796584100000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1292</v>
      </c>
      <c r="E62" s="256" t="s">
        <v>1792</v>
      </c>
      <c r="F62" s="256" t="s">
        <v>1867</v>
      </c>
      <c r="G62" s="258">
        <v>27158000000</v>
      </c>
      <c r="H62" s="265">
        <v>0.1</v>
      </c>
      <c r="I62" s="258">
        <v>2715800000</v>
      </c>
      <c r="J62" s="258">
        <v>29873800000</v>
      </c>
      <c r="K62" s="256" t="s">
        <v>1346</v>
      </c>
    </row>
    <row r="63" spans="1:11" x14ac:dyDescent="0.3">
      <c r="A63" s="256">
        <v>2</v>
      </c>
      <c r="B63" s="257" t="s">
        <v>1201</v>
      </c>
      <c r="C63" s="276">
        <v>44318</v>
      </c>
      <c r="D63" s="257" t="s">
        <v>1303</v>
      </c>
      <c r="E63" s="256" t="s">
        <v>1817</v>
      </c>
      <c r="F63" s="256" t="s">
        <v>1864</v>
      </c>
      <c r="G63" s="258">
        <v>12253000000</v>
      </c>
      <c r="H63" s="265">
        <v>0.1</v>
      </c>
      <c r="I63" s="258">
        <v>1225300000</v>
      </c>
      <c r="J63" s="258">
        <v>13478300000</v>
      </c>
      <c r="K63" s="256" t="s">
        <v>1346</v>
      </c>
    </row>
    <row r="64" spans="1:11" x14ac:dyDescent="0.3">
      <c r="A64" s="256">
        <v>3</v>
      </c>
      <c r="B64" s="257" t="s">
        <v>1202</v>
      </c>
      <c r="C64" s="276">
        <v>44472</v>
      </c>
      <c r="D64" s="257" t="s">
        <v>1296</v>
      </c>
      <c r="E64" s="256" t="s">
        <v>1807</v>
      </c>
      <c r="F64" s="256" t="s">
        <v>1865</v>
      </c>
      <c r="G64" s="258">
        <v>13911000000</v>
      </c>
      <c r="H64" s="265">
        <v>0.1</v>
      </c>
      <c r="I64" s="258">
        <v>1391100000</v>
      </c>
      <c r="J64" s="258">
        <v>15302100000</v>
      </c>
      <c r="K64" s="256" t="s">
        <v>1346</v>
      </c>
    </row>
    <row r="65" spans="1:11" x14ac:dyDescent="0.3">
      <c r="A65" s="256">
        <v>4</v>
      </c>
      <c r="B65" s="257" t="s">
        <v>1355</v>
      </c>
      <c r="C65" s="276">
        <v>44473</v>
      </c>
      <c r="D65" s="257" t="s">
        <v>1261</v>
      </c>
      <c r="E65" s="256" t="s">
        <v>1813</v>
      </c>
      <c r="F65" s="256" t="s">
        <v>1867</v>
      </c>
      <c r="G65" s="258">
        <v>21374000000</v>
      </c>
      <c r="H65" s="265">
        <v>0.1</v>
      </c>
      <c r="I65" s="258">
        <v>2137400000</v>
      </c>
      <c r="J65" s="258">
        <v>23511400000</v>
      </c>
      <c r="K65" s="256" t="s">
        <v>1346</v>
      </c>
    </row>
    <row r="66" spans="1:11" x14ac:dyDescent="0.3">
      <c r="A66" s="256">
        <v>5</v>
      </c>
      <c r="B66" s="257" t="s">
        <v>1356</v>
      </c>
      <c r="C66" s="276">
        <v>44474</v>
      </c>
      <c r="D66" s="257" t="s">
        <v>1270</v>
      </c>
      <c r="E66" s="256" t="s">
        <v>1782</v>
      </c>
      <c r="F66" s="256" t="s">
        <v>1865</v>
      </c>
      <c r="G66" s="258">
        <v>30579000000</v>
      </c>
      <c r="H66" s="265">
        <v>0.1</v>
      </c>
      <c r="I66" s="258">
        <v>3057900000</v>
      </c>
      <c r="J66" s="258">
        <v>33636900000</v>
      </c>
      <c r="K66" s="256" t="s">
        <v>1346</v>
      </c>
    </row>
    <row r="67" spans="1:11" x14ac:dyDescent="0.3">
      <c r="A67" s="256">
        <v>6</v>
      </c>
      <c r="B67" s="257" t="s">
        <v>1358</v>
      </c>
      <c r="C67" s="276">
        <v>44475</v>
      </c>
      <c r="D67" s="257" t="s">
        <v>1288</v>
      </c>
      <c r="E67" s="256" t="s">
        <v>1797</v>
      </c>
      <c r="F67" s="256" t="s">
        <v>1866</v>
      </c>
      <c r="G67" s="258">
        <v>8358000000</v>
      </c>
      <c r="H67" s="265">
        <v>0.1</v>
      </c>
      <c r="I67" s="258">
        <v>835800000</v>
      </c>
      <c r="J67" s="258">
        <v>9193800000</v>
      </c>
      <c r="K67" s="256" t="s">
        <v>1346</v>
      </c>
    </row>
    <row r="68" spans="1:11" x14ac:dyDescent="0.3">
      <c r="A68" s="256">
        <v>7</v>
      </c>
      <c r="B68" s="257" t="s">
        <v>1360</v>
      </c>
      <c r="C68" s="276">
        <v>44476</v>
      </c>
      <c r="D68" s="257" t="s">
        <v>1289</v>
      </c>
      <c r="E68" s="256" t="s">
        <v>1803</v>
      </c>
      <c r="F68" s="256" t="s">
        <v>1865</v>
      </c>
      <c r="G68" s="258">
        <v>14088000000</v>
      </c>
      <c r="H68" s="265">
        <v>0.1</v>
      </c>
      <c r="I68" s="258">
        <v>1408800000</v>
      </c>
      <c r="J68" s="258">
        <v>15496800000</v>
      </c>
      <c r="K68" s="256" t="s">
        <v>1346</v>
      </c>
    </row>
    <row r="69" spans="1:11" x14ac:dyDescent="0.3">
      <c r="A69" s="256">
        <v>8</v>
      </c>
      <c r="B69" s="257" t="s">
        <v>1362</v>
      </c>
      <c r="C69" s="276">
        <v>44477</v>
      </c>
      <c r="D69" s="257" t="s">
        <v>1294</v>
      </c>
      <c r="E69" s="256" t="s">
        <v>1795</v>
      </c>
      <c r="F69" s="256" t="s">
        <v>1865</v>
      </c>
      <c r="G69" s="258">
        <v>11856000000</v>
      </c>
      <c r="H69" s="265">
        <v>0.1</v>
      </c>
      <c r="I69" s="258">
        <v>1185600000</v>
      </c>
      <c r="J69" s="258">
        <v>13041600000</v>
      </c>
      <c r="K69" s="256" t="s">
        <v>1346</v>
      </c>
    </row>
    <row r="70" spans="1:11" x14ac:dyDescent="0.3">
      <c r="A70" s="256">
        <v>9</v>
      </c>
      <c r="B70" s="257" t="s">
        <v>1364</v>
      </c>
      <c r="C70" s="276">
        <v>44478</v>
      </c>
      <c r="D70" s="257" t="s">
        <v>1282</v>
      </c>
      <c r="E70" s="256" t="s">
        <v>1789</v>
      </c>
      <c r="F70" s="256" t="s">
        <v>1865</v>
      </c>
      <c r="G70" s="258">
        <v>21537000000</v>
      </c>
      <c r="H70" s="265">
        <v>0.1</v>
      </c>
      <c r="I70" s="258">
        <v>2153700000</v>
      </c>
      <c r="J70" s="258">
        <v>23690700000</v>
      </c>
      <c r="K70" s="256" t="s">
        <v>1346</v>
      </c>
    </row>
    <row r="71" spans="1:11" x14ac:dyDescent="0.3">
      <c r="A71" s="256">
        <v>10</v>
      </c>
      <c r="B71" s="257" t="s">
        <v>1366</v>
      </c>
      <c r="C71" s="276">
        <v>44479</v>
      </c>
      <c r="D71" s="257" t="s">
        <v>1266</v>
      </c>
      <c r="E71" s="256" t="s">
        <v>1824</v>
      </c>
      <c r="F71" s="256" t="s">
        <v>1867</v>
      </c>
      <c r="G71" s="258">
        <v>21604000000</v>
      </c>
      <c r="H71" s="265">
        <v>0</v>
      </c>
      <c r="I71" s="258">
        <v>0</v>
      </c>
      <c r="J71" s="258">
        <v>21604000000</v>
      </c>
      <c r="K71" s="256" t="s">
        <v>1348</v>
      </c>
    </row>
    <row r="72" spans="1:11" x14ac:dyDescent="0.3">
      <c r="A72" s="256">
        <v>11</v>
      </c>
      <c r="B72" s="257" t="s">
        <v>1368</v>
      </c>
      <c r="C72" s="276">
        <v>44480</v>
      </c>
      <c r="D72" s="257" t="s">
        <v>1277</v>
      </c>
      <c r="E72" s="256" t="s">
        <v>1783</v>
      </c>
      <c r="F72" s="256" t="s">
        <v>1865</v>
      </c>
      <c r="G72" s="258">
        <v>11085000000</v>
      </c>
      <c r="H72" s="265">
        <v>0.1</v>
      </c>
      <c r="I72" s="258">
        <v>1108500000</v>
      </c>
      <c r="J72" s="258">
        <v>12193500000</v>
      </c>
      <c r="K72" s="256" t="s">
        <v>1346</v>
      </c>
    </row>
    <row r="73" spans="1:11" x14ac:dyDescent="0.3">
      <c r="A73" s="256">
        <v>12</v>
      </c>
      <c r="B73" s="257" t="s">
        <v>1371</v>
      </c>
      <c r="C73" s="276">
        <v>44481</v>
      </c>
      <c r="D73" s="257" t="s">
        <v>1255</v>
      </c>
      <c r="E73" s="273">
        <v>46152</v>
      </c>
      <c r="F73" s="256" t="s">
        <v>1865</v>
      </c>
      <c r="G73" s="258">
        <v>21303000000</v>
      </c>
      <c r="H73" s="265">
        <v>0.1</v>
      </c>
      <c r="I73" s="258">
        <v>2130300000</v>
      </c>
      <c r="J73" s="258">
        <v>23433300000</v>
      </c>
      <c r="K73" s="256" t="s">
        <v>1346</v>
      </c>
    </row>
    <row r="74" spans="1:11" x14ac:dyDescent="0.3">
      <c r="A74" s="256">
        <v>13</v>
      </c>
      <c r="B74" s="257" t="s">
        <v>1373</v>
      </c>
      <c r="C74" s="276">
        <v>44211</v>
      </c>
      <c r="D74" s="257" t="s">
        <v>1291</v>
      </c>
      <c r="E74" s="256" t="s">
        <v>1800</v>
      </c>
      <c r="F74" s="256" t="s">
        <v>1865</v>
      </c>
      <c r="G74" s="258">
        <v>29234000000</v>
      </c>
      <c r="H74" s="265">
        <v>0.1</v>
      </c>
      <c r="I74" s="258">
        <v>2923400000</v>
      </c>
      <c r="J74" s="258">
        <v>32157400000</v>
      </c>
      <c r="K74" s="256" t="s">
        <v>1346</v>
      </c>
    </row>
    <row r="75" spans="1:11" x14ac:dyDescent="0.3">
      <c r="A75" s="256">
        <v>14</v>
      </c>
      <c r="B75" s="257" t="s">
        <v>1374</v>
      </c>
      <c r="C75" s="276">
        <v>44242</v>
      </c>
      <c r="D75" s="257" t="s">
        <v>1302</v>
      </c>
      <c r="E75" s="256" t="s">
        <v>1784</v>
      </c>
      <c r="F75" s="256" t="s">
        <v>1865</v>
      </c>
      <c r="G75" s="258">
        <v>19622000000</v>
      </c>
      <c r="H75" s="265">
        <v>0.1</v>
      </c>
      <c r="I75" s="258">
        <v>1962200000</v>
      </c>
      <c r="J75" s="258">
        <v>21584200000</v>
      </c>
      <c r="K75" s="256" t="s">
        <v>1346</v>
      </c>
    </row>
    <row r="76" spans="1:11" x14ac:dyDescent="0.3">
      <c r="A76" s="256">
        <v>15</v>
      </c>
      <c r="B76" s="257" t="s">
        <v>1376</v>
      </c>
      <c r="C76" s="276">
        <v>44275</v>
      </c>
      <c r="D76" s="257" t="s">
        <v>1290</v>
      </c>
      <c r="E76" s="256" t="s">
        <v>1796</v>
      </c>
      <c r="F76" s="256" t="s">
        <v>1865</v>
      </c>
      <c r="G76" s="258">
        <v>14769000000</v>
      </c>
      <c r="H76" s="265">
        <v>0.1</v>
      </c>
      <c r="I76" s="258">
        <v>1476900000</v>
      </c>
      <c r="J76" s="258">
        <v>16245900000</v>
      </c>
      <c r="K76" s="256" t="s">
        <v>1346</v>
      </c>
    </row>
    <row r="77" spans="1:11" x14ac:dyDescent="0.3">
      <c r="A77" s="256">
        <v>16</v>
      </c>
      <c r="B77" s="257" t="s">
        <v>1378</v>
      </c>
      <c r="C77" s="276">
        <v>44306</v>
      </c>
      <c r="D77" s="257" t="s">
        <v>1273</v>
      </c>
      <c r="E77" s="256" t="s">
        <v>1829</v>
      </c>
      <c r="F77" s="256" t="s">
        <v>1866</v>
      </c>
      <c r="G77" s="258">
        <v>21539000000</v>
      </c>
      <c r="H77" s="265">
        <v>0.1</v>
      </c>
      <c r="I77" s="258">
        <v>2153900000</v>
      </c>
      <c r="J77" s="258">
        <v>23692900000</v>
      </c>
      <c r="K77" s="256" t="s">
        <v>1346</v>
      </c>
    </row>
    <row r="78" spans="1:11" x14ac:dyDescent="0.3">
      <c r="A78" s="256">
        <v>17</v>
      </c>
      <c r="B78" s="257" t="s">
        <v>1379</v>
      </c>
      <c r="C78" s="276">
        <v>44336</v>
      </c>
      <c r="D78" s="257" t="s">
        <v>1275</v>
      </c>
      <c r="E78" s="256" t="s">
        <v>1808</v>
      </c>
      <c r="F78" s="256" t="s">
        <v>1866</v>
      </c>
      <c r="G78" s="258">
        <v>12460000000</v>
      </c>
      <c r="H78" s="265">
        <v>0.1</v>
      </c>
      <c r="I78" s="258">
        <v>1246000000</v>
      </c>
      <c r="J78" s="258">
        <v>13706000000</v>
      </c>
      <c r="K78" s="256" t="s">
        <v>1346</v>
      </c>
    </row>
    <row r="79" spans="1:11" x14ac:dyDescent="0.3">
      <c r="A79" s="256">
        <v>18</v>
      </c>
      <c r="B79" s="257" t="s">
        <v>1381</v>
      </c>
      <c r="C79" s="276">
        <v>44367</v>
      </c>
      <c r="D79" s="257" t="s">
        <v>1303</v>
      </c>
      <c r="E79" s="256" t="s">
        <v>1817</v>
      </c>
      <c r="F79" s="256" t="s">
        <v>1866</v>
      </c>
      <c r="G79" s="258">
        <v>30857000000</v>
      </c>
      <c r="H79" s="265">
        <v>0.1</v>
      </c>
      <c r="I79" s="258">
        <v>3085700000</v>
      </c>
      <c r="J79" s="258">
        <v>33942700000</v>
      </c>
      <c r="K79" s="256" t="s">
        <v>1346</v>
      </c>
    </row>
    <row r="80" spans="1:11" x14ac:dyDescent="0.3">
      <c r="A80" s="256">
        <v>19</v>
      </c>
      <c r="B80" s="257" t="s">
        <v>1382</v>
      </c>
      <c r="C80" s="276">
        <v>44397</v>
      </c>
      <c r="D80" s="257" t="s">
        <v>1283</v>
      </c>
      <c r="E80" s="256" t="s">
        <v>1798</v>
      </c>
      <c r="F80" s="256" t="s">
        <v>1867</v>
      </c>
      <c r="G80" s="258">
        <v>23989000000</v>
      </c>
      <c r="H80" s="265">
        <v>0</v>
      </c>
      <c r="I80" s="258">
        <v>0</v>
      </c>
      <c r="J80" s="258">
        <v>23989000000</v>
      </c>
      <c r="K80" s="256" t="s">
        <v>1348</v>
      </c>
    </row>
    <row r="81" spans="1:11" x14ac:dyDescent="0.3">
      <c r="A81" s="256">
        <v>20</v>
      </c>
      <c r="B81" s="257" t="s">
        <v>1383</v>
      </c>
      <c r="C81" s="276">
        <v>44428</v>
      </c>
      <c r="D81" s="257" t="s">
        <v>1300</v>
      </c>
      <c r="E81" s="256" t="s">
        <v>1818</v>
      </c>
      <c r="F81" s="256" t="s">
        <v>1866</v>
      </c>
      <c r="G81" s="258">
        <v>12920000000</v>
      </c>
      <c r="H81" s="265">
        <v>0.1</v>
      </c>
      <c r="I81" s="258">
        <v>1292000000</v>
      </c>
      <c r="J81" s="258">
        <v>14212000000</v>
      </c>
      <c r="K81" s="256" t="s">
        <v>1346</v>
      </c>
    </row>
    <row r="82" spans="1:11" x14ac:dyDescent="0.3">
      <c r="A82" s="256">
        <v>21</v>
      </c>
      <c r="B82" s="257" t="s">
        <v>1203</v>
      </c>
      <c r="C82" s="276">
        <v>44459</v>
      </c>
      <c r="D82" s="257" t="s">
        <v>1274</v>
      </c>
      <c r="E82" s="256" t="s">
        <v>1794</v>
      </c>
      <c r="F82" s="256" t="s">
        <v>1865</v>
      </c>
      <c r="G82" s="258">
        <v>10382000000</v>
      </c>
      <c r="H82" s="265">
        <v>0.1</v>
      </c>
      <c r="I82" s="258">
        <v>1038200000</v>
      </c>
      <c r="J82" s="258">
        <v>11420200000</v>
      </c>
      <c r="K82" s="256" t="s">
        <v>1346</v>
      </c>
    </row>
    <row r="83" spans="1:11" x14ac:dyDescent="0.3">
      <c r="A83" s="256">
        <v>22</v>
      </c>
      <c r="B83" s="257" t="s">
        <v>1204</v>
      </c>
      <c r="C83" s="276">
        <v>44489</v>
      </c>
      <c r="D83" s="257" t="s">
        <v>1279</v>
      </c>
      <c r="E83" s="256" t="s">
        <v>1827</v>
      </c>
      <c r="F83" s="256" t="s">
        <v>1866</v>
      </c>
      <c r="G83" s="258">
        <v>22919000000</v>
      </c>
      <c r="H83" s="265">
        <v>0.1</v>
      </c>
      <c r="I83" s="258">
        <v>2291900000</v>
      </c>
      <c r="J83" s="258">
        <v>25210900000</v>
      </c>
      <c r="K83" s="256" t="s">
        <v>1348</v>
      </c>
    </row>
    <row r="84" spans="1:11" x14ac:dyDescent="0.3">
      <c r="A84" s="256">
        <v>23</v>
      </c>
      <c r="B84" s="257" t="s">
        <v>1205</v>
      </c>
      <c r="C84" s="276">
        <v>44520</v>
      </c>
      <c r="D84" s="257" t="s">
        <v>1285</v>
      </c>
      <c r="E84" s="256" t="s">
        <v>1793</v>
      </c>
      <c r="F84" s="256" t="s">
        <v>1865</v>
      </c>
      <c r="G84" s="258">
        <v>23450000000</v>
      </c>
      <c r="H84" s="265">
        <v>0.1</v>
      </c>
      <c r="I84" s="258">
        <v>2345000000</v>
      </c>
      <c r="J84" s="258">
        <v>25795000000</v>
      </c>
      <c r="K84" s="256" t="s">
        <v>1346</v>
      </c>
    </row>
    <row r="85" spans="1:11" x14ac:dyDescent="0.3">
      <c r="A85" s="256">
        <v>24</v>
      </c>
      <c r="B85" s="257" t="s">
        <v>1385</v>
      </c>
      <c r="C85" s="276">
        <v>44550</v>
      </c>
      <c r="D85" s="257" t="s">
        <v>1273</v>
      </c>
      <c r="E85" s="256" t="s">
        <v>1829</v>
      </c>
      <c r="F85" s="256" t="s">
        <v>1865</v>
      </c>
      <c r="G85" s="258">
        <v>27569000000</v>
      </c>
      <c r="H85" s="265">
        <v>0.1</v>
      </c>
      <c r="I85" s="258">
        <v>2756900000</v>
      </c>
      <c r="J85" s="258">
        <v>30325900000</v>
      </c>
      <c r="K85" s="256" t="s">
        <v>1346</v>
      </c>
    </row>
    <row r="86" spans="1:11" x14ac:dyDescent="0.3">
      <c r="A86" s="256">
        <v>25</v>
      </c>
      <c r="B86" s="257" t="s">
        <v>1387</v>
      </c>
      <c r="C86" s="276">
        <v>44221</v>
      </c>
      <c r="D86" s="257" t="s">
        <v>1291</v>
      </c>
      <c r="E86" s="256" t="s">
        <v>1800</v>
      </c>
      <c r="F86" s="256" t="s">
        <v>1866</v>
      </c>
      <c r="G86" s="258">
        <v>21411000000</v>
      </c>
      <c r="H86" s="265">
        <v>0.1</v>
      </c>
      <c r="I86" s="258">
        <v>2141100000</v>
      </c>
      <c r="J86" s="258">
        <v>23552100000</v>
      </c>
      <c r="K86" s="256" t="s">
        <v>1346</v>
      </c>
    </row>
    <row r="87" spans="1:11" x14ac:dyDescent="0.3">
      <c r="A87" s="256">
        <v>26</v>
      </c>
      <c r="B87" s="257" t="s">
        <v>1388</v>
      </c>
      <c r="C87" s="276">
        <v>44255</v>
      </c>
      <c r="D87" s="257" t="s">
        <v>1258</v>
      </c>
      <c r="E87" s="256" t="s">
        <v>1833</v>
      </c>
      <c r="F87" s="256" t="s">
        <v>1864</v>
      </c>
      <c r="G87" s="258">
        <v>12457000000</v>
      </c>
      <c r="H87" s="265">
        <v>0.1</v>
      </c>
      <c r="I87" s="258">
        <v>1245700000</v>
      </c>
      <c r="J87" s="258">
        <v>13702700000</v>
      </c>
      <c r="K87" s="256" t="s">
        <v>1346</v>
      </c>
    </row>
    <row r="88" spans="1:11" x14ac:dyDescent="0.3">
      <c r="A88" s="256">
        <v>27</v>
      </c>
      <c r="B88" s="257" t="s">
        <v>1391</v>
      </c>
      <c r="C88" s="276">
        <v>44316</v>
      </c>
      <c r="D88" s="257" t="s">
        <v>1293</v>
      </c>
      <c r="E88" s="256" t="s">
        <v>1826</v>
      </c>
      <c r="F88" s="256" t="s">
        <v>1864</v>
      </c>
      <c r="G88" s="258">
        <v>9249000000</v>
      </c>
      <c r="H88" s="265">
        <v>0.1</v>
      </c>
      <c r="I88" s="258">
        <v>924900000</v>
      </c>
      <c r="J88" s="258">
        <v>10173900000</v>
      </c>
      <c r="K88" s="256" t="s">
        <v>1346</v>
      </c>
    </row>
    <row r="89" spans="1:11" x14ac:dyDescent="0.3">
      <c r="A89" s="256">
        <v>28</v>
      </c>
      <c r="B89" s="257" t="s">
        <v>1392</v>
      </c>
      <c r="C89" s="276">
        <v>44377</v>
      </c>
      <c r="D89" s="257" t="s">
        <v>1294</v>
      </c>
      <c r="E89" s="256" t="s">
        <v>1795</v>
      </c>
      <c r="F89" s="256" t="s">
        <v>1867</v>
      </c>
      <c r="G89" s="258">
        <v>14509000000</v>
      </c>
      <c r="H89" s="265">
        <v>0.1</v>
      </c>
      <c r="I89" s="258">
        <v>1450900000</v>
      </c>
      <c r="J89" s="258">
        <v>15959900000</v>
      </c>
      <c r="K89" s="256" t="s">
        <v>1346</v>
      </c>
    </row>
    <row r="90" spans="1:11" x14ac:dyDescent="0.3">
      <c r="A90" s="256">
        <v>29</v>
      </c>
      <c r="B90" s="257" t="s">
        <v>1394</v>
      </c>
      <c r="C90" s="276">
        <v>44469</v>
      </c>
      <c r="D90" s="257" t="s">
        <v>1263</v>
      </c>
      <c r="E90" s="256" t="s">
        <v>1790</v>
      </c>
      <c r="F90" s="256" t="s">
        <v>1865</v>
      </c>
      <c r="G90" s="258">
        <v>14223000000</v>
      </c>
      <c r="H90" s="265">
        <v>0</v>
      </c>
      <c r="I90" s="258">
        <v>0</v>
      </c>
      <c r="J90" s="258">
        <v>14223000000</v>
      </c>
      <c r="K90" s="256" t="s">
        <v>1348</v>
      </c>
    </row>
    <row r="91" spans="1:11" x14ac:dyDescent="0.3">
      <c r="A91" s="256">
        <v>30</v>
      </c>
      <c r="B91" s="257" t="s">
        <v>1396</v>
      </c>
      <c r="C91" s="276">
        <v>44530</v>
      </c>
      <c r="D91" s="257" t="s">
        <v>1289</v>
      </c>
      <c r="E91" s="256" t="s">
        <v>1803</v>
      </c>
      <c r="F91" s="256" t="s">
        <v>1864</v>
      </c>
      <c r="G91" s="258">
        <v>23144000000</v>
      </c>
      <c r="H91" s="265">
        <v>0.1</v>
      </c>
      <c r="I91" s="258">
        <v>2314400000</v>
      </c>
      <c r="J91" s="258">
        <v>25458400000</v>
      </c>
      <c r="K91" s="256" t="s">
        <v>1346</v>
      </c>
    </row>
    <row r="92" spans="1:11" x14ac:dyDescent="0.3">
      <c r="A92" s="256">
        <v>31</v>
      </c>
      <c r="B92" s="257" t="s">
        <v>1397</v>
      </c>
      <c r="C92" s="276">
        <v>44286</v>
      </c>
      <c r="D92" s="257" t="s">
        <v>1303</v>
      </c>
      <c r="E92" s="256" t="s">
        <v>1817</v>
      </c>
      <c r="F92" s="256" t="s">
        <v>1864</v>
      </c>
      <c r="G92" s="258">
        <v>9040000000</v>
      </c>
      <c r="H92" s="265">
        <v>0.1</v>
      </c>
      <c r="I92" s="258">
        <v>904000000</v>
      </c>
      <c r="J92" s="258">
        <v>9944000000</v>
      </c>
      <c r="K92" s="256" t="s">
        <v>1346</v>
      </c>
    </row>
    <row r="93" spans="1:11" x14ac:dyDescent="0.3">
      <c r="A93" s="256">
        <v>32</v>
      </c>
      <c r="B93" s="257" t="s">
        <v>1398</v>
      </c>
      <c r="C93" s="276">
        <v>44347</v>
      </c>
      <c r="D93" s="257" t="s">
        <v>1281</v>
      </c>
      <c r="E93" s="256" t="s">
        <v>1806</v>
      </c>
      <c r="F93" s="256" t="s">
        <v>1865</v>
      </c>
      <c r="G93" s="258">
        <v>11328000000</v>
      </c>
      <c r="H93" s="265">
        <v>0.1</v>
      </c>
      <c r="I93" s="258">
        <v>1132800000</v>
      </c>
      <c r="J93" s="258">
        <v>12460800000</v>
      </c>
      <c r="K93" s="256" t="s">
        <v>1346</v>
      </c>
    </row>
    <row r="94" spans="1:11" x14ac:dyDescent="0.3">
      <c r="A94" s="256">
        <v>33</v>
      </c>
      <c r="B94" s="257" t="s">
        <v>1399</v>
      </c>
      <c r="C94" s="276">
        <v>44408</v>
      </c>
      <c r="D94" s="257" t="s">
        <v>1299</v>
      </c>
      <c r="E94" s="256" t="s">
        <v>1776</v>
      </c>
      <c r="F94" s="256" t="s">
        <v>1865</v>
      </c>
      <c r="G94" s="258">
        <v>30327000000</v>
      </c>
      <c r="H94" s="265">
        <v>0.1</v>
      </c>
      <c r="I94" s="258">
        <v>3032700000</v>
      </c>
      <c r="J94" s="258">
        <v>33359700000</v>
      </c>
      <c r="K94" s="256" t="s">
        <v>1346</v>
      </c>
    </row>
    <row r="95" spans="1:11" x14ac:dyDescent="0.3">
      <c r="A95" s="256">
        <v>34</v>
      </c>
      <c r="B95" s="257" t="s">
        <v>1401</v>
      </c>
      <c r="C95" s="276">
        <v>44439</v>
      </c>
      <c r="D95" s="257" t="s">
        <v>1264</v>
      </c>
      <c r="E95" s="256" t="s">
        <v>1779</v>
      </c>
      <c r="F95" s="256" t="s">
        <v>1864</v>
      </c>
      <c r="G95" s="258">
        <v>24314000000</v>
      </c>
      <c r="H95" s="265">
        <v>0</v>
      </c>
      <c r="I95" s="258">
        <v>0</v>
      </c>
      <c r="J95" s="258">
        <v>24314000000</v>
      </c>
      <c r="K95" s="256" t="s">
        <v>1346</v>
      </c>
    </row>
    <row r="96" spans="1:11" x14ac:dyDescent="0.3">
      <c r="A96" s="256">
        <v>35</v>
      </c>
      <c r="B96" s="257" t="s">
        <v>1402</v>
      </c>
      <c r="C96" s="276">
        <v>44500</v>
      </c>
      <c r="D96" s="257" t="s">
        <v>1270</v>
      </c>
      <c r="E96" s="256" t="s">
        <v>1782</v>
      </c>
      <c r="F96" s="256" t="s">
        <v>1865</v>
      </c>
      <c r="G96" s="258">
        <v>22657000000</v>
      </c>
      <c r="H96" s="265">
        <v>0.1</v>
      </c>
      <c r="I96" s="258">
        <v>2265700000</v>
      </c>
      <c r="J96" s="258">
        <v>24922700000</v>
      </c>
      <c r="K96" s="256" t="s">
        <v>1346</v>
      </c>
    </row>
    <row r="97" spans="1:11" x14ac:dyDescent="0.3">
      <c r="A97" s="256">
        <v>36</v>
      </c>
      <c r="B97" s="257" t="s">
        <v>1403</v>
      </c>
      <c r="C97" s="276">
        <v>44561</v>
      </c>
      <c r="D97" s="257" t="s">
        <v>1278</v>
      </c>
      <c r="E97" s="256" t="s">
        <v>1785</v>
      </c>
      <c r="F97" s="256" t="s">
        <v>1864</v>
      </c>
      <c r="G97" s="258">
        <v>19981000000</v>
      </c>
      <c r="H97" s="265">
        <v>0.1</v>
      </c>
      <c r="I97" s="258">
        <v>1998100000</v>
      </c>
      <c r="J97" s="258">
        <v>21979100000</v>
      </c>
      <c r="K97" s="256" t="s">
        <v>1346</v>
      </c>
    </row>
    <row r="98" spans="1:11" x14ac:dyDescent="0.3">
      <c r="A98" s="256">
        <v>37</v>
      </c>
      <c r="B98" s="257" t="s">
        <v>1404</v>
      </c>
      <c r="C98" s="276">
        <v>44561</v>
      </c>
      <c r="D98" s="257" t="s">
        <v>1285</v>
      </c>
      <c r="E98" s="256" t="s">
        <v>1793</v>
      </c>
      <c r="F98" s="256" t="s">
        <v>1865</v>
      </c>
      <c r="G98" s="258">
        <v>12467000000</v>
      </c>
      <c r="H98" s="265">
        <v>0.1</v>
      </c>
      <c r="I98" s="258">
        <v>1246700000</v>
      </c>
      <c r="J98" s="258">
        <v>13713700000</v>
      </c>
      <c r="K98" s="256" t="s">
        <v>1346</v>
      </c>
    </row>
    <row r="99" spans="1:11" x14ac:dyDescent="0.3">
      <c r="A99" s="256">
        <v>38</v>
      </c>
      <c r="B99" s="257" t="s">
        <v>1405</v>
      </c>
      <c r="C99" s="276">
        <v>44561</v>
      </c>
      <c r="D99" s="257" t="s">
        <v>1296</v>
      </c>
      <c r="E99" s="256" t="s">
        <v>1807</v>
      </c>
      <c r="F99" s="256" t="s">
        <v>1864</v>
      </c>
      <c r="G99" s="258">
        <v>22260000000</v>
      </c>
      <c r="H99" s="265">
        <v>0.1</v>
      </c>
      <c r="I99" s="258">
        <v>2226000000</v>
      </c>
      <c r="J99" s="258">
        <v>24486000000</v>
      </c>
      <c r="K99" s="256" t="s">
        <v>1346</v>
      </c>
    </row>
    <row r="100" spans="1:11" x14ac:dyDescent="0.3">
      <c r="A100" s="256">
        <v>39</v>
      </c>
      <c r="B100" s="257" t="s">
        <v>1406</v>
      </c>
      <c r="C100" s="276">
        <v>44561</v>
      </c>
      <c r="D100" s="257" t="s">
        <v>1259</v>
      </c>
      <c r="E100" s="256" t="s">
        <v>1788</v>
      </c>
      <c r="F100" s="256" t="s">
        <v>1867</v>
      </c>
      <c r="G100" s="258">
        <v>14519000000</v>
      </c>
      <c r="H100" s="265">
        <v>0</v>
      </c>
      <c r="I100" s="258">
        <v>0</v>
      </c>
      <c r="J100" s="258">
        <v>14519000000</v>
      </c>
      <c r="K100" s="256" t="s">
        <v>1348</v>
      </c>
    </row>
    <row r="101" spans="1:11" x14ac:dyDescent="0.3">
      <c r="A101" s="256">
        <v>40</v>
      </c>
      <c r="B101" s="257" t="s">
        <v>1408</v>
      </c>
      <c r="C101" s="276">
        <v>44561</v>
      </c>
      <c r="D101" s="257" t="s">
        <v>1301</v>
      </c>
      <c r="E101" s="256" t="s">
        <v>1781</v>
      </c>
      <c r="F101" s="256" t="s">
        <v>1865</v>
      </c>
      <c r="G101" s="258">
        <v>23055000000</v>
      </c>
      <c r="H101" s="265">
        <v>0.1</v>
      </c>
      <c r="I101" s="258">
        <v>2305500000</v>
      </c>
      <c r="J101" s="258">
        <v>25360500000</v>
      </c>
      <c r="K101" s="256" t="s">
        <v>1346</v>
      </c>
    </row>
    <row r="102" spans="1:11" x14ac:dyDescent="0.3">
      <c r="A102" s="256">
        <v>41</v>
      </c>
      <c r="B102" s="257" t="s">
        <v>1409</v>
      </c>
      <c r="C102" s="276">
        <v>44561</v>
      </c>
      <c r="D102" s="257" t="s">
        <v>1284</v>
      </c>
      <c r="E102" s="256" t="s">
        <v>1786</v>
      </c>
      <c r="F102" s="256" t="s">
        <v>1867</v>
      </c>
      <c r="G102" s="258">
        <v>20324000000</v>
      </c>
      <c r="H102" s="265">
        <v>0.1</v>
      </c>
      <c r="I102" s="258">
        <v>2032400000</v>
      </c>
      <c r="J102" s="258">
        <v>22356400000</v>
      </c>
      <c r="K102" s="256" t="s">
        <v>1346</v>
      </c>
    </row>
    <row r="103" spans="1:11" x14ac:dyDescent="0.3">
      <c r="A103" s="256">
        <v>42</v>
      </c>
      <c r="B103" s="257" t="s">
        <v>1411</v>
      </c>
      <c r="C103" s="276">
        <v>44561</v>
      </c>
      <c r="D103" s="257" t="s">
        <v>1265</v>
      </c>
      <c r="E103" s="256" t="s">
        <v>1830</v>
      </c>
      <c r="F103" s="256" t="s">
        <v>1864</v>
      </c>
      <c r="G103" s="258">
        <v>20721000000</v>
      </c>
      <c r="H103" s="265">
        <v>0.1</v>
      </c>
      <c r="I103" s="258">
        <v>2072100000</v>
      </c>
      <c r="J103" s="258">
        <v>22793100000</v>
      </c>
      <c r="K103" s="256" t="s">
        <v>1346</v>
      </c>
    </row>
    <row r="104" spans="1:11" x14ac:dyDescent="0.3">
      <c r="A104" s="256">
        <v>43</v>
      </c>
      <c r="B104" s="257" t="s">
        <v>1414</v>
      </c>
      <c r="C104" s="276">
        <v>44561</v>
      </c>
      <c r="D104" s="257" t="s">
        <v>1264</v>
      </c>
      <c r="E104" s="256" t="s">
        <v>1779</v>
      </c>
      <c r="F104" s="256" t="s">
        <v>1865</v>
      </c>
      <c r="G104" s="258">
        <v>25722000000</v>
      </c>
      <c r="H104" s="265">
        <v>0.1</v>
      </c>
      <c r="I104" s="258">
        <v>2572200000</v>
      </c>
      <c r="J104" s="258">
        <v>28294200000</v>
      </c>
      <c r="K104" s="256" t="s">
        <v>1346</v>
      </c>
    </row>
    <row r="105" spans="1:11" x14ac:dyDescent="0.3">
      <c r="A105" s="256">
        <v>44</v>
      </c>
      <c r="B105" s="257" t="s">
        <v>1415</v>
      </c>
      <c r="C105" s="276">
        <v>44561</v>
      </c>
      <c r="D105" s="257" t="s">
        <v>1272</v>
      </c>
      <c r="E105" s="256" t="s">
        <v>1805</v>
      </c>
      <c r="F105" s="256" t="s">
        <v>1867</v>
      </c>
      <c r="G105" s="258">
        <v>18435000000</v>
      </c>
      <c r="H105" s="265">
        <v>0.1</v>
      </c>
      <c r="I105" s="258">
        <v>1843500000</v>
      </c>
      <c r="J105" s="258">
        <v>20278500000</v>
      </c>
      <c r="K105" s="256" t="s">
        <v>1346</v>
      </c>
    </row>
    <row r="106" spans="1:11" x14ac:dyDescent="0.3">
      <c r="A106" s="256">
        <v>45</v>
      </c>
      <c r="B106" s="257" t="s">
        <v>1206</v>
      </c>
      <c r="C106" s="276">
        <v>44561</v>
      </c>
      <c r="D106" s="257" t="s">
        <v>1287</v>
      </c>
      <c r="E106" s="256" t="s">
        <v>1801</v>
      </c>
      <c r="F106" s="256" t="s">
        <v>1867</v>
      </c>
      <c r="G106" s="258">
        <v>23713000000</v>
      </c>
      <c r="H106" s="265">
        <v>0.1</v>
      </c>
      <c r="I106" s="258">
        <v>2371300000</v>
      </c>
      <c r="J106" s="258">
        <v>26084300000</v>
      </c>
      <c r="K106" s="256" t="s">
        <v>1346</v>
      </c>
    </row>
    <row r="107" spans="1:11" x14ac:dyDescent="0.3">
      <c r="A107" s="256">
        <v>46</v>
      </c>
      <c r="B107" s="257" t="s">
        <v>1207</v>
      </c>
      <c r="C107" s="276">
        <v>44561</v>
      </c>
      <c r="D107" s="257" t="s">
        <v>1255</v>
      </c>
      <c r="E107" s="273">
        <v>46152</v>
      </c>
      <c r="F107" s="256" t="s">
        <v>1864</v>
      </c>
      <c r="G107" s="258">
        <v>16727000000</v>
      </c>
      <c r="H107" s="265">
        <v>0.1</v>
      </c>
      <c r="I107" s="258">
        <v>1672700000</v>
      </c>
      <c r="J107" s="258">
        <v>18399700000</v>
      </c>
      <c r="K107" s="256" t="s">
        <v>1348</v>
      </c>
    </row>
    <row r="108" spans="1:11" x14ac:dyDescent="0.3">
      <c r="A108" s="256">
        <v>47</v>
      </c>
      <c r="B108" s="257" t="s">
        <v>1208</v>
      </c>
      <c r="C108" s="276">
        <v>44561</v>
      </c>
      <c r="D108" s="257" t="s">
        <v>1303</v>
      </c>
      <c r="E108" s="256" t="s">
        <v>1817</v>
      </c>
      <c r="F108" s="256" t="s">
        <v>1865</v>
      </c>
      <c r="G108" s="258">
        <v>17249000000</v>
      </c>
      <c r="H108" s="265">
        <v>0.1</v>
      </c>
      <c r="I108" s="258">
        <v>1724900000</v>
      </c>
      <c r="J108" s="258">
        <v>18973900000</v>
      </c>
      <c r="K108" s="256" t="s">
        <v>1346</v>
      </c>
    </row>
    <row r="109" spans="1:11" x14ac:dyDescent="0.3">
      <c r="A109" s="256">
        <v>48</v>
      </c>
      <c r="B109" s="257" t="s">
        <v>1209</v>
      </c>
      <c r="C109" s="276">
        <v>44561</v>
      </c>
      <c r="D109" s="257" t="s">
        <v>1258</v>
      </c>
      <c r="E109" s="256" t="s">
        <v>1833</v>
      </c>
      <c r="F109" s="256" t="s">
        <v>1865</v>
      </c>
      <c r="G109" s="258">
        <v>10544000000</v>
      </c>
      <c r="H109" s="265">
        <v>0.1</v>
      </c>
      <c r="I109" s="258">
        <v>1054400000</v>
      </c>
      <c r="J109" s="258">
        <v>11598400000</v>
      </c>
      <c r="K109" s="256" t="s">
        <v>1346</v>
      </c>
    </row>
    <row r="110" spans="1:11" x14ac:dyDescent="0.3">
      <c r="A110" s="256">
        <v>49</v>
      </c>
      <c r="B110" s="257" t="s">
        <v>1418</v>
      </c>
      <c r="C110" s="276">
        <v>44561</v>
      </c>
      <c r="D110" s="257" t="s">
        <v>1281</v>
      </c>
      <c r="E110" s="256" t="s">
        <v>1806</v>
      </c>
      <c r="F110" s="256" t="s">
        <v>1866</v>
      </c>
      <c r="G110" s="258">
        <v>20953000000</v>
      </c>
      <c r="H110" s="265">
        <v>0.1</v>
      </c>
      <c r="I110" s="258">
        <v>2095300000</v>
      </c>
      <c r="J110" s="258">
        <v>23048300000</v>
      </c>
      <c r="K110" s="256" t="s">
        <v>1346</v>
      </c>
    </row>
    <row r="111" spans="1:11" x14ac:dyDescent="0.3">
      <c r="A111" s="256">
        <v>50</v>
      </c>
      <c r="B111" s="257" t="s">
        <v>1419</v>
      </c>
      <c r="C111" s="276">
        <v>44561</v>
      </c>
      <c r="D111" s="257" t="s">
        <v>1304</v>
      </c>
      <c r="E111" s="256" t="s">
        <v>1831</v>
      </c>
      <c r="F111" s="256" t="s">
        <v>1866</v>
      </c>
      <c r="G111" s="258">
        <v>17675000000</v>
      </c>
      <c r="H111" s="265">
        <v>0.1</v>
      </c>
      <c r="I111" s="258">
        <v>1767500000</v>
      </c>
      <c r="J111" s="258">
        <v>19442500000</v>
      </c>
      <c r="K111" s="256" t="s">
        <v>1348</v>
      </c>
    </row>
    <row r="112" spans="1:11" x14ac:dyDescent="0.3">
      <c r="A112" s="266" t="s">
        <v>1351</v>
      </c>
      <c r="B112" s="266"/>
      <c r="C112" s="266"/>
      <c r="D112" s="266"/>
      <c r="E112" s="266"/>
      <c r="F112" s="266"/>
      <c r="G112" s="267">
        <f>SUM(G62:G111)</f>
        <v>941820000000</v>
      </c>
      <c r="H112" s="266"/>
      <c r="I112" s="267">
        <f>SUM(I62:I111)</f>
        <v>84317100000</v>
      </c>
      <c r="J112" s="267">
        <f>SUM(J62:J111)</f>
        <v>1026137100000</v>
      </c>
      <c r="K112" s="266"/>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903</v>
      </c>
      <c r="C1" s="256"/>
      <c r="D1" s="256"/>
      <c r="E1" s="256"/>
      <c r="F1" s="256"/>
      <c r="G1" s="256"/>
      <c r="H1" s="256"/>
      <c r="I1" s="256"/>
      <c r="J1" s="256"/>
      <c r="K1" s="256"/>
    </row>
    <row r="2" spans="1:11" x14ac:dyDescent="0.3">
      <c r="A2" s="256" t="s">
        <v>1339</v>
      </c>
      <c r="B2" s="257">
        <v>107658306</v>
      </c>
      <c r="C2" s="256"/>
      <c r="D2" s="256"/>
      <c r="E2" s="256"/>
      <c r="F2" s="256"/>
      <c r="G2" s="256"/>
      <c r="H2" s="256"/>
      <c r="I2" s="256"/>
      <c r="J2" s="256"/>
      <c r="K2" s="256"/>
    </row>
    <row r="3" spans="1:11" x14ac:dyDescent="0.3">
      <c r="A3" s="256" t="s">
        <v>1343</v>
      </c>
      <c r="B3" s="258">
        <v>685273315817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1208</v>
      </c>
      <c r="C8" s="276">
        <v>44317</v>
      </c>
      <c r="D8" s="257" t="s">
        <v>1299</v>
      </c>
      <c r="E8" s="256" t="s">
        <v>1776</v>
      </c>
      <c r="F8" s="256" t="s">
        <v>1731</v>
      </c>
      <c r="G8" s="258">
        <v>14259000000</v>
      </c>
      <c r="H8" s="265">
        <v>0.1</v>
      </c>
      <c r="I8" s="258">
        <v>1425900000</v>
      </c>
      <c r="J8" s="258">
        <v>15684900000</v>
      </c>
      <c r="K8" s="256" t="s">
        <v>1346</v>
      </c>
    </row>
    <row r="9" spans="1:11" x14ac:dyDescent="0.3">
      <c r="A9" s="256">
        <v>2</v>
      </c>
      <c r="B9" s="257" t="s">
        <v>1460</v>
      </c>
      <c r="C9" s="276">
        <v>44318</v>
      </c>
      <c r="D9" s="257" t="s">
        <v>1280</v>
      </c>
      <c r="E9" s="256" t="s">
        <v>1777</v>
      </c>
      <c r="F9" s="256" t="s">
        <v>1922</v>
      </c>
      <c r="G9" s="258">
        <v>6890000000</v>
      </c>
      <c r="H9" s="265">
        <v>0</v>
      </c>
      <c r="I9" s="258">
        <v>0</v>
      </c>
      <c r="J9" s="258">
        <v>6890000000</v>
      </c>
      <c r="K9" s="256" t="s">
        <v>1346</v>
      </c>
    </row>
    <row r="10" spans="1:11" x14ac:dyDescent="0.3">
      <c r="A10" s="256">
        <v>3</v>
      </c>
      <c r="B10" s="257" t="s">
        <v>1209</v>
      </c>
      <c r="C10" s="276">
        <v>44472</v>
      </c>
      <c r="D10" s="257" t="s">
        <v>1264</v>
      </c>
      <c r="E10" s="256" t="s">
        <v>1779</v>
      </c>
      <c r="F10" s="256" t="s">
        <v>1851</v>
      </c>
      <c r="G10" s="258">
        <v>4391000000</v>
      </c>
      <c r="H10" s="265">
        <v>0.1</v>
      </c>
      <c r="I10" s="258">
        <v>439100000</v>
      </c>
      <c r="J10" s="258">
        <v>4830100000</v>
      </c>
      <c r="K10" s="256" t="s">
        <v>1346</v>
      </c>
    </row>
    <row r="11" spans="1:11" x14ac:dyDescent="0.3">
      <c r="A11" s="256">
        <v>4</v>
      </c>
      <c r="B11" s="257" t="s">
        <v>1414</v>
      </c>
      <c r="C11" s="276">
        <v>44473</v>
      </c>
      <c r="D11" s="257" t="s">
        <v>1301</v>
      </c>
      <c r="E11" s="256" t="s">
        <v>1781</v>
      </c>
      <c r="F11" s="256" t="s">
        <v>1741</v>
      </c>
      <c r="G11" s="258">
        <v>14618000000</v>
      </c>
      <c r="H11" s="265">
        <v>0</v>
      </c>
      <c r="I11" s="258">
        <v>0</v>
      </c>
      <c r="J11" s="258">
        <v>14618000000</v>
      </c>
      <c r="K11" s="256" t="s">
        <v>1346</v>
      </c>
    </row>
    <row r="12" spans="1:11" x14ac:dyDescent="0.3">
      <c r="A12" s="256">
        <v>5</v>
      </c>
      <c r="B12" s="257" t="s">
        <v>1476</v>
      </c>
      <c r="C12" s="276">
        <v>44474</v>
      </c>
      <c r="D12" s="257" t="s">
        <v>1270</v>
      </c>
      <c r="E12" s="256" t="s">
        <v>1782</v>
      </c>
      <c r="F12" s="256" t="s">
        <v>1851</v>
      </c>
      <c r="G12" s="258">
        <v>9540000000</v>
      </c>
      <c r="H12" s="265">
        <v>0.1</v>
      </c>
      <c r="I12" s="258">
        <v>954000000</v>
      </c>
      <c r="J12" s="258">
        <v>10494000000</v>
      </c>
      <c r="K12" s="256" t="s">
        <v>1346</v>
      </c>
    </row>
    <row r="13" spans="1:11" x14ac:dyDescent="0.3">
      <c r="A13" s="256">
        <v>6</v>
      </c>
      <c r="B13" s="257" t="s">
        <v>1461</v>
      </c>
      <c r="C13" s="276">
        <v>44475</v>
      </c>
      <c r="D13" s="257" t="s">
        <v>1280</v>
      </c>
      <c r="E13" s="256" t="s">
        <v>1777</v>
      </c>
      <c r="F13" s="256" t="s">
        <v>1731</v>
      </c>
      <c r="G13" s="258">
        <v>4020000000</v>
      </c>
      <c r="H13" s="265">
        <v>0.1</v>
      </c>
      <c r="I13" s="258">
        <v>402000000</v>
      </c>
      <c r="J13" s="258">
        <v>4422000000</v>
      </c>
      <c r="K13" s="256" t="s">
        <v>1348</v>
      </c>
    </row>
    <row r="14" spans="1:11" x14ac:dyDescent="0.3">
      <c r="A14" s="256">
        <v>7</v>
      </c>
      <c r="B14" s="257" t="s">
        <v>1477</v>
      </c>
      <c r="C14" s="276">
        <v>44476</v>
      </c>
      <c r="D14" s="257" t="s">
        <v>1277</v>
      </c>
      <c r="E14" s="256" t="s">
        <v>1783</v>
      </c>
      <c r="F14" s="256" t="s">
        <v>1851</v>
      </c>
      <c r="G14" s="258">
        <v>8621000000</v>
      </c>
      <c r="H14" s="265">
        <v>0.1</v>
      </c>
      <c r="I14" s="258">
        <v>862100000</v>
      </c>
      <c r="J14" s="258">
        <v>9483100000</v>
      </c>
      <c r="K14" s="256" t="s">
        <v>1346</v>
      </c>
    </row>
    <row r="15" spans="1:11" x14ac:dyDescent="0.3">
      <c r="A15" s="256">
        <v>8</v>
      </c>
      <c r="B15" s="257" t="s">
        <v>1415</v>
      </c>
      <c r="C15" s="276">
        <v>44477</v>
      </c>
      <c r="D15" s="257" t="s">
        <v>1302</v>
      </c>
      <c r="E15" s="256" t="s">
        <v>1784</v>
      </c>
      <c r="F15" s="256" t="s">
        <v>1922</v>
      </c>
      <c r="G15" s="258">
        <v>5769000000</v>
      </c>
      <c r="H15" s="265">
        <v>0.1</v>
      </c>
      <c r="I15" s="258">
        <v>576900000</v>
      </c>
      <c r="J15" s="258">
        <v>6345900000</v>
      </c>
      <c r="K15" s="256" t="s">
        <v>1346</v>
      </c>
    </row>
    <row r="16" spans="1:11" x14ac:dyDescent="0.3">
      <c r="A16" s="256">
        <v>9</v>
      </c>
      <c r="B16" s="257" t="s">
        <v>1465</v>
      </c>
      <c r="C16" s="276">
        <v>44478</v>
      </c>
      <c r="D16" s="257" t="s">
        <v>1278</v>
      </c>
      <c r="E16" s="256" t="s">
        <v>1785</v>
      </c>
      <c r="F16" s="256" t="s">
        <v>1741</v>
      </c>
      <c r="G16" s="258">
        <v>12996000000</v>
      </c>
      <c r="H16" s="265">
        <v>0.1</v>
      </c>
      <c r="I16" s="258">
        <v>1299600000</v>
      </c>
      <c r="J16" s="258">
        <v>14295600000</v>
      </c>
      <c r="K16" s="256" t="s">
        <v>1346</v>
      </c>
    </row>
    <row r="17" spans="1:11" x14ac:dyDescent="0.3">
      <c r="A17" s="256">
        <v>10</v>
      </c>
      <c r="B17" s="257" t="s">
        <v>1492</v>
      </c>
      <c r="C17" s="276">
        <v>44479</v>
      </c>
      <c r="D17" s="257" t="s">
        <v>1284</v>
      </c>
      <c r="E17" s="256" t="s">
        <v>1786</v>
      </c>
      <c r="F17" s="256" t="s">
        <v>1851</v>
      </c>
      <c r="G17" s="258">
        <v>15246000000</v>
      </c>
      <c r="H17" s="265">
        <v>0.1</v>
      </c>
      <c r="I17" s="258">
        <v>1524600000</v>
      </c>
      <c r="J17" s="258">
        <v>16770600000</v>
      </c>
      <c r="K17" s="256" t="s">
        <v>1346</v>
      </c>
    </row>
    <row r="18" spans="1:11" x14ac:dyDescent="0.3">
      <c r="A18" s="256">
        <v>11</v>
      </c>
      <c r="B18" s="257" t="s">
        <v>1206</v>
      </c>
      <c r="C18" s="276">
        <v>44480</v>
      </c>
      <c r="D18" s="257" t="s">
        <v>1302</v>
      </c>
      <c r="E18" s="256" t="s">
        <v>1784</v>
      </c>
      <c r="F18" s="256" t="s">
        <v>1923</v>
      </c>
      <c r="G18" s="258">
        <v>11945000000</v>
      </c>
      <c r="H18" s="265">
        <v>0.1</v>
      </c>
      <c r="I18" s="258">
        <v>1194500000</v>
      </c>
      <c r="J18" s="258">
        <v>13139500000</v>
      </c>
      <c r="K18" s="256" t="s">
        <v>1346</v>
      </c>
    </row>
    <row r="19" spans="1:11" x14ac:dyDescent="0.3">
      <c r="A19" s="256">
        <v>12</v>
      </c>
      <c r="B19" s="257" t="s">
        <v>1485</v>
      </c>
      <c r="C19" s="276">
        <v>44481</v>
      </c>
      <c r="D19" s="257" t="s">
        <v>1259</v>
      </c>
      <c r="E19" s="256" t="s">
        <v>1788</v>
      </c>
      <c r="F19" s="256" t="s">
        <v>1922</v>
      </c>
      <c r="G19" s="258">
        <v>8840000000</v>
      </c>
      <c r="H19" s="265">
        <v>0.1</v>
      </c>
      <c r="I19" s="258">
        <v>884000000</v>
      </c>
      <c r="J19" s="258">
        <v>9724000000</v>
      </c>
      <c r="K19" s="256" t="s">
        <v>1346</v>
      </c>
    </row>
    <row r="20" spans="1:11" x14ac:dyDescent="0.3">
      <c r="A20" s="256">
        <v>13</v>
      </c>
      <c r="B20" s="257" t="s">
        <v>1460</v>
      </c>
      <c r="C20" s="276">
        <v>44211</v>
      </c>
      <c r="D20" s="257" t="s">
        <v>1282</v>
      </c>
      <c r="E20" s="256" t="s">
        <v>1789</v>
      </c>
      <c r="F20" s="256" t="s">
        <v>1923</v>
      </c>
      <c r="G20" s="258">
        <v>15852000000</v>
      </c>
      <c r="H20" s="265">
        <v>0.1</v>
      </c>
      <c r="I20" s="258">
        <v>1585200000</v>
      </c>
      <c r="J20" s="258">
        <v>17437200000</v>
      </c>
      <c r="K20" s="256" t="s">
        <v>1346</v>
      </c>
    </row>
    <row r="21" spans="1:11" x14ac:dyDescent="0.3">
      <c r="A21" s="256">
        <v>14</v>
      </c>
      <c r="B21" s="257" t="s">
        <v>1474</v>
      </c>
      <c r="C21" s="276">
        <v>44242</v>
      </c>
      <c r="D21" s="257" t="s">
        <v>1263</v>
      </c>
      <c r="E21" s="256" t="s">
        <v>1790</v>
      </c>
      <c r="F21" s="256" t="s">
        <v>1851</v>
      </c>
      <c r="G21" s="258">
        <v>5725000000</v>
      </c>
      <c r="H21" s="265">
        <v>0.1</v>
      </c>
      <c r="I21" s="258">
        <v>572500000</v>
      </c>
      <c r="J21" s="258">
        <v>6297500000</v>
      </c>
      <c r="K21" s="256" t="s">
        <v>1346</v>
      </c>
    </row>
    <row r="22" spans="1:11" x14ac:dyDescent="0.3">
      <c r="A22" s="256">
        <v>15</v>
      </c>
      <c r="B22" s="257" t="s">
        <v>1209</v>
      </c>
      <c r="C22" s="276">
        <v>44275</v>
      </c>
      <c r="D22" s="257" t="s">
        <v>1299</v>
      </c>
      <c r="E22" s="256" t="s">
        <v>1776</v>
      </c>
      <c r="F22" s="256" t="s">
        <v>1910</v>
      </c>
      <c r="G22" s="258">
        <v>15715000000</v>
      </c>
      <c r="H22" s="265">
        <v>0.1</v>
      </c>
      <c r="I22" s="258">
        <v>1571500000</v>
      </c>
      <c r="J22" s="258">
        <v>17286500000</v>
      </c>
      <c r="K22" s="256" t="s">
        <v>1346</v>
      </c>
    </row>
    <row r="23" spans="1:11" x14ac:dyDescent="0.3">
      <c r="A23" s="256">
        <v>16</v>
      </c>
      <c r="B23" s="257" t="s">
        <v>1402</v>
      </c>
      <c r="C23" s="276">
        <v>44306</v>
      </c>
      <c r="D23" s="257" t="s">
        <v>1292</v>
      </c>
      <c r="E23" s="256" t="s">
        <v>1792</v>
      </c>
      <c r="F23" s="256" t="s">
        <v>1731</v>
      </c>
      <c r="G23" s="258">
        <v>13675000000</v>
      </c>
      <c r="H23" s="265">
        <v>0.1</v>
      </c>
      <c r="I23" s="258">
        <v>1367500000</v>
      </c>
      <c r="J23" s="258">
        <v>15042500000</v>
      </c>
      <c r="K23" s="256" t="s">
        <v>1346</v>
      </c>
    </row>
    <row r="24" spans="1:11" x14ac:dyDescent="0.3">
      <c r="A24" s="256">
        <v>17</v>
      </c>
      <c r="B24" s="257" t="s">
        <v>1477</v>
      </c>
      <c r="C24" s="276">
        <v>44336</v>
      </c>
      <c r="D24" s="257" t="s">
        <v>1270</v>
      </c>
      <c r="E24" s="256" t="s">
        <v>1782</v>
      </c>
      <c r="F24" s="256" t="s">
        <v>1923</v>
      </c>
      <c r="G24" s="258">
        <v>7287000000</v>
      </c>
      <c r="H24" s="265">
        <v>0.1</v>
      </c>
      <c r="I24" s="258">
        <v>728700000</v>
      </c>
      <c r="J24" s="258">
        <v>8015700000</v>
      </c>
      <c r="K24" s="256" t="s">
        <v>1346</v>
      </c>
    </row>
    <row r="25" spans="1:11" x14ac:dyDescent="0.3">
      <c r="A25" s="256">
        <v>18</v>
      </c>
      <c r="B25" s="257" t="s">
        <v>1403</v>
      </c>
      <c r="C25" s="276">
        <v>44367</v>
      </c>
      <c r="D25" s="257" t="s">
        <v>1292</v>
      </c>
      <c r="E25" s="256" t="s">
        <v>1792</v>
      </c>
      <c r="F25" s="256" t="s">
        <v>1731</v>
      </c>
      <c r="G25" s="258">
        <v>10161000000</v>
      </c>
      <c r="H25" s="265">
        <v>0.1</v>
      </c>
      <c r="I25" s="258">
        <v>1016100000</v>
      </c>
      <c r="J25" s="258">
        <v>11177100000</v>
      </c>
      <c r="K25" s="256" t="s">
        <v>1346</v>
      </c>
    </row>
    <row r="26" spans="1:11" x14ac:dyDescent="0.3">
      <c r="A26" s="256">
        <v>19</v>
      </c>
      <c r="B26" s="257" t="s">
        <v>1462</v>
      </c>
      <c r="C26" s="276">
        <v>44397</v>
      </c>
      <c r="D26" s="257" t="s">
        <v>1285</v>
      </c>
      <c r="E26" s="256" t="s">
        <v>1793</v>
      </c>
      <c r="F26" s="256" t="s">
        <v>1923</v>
      </c>
      <c r="G26" s="258">
        <v>5017000000</v>
      </c>
      <c r="H26" s="265">
        <v>0.1</v>
      </c>
      <c r="I26" s="258">
        <v>501700000</v>
      </c>
      <c r="J26" s="258">
        <v>5518700000</v>
      </c>
      <c r="K26" s="256" t="s">
        <v>1346</v>
      </c>
    </row>
    <row r="27" spans="1:11" x14ac:dyDescent="0.3">
      <c r="A27" s="256">
        <v>20</v>
      </c>
      <c r="B27" s="257" t="s">
        <v>1461</v>
      </c>
      <c r="C27" s="276">
        <v>44428</v>
      </c>
      <c r="D27" s="257" t="s">
        <v>1282</v>
      </c>
      <c r="E27" s="256" t="s">
        <v>1789</v>
      </c>
      <c r="F27" s="256" t="s">
        <v>1741</v>
      </c>
      <c r="G27" s="258">
        <v>8515000000</v>
      </c>
      <c r="H27" s="265">
        <v>0.1</v>
      </c>
      <c r="I27" s="258">
        <v>851500000</v>
      </c>
      <c r="J27" s="258">
        <v>9366500000</v>
      </c>
      <c r="K27" s="256" t="s">
        <v>1348</v>
      </c>
    </row>
    <row r="28" spans="1:11" x14ac:dyDescent="0.3">
      <c r="A28" s="256">
        <v>21</v>
      </c>
      <c r="B28" s="257" t="s">
        <v>1480</v>
      </c>
      <c r="C28" s="276">
        <v>44459</v>
      </c>
      <c r="D28" s="257" t="s">
        <v>1274</v>
      </c>
      <c r="E28" s="256" t="s">
        <v>1794</v>
      </c>
      <c r="F28" s="256" t="s">
        <v>1731</v>
      </c>
      <c r="G28" s="258">
        <v>9311000000</v>
      </c>
      <c r="H28" s="265">
        <v>0</v>
      </c>
      <c r="I28" s="258">
        <v>0</v>
      </c>
      <c r="J28" s="258">
        <v>9311000000</v>
      </c>
      <c r="K28" s="256" t="s">
        <v>1348</v>
      </c>
    </row>
    <row r="29" spans="1:11" x14ac:dyDescent="0.3">
      <c r="A29" s="256">
        <v>22</v>
      </c>
      <c r="B29" s="257" t="s">
        <v>1396</v>
      </c>
      <c r="C29" s="276">
        <v>44489</v>
      </c>
      <c r="D29" s="257" t="s">
        <v>1294</v>
      </c>
      <c r="E29" s="256" t="s">
        <v>1795</v>
      </c>
      <c r="F29" s="256" t="s">
        <v>1851</v>
      </c>
      <c r="G29" s="258">
        <v>4091000000</v>
      </c>
      <c r="H29" s="265">
        <v>0</v>
      </c>
      <c r="I29" s="258">
        <v>0</v>
      </c>
      <c r="J29" s="258">
        <v>4091000000</v>
      </c>
      <c r="K29" s="256" t="s">
        <v>1346</v>
      </c>
    </row>
    <row r="30" spans="1:11" x14ac:dyDescent="0.3">
      <c r="A30" s="256">
        <v>23</v>
      </c>
      <c r="B30" s="257" t="s">
        <v>1207</v>
      </c>
      <c r="C30" s="276">
        <v>44520</v>
      </c>
      <c r="D30" s="257" t="s">
        <v>1290</v>
      </c>
      <c r="E30" s="256" t="s">
        <v>1796</v>
      </c>
      <c r="F30" s="256" t="s">
        <v>1910</v>
      </c>
      <c r="G30" s="258">
        <v>11880000000</v>
      </c>
      <c r="H30" s="265">
        <v>0.1</v>
      </c>
      <c r="I30" s="258">
        <v>1188000000</v>
      </c>
      <c r="J30" s="258">
        <v>13068000000</v>
      </c>
      <c r="K30" s="256" t="s">
        <v>1348</v>
      </c>
    </row>
    <row r="31" spans="1:11" x14ac:dyDescent="0.3">
      <c r="A31" s="256">
        <v>24</v>
      </c>
      <c r="B31" s="257" t="s">
        <v>1466</v>
      </c>
      <c r="C31" s="276">
        <v>44550</v>
      </c>
      <c r="D31" s="257" t="s">
        <v>1288</v>
      </c>
      <c r="E31" s="256" t="s">
        <v>1797</v>
      </c>
      <c r="F31" s="256" t="s">
        <v>1922</v>
      </c>
      <c r="G31" s="258">
        <v>5262000000</v>
      </c>
      <c r="H31" s="265">
        <v>0.1</v>
      </c>
      <c r="I31" s="258">
        <v>526200000</v>
      </c>
      <c r="J31" s="258">
        <v>5788200000</v>
      </c>
      <c r="K31" s="256" t="s">
        <v>1348</v>
      </c>
    </row>
    <row r="32" spans="1:11" x14ac:dyDescent="0.3">
      <c r="A32" s="256">
        <v>25</v>
      </c>
      <c r="B32" s="257" t="s">
        <v>1464</v>
      </c>
      <c r="C32" s="276">
        <v>44221</v>
      </c>
      <c r="D32" s="257" t="s">
        <v>1283</v>
      </c>
      <c r="E32" s="256" t="s">
        <v>1798</v>
      </c>
      <c r="F32" s="256" t="s">
        <v>1910</v>
      </c>
      <c r="G32" s="258">
        <v>5496000000</v>
      </c>
      <c r="H32" s="265">
        <v>0.1</v>
      </c>
      <c r="I32" s="258">
        <v>549600000</v>
      </c>
      <c r="J32" s="258">
        <v>6045600000</v>
      </c>
      <c r="K32" s="256" t="s">
        <v>1346</v>
      </c>
    </row>
    <row r="33" spans="1:11" x14ac:dyDescent="0.3">
      <c r="A33" s="256">
        <v>26</v>
      </c>
      <c r="B33" s="257" t="s">
        <v>1462</v>
      </c>
      <c r="C33" s="276">
        <v>44255</v>
      </c>
      <c r="D33" s="257" t="s">
        <v>1282</v>
      </c>
      <c r="E33" s="256" t="s">
        <v>1789</v>
      </c>
      <c r="F33" s="256" t="s">
        <v>1731</v>
      </c>
      <c r="G33" s="258">
        <v>8946000000</v>
      </c>
      <c r="H33" s="265">
        <v>0.1</v>
      </c>
      <c r="I33" s="258">
        <v>894600000</v>
      </c>
      <c r="J33" s="258">
        <v>9840600000</v>
      </c>
      <c r="K33" s="256" t="s">
        <v>1346</v>
      </c>
    </row>
    <row r="34" spans="1:11" x14ac:dyDescent="0.3">
      <c r="A34" s="256">
        <v>27</v>
      </c>
      <c r="B34" s="257" t="s">
        <v>1479</v>
      </c>
      <c r="C34" s="276">
        <v>44316</v>
      </c>
      <c r="D34" s="257" t="s">
        <v>1271</v>
      </c>
      <c r="E34" s="256" t="s">
        <v>1799</v>
      </c>
      <c r="F34" s="256" t="s">
        <v>1741</v>
      </c>
      <c r="G34" s="258">
        <v>5851000000</v>
      </c>
      <c r="H34" s="265">
        <v>0.1</v>
      </c>
      <c r="I34" s="258">
        <v>585100000</v>
      </c>
      <c r="J34" s="258">
        <v>6436100000</v>
      </c>
      <c r="K34" s="256" t="s">
        <v>1346</v>
      </c>
    </row>
    <row r="35" spans="1:11" x14ac:dyDescent="0.3">
      <c r="A35" s="256">
        <v>28</v>
      </c>
      <c r="B35" s="257" t="s">
        <v>1462</v>
      </c>
      <c r="C35" s="276">
        <v>44377</v>
      </c>
      <c r="D35" s="257" t="s">
        <v>1280</v>
      </c>
      <c r="E35" s="256" t="s">
        <v>1777</v>
      </c>
      <c r="F35" s="256" t="s">
        <v>1910</v>
      </c>
      <c r="G35" s="258">
        <v>12583000000</v>
      </c>
      <c r="H35" s="265">
        <v>0.1</v>
      </c>
      <c r="I35" s="258">
        <v>1258300000</v>
      </c>
      <c r="J35" s="258">
        <v>13841300000</v>
      </c>
      <c r="K35" s="256" t="s">
        <v>1346</v>
      </c>
    </row>
    <row r="36" spans="1:11" x14ac:dyDescent="0.3">
      <c r="A36" s="256">
        <v>29</v>
      </c>
      <c r="B36" s="257" t="s">
        <v>1480</v>
      </c>
      <c r="C36" s="276">
        <v>44469</v>
      </c>
      <c r="D36" s="257" t="s">
        <v>1271</v>
      </c>
      <c r="E36" s="256" t="s">
        <v>1799</v>
      </c>
      <c r="F36" s="256" t="s">
        <v>1851</v>
      </c>
      <c r="G36" s="258">
        <v>11161000000</v>
      </c>
      <c r="H36" s="265">
        <v>0.1</v>
      </c>
      <c r="I36" s="258">
        <v>1116100000</v>
      </c>
      <c r="J36" s="258">
        <v>12277100000</v>
      </c>
      <c r="K36" s="256" t="s">
        <v>1346</v>
      </c>
    </row>
    <row r="37" spans="1:11" x14ac:dyDescent="0.3">
      <c r="A37" s="256">
        <v>30</v>
      </c>
      <c r="B37" s="257" t="s">
        <v>1403</v>
      </c>
      <c r="C37" s="276">
        <v>44530</v>
      </c>
      <c r="D37" s="257" t="s">
        <v>1291</v>
      </c>
      <c r="E37" s="256" t="s">
        <v>1800</v>
      </c>
      <c r="F37" s="256" t="s">
        <v>1851</v>
      </c>
      <c r="G37" s="258">
        <v>15212000000</v>
      </c>
      <c r="H37" s="265">
        <v>0.1</v>
      </c>
      <c r="I37" s="258">
        <v>1521200000</v>
      </c>
      <c r="J37" s="258">
        <v>16733200000</v>
      </c>
      <c r="K37" s="256" t="s">
        <v>1346</v>
      </c>
    </row>
    <row r="38" spans="1:11" x14ac:dyDescent="0.3">
      <c r="A38" s="256">
        <v>31</v>
      </c>
      <c r="B38" s="257" t="s">
        <v>1408</v>
      </c>
      <c r="C38" s="276">
        <v>44286</v>
      </c>
      <c r="D38" s="257" t="s">
        <v>1287</v>
      </c>
      <c r="E38" s="256" t="s">
        <v>1801</v>
      </c>
      <c r="F38" s="256" t="s">
        <v>1910</v>
      </c>
      <c r="G38" s="258">
        <v>15794000000</v>
      </c>
      <c r="H38" s="265">
        <v>0.1</v>
      </c>
      <c r="I38" s="258">
        <v>1579400000</v>
      </c>
      <c r="J38" s="258">
        <v>17373400000</v>
      </c>
      <c r="K38" s="256" t="s">
        <v>1346</v>
      </c>
    </row>
    <row r="39" spans="1:11" x14ac:dyDescent="0.3">
      <c r="A39" s="256">
        <v>32</v>
      </c>
      <c r="B39" s="257" t="s">
        <v>1473</v>
      </c>
      <c r="C39" s="276">
        <v>44347</v>
      </c>
      <c r="D39" s="257" t="s">
        <v>1256</v>
      </c>
      <c r="E39" s="256" t="s">
        <v>1802</v>
      </c>
      <c r="F39" s="256" t="s">
        <v>1922</v>
      </c>
      <c r="G39" s="258">
        <v>14988000000</v>
      </c>
      <c r="H39" s="265">
        <v>0.1</v>
      </c>
      <c r="I39" s="258">
        <v>1498800000</v>
      </c>
      <c r="J39" s="258">
        <v>16486800000</v>
      </c>
      <c r="K39" s="256" t="s">
        <v>1346</v>
      </c>
    </row>
    <row r="40" spans="1:11" x14ac:dyDescent="0.3">
      <c r="A40" s="256">
        <v>33</v>
      </c>
      <c r="B40" s="257" t="s">
        <v>1481</v>
      </c>
      <c r="C40" s="276">
        <v>44408</v>
      </c>
      <c r="D40" s="257" t="s">
        <v>1274</v>
      </c>
      <c r="E40" s="256" t="s">
        <v>1794</v>
      </c>
      <c r="F40" s="256" t="s">
        <v>1851</v>
      </c>
      <c r="G40" s="258">
        <v>14696000000</v>
      </c>
      <c r="H40" s="265">
        <v>0.1</v>
      </c>
      <c r="I40" s="258">
        <v>1469600000</v>
      </c>
      <c r="J40" s="258">
        <v>16165600000</v>
      </c>
      <c r="K40" s="256" t="s">
        <v>1346</v>
      </c>
    </row>
    <row r="41" spans="1:11" x14ac:dyDescent="0.3">
      <c r="A41" s="256">
        <v>34</v>
      </c>
      <c r="B41" s="257" t="s">
        <v>1482</v>
      </c>
      <c r="C41" s="276">
        <v>44439</v>
      </c>
      <c r="D41" s="257" t="s">
        <v>1274</v>
      </c>
      <c r="E41" s="256" t="s">
        <v>1794</v>
      </c>
      <c r="F41" s="256" t="s">
        <v>1922</v>
      </c>
      <c r="G41" s="258">
        <v>11300000000</v>
      </c>
      <c r="H41" s="265">
        <v>0.1</v>
      </c>
      <c r="I41" s="258">
        <v>1130000000</v>
      </c>
      <c r="J41" s="258">
        <v>12430000000</v>
      </c>
      <c r="K41" s="256" t="s">
        <v>1346</v>
      </c>
    </row>
    <row r="42" spans="1:11" x14ac:dyDescent="0.3">
      <c r="A42" s="256">
        <v>35</v>
      </c>
      <c r="B42" s="257" t="s">
        <v>1418</v>
      </c>
      <c r="C42" s="276">
        <v>44500</v>
      </c>
      <c r="D42" s="257" t="s">
        <v>1299</v>
      </c>
      <c r="E42" s="256" t="s">
        <v>1776</v>
      </c>
      <c r="F42" s="256" t="s">
        <v>1741</v>
      </c>
      <c r="G42" s="258">
        <v>7674000000</v>
      </c>
      <c r="H42" s="265">
        <v>0.1</v>
      </c>
      <c r="I42" s="258">
        <v>767400000</v>
      </c>
      <c r="J42" s="258">
        <v>8441400000</v>
      </c>
      <c r="K42" s="256" t="s">
        <v>1346</v>
      </c>
    </row>
    <row r="43" spans="1:11" x14ac:dyDescent="0.3">
      <c r="A43" s="256">
        <v>36</v>
      </c>
      <c r="B43" s="257" t="s">
        <v>1463</v>
      </c>
      <c r="C43" s="276">
        <v>44561</v>
      </c>
      <c r="D43" s="257" t="s">
        <v>1282</v>
      </c>
      <c r="E43" s="256" t="s">
        <v>1789</v>
      </c>
      <c r="F43" s="256" t="s">
        <v>1851</v>
      </c>
      <c r="G43" s="258">
        <v>4512000000</v>
      </c>
      <c r="H43" s="265">
        <v>0.1</v>
      </c>
      <c r="I43" s="258">
        <v>451200000</v>
      </c>
      <c r="J43" s="258">
        <v>4963200000</v>
      </c>
      <c r="K43" s="256" t="s">
        <v>1346</v>
      </c>
    </row>
    <row r="44" spans="1:11" x14ac:dyDescent="0.3">
      <c r="A44" s="256">
        <v>37</v>
      </c>
      <c r="B44" s="257" t="s">
        <v>1486</v>
      </c>
      <c r="C44" s="276">
        <v>44561</v>
      </c>
      <c r="D44" s="257" t="s">
        <v>1259</v>
      </c>
      <c r="E44" s="256" t="s">
        <v>1788</v>
      </c>
      <c r="F44" s="256" t="s">
        <v>1741</v>
      </c>
      <c r="G44" s="258">
        <v>5545000000</v>
      </c>
      <c r="H44" s="265">
        <v>0.1</v>
      </c>
      <c r="I44" s="258">
        <v>554500000</v>
      </c>
      <c r="J44" s="258">
        <v>6099500000</v>
      </c>
      <c r="K44" s="256" t="s">
        <v>1346</v>
      </c>
    </row>
    <row r="45" spans="1:11" x14ac:dyDescent="0.3">
      <c r="A45" s="256">
        <v>38</v>
      </c>
      <c r="B45" s="257" t="s">
        <v>1464</v>
      </c>
      <c r="C45" s="276">
        <v>44561</v>
      </c>
      <c r="D45" s="257" t="s">
        <v>1282</v>
      </c>
      <c r="E45" s="256" t="s">
        <v>1789</v>
      </c>
      <c r="F45" s="256" t="s">
        <v>1741</v>
      </c>
      <c r="G45" s="258">
        <v>4536000000</v>
      </c>
      <c r="H45" s="265">
        <v>0.1</v>
      </c>
      <c r="I45" s="258">
        <v>453600000</v>
      </c>
      <c r="J45" s="258">
        <v>4989600000</v>
      </c>
      <c r="K45" s="256" t="s">
        <v>1346</v>
      </c>
    </row>
    <row r="46" spans="1:11" x14ac:dyDescent="0.3">
      <c r="A46" s="256">
        <v>39</v>
      </c>
      <c r="B46" s="257" t="s">
        <v>1461</v>
      </c>
      <c r="C46" s="276">
        <v>44561</v>
      </c>
      <c r="D46" s="257" t="s">
        <v>1289</v>
      </c>
      <c r="E46" s="256" t="s">
        <v>1803</v>
      </c>
      <c r="F46" s="256" t="s">
        <v>1910</v>
      </c>
      <c r="G46" s="258">
        <v>9393000000</v>
      </c>
      <c r="H46" s="265">
        <v>0</v>
      </c>
      <c r="I46" s="258">
        <v>0</v>
      </c>
      <c r="J46" s="258">
        <v>9393000000</v>
      </c>
      <c r="K46" s="256" t="s">
        <v>1346</v>
      </c>
    </row>
    <row r="47" spans="1:11" x14ac:dyDescent="0.3">
      <c r="A47" s="256">
        <v>40</v>
      </c>
      <c r="B47" s="257" t="s">
        <v>1472</v>
      </c>
      <c r="C47" s="276">
        <v>44561</v>
      </c>
      <c r="D47" s="257" t="s">
        <v>1260</v>
      </c>
      <c r="E47" s="256" t="s">
        <v>1804</v>
      </c>
      <c r="F47" s="256" t="s">
        <v>1910</v>
      </c>
      <c r="G47" s="258">
        <v>6772000000</v>
      </c>
      <c r="H47" s="265">
        <v>0.1</v>
      </c>
      <c r="I47" s="258">
        <v>677200000</v>
      </c>
      <c r="J47" s="258">
        <v>7449200000</v>
      </c>
      <c r="K47" s="256" t="s">
        <v>1348</v>
      </c>
    </row>
    <row r="48" spans="1:11" x14ac:dyDescent="0.3">
      <c r="A48" s="256">
        <v>41</v>
      </c>
      <c r="B48" s="257" t="s">
        <v>1478</v>
      </c>
      <c r="C48" s="276">
        <v>44561</v>
      </c>
      <c r="D48" s="257" t="s">
        <v>1277</v>
      </c>
      <c r="E48" s="256" t="s">
        <v>1783</v>
      </c>
      <c r="F48" s="256" t="s">
        <v>1910</v>
      </c>
      <c r="G48" s="258">
        <v>11652000000</v>
      </c>
      <c r="H48" s="265">
        <v>0.1</v>
      </c>
      <c r="I48" s="258">
        <v>1165200000</v>
      </c>
      <c r="J48" s="258">
        <v>12817200000</v>
      </c>
      <c r="K48" s="256" t="s">
        <v>1346</v>
      </c>
    </row>
    <row r="49" spans="1:11" x14ac:dyDescent="0.3">
      <c r="A49" s="256">
        <v>42</v>
      </c>
      <c r="B49" s="257" t="s">
        <v>1475</v>
      </c>
      <c r="C49" s="276">
        <v>44561</v>
      </c>
      <c r="D49" s="257" t="s">
        <v>1272</v>
      </c>
      <c r="E49" s="256" t="s">
        <v>1805</v>
      </c>
      <c r="F49" s="256" t="s">
        <v>1731</v>
      </c>
      <c r="G49" s="258">
        <v>7425000000</v>
      </c>
      <c r="H49" s="265">
        <v>0.1</v>
      </c>
      <c r="I49" s="258">
        <v>742500000</v>
      </c>
      <c r="J49" s="258">
        <v>8167500000</v>
      </c>
      <c r="K49" s="256" t="s">
        <v>1346</v>
      </c>
    </row>
    <row r="50" spans="1:11" x14ac:dyDescent="0.3">
      <c r="A50" s="256">
        <v>43</v>
      </c>
      <c r="B50" s="257" t="s">
        <v>1475</v>
      </c>
      <c r="C50" s="276">
        <v>44561</v>
      </c>
      <c r="D50" s="257" t="s">
        <v>1263</v>
      </c>
      <c r="E50" s="256" t="s">
        <v>1790</v>
      </c>
      <c r="F50" s="256" t="s">
        <v>1851</v>
      </c>
      <c r="G50" s="258">
        <v>6030000000</v>
      </c>
      <c r="H50" s="265">
        <v>0.1</v>
      </c>
      <c r="I50" s="258">
        <v>603000000</v>
      </c>
      <c r="J50" s="258">
        <v>6633000000</v>
      </c>
      <c r="K50" s="256" t="s">
        <v>1348</v>
      </c>
    </row>
    <row r="51" spans="1:11" x14ac:dyDescent="0.3">
      <c r="A51" s="256">
        <v>44</v>
      </c>
      <c r="B51" s="257" t="s">
        <v>1481</v>
      </c>
      <c r="C51" s="276">
        <v>44561</v>
      </c>
      <c r="D51" s="257" t="s">
        <v>1281</v>
      </c>
      <c r="E51" s="256" t="s">
        <v>1806</v>
      </c>
      <c r="F51" s="256" t="s">
        <v>1731</v>
      </c>
      <c r="G51" s="258">
        <v>4250000000</v>
      </c>
      <c r="H51" s="265">
        <v>0</v>
      </c>
      <c r="I51" s="258">
        <v>0</v>
      </c>
      <c r="J51" s="258">
        <v>4250000000</v>
      </c>
      <c r="K51" s="256" t="s">
        <v>1346</v>
      </c>
    </row>
    <row r="52" spans="1:11" x14ac:dyDescent="0.3">
      <c r="A52" s="256">
        <v>45</v>
      </c>
      <c r="B52" s="257" t="s">
        <v>1465</v>
      </c>
      <c r="C52" s="276">
        <v>44561</v>
      </c>
      <c r="D52" s="257" t="s">
        <v>1283</v>
      </c>
      <c r="E52" s="256" t="s">
        <v>1798</v>
      </c>
      <c r="F52" s="256" t="s">
        <v>1922</v>
      </c>
      <c r="G52" s="258">
        <v>7196000000</v>
      </c>
      <c r="H52" s="265">
        <v>0.1</v>
      </c>
      <c r="I52" s="258">
        <v>719600000</v>
      </c>
      <c r="J52" s="258">
        <v>7915600000</v>
      </c>
      <c r="K52" s="256" t="s">
        <v>1346</v>
      </c>
    </row>
    <row r="53" spans="1:11" x14ac:dyDescent="0.3">
      <c r="A53" s="256">
        <v>46</v>
      </c>
      <c r="B53" s="257" t="s">
        <v>1463</v>
      </c>
      <c r="C53" s="276">
        <v>44561</v>
      </c>
      <c r="D53" s="257" t="s">
        <v>1280</v>
      </c>
      <c r="E53" s="256" t="s">
        <v>1777</v>
      </c>
      <c r="F53" s="256" t="s">
        <v>1923</v>
      </c>
      <c r="G53" s="258">
        <v>7250000000</v>
      </c>
      <c r="H53" s="265">
        <v>0.1</v>
      </c>
      <c r="I53" s="258">
        <v>725000000</v>
      </c>
      <c r="J53" s="258">
        <v>7975000000</v>
      </c>
      <c r="K53" s="256" t="s">
        <v>1346</v>
      </c>
    </row>
    <row r="54" spans="1:11" x14ac:dyDescent="0.3">
      <c r="A54" s="256">
        <v>47</v>
      </c>
      <c r="B54" s="257" t="s">
        <v>1398</v>
      </c>
      <c r="C54" s="276">
        <v>44561</v>
      </c>
      <c r="D54" s="257" t="s">
        <v>1296</v>
      </c>
      <c r="E54" s="256" t="s">
        <v>1807</v>
      </c>
      <c r="F54" s="256" t="s">
        <v>1923</v>
      </c>
      <c r="G54" s="258">
        <v>8997000000</v>
      </c>
      <c r="H54" s="265">
        <v>0.1</v>
      </c>
      <c r="I54" s="258">
        <v>899700000</v>
      </c>
      <c r="J54" s="258">
        <v>9896700000</v>
      </c>
      <c r="K54" s="256" t="s">
        <v>1346</v>
      </c>
    </row>
    <row r="55" spans="1:11" x14ac:dyDescent="0.3">
      <c r="A55" s="256">
        <v>48</v>
      </c>
      <c r="B55" s="257" t="s">
        <v>1472</v>
      </c>
      <c r="C55" s="276">
        <v>44561</v>
      </c>
      <c r="D55" s="257" t="s">
        <v>1275</v>
      </c>
      <c r="E55" s="256" t="s">
        <v>1808</v>
      </c>
      <c r="F55" s="256" t="s">
        <v>1923</v>
      </c>
      <c r="G55" s="258">
        <v>8008000000</v>
      </c>
      <c r="H55" s="265">
        <v>0.1</v>
      </c>
      <c r="I55" s="258">
        <v>800800000</v>
      </c>
      <c r="J55" s="258">
        <v>8808800000</v>
      </c>
      <c r="K55" s="256" t="s">
        <v>1346</v>
      </c>
    </row>
    <row r="56" spans="1:11" x14ac:dyDescent="0.3">
      <c r="A56" s="256">
        <v>49</v>
      </c>
      <c r="B56" s="257" t="s">
        <v>1473</v>
      </c>
      <c r="C56" s="276">
        <v>44561</v>
      </c>
      <c r="D56" s="257" t="s">
        <v>1260</v>
      </c>
      <c r="E56" s="256" t="s">
        <v>1804</v>
      </c>
      <c r="F56" s="256" t="s">
        <v>1923</v>
      </c>
      <c r="G56" s="258">
        <v>8114000000</v>
      </c>
      <c r="H56" s="265">
        <v>0.1</v>
      </c>
      <c r="I56" s="258">
        <v>811400000</v>
      </c>
      <c r="J56" s="258">
        <v>8925400000</v>
      </c>
      <c r="K56" s="256" t="s">
        <v>1348</v>
      </c>
    </row>
    <row r="57" spans="1:11" x14ac:dyDescent="0.3">
      <c r="A57" s="256">
        <v>50</v>
      </c>
      <c r="B57" s="257" t="s">
        <v>1474</v>
      </c>
      <c r="C57" s="276">
        <v>44561</v>
      </c>
      <c r="D57" s="257" t="s">
        <v>1260</v>
      </c>
      <c r="E57" s="256" t="s">
        <v>1804</v>
      </c>
      <c r="F57" s="256" t="s">
        <v>1741</v>
      </c>
      <c r="G57" s="258">
        <v>12227000000</v>
      </c>
      <c r="H57" s="265">
        <v>0</v>
      </c>
      <c r="I57" s="258">
        <v>0</v>
      </c>
      <c r="J57" s="258">
        <v>12227000000</v>
      </c>
      <c r="K57" s="256" t="s">
        <v>1346</v>
      </c>
    </row>
    <row r="58" spans="1:11" x14ac:dyDescent="0.3">
      <c r="A58" s="266" t="s">
        <v>1351</v>
      </c>
      <c r="B58" s="266"/>
      <c r="C58" s="266"/>
      <c r="D58" s="266"/>
      <c r="E58" s="266"/>
      <c r="F58" s="266"/>
      <c r="G58" s="267">
        <f>SUM(G8:G57)</f>
        <v>465234000000</v>
      </c>
      <c r="H58" s="266"/>
      <c r="I58" s="267">
        <f>SUM(I8:I57)</f>
        <v>40445400000</v>
      </c>
      <c r="J58" s="267">
        <f>SUM(J8:J57)</f>
        <v>505679400000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1285</v>
      </c>
      <c r="E62" s="256" t="s">
        <v>1793</v>
      </c>
      <c r="F62" s="256" t="s">
        <v>1924</v>
      </c>
      <c r="G62" s="258">
        <v>15681000000</v>
      </c>
      <c r="H62" s="265">
        <v>0.1</v>
      </c>
      <c r="I62" s="258">
        <v>1568100000</v>
      </c>
      <c r="J62" s="258">
        <v>17249100000</v>
      </c>
      <c r="K62" s="256" t="s">
        <v>1346</v>
      </c>
    </row>
    <row r="63" spans="1:11" x14ac:dyDescent="0.3">
      <c r="A63" s="256">
        <v>2</v>
      </c>
      <c r="B63" s="257" t="s">
        <v>1201</v>
      </c>
      <c r="C63" s="276">
        <v>44318</v>
      </c>
      <c r="D63" s="257" t="s">
        <v>1267</v>
      </c>
      <c r="E63" s="256" t="s">
        <v>1810</v>
      </c>
      <c r="F63" s="256" t="s">
        <v>1925</v>
      </c>
      <c r="G63" s="258">
        <v>11577000000</v>
      </c>
      <c r="H63" s="265">
        <v>0.1</v>
      </c>
      <c r="I63" s="258">
        <v>1157700000</v>
      </c>
      <c r="J63" s="258">
        <v>12734700000</v>
      </c>
      <c r="K63" s="256" t="s">
        <v>1348</v>
      </c>
    </row>
    <row r="64" spans="1:11" x14ac:dyDescent="0.3">
      <c r="A64" s="256">
        <v>3</v>
      </c>
      <c r="B64" s="257" t="s">
        <v>1202</v>
      </c>
      <c r="C64" s="276">
        <v>44472</v>
      </c>
      <c r="D64" s="257" t="s">
        <v>1302</v>
      </c>
      <c r="E64" s="256" t="s">
        <v>1784</v>
      </c>
      <c r="F64" s="256" t="s">
        <v>1926</v>
      </c>
      <c r="G64" s="258">
        <v>12221000000</v>
      </c>
      <c r="H64" s="265">
        <v>0.1</v>
      </c>
      <c r="I64" s="258">
        <v>1222100000</v>
      </c>
      <c r="J64" s="258">
        <v>13443100000</v>
      </c>
      <c r="K64" s="256" t="s">
        <v>1346</v>
      </c>
    </row>
    <row r="65" spans="1:11" x14ac:dyDescent="0.3">
      <c r="A65" s="256">
        <v>4</v>
      </c>
      <c r="B65" s="257" t="s">
        <v>1355</v>
      </c>
      <c r="C65" s="276">
        <v>44473</v>
      </c>
      <c r="D65" s="257" t="s">
        <v>1290</v>
      </c>
      <c r="E65" s="256" t="s">
        <v>1796</v>
      </c>
      <c r="F65" s="256" t="s">
        <v>1925</v>
      </c>
      <c r="G65" s="258">
        <v>8030000000</v>
      </c>
      <c r="H65" s="265">
        <v>0</v>
      </c>
      <c r="I65" s="258">
        <v>0</v>
      </c>
      <c r="J65" s="258">
        <v>8030000000</v>
      </c>
      <c r="K65" s="256" t="s">
        <v>1346</v>
      </c>
    </row>
    <row r="66" spans="1:11" x14ac:dyDescent="0.3">
      <c r="A66" s="256">
        <v>5</v>
      </c>
      <c r="B66" s="257" t="s">
        <v>1356</v>
      </c>
      <c r="C66" s="276">
        <v>44474</v>
      </c>
      <c r="D66" s="257" t="s">
        <v>1261</v>
      </c>
      <c r="E66" s="256" t="s">
        <v>1813</v>
      </c>
      <c r="F66" s="256" t="s">
        <v>1927</v>
      </c>
      <c r="G66" s="258">
        <v>12057000000</v>
      </c>
      <c r="H66" s="265">
        <v>0.1</v>
      </c>
      <c r="I66" s="258">
        <v>1205700000</v>
      </c>
      <c r="J66" s="258">
        <v>13262700000</v>
      </c>
      <c r="K66" s="256" t="s">
        <v>1346</v>
      </c>
    </row>
    <row r="67" spans="1:11" x14ac:dyDescent="0.3">
      <c r="A67" s="256">
        <v>6</v>
      </c>
      <c r="B67" s="257" t="s">
        <v>1358</v>
      </c>
      <c r="C67" s="276">
        <v>44475</v>
      </c>
      <c r="D67" s="257" t="s">
        <v>1257</v>
      </c>
      <c r="E67" s="256" t="s">
        <v>1815</v>
      </c>
      <c r="F67" s="256" t="s">
        <v>1924</v>
      </c>
      <c r="G67" s="258">
        <v>12516000000</v>
      </c>
      <c r="H67" s="265">
        <v>0.1</v>
      </c>
      <c r="I67" s="258">
        <v>1251600000</v>
      </c>
      <c r="J67" s="258">
        <v>13767600000</v>
      </c>
      <c r="K67" s="256" t="s">
        <v>1346</v>
      </c>
    </row>
    <row r="68" spans="1:11" x14ac:dyDescent="0.3">
      <c r="A68" s="256">
        <v>7</v>
      </c>
      <c r="B68" s="257" t="s">
        <v>1360</v>
      </c>
      <c r="C68" s="276">
        <v>44476</v>
      </c>
      <c r="D68" s="257" t="s">
        <v>1261</v>
      </c>
      <c r="E68" s="256" t="s">
        <v>1813</v>
      </c>
      <c r="F68" s="256" t="s">
        <v>1925</v>
      </c>
      <c r="G68" s="258">
        <v>5509000000</v>
      </c>
      <c r="H68" s="265">
        <v>0.1</v>
      </c>
      <c r="I68" s="258">
        <v>550900000</v>
      </c>
      <c r="J68" s="258">
        <v>6059900000</v>
      </c>
      <c r="K68" s="256" t="s">
        <v>1348</v>
      </c>
    </row>
    <row r="69" spans="1:11" x14ac:dyDescent="0.3">
      <c r="A69" s="256">
        <v>8</v>
      </c>
      <c r="B69" s="257" t="s">
        <v>1362</v>
      </c>
      <c r="C69" s="276">
        <v>44477</v>
      </c>
      <c r="D69" s="257" t="s">
        <v>1272</v>
      </c>
      <c r="E69" s="256" t="s">
        <v>1805</v>
      </c>
      <c r="F69" s="256" t="s">
        <v>1926</v>
      </c>
      <c r="G69" s="258">
        <v>11147000000</v>
      </c>
      <c r="H69" s="265">
        <v>0.1</v>
      </c>
      <c r="I69" s="258">
        <v>1114700000</v>
      </c>
      <c r="J69" s="258">
        <v>12261700000</v>
      </c>
      <c r="K69" s="256" t="s">
        <v>1346</v>
      </c>
    </row>
    <row r="70" spans="1:11" x14ac:dyDescent="0.3">
      <c r="A70" s="256">
        <v>9</v>
      </c>
      <c r="B70" s="257" t="s">
        <v>1364</v>
      </c>
      <c r="C70" s="276">
        <v>44478</v>
      </c>
      <c r="D70" s="257" t="s">
        <v>1284</v>
      </c>
      <c r="E70" s="256" t="s">
        <v>1786</v>
      </c>
      <c r="F70" s="256" t="s">
        <v>1927</v>
      </c>
      <c r="G70" s="258">
        <v>15044000000</v>
      </c>
      <c r="H70" s="265">
        <v>0.1</v>
      </c>
      <c r="I70" s="258">
        <v>1504400000</v>
      </c>
      <c r="J70" s="258">
        <v>16548400000</v>
      </c>
      <c r="K70" s="256" t="s">
        <v>1346</v>
      </c>
    </row>
    <row r="71" spans="1:11" x14ac:dyDescent="0.3">
      <c r="A71" s="256">
        <v>10</v>
      </c>
      <c r="B71" s="257" t="s">
        <v>1366</v>
      </c>
      <c r="C71" s="276">
        <v>44479</v>
      </c>
      <c r="D71" s="257" t="s">
        <v>1262</v>
      </c>
      <c r="E71" s="256" t="s">
        <v>1816</v>
      </c>
      <c r="F71" s="256" t="s">
        <v>1924</v>
      </c>
      <c r="G71" s="258">
        <v>15175000000</v>
      </c>
      <c r="H71" s="265">
        <v>0.1</v>
      </c>
      <c r="I71" s="258">
        <v>1517500000</v>
      </c>
      <c r="J71" s="258">
        <v>16692500000</v>
      </c>
      <c r="K71" s="256" t="s">
        <v>1346</v>
      </c>
    </row>
    <row r="72" spans="1:11" x14ac:dyDescent="0.3">
      <c r="A72" s="256">
        <v>11</v>
      </c>
      <c r="B72" s="257" t="s">
        <v>1368</v>
      </c>
      <c r="C72" s="276">
        <v>44480</v>
      </c>
      <c r="D72" s="257" t="s">
        <v>1285</v>
      </c>
      <c r="E72" s="256" t="s">
        <v>1793</v>
      </c>
      <c r="F72" s="256" t="s">
        <v>1925</v>
      </c>
      <c r="G72" s="258">
        <v>19872000000</v>
      </c>
      <c r="H72" s="265">
        <v>0</v>
      </c>
      <c r="I72" s="258">
        <v>0</v>
      </c>
      <c r="J72" s="258">
        <v>19872000000</v>
      </c>
      <c r="K72" s="256" t="s">
        <v>1346</v>
      </c>
    </row>
    <row r="73" spans="1:11" x14ac:dyDescent="0.3">
      <c r="A73" s="256">
        <v>12</v>
      </c>
      <c r="B73" s="257" t="s">
        <v>1371</v>
      </c>
      <c r="C73" s="276">
        <v>44481</v>
      </c>
      <c r="D73" s="257" t="s">
        <v>1303</v>
      </c>
      <c r="E73" s="256" t="s">
        <v>1817</v>
      </c>
      <c r="F73" s="256" t="s">
        <v>1926</v>
      </c>
      <c r="G73" s="258">
        <v>21424000000</v>
      </c>
      <c r="H73" s="265">
        <v>0.1</v>
      </c>
      <c r="I73" s="258">
        <v>2142400000</v>
      </c>
      <c r="J73" s="258">
        <v>23566400000</v>
      </c>
      <c r="K73" s="256" t="s">
        <v>1346</v>
      </c>
    </row>
    <row r="74" spans="1:11" x14ac:dyDescent="0.3">
      <c r="A74" s="256">
        <v>13</v>
      </c>
      <c r="B74" s="257" t="s">
        <v>1373</v>
      </c>
      <c r="C74" s="276">
        <v>44211</v>
      </c>
      <c r="D74" s="257" t="s">
        <v>1290</v>
      </c>
      <c r="E74" s="256" t="s">
        <v>1796</v>
      </c>
      <c r="F74" s="256" t="s">
        <v>1927</v>
      </c>
      <c r="G74" s="258">
        <v>20073000000</v>
      </c>
      <c r="H74" s="265">
        <v>0.1</v>
      </c>
      <c r="I74" s="258">
        <v>2007300000</v>
      </c>
      <c r="J74" s="258">
        <v>22080300000</v>
      </c>
      <c r="K74" s="256" t="s">
        <v>1346</v>
      </c>
    </row>
    <row r="75" spans="1:11" x14ac:dyDescent="0.3">
      <c r="A75" s="256">
        <v>14</v>
      </c>
      <c r="B75" s="257" t="s">
        <v>1374</v>
      </c>
      <c r="C75" s="276">
        <v>44242</v>
      </c>
      <c r="D75" s="257" t="s">
        <v>1284</v>
      </c>
      <c r="E75" s="256" t="s">
        <v>1786</v>
      </c>
      <c r="F75" s="256" t="s">
        <v>1926</v>
      </c>
      <c r="G75" s="258">
        <v>10754000000</v>
      </c>
      <c r="H75" s="265">
        <v>0.1</v>
      </c>
      <c r="I75" s="258">
        <v>1075400000</v>
      </c>
      <c r="J75" s="258">
        <v>11829400000</v>
      </c>
      <c r="K75" s="256" t="s">
        <v>1346</v>
      </c>
    </row>
    <row r="76" spans="1:11" x14ac:dyDescent="0.3">
      <c r="A76" s="256">
        <v>15</v>
      </c>
      <c r="B76" s="257" t="s">
        <v>1376</v>
      </c>
      <c r="C76" s="276">
        <v>44275</v>
      </c>
      <c r="D76" s="257" t="s">
        <v>1282</v>
      </c>
      <c r="E76" s="256" t="s">
        <v>1789</v>
      </c>
      <c r="F76" s="256" t="s">
        <v>1924</v>
      </c>
      <c r="G76" s="258">
        <v>9882000000</v>
      </c>
      <c r="H76" s="265">
        <v>0.1</v>
      </c>
      <c r="I76" s="258">
        <v>988200000</v>
      </c>
      <c r="J76" s="258">
        <v>10870200000</v>
      </c>
      <c r="K76" s="256" t="s">
        <v>1346</v>
      </c>
    </row>
    <row r="77" spans="1:11" x14ac:dyDescent="0.3">
      <c r="A77" s="256">
        <v>16</v>
      </c>
      <c r="B77" s="257" t="s">
        <v>1378</v>
      </c>
      <c r="C77" s="276">
        <v>44306</v>
      </c>
      <c r="D77" s="257" t="s">
        <v>1261</v>
      </c>
      <c r="E77" s="256" t="s">
        <v>1813</v>
      </c>
      <c r="F77" s="256" t="s">
        <v>1924</v>
      </c>
      <c r="G77" s="258">
        <v>16702000000</v>
      </c>
      <c r="H77" s="265">
        <v>0.1</v>
      </c>
      <c r="I77" s="258">
        <v>1670200000</v>
      </c>
      <c r="J77" s="258">
        <v>18372200000</v>
      </c>
      <c r="K77" s="256" t="s">
        <v>1346</v>
      </c>
    </row>
    <row r="78" spans="1:11" x14ac:dyDescent="0.3">
      <c r="A78" s="256">
        <v>17</v>
      </c>
      <c r="B78" s="257" t="s">
        <v>1379</v>
      </c>
      <c r="C78" s="276">
        <v>44336</v>
      </c>
      <c r="D78" s="257" t="s">
        <v>1289</v>
      </c>
      <c r="E78" s="256" t="s">
        <v>1803</v>
      </c>
      <c r="F78" s="256" t="s">
        <v>1926</v>
      </c>
      <c r="G78" s="258">
        <v>8473000000</v>
      </c>
      <c r="H78" s="265">
        <v>0.1</v>
      </c>
      <c r="I78" s="258">
        <v>847300000</v>
      </c>
      <c r="J78" s="258">
        <v>9320300000</v>
      </c>
      <c r="K78" s="256" t="s">
        <v>1346</v>
      </c>
    </row>
    <row r="79" spans="1:11" x14ac:dyDescent="0.3">
      <c r="A79" s="256">
        <v>18</v>
      </c>
      <c r="B79" s="257" t="s">
        <v>1381</v>
      </c>
      <c r="C79" s="276">
        <v>44367</v>
      </c>
      <c r="D79" s="257" t="s">
        <v>1290</v>
      </c>
      <c r="E79" s="256" t="s">
        <v>1796</v>
      </c>
      <c r="F79" s="256" t="s">
        <v>1924</v>
      </c>
      <c r="G79" s="258">
        <v>19593000000</v>
      </c>
      <c r="H79" s="265">
        <v>0.1</v>
      </c>
      <c r="I79" s="258">
        <v>1959300000</v>
      </c>
      <c r="J79" s="258">
        <v>21552300000</v>
      </c>
      <c r="K79" s="256" t="s">
        <v>1346</v>
      </c>
    </row>
    <row r="80" spans="1:11" x14ac:dyDescent="0.3">
      <c r="A80" s="256">
        <v>19</v>
      </c>
      <c r="B80" s="257" t="s">
        <v>1382</v>
      </c>
      <c r="C80" s="276">
        <v>44397</v>
      </c>
      <c r="D80" s="257" t="s">
        <v>1290</v>
      </c>
      <c r="E80" s="256" t="s">
        <v>1796</v>
      </c>
      <c r="F80" s="256" t="s">
        <v>1925</v>
      </c>
      <c r="G80" s="258">
        <v>19531000000</v>
      </c>
      <c r="H80" s="265">
        <v>0.1</v>
      </c>
      <c r="I80" s="258">
        <v>1953100000</v>
      </c>
      <c r="J80" s="258">
        <v>21484100000</v>
      </c>
      <c r="K80" s="256" t="s">
        <v>1346</v>
      </c>
    </row>
    <row r="81" spans="1:11" x14ac:dyDescent="0.3">
      <c r="A81" s="256">
        <v>20</v>
      </c>
      <c r="B81" s="257" t="s">
        <v>1383</v>
      </c>
      <c r="C81" s="276">
        <v>44428</v>
      </c>
      <c r="D81" s="257" t="s">
        <v>1283</v>
      </c>
      <c r="E81" s="256" t="s">
        <v>1798</v>
      </c>
      <c r="F81" s="256" t="s">
        <v>1924</v>
      </c>
      <c r="G81" s="258">
        <v>10736000000</v>
      </c>
      <c r="H81" s="265">
        <v>0.1</v>
      </c>
      <c r="I81" s="258">
        <v>1073600000</v>
      </c>
      <c r="J81" s="258">
        <v>11809600000</v>
      </c>
      <c r="K81" s="256" t="s">
        <v>1346</v>
      </c>
    </row>
    <row r="82" spans="1:11" x14ac:dyDescent="0.3">
      <c r="A82" s="256">
        <v>21</v>
      </c>
      <c r="B82" s="257" t="s">
        <v>1203</v>
      </c>
      <c r="C82" s="276">
        <v>44459</v>
      </c>
      <c r="D82" s="257" t="s">
        <v>1292</v>
      </c>
      <c r="E82" s="256" t="s">
        <v>1792</v>
      </c>
      <c r="F82" s="256" t="s">
        <v>1927</v>
      </c>
      <c r="G82" s="258">
        <v>9547000000</v>
      </c>
      <c r="H82" s="265">
        <v>0.1</v>
      </c>
      <c r="I82" s="258">
        <v>954700000</v>
      </c>
      <c r="J82" s="258">
        <v>10501700000</v>
      </c>
      <c r="K82" s="256" t="s">
        <v>1346</v>
      </c>
    </row>
    <row r="83" spans="1:11" x14ac:dyDescent="0.3">
      <c r="A83" s="256">
        <v>22</v>
      </c>
      <c r="B83" s="257" t="s">
        <v>1204</v>
      </c>
      <c r="C83" s="276">
        <v>44489</v>
      </c>
      <c r="D83" s="257" t="s">
        <v>1300</v>
      </c>
      <c r="E83" s="256" t="s">
        <v>1818</v>
      </c>
      <c r="F83" s="256" t="s">
        <v>1924</v>
      </c>
      <c r="G83" s="258">
        <v>9549000000</v>
      </c>
      <c r="H83" s="265">
        <v>0.1</v>
      </c>
      <c r="I83" s="258">
        <v>954900000</v>
      </c>
      <c r="J83" s="258">
        <v>10503900000</v>
      </c>
      <c r="K83" s="256" t="s">
        <v>1346</v>
      </c>
    </row>
    <row r="84" spans="1:11" x14ac:dyDescent="0.3">
      <c r="A84" s="256">
        <v>23</v>
      </c>
      <c r="B84" s="257" t="s">
        <v>1205</v>
      </c>
      <c r="C84" s="276">
        <v>44520</v>
      </c>
      <c r="D84" s="257" t="s">
        <v>1298</v>
      </c>
      <c r="E84" s="256" t="s">
        <v>1819</v>
      </c>
      <c r="F84" s="256" t="s">
        <v>1926</v>
      </c>
      <c r="G84" s="258">
        <v>19497000000</v>
      </c>
      <c r="H84" s="265">
        <v>0.1</v>
      </c>
      <c r="I84" s="258">
        <v>1949700000</v>
      </c>
      <c r="J84" s="258">
        <v>21446700000</v>
      </c>
      <c r="K84" s="256" t="s">
        <v>1346</v>
      </c>
    </row>
    <row r="85" spans="1:11" x14ac:dyDescent="0.3">
      <c r="A85" s="256">
        <v>24</v>
      </c>
      <c r="B85" s="257" t="s">
        <v>1385</v>
      </c>
      <c r="C85" s="276">
        <v>44550</v>
      </c>
      <c r="D85" s="257" t="s">
        <v>1294</v>
      </c>
      <c r="E85" s="256" t="s">
        <v>1795</v>
      </c>
      <c r="F85" s="256" t="s">
        <v>1925</v>
      </c>
      <c r="G85" s="258">
        <v>12100000000</v>
      </c>
      <c r="H85" s="265">
        <v>0.1</v>
      </c>
      <c r="I85" s="258">
        <v>1210000000</v>
      </c>
      <c r="J85" s="258">
        <v>13310000000</v>
      </c>
      <c r="K85" s="256" t="s">
        <v>1348</v>
      </c>
    </row>
    <row r="86" spans="1:11" x14ac:dyDescent="0.3">
      <c r="A86" s="256">
        <v>25</v>
      </c>
      <c r="B86" s="257" t="s">
        <v>1387</v>
      </c>
      <c r="C86" s="276">
        <v>44221</v>
      </c>
      <c r="D86" s="257" t="s">
        <v>1267</v>
      </c>
      <c r="E86" s="256" t="s">
        <v>1810</v>
      </c>
      <c r="F86" s="256" t="s">
        <v>1924</v>
      </c>
      <c r="G86" s="258">
        <v>17983000000</v>
      </c>
      <c r="H86" s="265">
        <v>0.1</v>
      </c>
      <c r="I86" s="258">
        <v>1798300000</v>
      </c>
      <c r="J86" s="258">
        <v>19781300000</v>
      </c>
      <c r="K86" s="256" t="s">
        <v>1346</v>
      </c>
    </row>
    <row r="87" spans="1:11" x14ac:dyDescent="0.3">
      <c r="A87" s="256">
        <v>26</v>
      </c>
      <c r="B87" s="257" t="s">
        <v>1388</v>
      </c>
      <c r="C87" s="276">
        <v>44255</v>
      </c>
      <c r="D87" s="257" t="s">
        <v>1297</v>
      </c>
      <c r="E87" s="256" t="s">
        <v>1820</v>
      </c>
      <c r="F87" s="256" t="s">
        <v>1926</v>
      </c>
      <c r="G87" s="258">
        <v>9012000000</v>
      </c>
      <c r="H87" s="265">
        <v>0.1</v>
      </c>
      <c r="I87" s="258">
        <v>901200000</v>
      </c>
      <c r="J87" s="258">
        <v>9913200000</v>
      </c>
      <c r="K87" s="256" t="s">
        <v>1346</v>
      </c>
    </row>
    <row r="88" spans="1:11" x14ac:dyDescent="0.3">
      <c r="A88" s="256">
        <v>27</v>
      </c>
      <c r="B88" s="257" t="s">
        <v>1391</v>
      </c>
      <c r="C88" s="276">
        <v>44316</v>
      </c>
      <c r="D88" s="257" t="s">
        <v>1282</v>
      </c>
      <c r="E88" s="256" t="s">
        <v>1789</v>
      </c>
      <c r="F88" s="256" t="s">
        <v>1926</v>
      </c>
      <c r="G88" s="258">
        <v>19436000000</v>
      </c>
      <c r="H88" s="265">
        <v>0.1</v>
      </c>
      <c r="I88" s="258">
        <v>1943600000</v>
      </c>
      <c r="J88" s="258">
        <v>21379600000</v>
      </c>
      <c r="K88" s="256" t="s">
        <v>1348</v>
      </c>
    </row>
    <row r="89" spans="1:11" x14ac:dyDescent="0.3">
      <c r="A89" s="256">
        <v>28</v>
      </c>
      <c r="B89" s="257" t="s">
        <v>1392</v>
      </c>
      <c r="C89" s="276">
        <v>44377</v>
      </c>
      <c r="D89" s="257" t="s">
        <v>1302</v>
      </c>
      <c r="E89" s="256" t="s">
        <v>1784</v>
      </c>
      <c r="F89" s="256" t="s">
        <v>1924</v>
      </c>
      <c r="G89" s="258">
        <v>11893000000</v>
      </c>
      <c r="H89" s="265">
        <v>0</v>
      </c>
      <c r="I89" s="258">
        <v>0</v>
      </c>
      <c r="J89" s="258">
        <v>11893000000</v>
      </c>
      <c r="K89" s="256" t="s">
        <v>1346</v>
      </c>
    </row>
    <row r="90" spans="1:11" x14ac:dyDescent="0.3">
      <c r="A90" s="256">
        <v>29</v>
      </c>
      <c r="B90" s="257" t="s">
        <v>1394</v>
      </c>
      <c r="C90" s="276">
        <v>44469</v>
      </c>
      <c r="D90" s="257" t="s">
        <v>1289</v>
      </c>
      <c r="E90" s="256" t="s">
        <v>1803</v>
      </c>
      <c r="F90" s="256" t="s">
        <v>1924</v>
      </c>
      <c r="G90" s="258">
        <v>6311000000</v>
      </c>
      <c r="H90" s="265">
        <v>0.1</v>
      </c>
      <c r="I90" s="258">
        <v>631100000</v>
      </c>
      <c r="J90" s="258">
        <v>6942100000</v>
      </c>
      <c r="K90" s="256" t="s">
        <v>1346</v>
      </c>
    </row>
    <row r="91" spans="1:11" x14ac:dyDescent="0.3">
      <c r="A91" s="256">
        <v>30</v>
      </c>
      <c r="B91" s="257" t="s">
        <v>1396</v>
      </c>
      <c r="C91" s="276">
        <v>44530</v>
      </c>
      <c r="D91" s="257" t="s">
        <v>1280</v>
      </c>
      <c r="E91" s="256" t="s">
        <v>1777</v>
      </c>
      <c r="F91" s="256" t="s">
        <v>1925</v>
      </c>
      <c r="G91" s="258">
        <v>19140000000</v>
      </c>
      <c r="H91" s="265">
        <v>0.1</v>
      </c>
      <c r="I91" s="258">
        <v>1914000000</v>
      </c>
      <c r="J91" s="258">
        <v>21054000000</v>
      </c>
      <c r="K91" s="256" t="s">
        <v>1346</v>
      </c>
    </row>
    <row r="92" spans="1:11" x14ac:dyDescent="0.3">
      <c r="A92" s="256">
        <v>31</v>
      </c>
      <c r="B92" s="257" t="s">
        <v>1397</v>
      </c>
      <c r="C92" s="276">
        <v>44286</v>
      </c>
      <c r="D92" s="257" t="s">
        <v>1299</v>
      </c>
      <c r="E92" s="256" t="s">
        <v>1776</v>
      </c>
      <c r="F92" s="256" t="s">
        <v>1924</v>
      </c>
      <c r="G92" s="258">
        <v>6396000000</v>
      </c>
      <c r="H92" s="265">
        <v>0.1</v>
      </c>
      <c r="I92" s="258">
        <v>639600000</v>
      </c>
      <c r="J92" s="258">
        <v>7035600000</v>
      </c>
      <c r="K92" s="256" t="s">
        <v>1346</v>
      </c>
    </row>
    <row r="93" spans="1:11" x14ac:dyDescent="0.3">
      <c r="A93" s="256">
        <v>32</v>
      </c>
      <c r="B93" s="257" t="s">
        <v>1398</v>
      </c>
      <c r="C93" s="276">
        <v>44347</v>
      </c>
      <c r="D93" s="257" t="s">
        <v>1268</v>
      </c>
      <c r="E93" s="256" t="s">
        <v>1821</v>
      </c>
      <c r="F93" s="256" t="s">
        <v>1926</v>
      </c>
      <c r="G93" s="258">
        <v>15745000000</v>
      </c>
      <c r="H93" s="265">
        <v>0.1</v>
      </c>
      <c r="I93" s="258">
        <v>1574500000</v>
      </c>
      <c r="J93" s="258">
        <v>17319500000</v>
      </c>
      <c r="K93" s="256" t="s">
        <v>1348</v>
      </c>
    </row>
    <row r="94" spans="1:11" x14ac:dyDescent="0.3">
      <c r="A94" s="256">
        <v>33</v>
      </c>
      <c r="B94" s="257" t="s">
        <v>1399</v>
      </c>
      <c r="C94" s="276">
        <v>44408</v>
      </c>
      <c r="D94" s="257" t="s">
        <v>1276</v>
      </c>
      <c r="E94" s="256" t="s">
        <v>1822</v>
      </c>
      <c r="F94" s="256" t="s">
        <v>1926</v>
      </c>
      <c r="G94" s="258">
        <v>20931000000</v>
      </c>
      <c r="H94" s="265">
        <v>0</v>
      </c>
      <c r="I94" s="258">
        <v>0</v>
      </c>
      <c r="J94" s="258">
        <v>20931000000</v>
      </c>
      <c r="K94" s="256" t="s">
        <v>1346</v>
      </c>
    </row>
    <row r="95" spans="1:11" x14ac:dyDescent="0.3">
      <c r="A95" s="256">
        <v>34</v>
      </c>
      <c r="B95" s="257" t="s">
        <v>1401</v>
      </c>
      <c r="C95" s="276">
        <v>44439</v>
      </c>
      <c r="D95" s="257" t="s">
        <v>1263</v>
      </c>
      <c r="E95" s="256" t="s">
        <v>1790</v>
      </c>
      <c r="F95" s="256" t="s">
        <v>1927</v>
      </c>
      <c r="G95" s="258">
        <v>7772000000</v>
      </c>
      <c r="H95" s="265">
        <v>0.1</v>
      </c>
      <c r="I95" s="258">
        <v>777200000</v>
      </c>
      <c r="J95" s="258">
        <v>8549200000</v>
      </c>
      <c r="K95" s="256" t="s">
        <v>1346</v>
      </c>
    </row>
    <row r="96" spans="1:11" x14ac:dyDescent="0.3">
      <c r="A96" s="256">
        <v>35</v>
      </c>
      <c r="B96" s="257" t="s">
        <v>1402</v>
      </c>
      <c r="C96" s="276">
        <v>44500</v>
      </c>
      <c r="D96" s="257" t="s">
        <v>1288</v>
      </c>
      <c r="E96" s="256" t="s">
        <v>1797</v>
      </c>
      <c r="F96" s="256" t="s">
        <v>1927</v>
      </c>
      <c r="G96" s="258">
        <v>9791000000</v>
      </c>
      <c r="H96" s="265">
        <v>0.1</v>
      </c>
      <c r="I96" s="258">
        <v>979100000</v>
      </c>
      <c r="J96" s="258">
        <v>10770100000</v>
      </c>
      <c r="K96" s="256" t="s">
        <v>1346</v>
      </c>
    </row>
    <row r="97" spans="1:11" x14ac:dyDescent="0.3">
      <c r="A97" s="256">
        <v>36</v>
      </c>
      <c r="B97" s="257" t="s">
        <v>1403</v>
      </c>
      <c r="C97" s="276">
        <v>44561</v>
      </c>
      <c r="D97" s="257" t="s">
        <v>1268</v>
      </c>
      <c r="E97" s="256" t="s">
        <v>1821</v>
      </c>
      <c r="F97" s="256" t="s">
        <v>1924</v>
      </c>
      <c r="G97" s="258">
        <v>15127000000</v>
      </c>
      <c r="H97" s="265">
        <v>0.1</v>
      </c>
      <c r="I97" s="258">
        <v>1512700000</v>
      </c>
      <c r="J97" s="258">
        <v>16639700000</v>
      </c>
      <c r="K97" s="256" t="s">
        <v>1346</v>
      </c>
    </row>
    <row r="98" spans="1:11" x14ac:dyDescent="0.3">
      <c r="A98" s="256">
        <v>37</v>
      </c>
      <c r="B98" s="257" t="s">
        <v>1404</v>
      </c>
      <c r="C98" s="276">
        <v>44561</v>
      </c>
      <c r="D98" s="257" t="s">
        <v>1267</v>
      </c>
      <c r="E98" s="256" t="s">
        <v>1810</v>
      </c>
      <c r="F98" s="256" t="s">
        <v>1926</v>
      </c>
      <c r="G98" s="258">
        <v>6395000000</v>
      </c>
      <c r="H98" s="265">
        <v>0.1</v>
      </c>
      <c r="I98" s="258">
        <v>639500000</v>
      </c>
      <c r="J98" s="258">
        <v>7034500000</v>
      </c>
      <c r="K98" s="256" t="s">
        <v>1346</v>
      </c>
    </row>
    <row r="99" spans="1:11" x14ac:dyDescent="0.3">
      <c r="A99" s="256">
        <v>38</v>
      </c>
      <c r="B99" s="257" t="s">
        <v>1405</v>
      </c>
      <c r="C99" s="276">
        <v>44561</v>
      </c>
      <c r="D99" s="257" t="s">
        <v>1287</v>
      </c>
      <c r="E99" s="256" t="s">
        <v>1801</v>
      </c>
      <c r="F99" s="256" t="s">
        <v>1926</v>
      </c>
      <c r="G99" s="258">
        <v>20772000000</v>
      </c>
      <c r="H99" s="265">
        <v>0</v>
      </c>
      <c r="I99" s="258">
        <v>0</v>
      </c>
      <c r="J99" s="258">
        <v>20772000000</v>
      </c>
      <c r="K99" s="256" t="s">
        <v>1346</v>
      </c>
    </row>
    <row r="100" spans="1:11" x14ac:dyDescent="0.3">
      <c r="A100" s="256">
        <v>39</v>
      </c>
      <c r="B100" s="257" t="s">
        <v>1406</v>
      </c>
      <c r="C100" s="276">
        <v>44561</v>
      </c>
      <c r="D100" s="257" t="s">
        <v>1281</v>
      </c>
      <c r="E100" s="256" t="s">
        <v>1806</v>
      </c>
      <c r="F100" s="256" t="s">
        <v>1925</v>
      </c>
      <c r="G100" s="258">
        <v>5935000000</v>
      </c>
      <c r="H100" s="265">
        <v>0</v>
      </c>
      <c r="I100" s="258">
        <v>0</v>
      </c>
      <c r="J100" s="258">
        <v>5935000000</v>
      </c>
      <c r="K100" s="256" t="s">
        <v>1348</v>
      </c>
    </row>
    <row r="101" spans="1:11" x14ac:dyDescent="0.3">
      <c r="A101" s="256">
        <v>40</v>
      </c>
      <c r="B101" s="257" t="s">
        <v>1408</v>
      </c>
      <c r="C101" s="276">
        <v>44561</v>
      </c>
      <c r="D101" s="257" t="s">
        <v>1278</v>
      </c>
      <c r="E101" s="256" t="s">
        <v>1785</v>
      </c>
      <c r="F101" s="256" t="s">
        <v>1924</v>
      </c>
      <c r="G101" s="258">
        <v>18579000000</v>
      </c>
      <c r="H101" s="265">
        <v>0.1</v>
      </c>
      <c r="I101" s="258">
        <v>1857900000</v>
      </c>
      <c r="J101" s="258">
        <v>20436900000</v>
      </c>
      <c r="K101" s="256" t="s">
        <v>1346</v>
      </c>
    </row>
    <row r="102" spans="1:11" x14ac:dyDescent="0.3">
      <c r="A102" s="256">
        <v>41</v>
      </c>
      <c r="B102" s="257" t="s">
        <v>1409</v>
      </c>
      <c r="C102" s="276">
        <v>44561</v>
      </c>
      <c r="D102" s="257" t="s">
        <v>1281</v>
      </c>
      <c r="E102" s="256" t="s">
        <v>1806</v>
      </c>
      <c r="F102" s="256" t="s">
        <v>1924</v>
      </c>
      <c r="G102" s="258">
        <v>16710000000</v>
      </c>
      <c r="H102" s="265">
        <v>0.1</v>
      </c>
      <c r="I102" s="258">
        <v>1671000000</v>
      </c>
      <c r="J102" s="258">
        <v>18381000000</v>
      </c>
      <c r="K102" s="256" t="s">
        <v>1346</v>
      </c>
    </row>
    <row r="103" spans="1:11" x14ac:dyDescent="0.3">
      <c r="A103" s="256">
        <v>42</v>
      </c>
      <c r="B103" s="257" t="s">
        <v>1411</v>
      </c>
      <c r="C103" s="276">
        <v>44561</v>
      </c>
      <c r="D103" s="257" t="s">
        <v>1271</v>
      </c>
      <c r="E103" s="256" t="s">
        <v>1799</v>
      </c>
      <c r="F103" s="256" t="s">
        <v>1924</v>
      </c>
      <c r="G103" s="258">
        <v>14517000000</v>
      </c>
      <c r="H103" s="265">
        <v>0.1</v>
      </c>
      <c r="I103" s="258">
        <v>1451700000</v>
      </c>
      <c r="J103" s="258">
        <v>15968700000</v>
      </c>
      <c r="K103" s="256" t="s">
        <v>1346</v>
      </c>
    </row>
    <row r="104" spans="1:11" x14ac:dyDescent="0.3">
      <c r="A104" s="256">
        <v>43</v>
      </c>
      <c r="B104" s="257" t="s">
        <v>1414</v>
      </c>
      <c r="C104" s="276">
        <v>44561</v>
      </c>
      <c r="D104" s="257" t="s">
        <v>1289</v>
      </c>
      <c r="E104" s="256" t="s">
        <v>1803</v>
      </c>
      <c r="F104" s="256" t="s">
        <v>1926</v>
      </c>
      <c r="G104" s="258">
        <v>17399000000</v>
      </c>
      <c r="H104" s="265">
        <v>0.1</v>
      </c>
      <c r="I104" s="258">
        <v>1739900000</v>
      </c>
      <c r="J104" s="258">
        <v>19138900000</v>
      </c>
      <c r="K104" s="256" t="s">
        <v>1346</v>
      </c>
    </row>
    <row r="105" spans="1:11" x14ac:dyDescent="0.3">
      <c r="A105" s="256">
        <v>44</v>
      </c>
      <c r="B105" s="257" t="s">
        <v>1415</v>
      </c>
      <c r="C105" s="276">
        <v>44561</v>
      </c>
      <c r="D105" s="257" t="s">
        <v>1269</v>
      </c>
      <c r="E105" s="256" t="s">
        <v>1823</v>
      </c>
      <c r="F105" s="256" t="s">
        <v>1924</v>
      </c>
      <c r="G105" s="258">
        <v>9911000000</v>
      </c>
      <c r="H105" s="265">
        <v>0.1</v>
      </c>
      <c r="I105" s="258">
        <v>991100000</v>
      </c>
      <c r="J105" s="258">
        <v>10902100000</v>
      </c>
      <c r="K105" s="256" t="s">
        <v>1348</v>
      </c>
    </row>
    <row r="106" spans="1:11" x14ac:dyDescent="0.3">
      <c r="A106" s="256">
        <v>45</v>
      </c>
      <c r="B106" s="257" t="s">
        <v>1206</v>
      </c>
      <c r="C106" s="276">
        <v>44561</v>
      </c>
      <c r="D106" s="257" t="s">
        <v>1267</v>
      </c>
      <c r="E106" s="256" t="s">
        <v>1810</v>
      </c>
      <c r="F106" s="256" t="s">
        <v>1927</v>
      </c>
      <c r="G106" s="258">
        <v>6792000000</v>
      </c>
      <c r="H106" s="265">
        <v>0.1</v>
      </c>
      <c r="I106" s="258">
        <v>679200000</v>
      </c>
      <c r="J106" s="258">
        <v>7471200000</v>
      </c>
      <c r="K106" s="256" t="s">
        <v>1346</v>
      </c>
    </row>
    <row r="107" spans="1:11" x14ac:dyDescent="0.3">
      <c r="A107" s="256">
        <v>46</v>
      </c>
      <c r="B107" s="257" t="s">
        <v>1207</v>
      </c>
      <c r="C107" s="276">
        <v>44561</v>
      </c>
      <c r="D107" s="257" t="s">
        <v>1291</v>
      </c>
      <c r="E107" s="256" t="s">
        <v>1800</v>
      </c>
      <c r="F107" s="256" t="s">
        <v>1924</v>
      </c>
      <c r="G107" s="258">
        <v>15465000000</v>
      </c>
      <c r="H107" s="265">
        <v>0.1</v>
      </c>
      <c r="I107" s="258">
        <v>1546500000</v>
      </c>
      <c r="J107" s="258">
        <v>17011500000</v>
      </c>
      <c r="K107" s="256" t="s">
        <v>1348</v>
      </c>
    </row>
    <row r="108" spans="1:11" x14ac:dyDescent="0.3">
      <c r="A108" s="256">
        <v>47</v>
      </c>
      <c r="B108" s="257" t="s">
        <v>1208</v>
      </c>
      <c r="C108" s="276">
        <v>44561</v>
      </c>
      <c r="D108" s="257" t="s">
        <v>1263</v>
      </c>
      <c r="E108" s="256" t="s">
        <v>1790</v>
      </c>
      <c r="F108" s="256" t="s">
        <v>1924</v>
      </c>
      <c r="G108" s="258">
        <v>5741000000</v>
      </c>
      <c r="H108" s="265">
        <v>0.1</v>
      </c>
      <c r="I108" s="258">
        <v>574100000</v>
      </c>
      <c r="J108" s="258">
        <v>6315100000</v>
      </c>
      <c r="K108" s="256" t="s">
        <v>1346</v>
      </c>
    </row>
    <row r="109" spans="1:11" x14ac:dyDescent="0.3">
      <c r="A109" s="256">
        <v>48</v>
      </c>
      <c r="B109" s="257" t="s">
        <v>1209</v>
      </c>
      <c r="C109" s="276">
        <v>44561</v>
      </c>
      <c r="D109" s="257" t="s">
        <v>1270</v>
      </c>
      <c r="E109" s="256" t="s">
        <v>1782</v>
      </c>
      <c r="F109" s="256" t="s">
        <v>1924</v>
      </c>
      <c r="G109" s="258">
        <v>7006000000</v>
      </c>
      <c r="H109" s="265">
        <v>0.1</v>
      </c>
      <c r="I109" s="258">
        <v>700600000</v>
      </c>
      <c r="J109" s="258">
        <v>7706600000</v>
      </c>
      <c r="K109" s="256" t="s">
        <v>1346</v>
      </c>
    </row>
    <row r="110" spans="1:11" x14ac:dyDescent="0.3">
      <c r="A110" s="256">
        <v>49</v>
      </c>
      <c r="B110" s="257" t="s">
        <v>1418</v>
      </c>
      <c r="C110" s="276">
        <v>44561</v>
      </c>
      <c r="D110" s="257" t="s">
        <v>1283</v>
      </c>
      <c r="E110" s="256" t="s">
        <v>1798</v>
      </c>
      <c r="F110" s="256" t="s">
        <v>1925</v>
      </c>
      <c r="G110" s="258">
        <v>7935000000</v>
      </c>
      <c r="H110" s="265">
        <v>0.1</v>
      </c>
      <c r="I110" s="258">
        <v>793500000</v>
      </c>
      <c r="J110" s="258">
        <v>8728500000</v>
      </c>
      <c r="K110" s="256" t="s">
        <v>1346</v>
      </c>
    </row>
    <row r="111" spans="1:11" x14ac:dyDescent="0.3">
      <c r="A111" s="256">
        <v>50</v>
      </c>
      <c r="B111" s="257" t="s">
        <v>1419</v>
      </c>
      <c r="C111" s="276">
        <v>44561</v>
      </c>
      <c r="D111" s="257" t="s">
        <v>1266</v>
      </c>
      <c r="E111" s="256" t="s">
        <v>1824</v>
      </c>
      <c r="F111" s="256" t="s">
        <v>1927</v>
      </c>
      <c r="G111" s="258">
        <v>5737000000</v>
      </c>
      <c r="H111" s="265">
        <v>0.1</v>
      </c>
      <c r="I111" s="258">
        <v>573700000</v>
      </c>
      <c r="J111" s="258">
        <v>6310700000</v>
      </c>
      <c r="K111" s="256" t="s">
        <v>1346</v>
      </c>
    </row>
    <row r="112" spans="1:11" x14ac:dyDescent="0.3">
      <c r="A112" s="266" t="s">
        <v>1351</v>
      </c>
      <c r="B112" s="266"/>
      <c r="C112" s="266"/>
      <c r="D112" s="266"/>
      <c r="E112" s="266"/>
      <c r="F112" s="266"/>
      <c r="G112" s="267">
        <f>SUM(G62:G111)</f>
        <v>645121000000</v>
      </c>
      <c r="H112" s="266"/>
      <c r="I112" s="267">
        <f>SUM(I62:I111)</f>
        <v>55768800000</v>
      </c>
      <c r="J112" s="267">
        <f>SUM(J62:J111)</f>
        <v>700889800000</v>
      </c>
      <c r="K112" s="266"/>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912</v>
      </c>
      <c r="C1" s="256"/>
      <c r="D1" s="256"/>
      <c r="E1" s="256"/>
      <c r="F1" s="256"/>
      <c r="G1" s="256"/>
      <c r="H1" s="256"/>
      <c r="I1" s="256"/>
      <c r="J1" s="256"/>
      <c r="K1" s="256"/>
    </row>
    <row r="2" spans="1:11" x14ac:dyDescent="0.3">
      <c r="A2" s="256" t="s">
        <v>1339</v>
      </c>
      <c r="B2" s="257">
        <v>107720360</v>
      </c>
      <c r="C2" s="256"/>
      <c r="D2" s="256"/>
      <c r="E2" s="256"/>
      <c r="F2" s="256"/>
      <c r="G2" s="256"/>
      <c r="H2" s="256"/>
      <c r="I2" s="256"/>
      <c r="J2" s="256"/>
      <c r="K2" s="256"/>
    </row>
    <row r="3" spans="1:11" x14ac:dyDescent="0.3">
      <c r="A3" s="256" t="s">
        <v>1343</v>
      </c>
      <c r="B3" s="258">
        <v>194198073299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1401</v>
      </c>
      <c r="C8" s="276">
        <v>44317</v>
      </c>
      <c r="D8" s="257" t="s">
        <v>1295</v>
      </c>
      <c r="E8" s="256" t="s">
        <v>1825</v>
      </c>
      <c r="F8" s="256" t="s">
        <v>1858</v>
      </c>
      <c r="G8" s="258">
        <v>4202000000</v>
      </c>
      <c r="H8" s="265">
        <v>0</v>
      </c>
      <c r="I8" s="258">
        <v>0</v>
      </c>
      <c r="J8" s="258">
        <v>4202000000</v>
      </c>
      <c r="K8" s="256" t="s">
        <v>1346</v>
      </c>
    </row>
    <row r="9" spans="1:11" x14ac:dyDescent="0.3">
      <c r="A9" s="256">
        <v>2</v>
      </c>
      <c r="B9" s="257" t="s">
        <v>1476</v>
      </c>
      <c r="C9" s="276">
        <v>44318</v>
      </c>
      <c r="D9" s="257" t="s">
        <v>1304</v>
      </c>
      <c r="E9" s="256" t="s">
        <v>1831</v>
      </c>
      <c r="F9" s="256" t="s">
        <v>1857</v>
      </c>
      <c r="G9" s="258">
        <v>2688000000</v>
      </c>
      <c r="H9" s="265">
        <v>0.1</v>
      </c>
      <c r="I9" s="258">
        <v>268800000</v>
      </c>
      <c r="J9" s="258">
        <v>2956800000</v>
      </c>
      <c r="K9" s="256" t="s">
        <v>1348</v>
      </c>
    </row>
    <row r="10" spans="1:11" x14ac:dyDescent="0.3">
      <c r="A10" s="256">
        <v>3</v>
      </c>
      <c r="B10" s="257" t="s">
        <v>1465</v>
      </c>
      <c r="C10" s="276">
        <v>44472</v>
      </c>
      <c r="D10" s="257" t="s">
        <v>1282</v>
      </c>
      <c r="E10" s="256" t="s">
        <v>1789</v>
      </c>
      <c r="F10" s="256" t="s">
        <v>1859</v>
      </c>
      <c r="G10" s="258">
        <v>1152000000</v>
      </c>
      <c r="H10" s="265">
        <v>0.1</v>
      </c>
      <c r="I10" s="258">
        <v>115200000</v>
      </c>
      <c r="J10" s="258">
        <v>1267200000</v>
      </c>
      <c r="K10" s="256" t="s">
        <v>1346</v>
      </c>
    </row>
    <row r="11" spans="1:11" x14ac:dyDescent="0.3">
      <c r="A11" s="256">
        <v>4</v>
      </c>
      <c r="B11" s="257" t="s">
        <v>1397</v>
      </c>
      <c r="C11" s="276">
        <v>44473</v>
      </c>
      <c r="D11" s="257" t="s">
        <v>1294</v>
      </c>
      <c r="E11" s="256" t="s">
        <v>1795</v>
      </c>
      <c r="F11" s="256" t="s">
        <v>1861</v>
      </c>
      <c r="G11" s="258">
        <v>2944000000</v>
      </c>
      <c r="H11" s="265">
        <v>0.1</v>
      </c>
      <c r="I11" s="258">
        <v>294400000</v>
      </c>
      <c r="J11" s="258">
        <v>3238400000</v>
      </c>
      <c r="K11" s="256" t="s">
        <v>1346</v>
      </c>
    </row>
    <row r="12" spans="1:11" x14ac:dyDescent="0.3">
      <c r="A12" s="256">
        <v>5</v>
      </c>
      <c r="B12" s="257" t="s">
        <v>1479</v>
      </c>
      <c r="C12" s="276">
        <v>44474</v>
      </c>
      <c r="D12" s="257" t="s">
        <v>1277</v>
      </c>
      <c r="E12" s="256" t="s">
        <v>1783</v>
      </c>
      <c r="F12" s="256" t="s">
        <v>1863</v>
      </c>
      <c r="G12" s="258">
        <v>2597000000</v>
      </c>
      <c r="H12" s="265">
        <v>0.1</v>
      </c>
      <c r="I12" s="258">
        <v>259700000</v>
      </c>
      <c r="J12" s="258">
        <v>2856700000</v>
      </c>
      <c r="K12" s="256" t="s">
        <v>1348</v>
      </c>
    </row>
    <row r="13" spans="1:11" x14ac:dyDescent="0.3">
      <c r="A13" s="256">
        <v>6</v>
      </c>
      <c r="B13" s="257" t="s">
        <v>1405</v>
      </c>
      <c r="C13" s="276">
        <v>44475</v>
      </c>
      <c r="D13" s="257" t="s">
        <v>1300</v>
      </c>
      <c r="E13" s="256" t="s">
        <v>1818</v>
      </c>
      <c r="F13" s="256" t="s">
        <v>1862</v>
      </c>
      <c r="G13" s="258">
        <v>4022000000</v>
      </c>
      <c r="H13" s="265">
        <v>0</v>
      </c>
      <c r="I13" s="258">
        <v>0</v>
      </c>
      <c r="J13" s="258">
        <v>4022000000</v>
      </c>
      <c r="K13" s="256" t="s">
        <v>1346</v>
      </c>
    </row>
    <row r="14" spans="1:11" x14ac:dyDescent="0.3">
      <c r="A14" s="256">
        <v>7</v>
      </c>
      <c r="B14" s="257" t="s">
        <v>1392</v>
      </c>
      <c r="C14" s="276">
        <v>44476</v>
      </c>
      <c r="D14" s="257" t="s">
        <v>1298</v>
      </c>
      <c r="E14" s="256" t="s">
        <v>1819</v>
      </c>
      <c r="F14" s="256" t="s">
        <v>1860</v>
      </c>
      <c r="G14" s="258">
        <v>2202000000</v>
      </c>
      <c r="H14" s="265">
        <v>0</v>
      </c>
      <c r="I14" s="258">
        <v>0</v>
      </c>
      <c r="J14" s="258">
        <v>2202000000</v>
      </c>
      <c r="K14" s="256" t="s">
        <v>1346</v>
      </c>
    </row>
    <row r="15" spans="1:11" x14ac:dyDescent="0.3">
      <c r="A15" s="256">
        <v>8</v>
      </c>
      <c r="B15" s="257" t="s">
        <v>1476</v>
      </c>
      <c r="C15" s="276">
        <v>44477</v>
      </c>
      <c r="D15" s="257" t="s">
        <v>1272</v>
      </c>
      <c r="E15" s="256" t="s">
        <v>1805</v>
      </c>
      <c r="F15" s="256" t="s">
        <v>1858</v>
      </c>
      <c r="G15" s="258">
        <v>1206000000</v>
      </c>
      <c r="H15" s="265">
        <v>0.1</v>
      </c>
      <c r="I15" s="258">
        <v>120600000</v>
      </c>
      <c r="J15" s="258">
        <v>1326600000</v>
      </c>
      <c r="K15" s="256" t="s">
        <v>1346</v>
      </c>
    </row>
    <row r="16" spans="1:11" x14ac:dyDescent="0.3">
      <c r="A16" s="256">
        <v>9</v>
      </c>
      <c r="B16" s="257" t="s">
        <v>1493</v>
      </c>
      <c r="C16" s="276">
        <v>44478</v>
      </c>
      <c r="D16" s="257" t="s">
        <v>1284</v>
      </c>
      <c r="E16" s="256" t="s">
        <v>1786</v>
      </c>
      <c r="F16" s="256" t="s">
        <v>1858</v>
      </c>
      <c r="G16" s="258">
        <v>2213000000</v>
      </c>
      <c r="H16" s="265">
        <v>0</v>
      </c>
      <c r="I16" s="258">
        <v>0</v>
      </c>
      <c r="J16" s="258">
        <v>2213000000</v>
      </c>
      <c r="K16" s="256" t="s">
        <v>1346</v>
      </c>
    </row>
    <row r="17" spans="1:11" x14ac:dyDescent="0.3">
      <c r="A17" s="256">
        <v>10</v>
      </c>
      <c r="B17" s="257" t="s">
        <v>1494</v>
      </c>
      <c r="C17" s="276">
        <v>44479</v>
      </c>
      <c r="D17" s="257" t="s">
        <v>1284</v>
      </c>
      <c r="E17" s="256" t="s">
        <v>1786</v>
      </c>
      <c r="F17" s="256" t="s">
        <v>1861</v>
      </c>
      <c r="G17" s="258">
        <v>2885000000</v>
      </c>
      <c r="H17" s="265">
        <v>0.1</v>
      </c>
      <c r="I17" s="258">
        <v>288500000</v>
      </c>
      <c r="J17" s="258">
        <v>3173500000</v>
      </c>
      <c r="K17" s="256" t="s">
        <v>1346</v>
      </c>
    </row>
    <row r="18" spans="1:11" x14ac:dyDescent="0.3">
      <c r="A18" s="256">
        <v>11</v>
      </c>
      <c r="B18" s="257" t="s">
        <v>1463</v>
      </c>
      <c r="C18" s="276">
        <v>44480</v>
      </c>
      <c r="D18" s="257" t="s">
        <v>1285</v>
      </c>
      <c r="E18" s="256" t="s">
        <v>1793</v>
      </c>
      <c r="F18" s="256" t="s">
        <v>1859</v>
      </c>
      <c r="G18" s="258">
        <v>3930000000</v>
      </c>
      <c r="H18" s="265">
        <v>0</v>
      </c>
      <c r="I18" s="258">
        <v>0</v>
      </c>
      <c r="J18" s="258">
        <v>3930000000</v>
      </c>
      <c r="K18" s="256" t="s">
        <v>1346</v>
      </c>
    </row>
    <row r="19" spans="1:11" x14ac:dyDescent="0.3">
      <c r="A19" s="256">
        <v>12</v>
      </c>
      <c r="B19" s="257" t="s">
        <v>1208</v>
      </c>
      <c r="C19" s="276">
        <v>44481</v>
      </c>
      <c r="D19" s="257" t="s">
        <v>1290</v>
      </c>
      <c r="E19" s="256" t="s">
        <v>1796</v>
      </c>
      <c r="F19" s="256" t="s">
        <v>1858</v>
      </c>
      <c r="G19" s="258">
        <v>4105000000</v>
      </c>
      <c r="H19" s="265">
        <v>0.1</v>
      </c>
      <c r="I19" s="258">
        <v>410500000</v>
      </c>
      <c r="J19" s="258">
        <v>4515500000</v>
      </c>
      <c r="K19" s="256" t="s">
        <v>1346</v>
      </c>
    </row>
    <row r="20" spans="1:11" x14ac:dyDescent="0.3">
      <c r="A20" s="256">
        <v>13</v>
      </c>
      <c r="B20" s="257" t="s">
        <v>1487</v>
      </c>
      <c r="C20" s="276">
        <v>44211</v>
      </c>
      <c r="D20" s="257" t="s">
        <v>1259</v>
      </c>
      <c r="E20" s="256" t="s">
        <v>1788</v>
      </c>
      <c r="F20" s="256" t="s">
        <v>1863</v>
      </c>
      <c r="G20" s="258">
        <v>3184000000</v>
      </c>
      <c r="H20" s="265">
        <v>0.1</v>
      </c>
      <c r="I20" s="258">
        <v>318400000</v>
      </c>
      <c r="J20" s="258">
        <v>3502400000</v>
      </c>
      <c r="K20" s="256" t="s">
        <v>1346</v>
      </c>
    </row>
    <row r="21" spans="1:11" x14ac:dyDescent="0.3">
      <c r="A21" s="256">
        <v>14</v>
      </c>
      <c r="B21" s="257" t="s">
        <v>1394</v>
      </c>
      <c r="C21" s="276">
        <v>44242</v>
      </c>
      <c r="D21" s="257" t="s">
        <v>1261</v>
      </c>
      <c r="E21" s="256" t="s">
        <v>1813</v>
      </c>
      <c r="F21" s="256" t="s">
        <v>1858</v>
      </c>
      <c r="G21" s="258">
        <v>4228000000</v>
      </c>
      <c r="H21" s="265">
        <v>0.1</v>
      </c>
      <c r="I21" s="258">
        <v>422800000</v>
      </c>
      <c r="J21" s="258">
        <v>4650800000</v>
      </c>
      <c r="K21" s="256" t="s">
        <v>1346</v>
      </c>
    </row>
    <row r="22" spans="1:11" x14ac:dyDescent="0.3">
      <c r="A22" s="256">
        <v>15</v>
      </c>
      <c r="B22" s="257" t="s">
        <v>1476</v>
      </c>
      <c r="C22" s="276">
        <v>44275</v>
      </c>
      <c r="D22" s="257" t="s">
        <v>1276</v>
      </c>
      <c r="E22" s="256" t="s">
        <v>1822</v>
      </c>
      <c r="F22" s="256" t="s">
        <v>1863</v>
      </c>
      <c r="G22" s="258">
        <v>3199000000</v>
      </c>
      <c r="H22" s="265">
        <v>0.1</v>
      </c>
      <c r="I22" s="258">
        <v>319900000</v>
      </c>
      <c r="J22" s="258">
        <v>3518900000</v>
      </c>
      <c r="K22" s="256" t="s">
        <v>1346</v>
      </c>
    </row>
    <row r="23" spans="1:11" x14ac:dyDescent="0.3">
      <c r="A23" s="256">
        <v>16</v>
      </c>
      <c r="B23" s="257" t="s">
        <v>1477</v>
      </c>
      <c r="C23" s="276">
        <v>44306</v>
      </c>
      <c r="D23" s="257" t="s">
        <v>1276</v>
      </c>
      <c r="E23" s="256" t="s">
        <v>1822</v>
      </c>
      <c r="F23" s="256" t="s">
        <v>1860</v>
      </c>
      <c r="G23" s="258">
        <v>1519000000</v>
      </c>
      <c r="H23" s="265">
        <v>0.1</v>
      </c>
      <c r="I23" s="258">
        <v>151900000</v>
      </c>
      <c r="J23" s="258">
        <v>1670900000</v>
      </c>
      <c r="K23" s="256" t="s">
        <v>1346</v>
      </c>
    </row>
    <row r="24" spans="1:11" x14ac:dyDescent="0.3">
      <c r="A24" s="256">
        <v>17</v>
      </c>
      <c r="B24" s="257" t="s">
        <v>1470</v>
      </c>
      <c r="C24" s="276">
        <v>44336</v>
      </c>
      <c r="D24" s="257" t="s">
        <v>1279</v>
      </c>
      <c r="E24" s="256" t="s">
        <v>1827</v>
      </c>
      <c r="F24" s="256" t="s">
        <v>1863</v>
      </c>
      <c r="G24" s="258">
        <v>2265000000</v>
      </c>
      <c r="H24" s="265">
        <v>0.1</v>
      </c>
      <c r="I24" s="258">
        <v>226500000</v>
      </c>
      <c r="J24" s="258">
        <v>2491500000</v>
      </c>
      <c r="K24" s="256" t="s">
        <v>1346</v>
      </c>
    </row>
    <row r="25" spans="1:11" x14ac:dyDescent="0.3">
      <c r="A25" s="256">
        <v>18</v>
      </c>
      <c r="B25" s="257" t="s">
        <v>1477</v>
      </c>
      <c r="C25" s="276">
        <v>44367</v>
      </c>
      <c r="D25" s="257" t="s">
        <v>1272</v>
      </c>
      <c r="E25" s="256" t="s">
        <v>1805</v>
      </c>
      <c r="F25" s="256" t="s">
        <v>1857</v>
      </c>
      <c r="G25" s="258">
        <v>3561000000</v>
      </c>
      <c r="H25" s="265">
        <v>0.1</v>
      </c>
      <c r="I25" s="258">
        <v>356100000</v>
      </c>
      <c r="J25" s="258">
        <v>3917100000</v>
      </c>
      <c r="K25" s="256" t="s">
        <v>1346</v>
      </c>
    </row>
    <row r="26" spans="1:11" x14ac:dyDescent="0.3">
      <c r="A26" s="256">
        <v>19</v>
      </c>
      <c r="B26" s="257" t="s">
        <v>1419</v>
      </c>
      <c r="C26" s="276">
        <v>44397</v>
      </c>
      <c r="D26" s="257" t="s">
        <v>1299</v>
      </c>
      <c r="E26" s="256" t="s">
        <v>1776</v>
      </c>
      <c r="F26" s="256" t="s">
        <v>1863</v>
      </c>
      <c r="G26" s="258">
        <v>3495000000</v>
      </c>
      <c r="H26" s="265">
        <v>0</v>
      </c>
      <c r="I26" s="258">
        <v>0</v>
      </c>
      <c r="J26" s="258">
        <v>3495000000</v>
      </c>
      <c r="K26" s="256" t="s">
        <v>1346</v>
      </c>
    </row>
    <row r="27" spans="1:11" x14ac:dyDescent="0.3">
      <c r="A27" s="256">
        <v>20</v>
      </c>
      <c r="B27" s="257" t="s">
        <v>1406</v>
      </c>
      <c r="C27" s="276">
        <v>44428</v>
      </c>
      <c r="D27" s="257" t="s">
        <v>1300</v>
      </c>
      <c r="E27" s="256" t="s">
        <v>1818</v>
      </c>
      <c r="F27" s="256" t="s">
        <v>1859</v>
      </c>
      <c r="G27" s="258">
        <v>3581000000</v>
      </c>
      <c r="H27" s="265">
        <v>0.1</v>
      </c>
      <c r="I27" s="258">
        <v>358100000</v>
      </c>
      <c r="J27" s="258">
        <v>3939100000</v>
      </c>
      <c r="K27" s="256" t="s">
        <v>1346</v>
      </c>
    </row>
    <row r="28" spans="1:11" x14ac:dyDescent="0.3">
      <c r="A28" s="256">
        <v>21</v>
      </c>
      <c r="B28" s="257" t="s">
        <v>1207</v>
      </c>
      <c r="C28" s="276">
        <v>44459</v>
      </c>
      <c r="D28" s="257" t="s">
        <v>1302</v>
      </c>
      <c r="E28" s="256" t="s">
        <v>1784</v>
      </c>
      <c r="F28" s="256" t="s">
        <v>1859</v>
      </c>
      <c r="G28" s="258">
        <v>1757000000</v>
      </c>
      <c r="H28" s="265">
        <v>0.1</v>
      </c>
      <c r="I28" s="258">
        <v>175700000</v>
      </c>
      <c r="J28" s="258">
        <v>1932700000</v>
      </c>
      <c r="K28" s="256" t="s">
        <v>1346</v>
      </c>
    </row>
    <row r="29" spans="1:11" x14ac:dyDescent="0.3">
      <c r="A29" s="256">
        <v>22</v>
      </c>
      <c r="B29" s="257" t="s">
        <v>1456</v>
      </c>
      <c r="C29" s="276">
        <v>44489</v>
      </c>
      <c r="D29" s="257" t="s">
        <v>1299</v>
      </c>
      <c r="E29" s="256" t="s">
        <v>1776</v>
      </c>
      <c r="F29" s="256" t="s">
        <v>1861</v>
      </c>
      <c r="G29" s="258">
        <v>1585000000</v>
      </c>
      <c r="H29" s="265">
        <v>0.1</v>
      </c>
      <c r="I29" s="258">
        <v>158500000</v>
      </c>
      <c r="J29" s="258">
        <v>1743500000</v>
      </c>
      <c r="K29" s="256" t="s">
        <v>1346</v>
      </c>
    </row>
    <row r="30" spans="1:11" x14ac:dyDescent="0.3">
      <c r="A30" s="256">
        <v>23</v>
      </c>
      <c r="B30" s="257" t="s">
        <v>1398</v>
      </c>
      <c r="C30" s="276">
        <v>44520</v>
      </c>
      <c r="D30" s="257" t="s">
        <v>1294</v>
      </c>
      <c r="E30" s="256" t="s">
        <v>1795</v>
      </c>
      <c r="F30" s="256" t="s">
        <v>1861</v>
      </c>
      <c r="G30" s="258">
        <v>2183000000</v>
      </c>
      <c r="H30" s="265">
        <v>0.1</v>
      </c>
      <c r="I30" s="258">
        <v>218300000</v>
      </c>
      <c r="J30" s="258">
        <v>2401300000</v>
      </c>
      <c r="K30" s="256" t="s">
        <v>1346</v>
      </c>
    </row>
    <row r="31" spans="1:11" x14ac:dyDescent="0.3">
      <c r="A31" s="256">
        <v>24</v>
      </c>
      <c r="B31" s="257" t="s">
        <v>1478</v>
      </c>
      <c r="C31" s="276">
        <v>44550</v>
      </c>
      <c r="D31" s="257" t="s">
        <v>1270</v>
      </c>
      <c r="E31" s="256" t="s">
        <v>1782</v>
      </c>
      <c r="F31" s="256" t="s">
        <v>1860</v>
      </c>
      <c r="G31" s="258">
        <v>3505000000</v>
      </c>
      <c r="H31" s="265">
        <v>0.1</v>
      </c>
      <c r="I31" s="258">
        <v>350500000</v>
      </c>
      <c r="J31" s="258">
        <v>3855500000</v>
      </c>
      <c r="K31" s="256" t="s">
        <v>1348</v>
      </c>
    </row>
    <row r="32" spans="1:11" x14ac:dyDescent="0.3">
      <c r="A32" s="256">
        <v>25</v>
      </c>
      <c r="B32" s="257" t="s">
        <v>1402</v>
      </c>
      <c r="C32" s="276">
        <v>44221</v>
      </c>
      <c r="D32" s="257" t="s">
        <v>1295</v>
      </c>
      <c r="E32" s="256" t="s">
        <v>1825</v>
      </c>
      <c r="F32" s="256" t="s">
        <v>1861</v>
      </c>
      <c r="G32" s="258">
        <v>3144000000</v>
      </c>
      <c r="H32" s="265">
        <v>0.1</v>
      </c>
      <c r="I32" s="258">
        <v>314400000</v>
      </c>
      <c r="J32" s="258">
        <v>3458400000</v>
      </c>
      <c r="K32" s="256" t="s">
        <v>1346</v>
      </c>
    </row>
    <row r="33" spans="1:11" x14ac:dyDescent="0.3">
      <c r="A33" s="256">
        <v>26</v>
      </c>
      <c r="B33" s="257" t="s">
        <v>1466</v>
      </c>
      <c r="C33" s="276">
        <v>44255</v>
      </c>
      <c r="D33" s="257" t="s">
        <v>1283</v>
      </c>
      <c r="E33" s="256" t="s">
        <v>1798</v>
      </c>
      <c r="F33" s="256" t="s">
        <v>1863</v>
      </c>
      <c r="G33" s="258">
        <v>3263000000</v>
      </c>
      <c r="H33" s="265">
        <v>0.1</v>
      </c>
      <c r="I33" s="258">
        <v>326300000</v>
      </c>
      <c r="J33" s="258">
        <v>3589300000</v>
      </c>
      <c r="K33" s="256" t="s">
        <v>1348</v>
      </c>
    </row>
    <row r="34" spans="1:11" x14ac:dyDescent="0.3">
      <c r="A34" s="256">
        <v>27</v>
      </c>
      <c r="B34" s="257" t="s">
        <v>1461</v>
      </c>
      <c r="C34" s="276">
        <v>44316</v>
      </c>
      <c r="D34" s="257" t="s">
        <v>1257</v>
      </c>
      <c r="E34" s="256" t="s">
        <v>1815</v>
      </c>
      <c r="F34" s="256" t="s">
        <v>1858</v>
      </c>
      <c r="G34" s="258">
        <v>1184000000</v>
      </c>
      <c r="H34" s="265">
        <v>0.1</v>
      </c>
      <c r="I34" s="258">
        <v>118400000</v>
      </c>
      <c r="J34" s="258">
        <v>1302400000</v>
      </c>
      <c r="K34" s="256" t="s">
        <v>1346</v>
      </c>
    </row>
    <row r="35" spans="1:11" x14ac:dyDescent="0.3">
      <c r="A35" s="256">
        <v>28</v>
      </c>
      <c r="B35" s="257" t="s">
        <v>1475</v>
      </c>
      <c r="C35" s="276">
        <v>44377</v>
      </c>
      <c r="D35" s="257" t="s">
        <v>1260</v>
      </c>
      <c r="E35" s="256" t="s">
        <v>1804</v>
      </c>
      <c r="F35" s="256" t="s">
        <v>1859</v>
      </c>
      <c r="G35" s="258">
        <v>2162000000</v>
      </c>
      <c r="H35" s="265">
        <v>0.1</v>
      </c>
      <c r="I35" s="258">
        <v>216200000</v>
      </c>
      <c r="J35" s="258">
        <v>2378200000</v>
      </c>
      <c r="K35" s="256" t="s">
        <v>1346</v>
      </c>
    </row>
    <row r="36" spans="1:11" x14ac:dyDescent="0.3">
      <c r="A36" s="256">
        <v>29</v>
      </c>
      <c r="B36" s="257" t="s">
        <v>1477</v>
      </c>
      <c r="C36" s="276">
        <v>44469</v>
      </c>
      <c r="D36" s="257" t="s">
        <v>1304</v>
      </c>
      <c r="E36" s="256" t="s">
        <v>1831</v>
      </c>
      <c r="F36" s="256" t="s">
        <v>1862</v>
      </c>
      <c r="G36" s="258">
        <v>2919000000</v>
      </c>
      <c r="H36" s="265">
        <v>0.1</v>
      </c>
      <c r="I36" s="258">
        <v>291900000</v>
      </c>
      <c r="J36" s="258">
        <v>3210900000</v>
      </c>
      <c r="K36" s="256" t="s">
        <v>1346</v>
      </c>
    </row>
    <row r="37" spans="1:11" x14ac:dyDescent="0.3">
      <c r="A37" s="256">
        <v>30</v>
      </c>
      <c r="B37" s="257" t="s">
        <v>1476</v>
      </c>
      <c r="C37" s="276">
        <v>44530</v>
      </c>
      <c r="D37" s="257" t="s">
        <v>1260</v>
      </c>
      <c r="E37" s="256" t="s">
        <v>1804</v>
      </c>
      <c r="F37" s="256" t="s">
        <v>1861</v>
      </c>
      <c r="G37" s="258">
        <v>3029000000</v>
      </c>
      <c r="H37" s="265">
        <v>0.1</v>
      </c>
      <c r="I37" s="258">
        <v>302900000</v>
      </c>
      <c r="J37" s="258">
        <v>3331900000</v>
      </c>
      <c r="K37" s="256" t="s">
        <v>1346</v>
      </c>
    </row>
    <row r="38" spans="1:11" x14ac:dyDescent="0.3">
      <c r="A38" s="256">
        <v>31</v>
      </c>
      <c r="B38" s="257" t="s">
        <v>1462</v>
      </c>
      <c r="C38" s="276">
        <v>44286</v>
      </c>
      <c r="D38" s="257" t="s">
        <v>1257</v>
      </c>
      <c r="E38" s="256" t="s">
        <v>1815</v>
      </c>
      <c r="F38" s="256" t="s">
        <v>1860</v>
      </c>
      <c r="G38" s="258">
        <v>4292000000</v>
      </c>
      <c r="H38" s="265">
        <v>0.1</v>
      </c>
      <c r="I38" s="258">
        <v>429200000</v>
      </c>
      <c r="J38" s="258">
        <v>4721200000</v>
      </c>
      <c r="K38" s="256" t="s">
        <v>1346</v>
      </c>
    </row>
    <row r="39" spans="1:11" x14ac:dyDescent="0.3">
      <c r="A39" s="256">
        <v>32</v>
      </c>
      <c r="B39" s="257" t="s">
        <v>1467</v>
      </c>
      <c r="C39" s="276">
        <v>44347</v>
      </c>
      <c r="D39" s="257" t="s">
        <v>1288</v>
      </c>
      <c r="E39" s="256" t="s">
        <v>1797</v>
      </c>
      <c r="F39" s="256" t="s">
        <v>1860</v>
      </c>
      <c r="G39" s="258">
        <v>3951000000</v>
      </c>
      <c r="H39" s="265">
        <v>0.1</v>
      </c>
      <c r="I39" s="258">
        <v>395100000</v>
      </c>
      <c r="J39" s="258">
        <v>4346100000</v>
      </c>
      <c r="K39" s="256" t="s">
        <v>1346</v>
      </c>
    </row>
    <row r="40" spans="1:11" x14ac:dyDescent="0.3">
      <c r="A40" s="256">
        <v>33</v>
      </c>
      <c r="B40" s="257" t="s">
        <v>1469</v>
      </c>
      <c r="C40" s="276">
        <v>44408</v>
      </c>
      <c r="D40" s="257" t="s">
        <v>1268</v>
      </c>
      <c r="E40" s="256" t="s">
        <v>1821</v>
      </c>
      <c r="F40" s="256" t="s">
        <v>1862</v>
      </c>
      <c r="G40" s="258">
        <v>1497000000</v>
      </c>
      <c r="H40" s="265">
        <v>0</v>
      </c>
      <c r="I40" s="258">
        <v>0</v>
      </c>
      <c r="J40" s="258">
        <v>1497000000</v>
      </c>
      <c r="K40" s="256" t="s">
        <v>1346</v>
      </c>
    </row>
    <row r="41" spans="1:11" x14ac:dyDescent="0.3">
      <c r="A41" s="256">
        <v>34</v>
      </c>
      <c r="B41" s="257" t="s">
        <v>1404</v>
      </c>
      <c r="C41" s="276">
        <v>44439</v>
      </c>
      <c r="D41" s="257" t="s">
        <v>1292</v>
      </c>
      <c r="E41" s="256" t="s">
        <v>1792</v>
      </c>
      <c r="F41" s="256" t="s">
        <v>1858</v>
      </c>
      <c r="G41" s="258">
        <v>2675000000</v>
      </c>
      <c r="H41" s="265">
        <v>0.1</v>
      </c>
      <c r="I41" s="258">
        <v>267500000</v>
      </c>
      <c r="J41" s="258">
        <v>2942500000</v>
      </c>
      <c r="K41" s="256" t="s">
        <v>1346</v>
      </c>
    </row>
    <row r="42" spans="1:11" x14ac:dyDescent="0.3">
      <c r="A42" s="256">
        <v>35</v>
      </c>
      <c r="B42" s="257" t="s">
        <v>1471</v>
      </c>
      <c r="C42" s="276">
        <v>44500</v>
      </c>
      <c r="D42" s="257" t="s">
        <v>1279</v>
      </c>
      <c r="E42" s="256" t="s">
        <v>1827</v>
      </c>
      <c r="F42" s="256" t="s">
        <v>1862</v>
      </c>
      <c r="G42" s="258">
        <v>3817000000</v>
      </c>
      <c r="H42" s="265">
        <v>0.1</v>
      </c>
      <c r="I42" s="258">
        <v>381700000</v>
      </c>
      <c r="J42" s="258">
        <v>4198700000</v>
      </c>
      <c r="K42" s="256" t="s">
        <v>1346</v>
      </c>
    </row>
    <row r="43" spans="1:11" x14ac:dyDescent="0.3">
      <c r="A43" s="256">
        <v>36</v>
      </c>
      <c r="B43" s="257" t="s">
        <v>1478</v>
      </c>
      <c r="C43" s="276">
        <v>44561</v>
      </c>
      <c r="D43" s="257" t="s">
        <v>1304</v>
      </c>
      <c r="E43" s="256" t="s">
        <v>1831</v>
      </c>
      <c r="F43" s="256" t="s">
        <v>1862</v>
      </c>
      <c r="G43" s="258">
        <v>4140000000</v>
      </c>
      <c r="H43" s="265">
        <v>0.1</v>
      </c>
      <c r="I43" s="258">
        <v>414000000</v>
      </c>
      <c r="J43" s="258">
        <v>4554000000</v>
      </c>
      <c r="K43" s="256" t="s">
        <v>1346</v>
      </c>
    </row>
    <row r="44" spans="1:11" x14ac:dyDescent="0.3">
      <c r="A44" s="256">
        <v>37</v>
      </c>
      <c r="B44" s="257" t="s">
        <v>1408</v>
      </c>
      <c r="C44" s="276">
        <v>44561</v>
      </c>
      <c r="D44" s="257" t="s">
        <v>1300</v>
      </c>
      <c r="E44" s="256" t="s">
        <v>1818</v>
      </c>
      <c r="F44" s="256" t="s">
        <v>1863</v>
      </c>
      <c r="G44" s="258">
        <v>3254000000</v>
      </c>
      <c r="H44" s="265">
        <v>0.1</v>
      </c>
      <c r="I44" s="258">
        <v>325400000</v>
      </c>
      <c r="J44" s="258">
        <v>3579400000</v>
      </c>
      <c r="K44" s="256" t="s">
        <v>1348</v>
      </c>
    </row>
    <row r="45" spans="1:11" x14ac:dyDescent="0.3">
      <c r="A45" s="256">
        <v>38</v>
      </c>
      <c r="B45" s="257" t="s">
        <v>1405</v>
      </c>
      <c r="C45" s="276">
        <v>44561</v>
      </c>
      <c r="D45" s="257" t="s">
        <v>1292</v>
      </c>
      <c r="E45" s="256" t="s">
        <v>1792</v>
      </c>
      <c r="F45" s="256" t="s">
        <v>1857</v>
      </c>
      <c r="G45" s="258">
        <v>2276000000</v>
      </c>
      <c r="H45" s="265">
        <v>0.1</v>
      </c>
      <c r="I45" s="258">
        <v>227600000</v>
      </c>
      <c r="J45" s="258">
        <v>2503600000</v>
      </c>
      <c r="K45" s="256" t="s">
        <v>1346</v>
      </c>
    </row>
    <row r="46" spans="1:11" x14ac:dyDescent="0.3">
      <c r="A46" s="256">
        <v>39</v>
      </c>
      <c r="B46" s="257" t="s">
        <v>1479</v>
      </c>
      <c r="C46" s="276">
        <v>44561</v>
      </c>
      <c r="D46" s="257" t="s">
        <v>1304</v>
      </c>
      <c r="E46" s="256" t="s">
        <v>1831</v>
      </c>
      <c r="F46" s="256" t="s">
        <v>1860</v>
      </c>
      <c r="G46" s="258">
        <v>2068000000</v>
      </c>
      <c r="H46" s="265">
        <v>0.1</v>
      </c>
      <c r="I46" s="258">
        <v>206800000</v>
      </c>
      <c r="J46" s="258">
        <v>2274800000</v>
      </c>
      <c r="K46" s="256" t="s">
        <v>1348</v>
      </c>
    </row>
    <row r="47" spans="1:11" x14ac:dyDescent="0.3">
      <c r="A47" s="256">
        <v>40</v>
      </c>
      <c r="B47" s="257" t="s">
        <v>1476</v>
      </c>
      <c r="C47" s="276">
        <v>44561</v>
      </c>
      <c r="D47" s="257" t="s">
        <v>1263</v>
      </c>
      <c r="E47" s="256" t="s">
        <v>1790</v>
      </c>
      <c r="F47" s="256" t="s">
        <v>1859</v>
      </c>
      <c r="G47" s="258">
        <v>1615000000</v>
      </c>
      <c r="H47" s="265">
        <v>0.1</v>
      </c>
      <c r="I47" s="258">
        <v>161500000</v>
      </c>
      <c r="J47" s="258">
        <v>1776500000</v>
      </c>
      <c r="K47" s="256" t="s">
        <v>1346</v>
      </c>
    </row>
    <row r="48" spans="1:11" x14ac:dyDescent="0.3">
      <c r="A48" s="256">
        <v>41</v>
      </c>
      <c r="B48" s="257" t="s">
        <v>1464</v>
      </c>
      <c r="C48" s="276">
        <v>44561</v>
      </c>
      <c r="D48" s="257" t="s">
        <v>1285</v>
      </c>
      <c r="E48" s="256" t="s">
        <v>1793</v>
      </c>
      <c r="F48" s="256" t="s">
        <v>1861</v>
      </c>
      <c r="G48" s="258">
        <v>1225000000</v>
      </c>
      <c r="H48" s="265">
        <v>0.1</v>
      </c>
      <c r="I48" s="258">
        <v>122500000</v>
      </c>
      <c r="J48" s="258">
        <v>1347500000</v>
      </c>
      <c r="K48" s="256" t="s">
        <v>1346</v>
      </c>
    </row>
    <row r="49" spans="1:11" x14ac:dyDescent="0.3">
      <c r="A49" s="256">
        <v>42</v>
      </c>
      <c r="B49" s="257" t="s">
        <v>1467</v>
      </c>
      <c r="C49" s="276">
        <v>44561</v>
      </c>
      <c r="D49" s="257" t="s">
        <v>1283</v>
      </c>
      <c r="E49" s="256" t="s">
        <v>1798</v>
      </c>
      <c r="F49" s="256" t="s">
        <v>1857</v>
      </c>
      <c r="G49" s="258">
        <v>3465000000</v>
      </c>
      <c r="H49" s="265">
        <v>0.1</v>
      </c>
      <c r="I49" s="258">
        <v>346500000</v>
      </c>
      <c r="J49" s="258">
        <v>3811500000</v>
      </c>
      <c r="K49" s="256" t="s">
        <v>1346</v>
      </c>
    </row>
    <row r="50" spans="1:11" x14ac:dyDescent="0.3">
      <c r="A50" s="256">
        <v>43</v>
      </c>
      <c r="B50" s="257" t="s">
        <v>1479</v>
      </c>
      <c r="C50" s="276">
        <v>44561</v>
      </c>
      <c r="D50" s="257" t="s">
        <v>1270</v>
      </c>
      <c r="E50" s="256" t="s">
        <v>1782</v>
      </c>
      <c r="F50" s="256" t="s">
        <v>1863</v>
      </c>
      <c r="G50" s="258">
        <v>3916000000</v>
      </c>
      <c r="H50" s="265">
        <v>0.1</v>
      </c>
      <c r="I50" s="258">
        <v>391600000</v>
      </c>
      <c r="J50" s="258">
        <v>4307600000</v>
      </c>
      <c r="K50" s="256" t="s">
        <v>1346</v>
      </c>
    </row>
    <row r="51" spans="1:11" x14ac:dyDescent="0.3">
      <c r="A51" s="256">
        <v>44</v>
      </c>
      <c r="B51" s="257" t="s">
        <v>1208</v>
      </c>
      <c r="C51" s="276">
        <v>44561</v>
      </c>
      <c r="D51" s="257" t="s">
        <v>1302</v>
      </c>
      <c r="E51" s="256" t="s">
        <v>1784</v>
      </c>
      <c r="F51" s="256" t="s">
        <v>1861</v>
      </c>
      <c r="G51" s="258">
        <v>3017000000</v>
      </c>
      <c r="H51" s="265">
        <v>0.1</v>
      </c>
      <c r="I51" s="258">
        <v>301700000</v>
      </c>
      <c r="J51" s="258">
        <v>3318700000</v>
      </c>
      <c r="K51" s="256" t="s">
        <v>1346</v>
      </c>
    </row>
    <row r="52" spans="1:11" x14ac:dyDescent="0.3">
      <c r="A52" s="256">
        <v>45</v>
      </c>
      <c r="B52" s="257" t="s">
        <v>1462</v>
      </c>
      <c r="C52" s="276">
        <v>44561</v>
      </c>
      <c r="D52" s="257" t="s">
        <v>1262</v>
      </c>
      <c r="E52" s="256" t="s">
        <v>1816</v>
      </c>
      <c r="F52" s="256" t="s">
        <v>1863</v>
      </c>
      <c r="G52" s="258">
        <v>2492000000</v>
      </c>
      <c r="H52" s="265">
        <v>0.1</v>
      </c>
      <c r="I52" s="258">
        <v>249200000</v>
      </c>
      <c r="J52" s="258">
        <v>2741200000</v>
      </c>
      <c r="K52" s="256" t="s">
        <v>1348</v>
      </c>
    </row>
    <row r="53" spans="1:11" x14ac:dyDescent="0.3">
      <c r="A53" s="256">
        <v>46</v>
      </c>
      <c r="B53" s="257" t="s">
        <v>1396</v>
      </c>
      <c r="C53" s="276">
        <v>44561</v>
      </c>
      <c r="D53" s="257" t="s">
        <v>1261</v>
      </c>
      <c r="E53" s="256" t="s">
        <v>1813</v>
      </c>
      <c r="F53" s="256" t="s">
        <v>1858</v>
      </c>
      <c r="G53" s="258">
        <v>2494000000</v>
      </c>
      <c r="H53" s="265">
        <v>0.1</v>
      </c>
      <c r="I53" s="258">
        <v>249400000</v>
      </c>
      <c r="J53" s="258">
        <v>2743400000</v>
      </c>
      <c r="K53" s="256" t="s">
        <v>1346</v>
      </c>
    </row>
    <row r="54" spans="1:11" x14ac:dyDescent="0.3">
      <c r="A54" s="256">
        <v>47</v>
      </c>
      <c r="B54" s="257" t="s">
        <v>1477</v>
      </c>
      <c r="C54" s="276">
        <v>44561</v>
      </c>
      <c r="D54" s="257" t="s">
        <v>1260</v>
      </c>
      <c r="E54" s="256" t="s">
        <v>1804</v>
      </c>
      <c r="F54" s="256" t="s">
        <v>1860</v>
      </c>
      <c r="G54" s="258">
        <v>3323000000</v>
      </c>
      <c r="H54" s="265">
        <v>0.1</v>
      </c>
      <c r="I54" s="258">
        <v>332300000</v>
      </c>
      <c r="J54" s="258">
        <v>3655300000</v>
      </c>
      <c r="K54" s="256" t="s">
        <v>1346</v>
      </c>
    </row>
    <row r="55" spans="1:11" x14ac:dyDescent="0.3">
      <c r="A55" s="256">
        <v>48</v>
      </c>
      <c r="B55" s="257" t="s">
        <v>1209</v>
      </c>
      <c r="C55" s="276">
        <v>44561</v>
      </c>
      <c r="D55" s="257" t="s">
        <v>1302</v>
      </c>
      <c r="E55" s="256" t="s">
        <v>1784</v>
      </c>
      <c r="F55" s="256" t="s">
        <v>1862</v>
      </c>
      <c r="G55" s="258">
        <v>3992000000</v>
      </c>
      <c r="H55" s="265">
        <v>0.1</v>
      </c>
      <c r="I55" s="258">
        <v>399200000</v>
      </c>
      <c r="J55" s="258">
        <v>4391200000</v>
      </c>
      <c r="K55" s="256" t="s">
        <v>1346</v>
      </c>
    </row>
    <row r="56" spans="1:11" x14ac:dyDescent="0.3">
      <c r="A56" s="256">
        <v>49</v>
      </c>
      <c r="B56" s="257" t="s">
        <v>1209</v>
      </c>
      <c r="C56" s="276">
        <v>44561</v>
      </c>
      <c r="D56" s="257" t="s">
        <v>1290</v>
      </c>
      <c r="E56" s="256" t="s">
        <v>1796</v>
      </c>
      <c r="F56" s="256" t="s">
        <v>1858</v>
      </c>
      <c r="G56" s="258">
        <v>3653000000</v>
      </c>
      <c r="H56" s="265">
        <v>0.1</v>
      </c>
      <c r="I56" s="258">
        <v>365300000</v>
      </c>
      <c r="J56" s="258">
        <v>4018300000</v>
      </c>
      <c r="K56" s="256" t="s">
        <v>1346</v>
      </c>
    </row>
    <row r="57" spans="1:11" x14ac:dyDescent="0.3">
      <c r="A57" s="256">
        <v>50</v>
      </c>
      <c r="B57" s="257" t="s">
        <v>1478</v>
      </c>
      <c r="C57" s="276">
        <v>44561</v>
      </c>
      <c r="D57" s="257" t="s">
        <v>1260</v>
      </c>
      <c r="E57" s="256" t="s">
        <v>1804</v>
      </c>
      <c r="F57" s="256" t="s">
        <v>1857</v>
      </c>
      <c r="G57" s="258">
        <v>1439000000</v>
      </c>
      <c r="H57" s="265">
        <v>0</v>
      </c>
      <c r="I57" s="258">
        <v>0</v>
      </c>
      <c r="J57" s="258">
        <v>1439000000</v>
      </c>
      <c r="K57" s="256" t="s">
        <v>1346</v>
      </c>
    </row>
    <row r="58" spans="1:11" x14ac:dyDescent="0.3">
      <c r="A58" s="266" t="s">
        <v>1351</v>
      </c>
      <c r="B58" s="266"/>
      <c r="C58" s="266"/>
      <c r="D58" s="266"/>
      <c r="E58" s="266"/>
      <c r="F58" s="266"/>
      <c r="G58" s="267">
        <f>SUM(G8:G57)</f>
        <v>142510000000</v>
      </c>
      <c r="H58" s="266"/>
      <c r="I58" s="267">
        <f>SUM(I8:I57)</f>
        <v>11951000000</v>
      </c>
      <c r="J58" s="267">
        <f>SUM(J8:J57)</f>
        <v>154461000000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1866</v>
      </c>
      <c r="G62" s="258">
        <v>2828000000</v>
      </c>
      <c r="H62" s="265">
        <v>0.1</v>
      </c>
      <c r="I62" s="258">
        <v>282800000</v>
      </c>
      <c r="J62" s="258">
        <v>3110800000</v>
      </c>
      <c r="K62" s="256" t="s">
        <v>1346</v>
      </c>
    </row>
    <row r="63" spans="1:11" x14ac:dyDescent="0.3">
      <c r="A63" s="256">
        <v>2</v>
      </c>
      <c r="B63" s="257" t="s">
        <v>1201</v>
      </c>
      <c r="C63" s="276">
        <v>44318</v>
      </c>
      <c r="D63" s="257" t="s">
        <v>1267</v>
      </c>
      <c r="E63" s="256" t="s">
        <v>1810</v>
      </c>
      <c r="F63" s="256" t="s">
        <v>1864</v>
      </c>
      <c r="G63" s="258">
        <v>4467000000</v>
      </c>
      <c r="H63" s="265">
        <v>0.1</v>
      </c>
      <c r="I63" s="258">
        <v>446700000</v>
      </c>
      <c r="J63" s="258">
        <v>4913700000</v>
      </c>
      <c r="K63" s="256" t="s">
        <v>1346</v>
      </c>
    </row>
    <row r="64" spans="1:11" x14ac:dyDescent="0.3">
      <c r="A64" s="256">
        <v>3</v>
      </c>
      <c r="B64" s="257" t="s">
        <v>1202</v>
      </c>
      <c r="C64" s="276">
        <v>44472</v>
      </c>
      <c r="D64" s="257" t="s">
        <v>1291</v>
      </c>
      <c r="E64" s="256" t="s">
        <v>1800</v>
      </c>
      <c r="F64" s="256" t="s">
        <v>1866</v>
      </c>
      <c r="G64" s="258">
        <v>2518000000</v>
      </c>
      <c r="H64" s="265">
        <v>0.1</v>
      </c>
      <c r="I64" s="258">
        <v>251800000</v>
      </c>
      <c r="J64" s="258">
        <v>2769800000</v>
      </c>
      <c r="K64" s="256" t="s">
        <v>1346</v>
      </c>
    </row>
    <row r="65" spans="1:11" x14ac:dyDescent="0.3">
      <c r="A65" s="256">
        <v>4</v>
      </c>
      <c r="B65" s="257" t="s">
        <v>1355</v>
      </c>
      <c r="C65" s="276">
        <v>44473</v>
      </c>
      <c r="D65" s="257" t="s">
        <v>1297</v>
      </c>
      <c r="E65" s="256" t="s">
        <v>1820</v>
      </c>
      <c r="F65" s="256" t="s">
        <v>1865</v>
      </c>
      <c r="G65" s="258">
        <v>2923000000</v>
      </c>
      <c r="H65" s="265">
        <v>0.1</v>
      </c>
      <c r="I65" s="258">
        <v>292300000</v>
      </c>
      <c r="J65" s="258">
        <v>3215300000</v>
      </c>
      <c r="K65" s="256" t="s">
        <v>1346</v>
      </c>
    </row>
    <row r="66" spans="1:11" x14ac:dyDescent="0.3">
      <c r="A66" s="256">
        <v>5</v>
      </c>
      <c r="B66" s="257" t="s">
        <v>1356</v>
      </c>
      <c r="C66" s="276">
        <v>44474</v>
      </c>
      <c r="D66" s="257" t="s">
        <v>1275</v>
      </c>
      <c r="E66" s="256" t="s">
        <v>1808</v>
      </c>
      <c r="F66" s="256" t="s">
        <v>1867</v>
      </c>
      <c r="G66" s="258">
        <v>3780000000</v>
      </c>
      <c r="H66" s="265">
        <v>0.1</v>
      </c>
      <c r="I66" s="258">
        <v>378000000</v>
      </c>
      <c r="J66" s="258">
        <v>4158000000</v>
      </c>
      <c r="K66" s="256" t="s">
        <v>1346</v>
      </c>
    </row>
    <row r="67" spans="1:11" x14ac:dyDescent="0.3">
      <c r="A67" s="256">
        <v>6</v>
      </c>
      <c r="B67" s="257" t="s">
        <v>1358</v>
      </c>
      <c r="C67" s="276">
        <v>44475</v>
      </c>
      <c r="D67" s="257" t="s">
        <v>1277</v>
      </c>
      <c r="E67" s="256" t="s">
        <v>1783</v>
      </c>
      <c r="F67" s="256" t="s">
        <v>1865</v>
      </c>
      <c r="G67" s="258">
        <v>4272000000</v>
      </c>
      <c r="H67" s="265">
        <v>0.1</v>
      </c>
      <c r="I67" s="258">
        <v>427200000</v>
      </c>
      <c r="J67" s="258">
        <v>4699200000</v>
      </c>
      <c r="K67" s="256" t="s">
        <v>1346</v>
      </c>
    </row>
    <row r="68" spans="1:11" x14ac:dyDescent="0.3">
      <c r="A68" s="256">
        <v>7</v>
      </c>
      <c r="B68" s="257" t="s">
        <v>1360</v>
      </c>
      <c r="C68" s="276">
        <v>44476</v>
      </c>
      <c r="D68" s="257" t="s">
        <v>1297</v>
      </c>
      <c r="E68" s="256" t="s">
        <v>1820</v>
      </c>
      <c r="F68" s="256" t="s">
        <v>1865</v>
      </c>
      <c r="G68" s="258">
        <v>5692000000</v>
      </c>
      <c r="H68" s="265">
        <v>0.1</v>
      </c>
      <c r="I68" s="258">
        <v>569200000</v>
      </c>
      <c r="J68" s="258">
        <v>6261200000</v>
      </c>
      <c r="K68" s="256" t="s">
        <v>1346</v>
      </c>
    </row>
    <row r="69" spans="1:11" x14ac:dyDescent="0.3">
      <c r="A69" s="256">
        <v>8</v>
      </c>
      <c r="B69" s="257" t="s">
        <v>1362</v>
      </c>
      <c r="C69" s="276">
        <v>44477</v>
      </c>
      <c r="D69" s="257" t="s">
        <v>1300</v>
      </c>
      <c r="E69" s="256" t="s">
        <v>1818</v>
      </c>
      <c r="F69" s="256" t="s">
        <v>1867</v>
      </c>
      <c r="G69" s="258">
        <v>5697000000</v>
      </c>
      <c r="H69" s="265">
        <v>0.1</v>
      </c>
      <c r="I69" s="258">
        <v>569700000</v>
      </c>
      <c r="J69" s="258">
        <v>6266700000</v>
      </c>
      <c r="K69" s="256" t="s">
        <v>1346</v>
      </c>
    </row>
    <row r="70" spans="1:11" x14ac:dyDescent="0.3">
      <c r="A70" s="256">
        <v>9</v>
      </c>
      <c r="B70" s="257" t="s">
        <v>1364</v>
      </c>
      <c r="C70" s="276">
        <v>44478</v>
      </c>
      <c r="D70" s="257" t="s">
        <v>1282</v>
      </c>
      <c r="E70" s="256" t="s">
        <v>1789</v>
      </c>
      <c r="F70" s="256" t="s">
        <v>1865</v>
      </c>
      <c r="G70" s="258">
        <v>1580000000</v>
      </c>
      <c r="H70" s="265">
        <v>0.1</v>
      </c>
      <c r="I70" s="258">
        <v>158000000</v>
      </c>
      <c r="J70" s="258">
        <v>1738000000</v>
      </c>
      <c r="K70" s="256" t="s">
        <v>1346</v>
      </c>
    </row>
    <row r="71" spans="1:11" x14ac:dyDescent="0.3">
      <c r="A71" s="256">
        <v>10</v>
      </c>
      <c r="B71" s="257" t="s">
        <v>1366</v>
      </c>
      <c r="C71" s="276">
        <v>44479</v>
      </c>
      <c r="D71" s="257" t="s">
        <v>1289</v>
      </c>
      <c r="E71" s="256" t="s">
        <v>1803</v>
      </c>
      <c r="F71" s="256" t="s">
        <v>1864</v>
      </c>
      <c r="G71" s="258">
        <v>4843000000</v>
      </c>
      <c r="H71" s="265">
        <v>0.1</v>
      </c>
      <c r="I71" s="258">
        <v>484300000</v>
      </c>
      <c r="J71" s="258">
        <v>5327300000</v>
      </c>
      <c r="K71" s="256" t="s">
        <v>1346</v>
      </c>
    </row>
    <row r="72" spans="1:11" x14ac:dyDescent="0.3">
      <c r="A72" s="256">
        <v>11</v>
      </c>
      <c r="B72" s="257" t="s">
        <v>1368</v>
      </c>
      <c r="C72" s="276">
        <v>44480</v>
      </c>
      <c r="D72" s="257" t="s">
        <v>1290</v>
      </c>
      <c r="E72" s="256" t="s">
        <v>1796</v>
      </c>
      <c r="F72" s="256" t="s">
        <v>1864</v>
      </c>
      <c r="G72" s="258">
        <v>4544000000</v>
      </c>
      <c r="H72" s="265">
        <v>0.1</v>
      </c>
      <c r="I72" s="258">
        <v>454400000</v>
      </c>
      <c r="J72" s="258">
        <v>4998400000</v>
      </c>
      <c r="K72" s="256" t="s">
        <v>1346</v>
      </c>
    </row>
    <row r="73" spans="1:11" x14ac:dyDescent="0.3">
      <c r="A73" s="256">
        <v>12</v>
      </c>
      <c r="B73" s="257" t="s">
        <v>1371</v>
      </c>
      <c r="C73" s="276">
        <v>44481</v>
      </c>
      <c r="D73" s="257" t="s">
        <v>1260</v>
      </c>
      <c r="E73" s="256" t="s">
        <v>1804</v>
      </c>
      <c r="F73" s="256" t="s">
        <v>1866</v>
      </c>
      <c r="G73" s="258">
        <v>5325000000</v>
      </c>
      <c r="H73" s="265">
        <v>0.1</v>
      </c>
      <c r="I73" s="258">
        <v>532500000</v>
      </c>
      <c r="J73" s="258">
        <v>5857500000</v>
      </c>
      <c r="K73" s="256" t="s">
        <v>1346</v>
      </c>
    </row>
    <row r="74" spans="1:11" x14ac:dyDescent="0.3">
      <c r="A74" s="256">
        <v>13</v>
      </c>
      <c r="B74" s="257" t="s">
        <v>1373</v>
      </c>
      <c r="C74" s="276">
        <v>44211</v>
      </c>
      <c r="D74" s="257" t="s">
        <v>1303</v>
      </c>
      <c r="E74" s="256" t="s">
        <v>1817</v>
      </c>
      <c r="F74" s="256" t="s">
        <v>1866</v>
      </c>
      <c r="G74" s="258">
        <v>2275000000</v>
      </c>
      <c r="H74" s="265">
        <v>0.1</v>
      </c>
      <c r="I74" s="258">
        <v>227500000</v>
      </c>
      <c r="J74" s="258">
        <v>2502500000</v>
      </c>
      <c r="K74" s="256" t="s">
        <v>1346</v>
      </c>
    </row>
    <row r="75" spans="1:11" x14ac:dyDescent="0.3">
      <c r="A75" s="256">
        <v>14</v>
      </c>
      <c r="B75" s="257" t="s">
        <v>1374</v>
      </c>
      <c r="C75" s="276">
        <v>44242</v>
      </c>
      <c r="D75" s="257" t="s">
        <v>1291</v>
      </c>
      <c r="E75" s="256" t="s">
        <v>1800</v>
      </c>
      <c r="F75" s="256" t="s">
        <v>1864</v>
      </c>
      <c r="G75" s="258">
        <v>2497000000</v>
      </c>
      <c r="H75" s="265">
        <v>0.1</v>
      </c>
      <c r="I75" s="258">
        <v>249700000</v>
      </c>
      <c r="J75" s="258">
        <v>2746700000</v>
      </c>
      <c r="K75" s="256" t="s">
        <v>1346</v>
      </c>
    </row>
    <row r="76" spans="1:11" x14ac:dyDescent="0.3">
      <c r="A76" s="256">
        <v>15</v>
      </c>
      <c r="B76" s="257" t="s">
        <v>1376</v>
      </c>
      <c r="C76" s="276">
        <v>44275</v>
      </c>
      <c r="D76" s="257" t="s">
        <v>1266</v>
      </c>
      <c r="E76" s="256" t="s">
        <v>1824</v>
      </c>
      <c r="F76" s="256" t="s">
        <v>1867</v>
      </c>
      <c r="G76" s="258">
        <v>3577000000</v>
      </c>
      <c r="H76" s="265">
        <v>0.1</v>
      </c>
      <c r="I76" s="258">
        <v>357700000</v>
      </c>
      <c r="J76" s="258">
        <v>3934700000</v>
      </c>
      <c r="K76" s="256" t="s">
        <v>1346</v>
      </c>
    </row>
    <row r="77" spans="1:11" x14ac:dyDescent="0.3">
      <c r="A77" s="256">
        <v>16</v>
      </c>
      <c r="B77" s="257" t="s">
        <v>1378</v>
      </c>
      <c r="C77" s="276">
        <v>44306</v>
      </c>
      <c r="D77" s="257" t="s">
        <v>1270</v>
      </c>
      <c r="E77" s="256" t="s">
        <v>1782</v>
      </c>
      <c r="F77" s="256" t="s">
        <v>1867</v>
      </c>
      <c r="G77" s="258">
        <v>5471000000</v>
      </c>
      <c r="H77" s="265">
        <v>0.1</v>
      </c>
      <c r="I77" s="258">
        <v>547100000</v>
      </c>
      <c r="J77" s="258">
        <v>6018100000</v>
      </c>
      <c r="K77" s="256" t="s">
        <v>1346</v>
      </c>
    </row>
    <row r="78" spans="1:11" x14ac:dyDescent="0.3">
      <c r="A78" s="256">
        <v>17</v>
      </c>
      <c r="B78" s="257" t="s">
        <v>1379</v>
      </c>
      <c r="C78" s="276">
        <v>44336</v>
      </c>
      <c r="D78" s="257" t="s">
        <v>1287</v>
      </c>
      <c r="E78" s="256" t="s">
        <v>1801</v>
      </c>
      <c r="F78" s="256" t="s">
        <v>1867</v>
      </c>
      <c r="G78" s="258">
        <v>4911000000</v>
      </c>
      <c r="H78" s="265">
        <v>0.1</v>
      </c>
      <c r="I78" s="258">
        <v>491100000</v>
      </c>
      <c r="J78" s="258">
        <v>5402100000</v>
      </c>
      <c r="K78" s="256" t="s">
        <v>1346</v>
      </c>
    </row>
    <row r="79" spans="1:11" x14ac:dyDescent="0.3">
      <c r="A79" s="256">
        <v>18</v>
      </c>
      <c r="B79" s="257" t="s">
        <v>1381</v>
      </c>
      <c r="C79" s="276">
        <v>44367</v>
      </c>
      <c r="D79" s="257" t="s">
        <v>1258</v>
      </c>
      <c r="E79" s="256" t="s">
        <v>1833</v>
      </c>
      <c r="F79" s="256" t="s">
        <v>1866</v>
      </c>
      <c r="G79" s="258">
        <v>5636000000</v>
      </c>
      <c r="H79" s="265">
        <v>0.1</v>
      </c>
      <c r="I79" s="258">
        <v>563600000</v>
      </c>
      <c r="J79" s="258">
        <v>6199600000</v>
      </c>
      <c r="K79" s="256" t="s">
        <v>1348</v>
      </c>
    </row>
    <row r="80" spans="1:11" x14ac:dyDescent="0.3">
      <c r="A80" s="256">
        <v>19</v>
      </c>
      <c r="B80" s="257" t="s">
        <v>1382</v>
      </c>
      <c r="C80" s="276">
        <v>44397</v>
      </c>
      <c r="D80" s="257" t="s">
        <v>1286</v>
      </c>
      <c r="E80" s="256" t="s">
        <v>1828</v>
      </c>
      <c r="F80" s="256" t="s">
        <v>1867</v>
      </c>
      <c r="G80" s="258">
        <v>3189000000</v>
      </c>
      <c r="H80" s="265">
        <v>0.1</v>
      </c>
      <c r="I80" s="258">
        <v>318900000</v>
      </c>
      <c r="J80" s="258">
        <v>3507900000</v>
      </c>
      <c r="K80" s="256" t="s">
        <v>1346</v>
      </c>
    </row>
    <row r="81" spans="1:11" x14ac:dyDescent="0.3">
      <c r="A81" s="256">
        <v>20</v>
      </c>
      <c r="B81" s="257" t="s">
        <v>1383</v>
      </c>
      <c r="C81" s="276">
        <v>44428</v>
      </c>
      <c r="D81" s="257" t="s">
        <v>1293</v>
      </c>
      <c r="E81" s="256" t="s">
        <v>1826</v>
      </c>
      <c r="F81" s="256" t="s">
        <v>1866</v>
      </c>
      <c r="G81" s="258">
        <v>4042000000</v>
      </c>
      <c r="H81" s="265">
        <v>0</v>
      </c>
      <c r="I81" s="258">
        <v>0</v>
      </c>
      <c r="J81" s="258">
        <v>4042000000</v>
      </c>
      <c r="K81" s="256" t="s">
        <v>1346</v>
      </c>
    </row>
    <row r="82" spans="1:11" x14ac:dyDescent="0.3">
      <c r="A82" s="256">
        <v>21</v>
      </c>
      <c r="B82" s="257" t="s">
        <v>1203</v>
      </c>
      <c r="C82" s="276">
        <v>44459</v>
      </c>
      <c r="D82" s="257" t="s">
        <v>1294</v>
      </c>
      <c r="E82" s="256" t="s">
        <v>1795</v>
      </c>
      <c r="F82" s="256" t="s">
        <v>1867</v>
      </c>
      <c r="G82" s="258">
        <v>3167000000</v>
      </c>
      <c r="H82" s="265">
        <v>0.1</v>
      </c>
      <c r="I82" s="258">
        <v>316700000</v>
      </c>
      <c r="J82" s="258">
        <v>3483700000</v>
      </c>
      <c r="K82" s="256" t="s">
        <v>1346</v>
      </c>
    </row>
    <row r="83" spans="1:11" x14ac:dyDescent="0.3">
      <c r="A83" s="256">
        <v>22</v>
      </c>
      <c r="B83" s="257" t="s">
        <v>1204</v>
      </c>
      <c r="C83" s="276">
        <v>44489</v>
      </c>
      <c r="D83" s="257" t="s">
        <v>1286</v>
      </c>
      <c r="E83" s="256" t="s">
        <v>1828</v>
      </c>
      <c r="F83" s="256" t="s">
        <v>1865</v>
      </c>
      <c r="G83" s="258">
        <v>2296000000</v>
      </c>
      <c r="H83" s="265">
        <v>0.1</v>
      </c>
      <c r="I83" s="258">
        <v>229600000</v>
      </c>
      <c r="J83" s="258">
        <v>2525600000</v>
      </c>
      <c r="K83" s="256" t="s">
        <v>1346</v>
      </c>
    </row>
    <row r="84" spans="1:11" x14ac:dyDescent="0.3">
      <c r="A84" s="256">
        <v>23</v>
      </c>
      <c r="B84" s="257" t="s">
        <v>1205</v>
      </c>
      <c r="C84" s="276">
        <v>44520</v>
      </c>
      <c r="D84" s="257" t="s">
        <v>1291</v>
      </c>
      <c r="E84" s="256" t="s">
        <v>1800</v>
      </c>
      <c r="F84" s="256" t="s">
        <v>1867</v>
      </c>
      <c r="G84" s="258">
        <v>4039000000</v>
      </c>
      <c r="H84" s="265">
        <v>0.1</v>
      </c>
      <c r="I84" s="258">
        <v>403900000</v>
      </c>
      <c r="J84" s="258">
        <v>4442900000</v>
      </c>
      <c r="K84" s="256" t="s">
        <v>1346</v>
      </c>
    </row>
    <row r="85" spans="1:11" x14ac:dyDescent="0.3">
      <c r="A85" s="256">
        <v>24</v>
      </c>
      <c r="B85" s="257" t="s">
        <v>1385</v>
      </c>
      <c r="C85" s="276">
        <v>44550</v>
      </c>
      <c r="D85" s="257" t="s">
        <v>1274</v>
      </c>
      <c r="E85" s="256" t="s">
        <v>1794</v>
      </c>
      <c r="F85" s="256" t="s">
        <v>1867</v>
      </c>
      <c r="G85" s="258">
        <v>2344000000</v>
      </c>
      <c r="H85" s="265">
        <v>0.1</v>
      </c>
      <c r="I85" s="258">
        <v>234400000</v>
      </c>
      <c r="J85" s="258">
        <v>2578400000</v>
      </c>
      <c r="K85" s="256" t="s">
        <v>1346</v>
      </c>
    </row>
    <row r="86" spans="1:11" x14ac:dyDescent="0.3">
      <c r="A86" s="256">
        <v>25</v>
      </c>
      <c r="B86" s="257" t="s">
        <v>1387</v>
      </c>
      <c r="C86" s="276">
        <v>44221</v>
      </c>
      <c r="D86" s="257" t="s">
        <v>1287</v>
      </c>
      <c r="E86" s="256" t="s">
        <v>1801</v>
      </c>
      <c r="F86" s="256" t="s">
        <v>1867</v>
      </c>
      <c r="G86" s="258">
        <v>2595000000</v>
      </c>
      <c r="H86" s="265">
        <v>0.1</v>
      </c>
      <c r="I86" s="258">
        <v>259500000</v>
      </c>
      <c r="J86" s="258">
        <v>2854500000</v>
      </c>
      <c r="K86" s="256" t="s">
        <v>1346</v>
      </c>
    </row>
    <row r="87" spans="1:11" x14ac:dyDescent="0.3">
      <c r="A87" s="256">
        <v>26</v>
      </c>
      <c r="B87" s="257" t="s">
        <v>1388</v>
      </c>
      <c r="C87" s="276">
        <v>44255</v>
      </c>
      <c r="D87" s="257" t="s">
        <v>1282</v>
      </c>
      <c r="E87" s="256" t="s">
        <v>1789</v>
      </c>
      <c r="F87" s="256" t="s">
        <v>1866</v>
      </c>
      <c r="G87" s="258">
        <v>3609000000</v>
      </c>
      <c r="H87" s="265">
        <v>0.1</v>
      </c>
      <c r="I87" s="258">
        <v>360900000</v>
      </c>
      <c r="J87" s="258">
        <v>3969900000</v>
      </c>
      <c r="K87" s="256" t="s">
        <v>1346</v>
      </c>
    </row>
    <row r="88" spans="1:11" x14ac:dyDescent="0.3">
      <c r="A88" s="256">
        <v>27</v>
      </c>
      <c r="B88" s="257" t="s">
        <v>1391</v>
      </c>
      <c r="C88" s="276">
        <v>44316</v>
      </c>
      <c r="D88" s="257" t="s">
        <v>1259</v>
      </c>
      <c r="E88" s="256" t="s">
        <v>1788</v>
      </c>
      <c r="F88" s="256" t="s">
        <v>1866</v>
      </c>
      <c r="G88" s="258">
        <v>5905000000</v>
      </c>
      <c r="H88" s="265">
        <v>0.1</v>
      </c>
      <c r="I88" s="258">
        <v>590500000</v>
      </c>
      <c r="J88" s="258">
        <v>6495500000</v>
      </c>
      <c r="K88" s="256" t="s">
        <v>1346</v>
      </c>
    </row>
    <row r="89" spans="1:11" x14ac:dyDescent="0.3">
      <c r="A89" s="256">
        <v>28</v>
      </c>
      <c r="B89" s="257" t="s">
        <v>1392</v>
      </c>
      <c r="C89" s="276">
        <v>44377</v>
      </c>
      <c r="D89" s="257" t="s">
        <v>1287</v>
      </c>
      <c r="E89" s="256" t="s">
        <v>1801</v>
      </c>
      <c r="F89" s="256" t="s">
        <v>1866</v>
      </c>
      <c r="G89" s="258">
        <v>2176000000</v>
      </c>
      <c r="H89" s="265">
        <v>0.1</v>
      </c>
      <c r="I89" s="258">
        <v>217600000</v>
      </c>
      <c r="J89" s="258">
        <v>2393600000</v>
      </c>
      <c r="K89" s="256" t="s">
        <v>1346</v>
      </c>
    </row>
    <row r="90" spans="1:11" x14ac:dyDescent="0.3">
      <c r="A90" s="256">
        <v>29</v>
      </c>
      <c r="B90" s="257" t="s">
        <v>1394</v>
      </c>
      <c r="C90" s="276">
        <v>44469</v>
      </c>
      <c r="D90" s="257" t="s">
        <v>1290</v>
      </c>
      <c r="E90" s="256" t="s">
        <v>1796</v>
      </c>
      <c r="F90" s="256" t="s">
        <v>1866</v>
      </c>
      <c r="G90" s="258">
        <v>3253000000</v>
      </c>
      <c r="H90" s="265">
        <v>0.1</v>
      </c>
      <c r="I90" s="258">
        <v>325300000</v>
      </c>
      <c r="J90" s="258">
        <v>3578300000</v>
      </c>
      <c r="K90" s="256" t="s">
        <v>1346</v>
      </c>
    </row>
    <row r="91" spans="1:11" x14ac:dyDescent="0.3">
      <c r="A91" s="256">
        <v>30</v>
      </c>
      <c r="B91" s="257" t="s">
        <v>1396</v>
      </c>
      <c r="C91" s="276">
        <v>44530</v>
      </c>
      <c r="D91" s="257" t="s">
        <v>1257</v>
      </c>
      <c r="E91" s="256" t="s">
        <v>1815</v>
      </c>
      <c r="F91" s="256" t="s">
        <v>1864</v>
      </c>
      <c r="G91" s="258">
        <v>3387000000</v>
      </c>
      <c r="H91" s="265">
        <v>0.1</v>
      </c>
      <c r="I91" s="258">
        <v>338700000</v>
      </c>
      <c r="J91" s="258">
        <v>3725700000</v>
      </c>
      <c r="K91" s="256" t="s">
        <v>1346</v>
      </c>
    </row>
    <row r="92" spans="1:11" x14ac:dyDescent="0.3">
      <c r="A92" s="256">
        <v>31</v>
      </c>
      <c r="B92" s="257" t="s">
        <v>1397</v>
      </c>
      <c r="C92" s="276">
        <v>44286</v>
      </c>
      <c r="D92" s="257" t="s">
        <v>1272</v>
      </c>
      <c r="E92" s="256" t="s">
        <v>1805</v>
      </c>
      <c r="F92" s="256" t="s">
        <v>1866</v>
      </c>
      <c r="G92" s="258">
        <v>5944000000</v>
      </c>
      <c r="H92" s="265">
        <v>0</v>
      </c>
      <c r="I92" s="258">
        <v>0</v>
      </c>
      <c r="J92" s="258">
        <v>5944000000</v>
      </c>
      <c r="K92" s="256" t="s">
        <v>1346</v>
      </c>
    </row>
    <row r="93" spans="1:11" x14ac:dyDescent="0.3">
      <c r="A93" s="256">
        <v>32</v>
      </c>
      <c r="B93" s="257" t="s">
        <v>1398</v>
      </c>
      <c r="C93" s="276">
        <v>44347</v>
      </c>
      <c r="D93" s="257" t="s">
        <v>1267</v>
      </c>
      <c r="E93" s="256" t="s">
        <v>1810</v>
      </c>
      <c r="F93" s="256" t="s">
        <v>1864</v>
      </c>
      <c r="G93" s="258">
        <v>4029000000</v>
      </c>
      <c r="H93" s="265">
        <v>0.1</v>
      </c>
      <c r="I93" s="258">
        <v>402900000</v>
      </c>
      <c r="J93" s="258">
        <v>4431900000</v>
      </c>
      <c r="K93" s="256" t="s">
        <v>1346</v>
      </c>
    </row>
    <row r="94" spans="1:11" x14ac:dyDescent="0.3">
      <c r="A94" s="256">
        <v>33</v>
      </c>
      <c r="B94" s="257" t="s">
        <v>1399</v>
      </c>
      <c r="C94" s="276">
        <v>44408</v>
      </c>
      <c r="D94" s="257" t="s">
        <v>1269</v>
      </c>
      <c r="E94" s="256" t="s">
        <v>1823</v>
      </c>
      <c r="F94" s="256" t="s">
        <v>1867</v>
      </c>
      <c r="G94" s="258">
        <v>5363000000</v>
      </c>
      <c r="H94" s="265">
        <v>0.1</v>
      </c>
      <c r="I94" s="258">
        <v>536300000</v>
      </c>
      <c r="J94" s="258">
        <v>5899300000</v>
      </c>
      <c r="K94" s="256" t="s">
        <v>1348</v>
      </c>
    </row>
    <row r="95" spans="1:11" x14ac:dyDescent="0.3">
      <c r="A95" s="256">
        <v>34</v>
      </c>
      <c r="B95" s="257" t="s">
        <v>1401</v>
      </c>
      <c r="C95" s="276">
        <v>44439</v>
      </c>
      <c r="D95" s="257" t="s">
        <v>1266</v>
      </c>
      <c r="E95" s="256" t="s">
        <v>1824</v>
      </c>
      <c r="F95" s="256" t="s">
        <v>1865</v>
      </c>
      <c r="G95" s="258">
        <v>5609000000</v>
      </c>
      <c r="H95" s="265">
        <v>0.1</v>
      </c>
      <c r="I95" s="258">
        <v>560900000</v>
      </c>
      <c r="J95" s="258">
        <v>6169900000</v>
      </c>
      <c r="K95" s="256" t="s">
        <v>1346</v>
      </c>
    </row>
    <row r="96" spans="1:11" x14ac:dyDescent="0.3">
      <c r="A96" s="256">
        <v>35</v>
      </c>
      <c r="B96" s="257" t="s">
        <v>1402</v>
      </c>
      <c r="C96" s="276">
        <v>44500</v>
      </c>
      <c r="D96" s="257" t="s">
        <v>1278</v>
      </c>
      <c r="E96" s="256" t="s">
        <v>1785</v>
      </c>
      <c r="F96" s="256" t="s">
        <v>1866</v>
      </c>
      <c r="G96" s="258">
        <v>3406000000</v>
      </c>
      <c r="H96" s="265">
        <v>0</v>
      </c>
      <c r="I96" s="258">
        <v>0</v>
      </c>
      <c r="J96" s="258">
        <v>3406000000</v>
      </c>
      <c r="K96" s="256" t="s">
        <v>1348</v>
      </c>
    </row>
    <row r="97" spans="1:11" x14ac:dyDescent="0.3">
      <c r="A97" s="256">
        <v>36</v>
      </c>
      <c r="B97" s="257" t="s">
        <v>1403</v>
      </c>
      <c r="C97" s="276">
        <v>44561</v>
      </c>
      <c r="D97" s="257" t="s">
        <v>1287</v>
      </c>
      <c r="E97" s="256" t="s">
        <v>1801</v>
      </c>
      <c r="F97" s="256" t="s">
        <v>1865</v>
      </c>
      <c r="G97" s="258">
        <v>5177000000</v>
      </c>
      <c r="H97" s="265">
        <v>0.1</v>
      </c>
      <c r="I97" s="258">
        <v>517700000</v>
      </c>
      <c r="J97" s="258">
        <v>5694700000</v>
      </c>
      <c r="K97" s="256" t="s">
        <v>1346</v>
      </c>
    </row>
    <row r="98" spans="1:11" x14ac:dyDescent="0.3">
      <c r="A98" s="256">
        <v>37</v>
      </c>
      <c r="B98" s="257" t="s">
        <v>1404</v>
      </c>
      <c r="C98" s="276">
        <v>44561</v>
      </c>
      <c r="D98" s="257" t="s">
        <v>1281</v>
      </c>
      <c r="E98" s="256" t="s">
        <v>1806</v>
      </c>
      <c r="F98" s="256" t="s">
        <v>1867</v>
      </c>
      <c r="G98" s="258">
        <v>1824000000</v>
      </c>
      <c r="H98" s="265">
        <v>0.1</v>
      </c>
      <c r="I98" s="258">
        <v>182400000</v>
      </c>
      <c r="J98" s="258">
        <v>2006400000</v>
      </c>
      <c r="K98" s="256" t="s">
        <v>1346</v>
      </c>
    </row>
    <row r="99" spans="1:11" x14ac:dyDescent="0.3">
      <c r="A99" s="256">
        <v>38</v>
      </c>
      <c r="B99" s="257" t="s">
        <v>1405</v>
      </c>
      <c r="C99" s="276">
        <v>44561</v>
      </c>
      <c r="D99" s="257" t="s">
        <v>1276</v>
      </c>
      <c r="E99" s="256" t="s">
        <v>1822</v>
      </c>
      <c r="F99" s="256" t="s">
        <v>1865</v>
      </c>
      <c r="G99" s="258">
        <v>3753000000</v>
      </c>
      <c r="H99" s="265">
        <v>0.1</v>
      </c>
      <c r="I99" s="258">
        <v>375300000</v>
      </c>
      <c r="J99" s="258">
        <v>4128300000</v>
      </c>
      <c r="K99" s="256" t="s">
        <v>1346</v>
      </c>
    </row>
    <row r="100" spans="1:11" x14ac:dyDescent="0.3">
      <c r="A100" s="256">
        <v>39</v>
      </c>
      <c r="B100" s="257" t="s">
        <v>1406</v>
      </c>
      <c r="C100" s="276">
        <v>44561</v>
      </c>
      <c r="D100" s="257" t="s">
        <v>1301</v>
      </c>
      <c r="E100" s="256" t="s">
        <v>1781</v>
      </c>
      <c r="F100" s="256" t="s">
        <v>1866</v>
      </c>
      <c r="G100" s="258">
        <v>3650000000</v>
      </c>
      <c r="H100" s="265">
        <v>0.1</v>
      </c>
      <c r="I100" s="258">
        <v>365000000</v>
      </c>
      <c r="J100" s="258">
        <v>4015000000</v>
      </c>
      <c r="K100" s="256" t="s">
        <v>1346</v>
      </c>
    </row>
    <row r="101" spans="1:11" x14ac:dyDescent="0.3">
      <c r="A101" s="256">
        <v>40</v>
      </c>
      <c r="B101" s="257" t="s">
        <v>1408</v>
      </c>
      <c r="C101" s="276">
        <v>44561</v>
      </c>
      <c r="D101" s="257" t="s">
        <v>1296</v>
      </c>
      <c r="E101" s="256" t="s">
        <v>1807</v>
      </c>
      <c r="F101" s="256" t="s">
        <v>1866</v>
      </c>
      <c r="G101" s="258">
        <v>5821000000</v>
      </c>
      <c r="H101" s="265">
        <v>0</v>
      </c>
      <c r="I101" s="258">
        <v>0</v>
      </c>
      <c r="J101" s="258">
        <v>5821000000</v>
      </c>
      <c r="K101" s="256" t="s">
        <v>1346</v>
      </c>
    </row>
    <row r="102" spans="1:11" x14ac:dyDescent="0.3">
      <c r="A102" s="256">
        <v>41</v>
      </c>
      <c r="B102" s="257" t="s">
        <v>1409</v>
      </c>
      <c r="C102" s="276">
        <v>44561</v>
      </c>
      <c r="D102" s="257" t="s">
        <v>1278</v>
      </c>
      <c r="E102" s="256" t="s">
        <v>1785</v>
      </c>
      <c r="F102" s="256" t="s">
        <v>1864</v>
      </c>
      <c r="G102" s="258">
        <v>3867000000</v>
      </c>
      <c r="H102" s="265">
        <v>0.1</v>
      </c>
      <c r="I102" s="258">
        <v>386700000</v>
      </c>
      <c r="J102" s="258">
        <v>4253700000</v>
      </c>
      <c r="K102" s="256" t="s">
        <v>1346</v>
      </c>
    </row>
    <row r="103" spans="1:11" x14ac:dyDescent="0.3">
      <c r="A103" s="256">
        <v>42</v>
      </c>
      <c r="B103" s="257" t="s">
        <v>1411</v>
      </c>
      <c r="C103" s="276">
        <v>44561</v>
      </c>
      <c r="D103" s="257" t="s">
        <v>1304</v>
      </c>
      <c r="E103" s="256" t="s">
        <v>1831</v>
      </c>
      <c r="F103" s="256" t="s">
        <v>1864</v>
      </c>
      <c r="G103" s="258">
        <v>3927000000</v>
      </c>
      <c r="H103" s="265">
        <v>0.1</v>
      </c>
      <c r="I103" s="258">
        <v>392700000</v>
      </c>
      <c r="J103" s="258">
        <v>4319700000</v>
      </c>
      <c r="K103" s="256" t="s">
        <v>1348</v>
      </c>
    </row>
    <row r="104" spans="1:11" x14ac:dyDescent="0.3">
      <c r="A104" s="256">
        <v>43</v>
      </c>
      <c r="B104" s="257" t="s">
        <v>1414</v>
      </c>
      <c r="C104" s="276">
        <v>44561</v>
      </c>
      <c r="D104" s="257" t="s">
        <v>1302</v>
      </c>
      <c r="E104" s="256" t="s">
        <v>1784</v>
      </c>
      <c r="F104" s="256" t="s">
        <v>1866</v>
      </c>
      <c r="G104" s="258">
        <v>5409000000</v>
      </c>
      <c r="H104" s="265">
        <v>0.1</v>
      </c>
      <c r="I104" s="258">
        <v>540900000</v>
      </c>
      <c r="J104" s="258">
        <v>5949900000</v>
      </c>
      <c r="K104" s="256" t="s">
        <v>1346</v>
      </c>
    </row>
    <row r="105" spans="1:11" x14ac:dyDescent="0.3">
      <c r="A105" s="256">
        <v>44</v>
      </c>
      <c r="B105" s="257" t="s">
        <v>1415</v>
      </c>
      <c r="C105" s="276">
        <v>44561</v>
      </c>
      <c r="D105" s="257" t="s">
        <v>1284</v>
      </c>
      <c r="E105" s="256" t="s">
        <v>1786</v>
      </c>
      <c r="F105" s="256" t="s">
        <v>1864</v>
      </c>
      <c r="G105" s="258">
        <v>1954000000</v>
      </c>
      <c r="H105" s="265">
        <v>0.1</v>
      </c>
      <c r="I105" s="258">
        <v>195400000</v>
      </c>
      <c r="J105" s="258">
        <v>2149400000</v>
      </c>
      <c r="K105" s="256" t="s">
        <v>1346</v>
      </c>
    </row>
    <row r="106" spans="1:11" x14ac:dyDescent="0.3">
      <c r="A106" s="256">
        <v>45</v>
      </c>
      <c r="B106" s="257" t="s">
        <v>1206</v>
      </c>
      <c r="C106" s="276">
        <v>44561</v>
      </c>
      <c r="D106" s="257" t="s">
        <v>1276</v>
      </c>
      <c r="E106" s="256" t="s">
        <v>1822</v>
      </c>
      <c r="F106" s="256" t="s">
        <v>1866</v>
      </c>
      <c r="G106" s="258">
        <v>4830000000</v>
      </c>
      <c r="H106" s="265">
        <v>0.1</v>
      </c>
      <c r="I106" s="258">
        <v>483000000</v>
      </c>
      <c r="J106" s="258">
        <v>5313000000</v>
      </c>
      <c r="K106" s="256" t="s">
        <v>1346</v>
      </c>
    </row>
    <row r="107" spans="1:11" x14ac:dyDescent="0.3">
      <c r="A107" s="256">
        <v>46</v>
      </c>
      <c r="B107" s="257" t="s">
        <v>1207</v>
      </c>
      <c r="C107" s="276">
        <v>44561</v>
      </c>
      <c r="D107" s="257" t="s">
        <v>1261</v>
      </c>
      <c r="E107" s="256" t="s">
        <v>1813</v>
      </c>
      <c r="F107" s="256" t="s">
        <v>1867</v>
      </c>
      <c r="G107" s="258">
        <v>6176000000</v>
      </c>
      <c r="H107" s="265">
        <v>0.1</v>
      </c>
      <c r="I107" s="258">
        <v>617600000</v>
      </c>
      <c r="J107" s="258">
        <v>6793600000</v>
      </c>
      <c r="K107" s="256" t="s">
        <v>1346</v>
      </c>
    </row>
    <row r="108" spans="1:11" x14ac:dyDescent="0.3">
      <c r="A108" s="256">
        <v>47</v>
      </c>
      <c r="B108" s="257" t="s">
        <v>1208</v>
      </c>
      <c r="C108" s="276">
        <v>44561</v>
      </c>
      <c r="D108" s="257" t="s">
        <v>1274</v>
      </c>
      <c r="E108" s="256" t="s">
        <v>1794</v>
      </c>
      <c r="F108" s="256" t="s">
        <v>1867</v>
      </c>
      <c r="G108" s="258">
        <v>5066000000</v>
      </c>
      <c r="H108" s="265">
        <v>0.1</v>
      </c>
      <c r="I108" s="258">
        <v>506600000</v>
      </c>
      <c r="J108" s="258">
        <v>5572600000</v>
      </c>
      <c r="K108" s="256" t="s">
        <v>1348</v>
      </c>
    </row>
    <row r="109" spans="1:11" x14ac:dyDescent="0.3">
      <c r="A109" s="256">
        <v>48</v>
      </c>
      <c r="B109" s="257" t="s">
        <v>1209</v>
      </c>
      <c r="C109" s="276">
        <v>44561</v>
      </c>
      <c r="D109" s="257" t="s">
        <v>1297</v>
      </c>
      <c r="E109" s="256" t="s">
        <v>1820</v>
      </c>
      <c r="F109" s="256" t="s">
        <v>1864</v>
      </c>
      <c r="G109" s="258">
        <v>4064000000</v>
      </c>
      <c r="H109" s="265">
        <v>0.1</v>
      </c>
      <c r="I109" s="258">
        <v>406400000</v>
      </c>
      <c r="J109" s="258">
        <v>4470400000</v>
      </c>
      <c r="K109" s="256" t="s">
        <v>1348</v>
      </c>
    </row>
    <row r="110" spans="1:11" x14ac:dyDescent="0.3">
      <c r="A110" s="256">
        <v>49</v>
      </c>
      <c r="B110" s="257" t="s">
        <v>1418</v>
      </c>
      <c r="C110" s="276">
        <v>44561</v>
      </c>
      <c r="D110" s="257" t="s">
        <v>1278</v>
      </c>
      <c r="E110" s="256" t="s">
        <v>1785</v>
      </c>
      <c r="F110" s="256" t="s">
        <v>1864</v>
      </c>
      <c r="G110" s="258">
        <v>3928000000</v>
      </c>
      <c r="H110" s="265">
        <v>0.1</v>
      </c>
      <c r="I110" s="258">
        <v>392800000</v>
      </c>
      <c r="J110" s="258">
        <v>4320800000</v>
      </c>
      <c r="K110" s="256" t="s">
        <v>1346</v>
      </c>
    </row>
    <row r="111" spans="1:11" x14ac:dyDescent="0.3">
      <c r="A111" s="256">
        <v>50</v>
      </c>
      <c r="B111" s="257" t="s">
        <v>1419</v>
      </c>
      <c r="C111" s="276">
        <v>44561</v>
      </c>
      <c r="D111" s="257" t="s">
        <v>1266</v>
      </c>
      <c r="E111" s="256" t="s">
        <v>1824</v>
      </c>
      <c r="F111" s="256" t="s">
        <v>1865</v>
      </c>
      <c r="G111" s="258">
        <v>3014000000</v>
      </c>
      <c r="H111" s="265">
        <v>0.1</v>
      </c>
      <c r="I111" s="258">
        <v>301400000</v>
      </c>
      <c r="J111" s="258">
        <v>3315400000</v>
      </c>
      <c r="K111" s="256" t="s">
        <v>1346</v>
      </c>
    </row>
    <row r="112" spans="1:11" x14ac:dyDescent="0.3">
      <c r="A112" s="266" t="s">
        <v>1351</v>
      </c>
      <c r="B112" s="266"/>
      <c r="C112" s="266"/>
      <c r="D112" s="266"/>
      <c r="E112" s="266"/>
      <c r="F112" s="266"/>
      <c r="G112" s="267">
        <f>SUM(G62:G111)</f>
        <v>199649000000</v>
      </c>
      <c r="H112" s="266"/>
      <c r="I112" s="267">
        <f>SUM(I62:I111)</f>
        <v>18043600000</v>
      </c>
      <c r="J112" s="267">
        <f>SUM(J62:J111)</f>
        <v>217692600000</v>
      </c>
      <c r="K112" s="266"/>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920</v>
      </c>
      <c r="C1" s="256"/>
      <c r="D1" s="256"/>
      <c r="E1" s="256"/>
      <c r="F1" s="256"/>
      <c r="G1" s="256"/>
      <c r="H1" s="256"/>
      <c r="I1" s="256"/>
      <c r="J1" s="256"/>
      <c r="K1" s="256"/>
    </row>
    <row r="2" spans="1:11" x14ac:dyDescent="0.3">
      <c r="A2" s="256" t="s">
        <v>1339</v>
      </c>
      <c r="B2" s="257">
        <v>107720402</v>
      </c>
      <c r="C2" s="256"/>
      <c r="D2" s="256"/>
      <c r="E2" s="256"/>
      <c r="F2" s="256"/>
      <c r="G2" s="256"/>
      <c r="H2" s="256"/>
      <c r="I2" s="256"/>
      <c r="J2" s="256"/>
      <c r="K2" s="256"/>
    </row>
    <row r="3" spans="1:11" x14ac:dyDescent="0.3">
      <c r="A3" s="256" t="s">
        <v>1343</v>
      </c>
      <c r="B3" s="258">
        <v>414933892207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1480</v>
      </c>
      <c r="C8" s="276">
        <v>44317</v>
      </c>
      <c r="D8" s="257" t="s">
        <v>1304</v>
      </c>
      <c r="E8" s="256" t="s">
        <v>1831</v>
      </c>
      <c r="F8" s="256" t="s">
        <v>1609</v>
      </c>
      <c r="G8" s="258">
        <v>3067000000</v>
      </c>
      <c r="H8" s="265">
        <v>0.1</v>
      </c>
      <c r="I8" s="258">
        <v>306700000</v>
      </c>
      <c r="J8" s="258">
        <v>3373700000</v>
      </c>
      <c r="K8" s="256" t="s">
        <v>1346</v>
      </c>
    </row>
    <row r="9" spans="1:11" x14ac:dyDescent="0.3">
      <c r="A9" s="256">
        <v>2</v>
      </c>
      <c r="B9" s="257" t="s">
        <v>1480</v>
      </c>
      <c r="C9" s="276">
        <v>44318</v>
      </c>
      <c r="D9" s="257" t="s">
        <v>1270</v>
      </c>
      <c r="E9" s="256" t="s">
        <v>1782</v>
      </c>
      <c r="F9" s="256" t="s">
        <v>1609</v>
      </c>
      <c r="G9" s="258">
        <v>8129000000</v>
      </c>
      <c r="H9" s="265">
        <v>0.1</v>
      </c>
      <c r="I9" s="258">
        <v>812900000</v>
      </c>
      <c r="J9" s="258">
        <v>8941900000</v>
      </c>
      <c r="K9" s="256" t="s">
        <v>1346</v>
      </c>
    </row>
    <row r="10" spans="1:11" x14ac:dyDescent="0.3">
      <c r="A10" s="256">
        <v>3</v>
      </c>
      <c r="B10" s="257" t="s">
        <v>1470</v>
      </c>
      <c r="C10" s="276">
        <v>44472</v>
      </c>
      <c r="D10" s="257" t="s">
        <v>1268</v>
      </c>
      <c r="E10" s="256" t="s">
        <v>1821</v>
      </c>
      <c r="F10" s="256" t="s">
        <v>1880</v>
      </c>
      <c r="G10" s="258">
        <v>9101000000</v>
      </c>
      <c r="H10" s="265">
        <v>0.1</v>
      </c>
      <c r="I10" s="258">
        <v>910100000</v>
      </c>
      <c r="J10" s="258">
        <v>10011100000</v>
      </c>
      <c r="K10" s="256" t="s">
        <v>1346</v>
      </c>
    </row>
    <row r="11" spans="1:11" x14ac:dyDescent="0.3">
      <c r="A11" s="256">
        <v>4</v>
      </c>
      <c r="B11" s="257" t="s">
        <v>1472</v>
      </c>
      <c r="C11" s="276">
        <v>44473</v>
      </c>
      <c r="D11" s="257" t="s">
        <v>1279</v>
      </c>
      <c r="E11" s="256" t="s">
        <v>1827</v>
      </c>
      <c r="F11" s="256" t="s">
        <v>1879</v>
      </c>
      <c r="G11" s="258">
        <v>5458000000</v>
      </c>
      <c r="H11" s="265">
        <v>0.1</v>
      </c>
      <c r="I11" s="258">
        <v>545800000</v>
      </c>
      <c r="J11" s="258">
        <v>6003800000</v>
      </c>
      <c r="K11" s="256" t="s">
        <v>1348</v>
      </c>
    </row>
    <row r="12" spans="1:11" x14ac:dyDescent="0.3">
      <c r="A12" s="256">
        <v>5</v>
      </c>
      <c r="B12" s="257" t="s">
        <v>1473</v>
      </c>
      <c r="C12" s="276">
        <v>44474</v>
      </c>
      <c r="D12" s="257" t="s">
        <v>1275</v>
      </c>
      <c r="E12" s="256" t="s">
        <v>1808</v>
      </c>
      <c r="F12" s="256" t="s">
        <v>1609</v>
      </c>
      <c r="G12" s="258">
        <v>2818000000</v>
      </c>
      <c r="H12" s="265">
        <v>0.1</v>
      </c>
      <c r="I12" s="258">
        <v>281800000</v>
      </c>
      <c r="J12" s="258">
        <v>3099800000</v>
      </c>
      <c r="K12" s="256" t="s">
        <v>1346</v>
      </c>
    </row>
    <row r="13" spans="1:11" x14ac:dyDescent="0.3">
      <c r="A13" s="256">
        <v>6</v>
      </c>
      <c r="B13" s="257" t="s">
        <v>1464</v>
      </c>
      <c r="C13" s="276">
        <v>44475</v>
      </c>
      <c r="D13" s="257" t="s">
        <v>1280</v>
      </c>
      <c r="E13" s="256" t="s">
        <v>1777</v>
      </c>
      <c r="F13" s="256" t="s">
        <v>1876</v>
      </c>
      <c r="G13" s="258">
        <v>9283000000</v>
      </c>
      <c r="H13" s="265">
        <v>0.1</v>
      </c>
      <c r="I13" s="258">
        <v>928300000</v>
      </c>
      <c r="J13" s="258">
        <v>10211300000</v>
      </c>
      <c r="K13" s="256" t="s">
        <v>1346</v>
      </c>
    </row>
    <row r="14" spans="1:11" x14ac:dyDescent="0.3">
      <c r="A14" s="256">
        <v>7</v>
      </c>
      <c r="B14" s="257" t="s">
        <v>1479</v>
      </c>
      <c r="C14" s="276">
        <v>44476</v>
      </c>
      <c r="D14" s="257" t="s">
        <v>1260</v>
      </c>
      <c r="E14" s="256" t="s">
        <v>1804</v>
      </c>
      <c r="F14" s="256" t="s">
        <v>1879</v>
      </c>
      <c r="G14" s="258">
        <v>3606000000</v>
      </c>
      <c r="H14" s="265">
        <v>0.1</v>
      </c>
      <c r="I14" s="258">
        <v>360600000</v>
      </c>
      <c r="J14" s="258">
        <v>3966600000</v>
      </c>
      <c r="K14" s="256" t="s">
        <v>1346</v>
      </c>
    </row>
    <row r="15" spans="1:11" x14ac:dyDescent="0.3">
      <c r="A15" s="256">
        <v>8</v>
      </c>
      <c r="B15" s="257" t="s">
        <v>1478</v>
      </c>
      <c r="C15" s="276">
        <v>44477</v>
      </c>
      <c r="D15" s="257" t="s">
        <v>1272</v>
      </c>
      <c r="E15" s="256" t="s">
        <v>1805</v>
      </c>
      <c r="F15" s="256" t="s">
        <v>1877</v>
      </c>
      <c r="G15" s="258">
        <v>8690000000</v>
      </c>
      <c r="H15" s="265">
        <v>0.1</v>
      </c>
      <c r="I15" s="258">
        <v>869000000</v>
      </c>
      <c r="J15" s="258">
        <v>9559000000</v>
      </c>
      <c r="K15" s="256" t="s">
        <v>1346</v>
      </c>
    </row>
    <row r="16" spans="1:11" x14ac:dyDescent="0.3">
      <c r="A16" s="256">
        <v>9</v>
      </c>
      <c r="B16" s="257" t="s">
        <v>1404</v>
      </c>
      <c r="C16" s="276">
        <v>44478</v>
      </c>
      <c r="D16" s="257" t="s">
        <v>1297</v>
      </c>
      <c r="E16" s="256" t="s">
        <v>1820</v>
      </c>
      <c r="F16" s="256" t="s">
        <v>1877</v>
      </c>
      <c r="G16" s="258">
        <v>9162000000</v>
      </c>
      <c r="H16" s="265">
        <v>0.1</v>
      </c>
      <c r="I16" s="258">
        <v>916200000</v>
      </c>
      <c r="J16" s="258">
        <v>10078200000</v>
      </c>
      <c r="K16" s="256" t="s">
        <v>1348</v>
      </c>
    </row>
    <row r="17" spans="1:11" x14ac:dyDescent="0.3">
      <c r="A17" s="256">
        <v>10</v>
      </c>
      <c r="B17" s="257" t="s">
        <v>1208</v>
      </c>
      <c r="C17" s="276">
        <v>44479</v>
      </c>
      <c r="D17" s="257" t="s">
        <v>1267</v>
      </c>
      <c r="E17" s="256" t="s">
        <v>1810</v>
      </c>
      <c r="F17" s="256" t="s">
        <v>1878</v>
      </c>
      <c r="G17" s="258">
        <v>2808000000</v>
      </c>
      <c r="H17" s="265">
        <v>0.1</v>
      </c>
      <c r="I17" s="258">
        <v>280800000</v>
      </c>
      <c r="J17" s="258">
        <v>3088800000</v>
      </c>
      <c r="K17" s="256" t="s">
        <v>1346</v>
      </c>
    </row>
    <row r="18" spans="1:11" x14ac:dyDescent="0.3">
      <c r="A18" s="256">
        <v>11</v>
      </c>
      <c r="B18" s="257" t="s">
        <v>1474</v>
      </c>
      <c r="C18" s="276">
        <v>44480</v>
      </c>
      <c r="D18" s="257" t="s">
        <v>1256</v>
      </c>
      <c r="E18" s="256" t="s">
        <v>1802</v>
      </c>
      <c r="F18" s="256" t="s">
        <v>1876</v>
      </c>
      <c r="G18" s="258">
        <v>3658000000</v>
      </c>
      <c r="H18" s="265">
        <v>0.1</v>
      </c>
      <c r="I18" s="258">
        <v>365800000</v>
      </c>
      <c r="J18" s="258">
        <v>4023800000</v>
      </c>
      <c r="K18" s="256" t="s">
        <v>1346</v>
      </c>
    </row>
    <row r="19" spans="1:11" x14ac:dyDescent="0.3">
      <c r="A19" s="256">
        <v>12</v>
      </c>
      <c r="B19" s="257" t="s">
        <v>1457</v>
      </c>
      <c r="C19" s="276">
        <v>44481</v>
      </c>
      <c r="D19" s="257" t="s">
        <v>1299</v>
      </c>
      <c r="E19" s="256" t="s">
        <v>1776</v>
      </c>
      <c r="F19" s="256" t="s">
        <v>1880</v>
      </c>
      <c r="G19" s="258">
        <v>2681000000</v>
      </c>
      <c r="H19" s="265">
        <v>0.1</v>
      </c>
      <c r="I19" s="258">
        <v>268100000</v>
      </c>
      <c r="J19" s="258">
        <v>2949100000</v>
      </c>
      <c r="K19" s="256" t="s">
        <v>1346</v>
      </c>
    </row>
    <row r="20" spans="1:11" x14ac:dyDescent="0.3">
      <c r="A20" s="256">
        <v>13</v>
      </c>
      <c r="B20" s="257" t="s">
        <v>1466</v>
      </c>
      <c r="C20" s="276">
        <v>44211</v>
      </c>
      <c r="D20" s="257" t="s">
        <v>1278</v>
      </c>
      <c r="E20" s="256" t="s">
        <v>1785</v>
      </c>
      <c r="F20" s="256" t="s">
        <v>1879</v>
      </c>
      <c r="G20" s="258">
        <v>7986000000</v>
      </c>
      <c r="H20" s="265">
        <v>0.1</v>
      </c>
      <c r="I20" s="258">
        <v>798600000</v>
      </c>
      <c r="J20" s="258">
        <v>8784600000</v>
      </c>
      <c r="K20" s="256" t="s">
        <v>1346</v>
      </c>
    </row>
    <row r="21" spans="1:11" x14ac:dyDescent="0.3">
      <c r="A21" s="256">
        <v>14</v>
      </c>
      <c r="B21" s="257" t="s">
        <v>1207</v>
      </c>
      <c r="C21" s="276">
        <v>44242</v>
      </c>
      <c r="D21" s="257" t="s">
        <v>1255</v>
      </c>
      <c r="E21" s="273">
        <v>46152</v>
      </c>
      <c r="F21" s="256" t="s">
        <v>1879</v>
      </c>
      <c r="G21" s="258">
        <v>4011000000</v>
      </c>
      <c r="H21" s="265">
        <v>0.1</v>
      </c>
      <c r="I21" s="258">
        <v>401100000</v>
      </c>
      <c r="J21" s="258">
        <v>4412100000</v>
      </c>
      <c r="K21" s="256" t="s">
        <v>1346</v>
      </c>
    </row>
    <row r="22" spans="1:11" x14ac:dyDescent="0.3">
      <c r="A22" s="256">
        <v>15</v>
      </c>
      <c r="B22" s="257" t="s">
        <v>1483</v>
      </c>
      <c r="C22" s="276">
        <v>44275</v>
      </c>
      <c r="D22" s="257" t="s">
        <v>1274</v>
      </c>
      <c r="E22" s="256" t="s">
        <v>1794</v>
      </c>
      <c r="F22" s="256" t="s">
        <v>1880</v>
      </c>
      <c r="G22" s="258">
        <v>9334000000</v>
      </c>
      <c r="H22" s="265">
        <v>0.1</v>
      </c>
      <c r="I22" s="258">
        <v>933400000</v>
      </c>
      <c r="J22" s="258">
        <v>10267400000</v>
      </c>
      <c r="K22" s="256" t="s">
        <v>1346</v>
      </c>
    </row>
    <row r="23" spans="1:11" x14ac:dyDescent="0.3">
      <c r="A23" s="256">
        <v>16</v>
      </c>
      <c r="B23" s="257" t="s">
        <v>1463</v>
      </c>
      <c r="C23" s="276">
        <v>44306</v>
      </c>
      <c r="D23" s="257" t="s">
        <v>1262</v>
      </c>
      <c r="E23" s="256" t="s">
        <v>1816</v>
      </c>
      <c r="F23" s="256" t="s">
        <v>1878</v>
      </c>
      <c r="G23" s="258">
        <v>4224000000</v>
      </c>
      <c r="H23" s="265">
        <v>0.1</v>
      </c>
      <c r="I23" s="258">
        <v>422400000</v>
      </c>
      <c r="J23" s="258">
        <v>4646400000</v>
      </c>
      <c r="K23" s="256" t="s">
        <v>1346</v>
      </c>
    </row>
    <row r="24" spans="1:11" x14ac:dyDescent="0.3">
      <c r="A24" s="256">
        <v>17</v>
      </c>
      <c r="B24" s="257" t="s">
        <v>1406</v>
      </c>
      <c r="C24" s="276">
        <v>44336</v>
      </c>
      <c r="D24" s="257" t="s">
        <v>1292</v>
      </c>
      <c r="E24" s="256" t="s">
        <v>1792</v>
      </c>
      <c r="F24" s="256" t="s">
        <v>1878</v>
      </c>
      <c r="G24" s="258">
        <v>3688000000</v>
      </c>
      <c r="H24" s="265">
        <v>0.1</v>
      </c>
      <c r="I24" s="258">
        <v>368800000</v>
      </c>
      <c r="J24" s="258">
        <v>4056800000</v>
      </c>
      <c r="K24" s="256" t="s">
        <v>1348</v>
      </c>
    </row>
    <row r="25" spans="1:11" x14ac:dyDescent="0.3">
      <c r="A25" s="256">
        <v>18</v>
      </c>
      <c r="B25" s="257" t="s">
        <v>1415</v>
      </c>
      <c r="C25" s="276">
        <v>44367</v>
      </c>
      <c r="D25" s="257" t="s">
        <v>1301</v>
      </c>
      <c r="E25" s="256" t="s">
        <v>1781</v>
      </c>
      <c r="F25" s="256" t="s">
        <v>1609</v>
      </c>
      <c r="G25" s="258">
        <v>3503000000</v>
      </c>
      <c r="H25" s="265">
        <v>0.1</v>
      </c>
      <c r="I25" s="258">
        <v>350300000</v>
      </c>
      <c r="J25" s="258">
        <v>3853300000</v>
      </c>
      <c r="K25" s="256" t="s">
        <v>1346</v>
      </c>
    </row>
    <row r="26" spans="1:11" x14ac:dyDescent="0.3">
      <c r="A26" s="256">
        <v>19</v>
      </c>
      <c r="B26" s="257" t="s">
        <v>1468</v>
      </c>
      <c r="C26" s="276">
        <v>44397</v>
      </c>
      <c r="D26" s="257" t="s">
        <v>1288</v>
      </c>
      <c r="E26" s="256" t="s">
        <v>1797</v>
      </c>
      <c r="F26" s="256" t="s">
        <v>1878</v>
      </c>
      <c r="G26" s="258">
        <v>7353000000</v>
      </c>
      <c r="H26" s="265">
        <v>0.1</v>
      </c>
      <c r="I26" s="258">
        <v>735300000</v>
      </c>
      <c r="J26" s="258">
        <v>8088300000</v>
      </c>
      <c r="K26" s="256" t="s">
        <v>1346</v>
      </c>
    </row>
    <row r="27" spans="1:11" x14ac:dyDescent="0.3">
      <c r="A27" s="256">
        <v>20</v>
      </c>
      <c r="B27" s="257" t="s">
        <v>1474</v>
      </c>
      <c r="C27" s="276">
        <v>44428</v>
      </c>
      <c r="D27" s="257" t="s">
        <v>1275</v>
      </c>
      <c r="E27" s="256" t="s">
        <v>1808</v>
      </c>
      <c r="F27" s="256" t="s">
        <v>1879</v>
      </c>
      <c r="G27" s="258">
        <v>5954000000</v>
      </c>
      <c r="H27" s="265">
        <v>0.1</v>
      </c>
      <c r="I27" s="258">
        <v>595400000</v>
      </c>
      <c r="J27" s="258">
        <v>6549400000</v>
      </c>
      <c r="K27" s="256" t="s">
        <v>1346</v>
      </c>
    </row>
    <row r="28" spans="1:11" x14ac:dyDescent="0.3">
      <c r="A28" s="256">
        <v>21</v>
      </c>
      <c r="B28" s="257" t="s">
        <v>1481</v>
      </c>
      <c r="C28" s="276">
        <v>44459</v>
      </c>
      <c r="D28" s="257" t="s">
        <v>1304</v>
      </c>
      <c r="E28" s="256" t="s">
        <v>1831</v>
      </c>
      <c r="F28" s="256" t="s">
        <v>1877</v>
      </c>
      <c r="G28" s="258">
        <v>9461000000</v>
      </c>
      <c r="H28" s="265">
        <v>0.1</v>
      </c>
      <c r="I28" s="258">
        <v>946100000</v>
      </c>
      <c r="J28" s="258">
        <v>10407100000</v>
      </c>
      <c r="K28" s="256" t="s">
        <v>1346</v>
      </c>
    </row>
    <row r="29" spans="1:11" x14ac:dyDescent="0.3">
      <c r="A29" s="256">
        <v>22</v>
      </c>
      <c r="B29" s="257" t="s">
        <v>1464</v>
      </c>
      <c r="C29" s="276">
        <v>44489</v>
      </c>
      <c r="D29" s="257" t="s">
        <v>1262</v>
      </c>
      <c r="E29" s="256" t="s">
        <v>1816</v>
      </c>
      <c r="F29" s="256" t="s">
        <v>1877</v>
      </c>
      <c r="G29" s="258">
        <v>6317000000</v>
      </c>
      <c r="H29" s="265">
        <v>0.1</v>
      </c>
      <c r="I29" s="258">
        <v>631700000</v>
      </c>
      <c r="J29" s="258">
        <v>6948700000</v>
      </c>
      <c r="K29" s="256" t="s">
        <v>1346</v>
      </c>
    </row>
    <row r="30" spans="1:11" x14ac:dyDescent="0.3">
      <c r="A30" s="256">
        <v>23</v>
      </c>
      <c r="B30" s="257" t="s">
        <v>1392</v>
      </c>
      <c r="C30" s="276">
        <v>44520</v>
      </c>
      <c r="D30" s="257" t="s">
        <v>1303</v>
      </c>
      <c r="E30" s="256" t="s">
        <v>1817</v>
      </c>
      <c r="F30" s="256" t="s">
        <v>1879</v>
      </c>
      <c r="G30" s="258">
        <v>5263000000</v>
      </c>
      <c r="H30" s="265">
        <v>0.1</v>
      </c>
      <c r="I30" s="258">
        <v>526300000</v>
      </c>
      <c r="J30" s="258">
        <v>5789300000</v>
      </c>
      <c r="K30" s="256" t="s">
        <v>1346</v>
      </c>
    </row>
    <row r="31" spans="1:11" x14ac:dyDescent="0.3">
      <c r="A31" s="256">
        <v>24</v>
      </c>
      <c r="B31" s="257" t="s">
        <v>1403</v>
      </c>
      <c r="C31" s="276">
        <v>44550</v>
      </c>
      <c r="D31" s="257" t="s">
        <v>1295</v>
      </c>
      <c r="E31" s="256" t="s">
        <v>1825</v>
      </c>
      <c r="F31" s="256" t="s">
        <v>1609</v>
      </c>
      <c r="G31" s="258">
        <v>9317000000</v>
      </c>
      <c r="H31" s="265">
        <v>0.1</v>
      </c>
      <c r="I31" s="258">
        <v>931700000</v>
      </c>
      <c r="J31" s="258">
        <v>10248700000</v>
      </c>
      <c r="K31" s="256" t="s">
        <v>1346</v>
      </c>
    </row>
    <row r="32" spans="1:11" x14ac:dyDescent="0.3">
      <c r="A32" s="256">
        <v>25</v>
      </c>
      <c r="B32" s="257" t="s">
        <v>1471</v>
      </c>
      <c r="C32" s="276">
        <v>44221</v>
      </c>
      <c r="D32" s="257" t="s">
        <v>1268</v>
      </c>
      <c r="E32" s="256" t="s">
        <v>1821</v>
      </c>
      <c r="F32" s="256" t="s">
        <v>1878</v>
      </c>
      <c r="G32" s="258">
        <v>3016000000</v>
      </c>
      <c r="H32" s="265">
        <v>0.1</v>
      </c>
      <c r="I32" s="258">
        <v>301600000</v>
      </c>
      <c r="J32" s="258">
        <v>3317600000</v>
      </c>
      <c r="K32" s="256" t="s">
        <v>1346</v>
      </c>
    </row>
    <row r="33" spans="1:11" x14ac:dyDescent="0.3">
      <c r="A33" s="256">
        <v>26</v>
      </c>
      <c r="B33" s="257" t="s">
        <v>1465</v>
      </c>
      <c r="C33" s="276">
        <v>44255</v>
      </c>
      <c r="D33" s="257" t="s">
        <v>1280</v>
      </c>
      <c r="E33" s="256" t="s">
        <v>1777</v>
      </c>
      <c r="F33" s="256" t="s">
        <v>1879</v>
      </c>
      <c r="G33" s="258">
        <v>9590000000</v>
      </c>
      <c r="H33" s="265">
        <v>0.1</v>
      </c>
      <c r="I33" s="258">
        <v>959000000</v>
      </c>
      <c r="J33" s="258">
        <v>10549000000</v>
      </c>
      <c r="K33" s="256" t="s">
        <v>1346</v>
      </c>
    </row>
    <row r="34" spans="1:11" x14ac:dyDescent="0.3">
      <c r="A34" s="256">
        <v>27</v>
      </c>
      <c r="B34" s="257" t="s">
        <v>1488</v>
      </c>
      <c r="C34" s="276">
        <v>44316</v>
      </c>
      <c r="D34" s="257" t="s">
        <v>1259</v>
      </c>
      <c r="E34" s="256" t="s">
        <v>1788</v>
      </c>
      <c r="F34" s="256" t="s">
        <v>1880</v>
      </c>
      <c r="G34" s="258">
        <v>8449000000</v>
      </c>
      <c r="H34" s="265">
        <v>0.1</v>
      </c>
      <c r="I34" s="258">
        <v>844900000</v>
      </c>
      <c r="J34" s="258">
        <v>9293900000</v>
      </c>
      <c r="K34" s="256" t="s">
        <v>1346</v>
      </c>
    </row>
    <row r="35" spans="1:11" x14ac:dyDescent="0.3">
      <c r="A35" s="256">
        <v>28</v>
      </c>
      <c r="B35" s="257" t="s">
        <v>1472</v>
      </c>
      <c r="C35" s="276">
        <v>44377</v>
      </c>
      <c r="D35" s="257" t="s">
        <v>1273</v>
      </c>
      <c r="E35" s="256" t="s">
        <v>1829</v>
      </c>
      <c r="F35" s="256" t="s">
        <v>1878</v>
      </c>
      <c r="G35" s="258">
        <v>7816000000</v>
      </c>
      <c r="H35" s="265">
        <v>0</v>
      </c>
      <c r="I35" s="258">
        <v>0</v>
      </c>
      <c r="J35" s="258">
        <v>7816000000</v>
      </c>
      <c r="K35" s="256" t="s">
        <v>1348</v>
      </c>
    </row>
    <row r="36" spans="1:11" x14ac:dyDescent="0.3">
      <c r="A36" s="256">
        <v>29</v>
      </c>
      <c r="B36" s="257" t="s">
        <v>1480</v>
      </c>
      <c r="C36" s="276">
        <v>44469</v>
      </c>
      <c r="D36" s="257" t="s">
        <v>1277</v>
      </c>
      <c r="E36" s="256" t="s">
        <v>1783</v>
      </c>
      <c r="F36" s="256" t="s">
        <v>1880</v>
      </c>
      <c r="G36" s="258">
        <v>2431000000</v>
      </c>
      <c r="H36" s="265">
        <v>0.1</v>
      </c>
      <c r="I36" s="258">
        <v>243100000</v>
      </c>
      <c r="J36" s="258">
        <v>2674100000</v>
      </c>
      <c r="K36" s="256" t="s">
        <v>1346</v>
      </c>
    </row>
    <row r="37" spans="1:11" x14ac:dyDescent="0.3">
      <c r="A37" s="256">
        <v>30</v>
      </c>
      <c r="B37" s="257" t="s">
        <v>1208</v>
      </c>
      <c r="C37" s="276">
        <v>44530</v>
      </c>
      <c r="D37" s="257" t="s">
        <v>1255</v>
      </c>
      <c r="E37" s="273">
        <v>46152</v>
      </c>
      <c r="F37" s="256" t="s">
        <v>1879</v>
      </c>
      <c r="G37" s="258">
        <v>2443000000</v>
      </c>
      <c r="H37" s="265">
        <v>0.1</v>
      </c>
      <c r="I37" s="258">
        <v>244300000</v>
      </c>
      <c r="J37" s="258">
        <v>2687300000</v>
      </c>
      <c r="K37" s="256" t="s">
        <v>1346</v>
      </c>
    </row>
    <row r="38" spans="1:11" x14ac:dyDescent="0.3">
      <c r="A38" s="256">
        <v>31</v>
      </c>
      <c r="B38" s="257" t="s">
        <v>1409</v>
      </c>
      <c r="C38" s="276">
        <v>44286</v>
      </c>
      <c r="D38" s="257" t="s">
        <v>1287</v>
      </c>
      <c r="E38" s="256" t="s">
        <v>1801</v>
      </c>
      <c r="F38" s="256" t="s">
        <v>1878</v>
      </c>
      <c r="G38" s="258">
        <v>4601000000</v>
      </c>
      <c r="H38" s="265">
        <v>0.1</v>
      </c>
      <c r="I38" s="258">
        <v>460100000</v>
      </c>
      <c r="J38" s="258">
        <v>5061100000</v>
      </c>
      <c r="K38" s="256" t="s">
        <v>1346</v>
      </c>
    </row>
    <row r="39" spans="1:11" x14ac:dyDescent="0.3">
      <c r="A39" s="256">
        <v>32</v>
      </c>
      <c r="B39" s="257" t="s">
        <v>1480</v>
      </c>
      <c r="C39" s="276">
        <v>44347</v>
      </c>
      <c r="D39" s="257" t="s">
        <v>1260</v>
      </c>
      <c r="E39" s="256" t="s">
        <v>1804</v>
      </c>
      <c r="F39" s="256" t="s">
        <v>1880</v>
      </c>
      <c r="G39" s="258">
        <v>3951000000</v>
      </c>
      <c r="H39" s="265">
        <v>0</v>
      </c>
      <c r="I39" s="258">
        <v>0</v>
      </c>
      <c r="J39" s="258">
        <v>3951000000</v>
      </c>
      <c r="K39" s="256" t="s">
        <v>1346</v>
      </c>
    </row>
    <row r="40" spans="1:11" x14ac:dyDescent="0.3">
      <c r="A40" s="256">
        <v>33</v>
      </c>
      <c r="B40" s="257" t="s">
        <v>1397</v>
      </c>
      <c r="C40" s="276">
        <v>44408</v>
      </c>
      <c r="D40" s="257" t="s">
        <v>1261</v>
      </c>
      <c r="E40" s="256" t="s">
        <v>1813</v>
      </c>
      <c r="F40" s="256" t="s">
        <v>1880</v>
      </c>
      <c r="G40" s="258">
        <v>3629000000</v>
      </c>
      <c r="H40" s="265">
        <v>0.1</v>
      </c>
      <c r="I40" s="258">
        <v>362900000</v>
      </c>
      <c r="J40" s="258">
        <v>3991900000</v>
      </c>
      <c r="K40" s="256" t="s">
        <v>1346</v>
      </c>
    </row>
    <row r="41" spans="1:11" x14ac:dyDescent="0.3">
      <c r="A41" s="256">
        <v>34</v>
      </c>
      <c r="B41" s="257" t="s">
        <v>1475</v>
      </c>
      <c r="C41" s="276">
        <v>44439</v>
      </c>
      <c r="D41" s="257" t="s">
        <v>1275</v>
      </c>
      <c r="E41" s="256" t="s">
        <v>1808</v>
      </c>
      <c r="F41" s="256" t="s">
        <v>1876</v>
      </c>
      <c r="G41" s="258">
        <v>9325000000</v>
      </c>
      <c r="H41" s="265">
        <v>0.1</v>
      </c>
      <c r="I41" s="258">
        <v>932500000</v>
      </c>
      <c r="J41" s="258">
        <v>10257500000</v>
      </c>
      <c r="K41" s="256" t="s">
        <v>1348</v>
      </c>
    </row>
    <row r="42" spans="1:11" x14ac:dyDescent="0.3">
      <c r="A42" s="256">
        <v>35</v>
      </c>
      <c r="B42" s="257" t="s">
        <v>1465</v>
      </c>
      <c r="C42" s="276">
        <v>44500</v>
      </c>
      <c r="D42" s="257" t="s">
        <v>1262</v>
      </c>
      <c r="E42" s="256" t="s">
        <v>1816</v>
      </c>
      <c r="F42" s="256" t="s">
        <v>1879</v>
      </c>
      <c r="G42" s="258">
        <v>5319000000</v>
      </c>
      <c r="H42" s="265">
        <v>0.1</v>
      </c>
      <c r="I42" s="258">
        <v>531900000</v>
      </c>
      <c r="J42" s="258">
        <v>5850900000</v>
      </c>
      <c r="K42" s="256" t="s">
        <v>1346</v>
      </c>
    </row>
    <row r="43" spans="1:11" x14ac:dyDescent="0.3">
      <c r="A43" s="256">
        <v>36</v>
      </c>
      <c r="B43" s="257" t="s">
        <v>1418</v>
      </c>
      <c r="C43" s="276">
        <v>44561</v>
      </c>
      <c r="D43" s="257" t="s">
        <v>1290</v>
      </c>
      <c r="E43" s="256" t="s">
        <v>1796</v>
      </c>
      <c r="F43" s="256" t="s">
        <v>1876</v>
      </c>
      <c r="G43" s="258">
        <v>5234000000</v>
      </c>
      <c r="H43" s="265">
        <v>0.1</v>
      </c>
      <c r="I43" s="258">
        <v>523400000</v>
      </c>
      <c r="J43" s="258">
        <v>5757400000</v>
      </c>
      <c r="K43" s="256" t="s">
        <v>1346</v>
      </c>
    </row>
    <row r="44" spans="1:11" x14ac:dyDescent="0.3">
      <c r="A44" s="256">
        <v>37</v>
      </c>
      <c r="B44" s="257" t="s">
        <v>1495</v>
      </c>
      <c r="C44" s="276">
        <v>44561</v>
      </c>
      <c r="D44" s="257" t="s">
        <v>1284</v>
      </c>
      <c r="E44" s="256" t="s">
        <v>1786</v>
      </c>
      <c r="F44" s="256" t="s">
        <v>1876</v>
      </c>
      <c r="G44" s="258">
        <v>6904000000</v>
      </c>
      <c r="H44" s="265">
        <v>0.1</v>
      </c>
      <c r="I44" s="258">
        <v>690400000</v>
      </c>
      <c r="J44" s="258">
        <v>7594400000</v>
      </c>
      <c r="K44" s="256" t="s">
        <v>1346</v>
      </c>
    </row>
    <row r="45" spans="1:11" x14ac:dyDescent="0.3">
      <c r="A45" s="256">
        <v>38</v>
      </c>
      <c r="B45" s="257" t="s">
        <v>1206</v>
      </c>
      <c r="C45" s="276">
        <v>44561</v>
      </c>
      <c r="D45" s="257" t="s">
        <v>1301</v>
      </c>
      <c r="E45" s="256" t="s">
        <v>1781</v>
      </c>
      <c r="F45" s="256" t="s">
        <v>1879</v>
      </c>
      <c r="G45" s="258">
        <v>5070000000</v>
      </c>
      <c r="H45" s="265">
        <v>0.1</v>
      </c>
      <c r="I45" s="258">
        <v>507000000</v>
      </c>
      <c r="J45" s="258">
        <v>5577000000</v>
      </c>
      <c r="K45" s="256" t="s">
        <v>1346</v>
      </c>
    </row>
    <row r="46" spans="1:11" x14ac:dyDescent="0.3">
      <c r="A46" s="256">
        <v>39</v>
      </c>
      <c r="B46" s="257" t="s">
        <v>1482</v>
      </c>
      <c r="C46" s="276">
        <v>44561</v>
      </c>
      <c r="D46" s="257" t="s">
        <v>1304</v>
      </c>
      <c r="E46" s="256" t="s">
        <v>1831</v>
      </c>
      <c r="F46" s="256" t="s">
        <v>1880</v>
      </c>
      <c r="G46" s="258">
        <v>9078000000</v>
      </c>
      <c r="H46" s="265">
        <v>0.1</v>
      </c>
      <c r="I46" s="258">
        <v>907800000</v>
      </c>
      <c r="J46" s="258">
        <v>9985800000</v>
      </c>
      <c r="K46" s="256" t="s">
        <v>1346</v>
      </c>
    </row>
    <row r="47" spans="1:11" x14ac:dyDescent="0.3">
      <c r="A47" s="256">
        <v>40</v>
      </c>
      <c r="B47" s="257" t="s">
        <v>1409</v>
      </c>
      <c r="C47" s="276">
        <v>44561</v>
      </c>
      <c r="D47" s="257" t="s">
        <v>1300</v>
      </c>
      <c r="E47" s="256" t="s">
        <v>1818</v>
      </c>
      <c r="F47" s="256" t="s">
        <v>1879</v>
      </c>
      <c r="G47" s="258">
        <v>9050000000</v>
      </c>
      <c r="H47" s="265">
        <v>0.1</v>
      </c>
      <c r="I47" s="258">
        <v>905000000</v>
      </c>
      <c r="J47" s="258">
        <v>9955000000</v>
      </c>
      <c r="K47" s="256" t="s">
        <v>1346</v>
      </c>
    </row>
    <row r="48" spans="1:11" x14ac:dyDescent="0.3">
      <c r="A48" s="256">
        <v>41</v>
      </c>
      <c r="B48" s="257" t="s">
        <v>1458</v>
      </c>
      <c r="C48" s="276">
        <v>44561</v>
      </c>
      <c r="D48" s="257" t="s">
        <v>1299</v>
      </c>
      <c r="E48" s="256" t="s">
        <v>1776</v>
      </c>
      <c r="F48" s="256" t="s">
        <v>1876</v>
      </c>
      <c r="G48" s="258">
        <v>4442000000</v>
      </c>
      <c r="H48" s="265">
        <v>0.1</v>
      </c>
      <c r="I48" s="258">
        <v>444200000</v>
      </c>
      <c r="J48" s="258">
        <v>4886200000</v>
      </c>
      <c r="K48" s="256" t="s">
        <v>1346</v>
      </c>
    </row>
    <row r="49" spans="1:11" x14ac:dyDescent="0.3">
      <c r="A49" s="256">
        <v>42</v>
      </c>
      <c r="B49" s="257" t="s">
        <v>1465</v>
      </c>
      <c r="C49" s="276">
        <v>44561</v>
      </c>
      <c r="D49" s="257" t="s">
        <v>1285</v>
      </c>
      <c r="E49" s="256" t="s">
        <v>1793</v>
      </c>
      <c r="F49" s="256" t="s">
        <v>1878</v>
      </c>
      <c r="G49" s="258">
        <v>5704000000</v>
      </c>
      <c r="H49" s="265">
        <v>0.1</v>
      </c>
      <c r="I49" s="258">
        <v>570400000</v>
      </c>
      <c r="J49" s="258">
        <v>6274400000</v>
      </c>
      <c r="K49" s="256" t="s">
        <v>1348</v>
      </c>
    </row>
    <row r="50" spans="1:11" x14ac:dyDescent="0.3">
      <c r="A50" s="256">
        <v>43</v>
      </c>
      <c r="B50" s="257" t="s">
        <v>1481</v>
      </c>
      <c r="C50" s="276">
        <v>44561</v>
      </c>
      <c r="D50" s="257" t="s">
        <v>1270</v>
      </c>
      <c r="E50" s="256" t="s">
        <v>1782</v>
      </c>
      <c r="F50" s="256" t="s">
        <v>1878</v>
      </c>
      <c r="G50" s="258">
        <v>9629000000</v>
      </c>
      <c r="H50" s="265">
        <v>0.1</v>
      </c>
      <c r="I50" s="258">
        <v>962900000</v>
      </c>
      <c r="J50" s="258">
        <v>10591900000</v>
      </c>
      <c r="K50" s="256" t="s">
        <v>1346</v>
      </c>
    </row>
    <row r="51" spans="1:11" x14ac:dyDescent="0.3">
      <c r="A51" s="256">
        <v>44</v>
      </c>
      <c r="B51" s="257" t="s">
        <v>1463</v>
      </c>
      <c r="C51" s="276">
        <v>44561</v>
      </c>
      <c r="D51" s="257" t="s">
        <v>1257</v>
      </c>
      <c r="E51" s="256" t="s">
        <v>1815</v>
      </c>
      <c r="F51" s="256" t="s">
        <v>1879</v>
      </c>
      <c r="G51" s="258">
        <v>7724000000</v>
      </c>
      <c r="H51" s="265">
        <v>0.1</v>
      </c>
      <c r="I51" s="258">
        <v>772400000</v>
      </c>
      <c r="J51" s="258">
        <v>8496400000</v>
      </c>
      <c r="K51" s="256" t="s">
        <v>1346</v>
      </c>
    </row>
    <row r="52" spans="1:11" x14ac:dyDescent="0.3">
      <c r="A52" s="256">
        <v>45</v>
      </c>
      <c r="B52" s="257" t="s">
        <v>1398</v>
      </c>
      <c r="C52" s="276">
        <v>44561</v>
      </c>
      <c r="D52" s="257" t="s">
        <v>1261</v>
      </c>
      <c r="E52" s="256" t="s">
        <v>1813</v>
      </c>
      <c r="F52" s="256" t="s">
        <v>1876</v>
      </c>
      <c r="G52" s="258">
        <v>5312000000</v>
      </c>
      <c r="H52" s="265">
        <v>0.1</v>
      </c>
      <c r="I52" s="258">
        <v>531200000</v>
      </c>
      <c r="J52" s="258">
        <v>5843200000</v>
      </c>
      <c r="K52" s="256" t="s">
        <v>1346</v>
      </c>
    </row>
    <row r="53" spans="1:11" x14ac:dyDescent="0.3">
      <c r="A53" s="256">
        <v>46</v>
      </c>
      <c r="B53" s="257" t="s">
        <v>1464</v>
      </c>
      <c r="C53" s="276">
        <v>44561</v>
      </c>
      <c r="D53" s="257" t="s">
        <v>1257</v>
      </c>
      <c r="E53" s="256" t="s">
        <v>1815</v>
      </c>
      <c r="F53" s="256" t="s">
        <v>1876</v>
      </c>
      <c r="G53" s="258">
        <v>7596000000</v>
      </c>
      <c r="H53" s="265">
        <v>0.1</v>
      </c>
      <c r="I53" s="258">
        <v>759600000</v>
      </c>
      <c r="J53" s="258">
        <v>8355600000</v>
      </c>
      <c r="K53" s="256" t="s">
        <v>1346</v>
      </c>
    </row>
    <row r="54" spans="1:11" x14ac:dyDescent="0.3">
      <c r="A54" s="256">
        <v>47</v>
      </c>
      <c r="B54" s="257" t="s">
        <v>1481</v>
      </c>
      <c r="C54" s="276">
        <v>44561</v>
      </c>
      <c r="D54" s="257" t="s">
        <v>1277</v>
      </c>
      <c r="E54" s="256" t="s">
        <v>1783</v>
      </c>
      <c r="F54" s="256" t="s">
        <v>1609</v>
      </c>
      <c r="G54" s="258">
        <v>2637000000</v>
      </c>
      <c r="H54" s="265">
        <v>0.1</v>
      </c>
      <c r="I54" s="258">
        <v>263700000</v>
      </c>
      <c r="J54" s="258">
        <v>2900700000</v>
      </c>
      <c r="K54" s="256" t="s">
        <v>1346</v>
      </c>
    </row>
    <row r="55" spans="1:11" x14ac:dyDescent="0.3">
      <c r="A55" s="256">
        <v>48</v>
      </c>
      <c r="B55" s="257" t="s">
        <v>1463</v>
      </c>
      <c r="C55" s="276">
        <v>44561</v>
      </c>
      <c r="D55" s="257" t="s">
        <v>1266</v>
      </c>
      <c r="E55" s="256" t="s">
        <v>1824</v>
      </c>
      <c r="F55" s="256" t="s">
        <v>1609</v>
      </c>
      <c r="G55" s="258">
        <v>7031000000</v>
      </c>
      <c r="H55" s="265">
        <v>0.1</v>
      </c>
      <c r="I55" s="258">
        <v>703100000</v>
      </c>
      <c r="J55" s="258">
        <v>7734100000</v>
      </c>
      <c r="K55" s="256" t="s">
        <v>1346</v>
      </c>
    </row>
    <row r="56" spans="1:11" x14ac:dyDescent="0.3">
      <c r="A56" s="256">
        <v>49</v>
      </c>
      <c r="B56" s="257" t="s">
        <v>1401</v>
      </c>
      <c r="C56" s="276">
        <v>44561</v>
      </c>
      <c r="D56" s="257" t="s">
        <v>1286</v>
      </c>
      <c r="E56" s="256" t="s">
        <v>1828</v>
      </c>
      <c r="F56" s="256" t="s">
        <v>1876</v>
      </c>
      <c r="G56" s="258">
        <v>6264000000</v>
      </c>
      <c r="H56" s="265">
        <v>0.1</v>
      </c>
      <c r="I56" s="258">
        <v>626400000</v>
      </c>
      <c r="J56" s="258">
        <v>6890400000</v>
      </c>
      <c r="K56" s="256" t="s">
        <v>1346</v>
      </c>
    </row>
    <row r="57" spans="1:11" x14ac:dyDescent="0.3">
      <c r="A57" s="256">
        <v>50</v>
      </c>
      <c r="B57" s="257" t="s">
        <v>1418</v>
      </c>
      <c r="C57" s="276">
        <v>44561</v>
      </c>
      <c r="D57" s="257" t="s">
        <v>1269</v>
      </c>
      <c r="E57" s="256" t="s">
        <v>1823</v>
      </c>
      <c r="F57" s="256" t="s">
        <v>1609</v>
      </c>
      <c r="G57" s="258">
        <v>9495000000</v>
      </c>
      <c r="H57" s="265">
        <v>0.1</v>
      </c>
      <c r="I57" s="258">
        <v>949500000</v>
      </c>
      <c r="J57" s="258">
        <v>10444500000</v>
      </c>
      <c r="K57" s="256" t="s">
        <v>1346</v>
      </c>
    </row>
    <row r="58" spans="1:11" x14ac:dyDescent="0.3">
      <c r="A58" s="266" t="s">
        <v>1351</v>
      </c>
      <c r="B58" s="266"/>
      <c r="C58" s="266"/>
      <c r="D58" s="266"/>
      <c r="E58" s="266"/>
      <c r="F58" s="266"/>
      <c r="G58" s="267">
        <f>SUM(G8:G57)</f>
        <v>306612000000</v>
      </c>
      <c r="H58" s="266"/>
      <c r="I58" s="267">
        <f>SUM(I8:I57)</f>
        <v>29484500000</v>
      </c>
      <c r="J58" s="267">
        <f>SUM(J8:J57)</f>
        <v>336096500000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1256</v>
      </c>
      <c r="E62" s="256" t="s">
        <v>1802</v>
      </c>
      <c r="F62" s="256" t="s">
        <v>1882</v>
      </c>
      <c r="G62" s="258">
        <v>6471000000</v>
      </c>
      <c r="H62" s="265">
        <v>0.1</v>
      </c>
      <c r="I62" s="258">
        <v>647100000</v>
      </c>
      <c r="J62" s="258">
        <v>7118100000</v>
      </c>
      <c r="K62" s="256" t="s">
        <v>1348</v>
      </c>
    </row>
    <row r="63" spans="1:11" x14ac:dyDescent="0.3">
      <c r="A63" s="256">
        <v>2</v>
      </c>
      <c r="B63" s="257" t="s">
        <v>1201</v>
      </c>
      <c r="C63" s="276">
        <v>44318</v>
      </c>
      <c r="D63" s="257" t="s">
        <v>1255</v>
      </c>
      <c r="E63" s="273">
        <v>46152</v>
      </c>
      <c r="F63" s="256" t="s">
        <v>1883</v>
      </c>
      <c r="G63" s="258">
        <v>8360000000</v>
      </c>
      <c r="H63" s="265">
        <v>0.1</v>
      </c>
      <c r="I63" s="258">
        <v>836000000</v>
      </c>
      <c r="J63" s="258">
        <v>9196000000</v>
      </c>
      <c r="K63" s="256" t="s">
        <v>1346</v>
      </c>
    </row>
    <row r="64" spans="1:11" x14ac:dyDescent="0.3">
      <c r="A64" s="256">
        <v>3</v>
      </c>
      <c r="B64" s="257" t="s">
        <v>1202</v>
      </c>
      <c r="C64" s="276">
        <v>44472</v>
      </c>
      <c r="D64" s="257" t="s">
        <v>1303</v>
      </c>
      <c r="E64" s="256" t="s">
        <v>1817</v>
      </c>
      <c r="F64" s="256" t="s">
        <v>1881</v>
      </c>
      <c r="G64" s="258">
        <v>7818000000</v>
      </c>
      <c r="H64" s="265">
        <v>0.1</v>
      </c>
      <c r="I64" s="258">
        <v>781800000</v>
      </c>
      <c r="J64" s="258">
        <v>8599800000</v>
      </c>
      <c r="K64" s="256" t="s">
        <v>1346</v>
      </c>
    </row>
    <row r="65" spans="1:11" x14ac:dyDescent="0.3">
      <c r="A65" s="256">
        <v>4</v>
      </c>
      <c r="B65" s="257" t="s">
        <v>1355</v>
      </c>
      <c r="C65" s="276">
        <v>44473</v>
      </c>
      <c r="D65" s="257" t="s">
        <v>1259</v>
      </c>
      <c r="E65" s="256" t="s">
        <v>1788</v>
      </c>
      <c r="F65" s="256" t="s">
        <v>1882</v>
      </c>
      <c r="G65" s="258">
        <v>7841000000</v>
      </c>
      <c r="H65" s="265">
        <v>0.1</v>
      </c>
      <c r="I65" s="258">
        <v>784100000</v>
      </c>
      <c r="J65" s="258">
        <v>8625100000</v>
      </c>
      <c r="K65" s="256" t="s">
        <v>1346</v>
      </c>
    </row>
    <row r="66" spans="1:11" x14ac:dyDescent="0.3">
      <c r="A66" s="256">
        <v>5</v>
      </c>
      <c r="B66" s="257" t="s">
        <v>1356</v>
      </c>
      <c r="C66" s="276">
        <v>44474</v>
      </c>
      <c r="D66" s="257" t="s">
        <v>1281</v>
      </c>
      <c r="E66" s="256" t="s">
        <v>1806</v>
      </c>
      <c r="F66" s="256" t="s">
        <v>1881</v>
      </c>
      <c r="G66" s="258">
        <v>12912000000</v>
      </c>
      <c r="H66" s="265">
        <v>0.1</v>
      </c>
      <c r="I66" s="258">
        <v>1291200000</v>
      </c>
      <c r="J66" s="258">
        <v>14203200000</v>
      </c>
      <c r="K66" s="256" t="s">
        <v>1346</v>
      </c>
    </row>
    <row r="67" spans="1:11" x14ac:dyDescent="0.3">
      <c r="A67" s="256">
        <v>6</v>
      </c>
      <c r="B67" s="257" t="s">
        <v>1358</v>
      </c>
      <c r="C67" s="276">
        <v>44475</v>
      </c>
      <c r="D67" s="257" t="s">
        <v>1298</v>
      </c>
      <c r="E67" s="256" t="s">
        <v>1819</v>
      </c>
      <c r="F67" s="256" t="s">
        <v>1882</v>
      </c>
      <c r="G67" s="258">
        <v>9238000000</v>
      </c>
      <c r="H67" s="265">
        <v>0.1</v>
      </c>
      <c r="I67" s="258">
        <v>923800000</v>
      </c>
      <c r="J67" s="258">
        <v>10161800000</v>
      </c>
      <c r="K67" s="256" t="s">
        <v>1346</v>
      </c>
    </row>
    <row r="68" spans="1:11" x14ac:dyDescent="0.3">
      <c r="A68" s="256">
        <v>7</v>
      </c>
      <c r="B68" s="257" t="s">
        <v>1360</v>
      </c>
      <c r="C68" s="276">
        <v>44476</v>
      </c>
      <c r="D68" s="257" t="s">
        <v>1288</v>
      </c>
      <c r="E68" s="256" t="s">
        <v>1797</v>
      </c>
      <c r="F68" s="256" t="s">
        <v>1881</v>
      </c>
      <c r="G68" s="258">
        <v>4998000000</v>
      </c>
      <c r="H68" s="265">
        <v>0.1</v>
      </c>
      <c r="I68" s="258">
        <v>499800000</v>
      </c>
      <c r="J68" s="258">
        <v>5497800000</v>
      </c>
      <c r="K68" s="256" t="s">
        <v>1346</v>
      </c>
    </row>
    <row r="69" spans="1:11" x14ac:dyDescent="0.3">
      <c r="A69" s="256">
        <v>8</v>
      </c>
      <c r="B69" s="257" t="s">
        <v>1362</v>
      </c>
      <c r="C69" s="276">
        <v>44477</v>
      </c>
      <c r="D69" s="257" t="s">
        <v>1265</v>
      </c>
      <c r="E69" s="256" t="s">
        <v>1830</v>
      </c>
      <c r="F69" s="256" t="s">
        <v>1882</v>
      </c>
      <c r="G69" s="258">
        <v>4122000000</v>
      </c>
      <c r="H69" s="265">
        <v>0</v>
      </c>
      <c r="I69" s="258">
        <v>0</v>
      </c>
      <c r="J69" s="258">
        <v>4122000000</v>
      </c>
      <c r="K69" s="256" t="s">
        <v>1346</v>
      </c>
    </row>
    <row r="70" spans="1:11" x14ac:dyDescent="0.3">
      <c r="A70" s="256">
        <v>9</v>
      </c>
      <c r="B70" s="257" t="s">
        <v>1364</v>
      </c>
      <c r="C70" s="276">
        <v>44478</v>
      </c>
      <c r="D70" s="257" t="s">
        <v>1279</v>
      </c>
      <c r="E70" s="256" t="s">
        <v>1827</v>
      </c>
      <c r="F70" s="256" t="s">
        <v>1882</v>
      </c>
      <c r="G70" s="258">
        <v>3430000000</v>
      </c>
      <c r="H70" s="265">
        <v>0.1</v>
      </c>
      <c r="I70" s="258">
        <v>343000000</v>
      </c>
      <c r="J70" s="258">
        <v>3773000000</v>
      </c>
      <c r="K70" s="256" t="s">
        <v>1346</v>
      </c>
    </row>
    <row r="71" spans="1:11" x14ac:dyDescent="0.3">
      <c r="A71" s="256">
        <v>10</v>
      </c>
      <c r="B71" s="257" t="s">
        <v>1366</v>
      </c>
      <c r="C71" s="276">
        <v>44479</v>
      </c>
      <c r="D71" s="257" t="s">
        <v>1303</v>
      </c>
      <c r="E71" s="256" t="s">
        <v>1817</v>
      </c>
      <c r="F71" s="256" t="s">
        <v>1884</v>
      </c>
      <c r="G71" s="258">
        <v>4445000000</v>
      </c>
      <c r="H71" s="265">
        <v>0.1</v>
      </c>
      <c r="I71" s="258">
        <v>444500000</v>
      </c>
      <c r="J71" s="258">
        <v>4889500000</v>
      </c>
      <c r="K71" s="256" t="s">
        <v>1346</v>
      </c>
    </row>
    <row r="72" spans="1:11" x14ac:dyDescent="0.3">
      <c r="A72" s="256">
        <v>11</v>
      </c>
      <c r="B72" s="257" t="s">
        <v>1368</v>
      </c>
      <c r="C72" s="276">
        <v>44480</v>
      </c>
      <c r="D72" s="257" t="s">
        <v>1285</v>
      </c>
      <c r="E72" s="256" t="s">
        <v>1793</v>
      </c>
      <c r="F72" s="256" t="s">
        <v>1884</v>
      </c>
      <c r="G72" s="258">
        <v>10712000000</v>
      </c>
      <c r="H72" s="265">
        <v>0.1</v>
      </c>
      <c r="I72" s="258">
        <v>1071200000</v>
      </c>
      <c r="J72" s="258">
        <v>11783200000</v>
      </c>
      <c r="K72" s="256" t="s">
        <v>1346</v>
      </c>
    </row>
    <row r="73" spans="1:11" x14ac:dyDescent="0.3">
      <c r="A73" s="256">
        <v>12</v>
      </c>
      <c r="B73" s="257" t="s">
        <v>1371</v>
      </c>
      <c r="C73" s="276">
        <v>44481</v>
      </c>
      <c r="D73" s="257" t="s">
        <v>1280</v>
      </c>
      <c r="E73" s="256" t="s">
        <v>1777</v>
      </c>
      <c r="F73" s="256" t="s">
        <v>1882</v>
      </c>
      <c r="G73" s="258">
        <v>7628000000</v>
      </c>
      <c r="H73" s="265">
        <v>0.1</v>
      </c>
      <c r="I73" s="258">
        <v>762800000</v>
      </c>
      <c r="J73" s="258">
        <v>8390800000</v>
      </c>
      <c r="K73" s="256" t="s">
        <v>1348</v>
      </c>
    </row>
    <row r="74" spans="1:11" x14ac:dyDescent="0.3">
      <c r="A74" s="256">
        <v>13</v>
      </c>
      <c r="B74" s="257" t="s">
        <v>1373</v>
      </c>
      <c r="C74" s="276">
        <v>44211</v>
      </c>
      <c r="D74" s="257" t="s">
        <v>1263</v>
      </c>
      <c r="E74" s="256" t="s">
        <v>1790</v>
      </c>
      <c r="F74" s="256" t="s">
        <v>1884</v>
      </c>
      <c r="G74" s="258">
        <v>12697000000</v>
      </c>
      <c r="H74" s="265">
        <v>0.1</v>
      </c>
      <c r="I74" s="258">
        <v>1269700000</v>
      </c>
      <c r="J74" s="258">
        <v>13966700000</v>
      </c>
      <c r="K74" s="256" t="s">
        <v>1346</v>
      </c>
    </row>
    <row r="75" spans="1:11" x14ac:dyDescent="0.3">
      <c r="A75" s="256">
        <v>14</v>
      </c>
      <c r="B75" s="257" t="s">
        <v>1374</v>
      </c>
      <c r="C75" s="276">
        <v>44242</v>
      </c>
      <c r="D75" s="257" t="s">
        <v>1274</v>
      </c>
      <c r="E75" s="256" t="s">
        <v>1794</v>
      </c>
      <c r="F75" s="256" t="s">
        <v>1883</v>
      </c>
      <c r="G75" s="258">
        <v>3339000000</v>
      </c>
      <c r="H75" s="265">
        <v>0.1</v>
      </c>
      <c r="I75" s="258">
        <v>333900000</v>
      </c>
      <c r="J75" s="258">
        <v>3672900000</v>
      </c>
      <c r="K75" s="256" t="s">
        <v>1346</v>
      </c>
    </row>
    <row r="76" spans="1:11" x14ac:dyDescent="0.3">
      <c r="A76" s="256">
        <v>15</v>
      </c>
      <c r="B76" s="257" t="s">
        <v>1376</v>
      </c>
      <c r="C76" s="276">
        <v>44275</v>
      </c>
      <c r="D76" s="257" t="s">
        <v>1294</v>
      </c>
      <c r="E76" s="256" t="s">
        <v>1795</v>
      </c>
      <c r="F76" s="256" t="s">
        <v>1884</v>
      </c>
      <c r="G76" s="258">
        <v>4194000000</v>
      </c>
      <c r="H76" s="265">
        <v>0.1</v>
      </c>
      <c r="I76" s="258">
        <v>419400000</v>
      </c>
      <c r="J76" s="258">
        <v>4613400000</v>
      </c>
      <c r="K76" s="256" t="s">
        <v>1346</v>
      </c>
    </row>
    <row r="77" spans="1:11" x14ac:dyDescent="0.3">
      <c r="A77" s="256">
        <v>16</v>
      </c>
      <c r="B77" s="257" t="s">
        <v>1378</v>
      </c>
      <c r="C77" s="276">
        <v>44306</v>
      </c>
      <c r="D77" s="257" t="s">
        <v>1285</v>
      </c>
      <c r="E77" s="256" t="s">
        <v>1793</v>
      </c>
      <c r="F77" s="256" t="s">
        <v>1881</v>
      </c>
      <c r="G77" s="258">
        <v>11363000000</v>
      </c>
      <c r="H77" s="265">
        <v>0.1</v>
      </c>
      <c r="I77" s="258">
        <v>1136300000</v>
      </c>
      <c r="J77" s="258">
        <v>12499300000</v>
      </c>
      <c r="K77" s="256" t="s">
        <v>1346</v>
      </c>
    </row>
    <row r="78" spans="1:11" x14ac:dyDescent="0.3">
      <c r="A78" s="256">
        <v>17</v>
      </c>
      <c r="B78" s="257" t="s">
        <v>1379</v>
      </c>
      <c r="C78" s="276">
        <v>44336</v>
      </c>
      <c r="D78" s="257" t="s">
        <v>1282</v>
      </c>
      <c r="E78" s="256" t="s">
        <v>1789</v>
      </c>
      <c r="F78" s="256" t="s">
        <v>1882</v>
      </c>
      <c r="G78" s="258">
        <v>9972000000</v>
      </c>
      <c r="H78" s="265">
        <v>0.1</v>
      </c>
      <c r="I78" s="258">
        <v>997200000</v>
      </c>
      <c r="J78" s="258">
        <v>10969200000</v>
      </c>
      <c r="K78" s="256" t="s">
        <v>1346</v>
      </c>
    </row>
    <row r="79" spans="1:11" x14ac:dyDescent="0.3">
      <c r="A79" s="256">
        <v>18</v>
      </c>
      <c r="B79" s="257" t="s">
        <v>1381</v>
      </c>
      <c r="C79" s="276">
        <v>44367</v>
      </c>
      <c r="D79" s="257" t="s">
        <v>1269</v>
      </c>
      <c r="E79" s="256" t="s">
        <v>1823</v>
      </c>
      <c r="F79" s="256" t="s">
        <v>1881</v>
      </c>
      <c r="G79" s="258">
        <v>12848000000</v>
      </c>
      <c r="H79" s="265">
        <v>0.1</v>
      </c>
      <c r="I79" s="258">
        <v>1284800000</v>
      </c>
      <c r="J79" s="258">
        <v>14132800000</v>
      </c>
      <c r="K79" s="256" t="s">
        <v>1348</v>
      </c>
    </row>
    <row r="80" spans="1:11" x14ac:dyDescent="0.3">
      <c r="A80" s="256">
        <v>19</v>
      </c>
      <c r="B80" s="257" t="s">
        <v>1382</v>
      </c>
      <c r="C80" s="276">
        <v>44397</v>
      </c>
      <c r="D80" s="257" t="s">
        <v>1279</v>
      </c>
      <c r="E80" s="256" t="s">
        <v>1827</v>
      </c>
      <c r="F80" s="256" t="s">
        <v>1883</v>
      </c>
      <c r="G80" s="258">
        <v>3570000000</v>
      </c>
      <c r="H80" s="265">
        <v>0.1</v>
      </c>
      <c r="I80" s="258">
        <v>357000000</v>
      </c>
      <c r="J80" s="258">
        <v>3927000000</v>
      </c>
      <c r="K80" s="256" t="s">
        <v>1346</v>
      </c>
    </row>
    <row r="81" spans="1:11" x14ac:dyDescent="0.3">
      <c r="A81" s="256">
        <v>20</v>
      </c>
      <c r="B81" s="257" t="s">
        <v>1383</v>
      </c>
      <c r="C81" s="276">
        <v>44428</v>
      </c>
      <c r="D81" s="257" t="s">
        <v>1280</v>
      </c>
      <c r="E81" s="256" t="s">
        <v>1777</v>
      </c>
      <c r="F81" s="256" t="s">
        <v>1883</v>
      </c>
      <c r="G81" s="258">
        <v>9019000000</v>
      </c>
      <c r="H81" s="265">
        <v>0.1</v>
      </c>
      <c r="I81" s="258">
        <v>901900000</v>
      </c>
      <c r="J81" s="258">
        <v>9920900000</v>
      </c>
      <c r="K81" s="256" t="s">
        <v>1346</v>
      </c>
    </row>
    <row r="82" spans="1:11" x14ac:dyDescent="0.3">
      <c r="A82" s="256">
        <v>21</v>
      </c>
      <c r="B82" s="257" t="s">
        <v>1203</v>
      </c>
      <c r="C82" s="276">
        <v>44459</v>
      </c>
      <c r="D82" s="257" t="s">
        <v>1263</v>
      </c>
      <c r="E82" s="256" t="s">
        <v>1790</v>
      </c>
      <c r="F82" s="256" t="s">
        <v>1881</v>
      </c>
      <c r="G82" s="258">
        <v>11398000000</v>
      </c>
      <c r="H82" s="265">
        <v>0.1</v>
      </c>
      <c r="I82" s="258">
        <v>1139800000</v>
      </c>
      <c r="J82" s="258">
        <v>12537800000</v>
      </c>
      <c r="K82" s="256" t="s">
        <v>1346</v>
      </c>
    </row>
    <row r="83" spans="1:11" x14ac:dyDescent="0.3">
      <c r="A83" s="256">
        <v>22</v>
      </c>
      <c r="B83" s="257" t="s">
        <v>1204</v>
      </c>
      <c r="C83" s="276">
        <v>44489</v>
      </c>
      <c r="D83" s="257" t="s">
        <v>1304</v>
      </c>
      <c r="E83" s="256" t="s">
        <v>1831</v>
      </c>
      <c r="F83" s="256" t="s">
        <v>1884</v>
      </c>
      <c r="G83" s="258">
        <v>9622000000</v>
      </c>
      <c r="H83" s="265">
        <v>0.1</v>
      </c>
      <c r="I83" s="258">
        <v>962200000</v>
      </c>
      <c r="J83" s="258">
        <v>10584200000</v>
      </c>
      <c r="K83" s="256" t="s">
        <v>1346</v>
      </c>
    </row>
    <row r="84" spans="1:11" x14ac:dyDescent="0.3">
      <c r="A84" s="256">
        <v>23</v>
      </c>
      <c r="B84" s="257" t="s">
        <v>1205</v>
      </c>
      <c r="C84" s="276">
        <v>44520</v>
      </c>
      <c r="D84" s="257" t="s">
        <v>1290</v>
      </c>
      <c r="E84" s="256" t="s">
        <v>1796</v>
      </c>
      <c r="F84" s="256" t="s">
        <v>1883</v>
      </c>
      <c r="G84" s="258">
        <v>8973000000</v>
      </c>
      <c r="H84" s="265">
        <v>0.1</v>
      </c>
      <c r="I84" s="258">
        <v>897300000</v>
      </c>
      <c r="J84" s="258">
        <v>9870300000</v>
      </c>
      <c r="K84" s="256" t="s">
        <v>1346</v>
      </c>
    </row>
    <row r="85" spans="1:11" x14ac:dyDescent="0.3">
      <c r="A85" s="256">
        <v>24</v>
      </c>
      <c r="B85" s="257" t="s">
        <v>1385</v>
      </c>
      <c r="C85" s="276">
        <v>44550</v>
      </c>
      <c r="D85" s="257" t="s">
        <v>1258</v>
      </c>
      <c r="E85" s="256" t="s">
        <v>1833</v>
      </c>
      <c r="F85" s="256" t="s">
        <v>1884</v>
      </c>
      <c r="G85" s="258">
        <v>7562000000</v>
      </c>
      <c r="H85" s="265">
        <v>0</v>
      </c>
      <c r="I85" s="258">
        <v>0</v>
      </c>
      <c r="J85" s="258">
        <v>7562000000</v>
      </c>
      <c r="K85" s="256" t="s">
        <v>1346</v>
      </c>
    </row>
    <row r="86" spans="1:11" x14ac:dyDescent="0.3">
      <c r="A86" s="256">
        <v>25</v>
      </c>
      <c r="B86" s="257" t="s">
        <v>1387</v>
      </c>
      <c r="C86" s="276">
        <v>44221</v>
      </c>
      <c r="D86" s="257" t="s">
        <v>1298</v>
      </c>
      <c r="E86" s="256" t="s">
        <v>1819</v>
      </c>
      <c r="F86" s="256" t="s">
        <v>1881</v>
      </c>
      <c r="G86" s="258">
        <v>11947000000</v>
      </c>
      <c r="H86" s="265">
        <v>0.1</v>
      </c>
      <c r="I86" s="258">
        <v>1194700000</v>
      </c>
      <c r="J86" s="258">
        <v>13141700000</v>
      </c>
      <c r="K86" s="256" t="s">
        <v>1346</v>
      </c>
    </row>
    <row r="87" spans="1:11" x14ac:dyDescent="0.3">
      <c r="A87" s="256">
        <v>26</v>
      </c>
      <c r="B87" s="257" t="s">
        <v>1388</v>
      </c>
      <c r="C87" s="276">
        <v>44255</v>
      </c>
      <c r="D87" s="257" t="s">
        <v>1281</v>
      </c>
      <c r="E87" s="256" t="s">
        <v>1806</v>
      </c>
      <c r="F87" s="256" t="s">
        <v>1881</v>
      </c>
      <c r="G87" s="258">
        <v>12806000000</v>
      </c>
      <c r="H87" s="265">
        <v>0.1</v>
      </c>
      <c r="I87" s="258">
        <v>1280600000</v>
      </c>
      <c r="J87" s="258">
        <v>14086600000</v>
      </c>
      <c r="K87" s="256" t="s">
        <v>1346</v>
      </c>
    </row>
    <row r="88" spans="1:11" x14ac:dyDescent="0.3">
      <c r="A88" s="256">
        <v>27</v>
      </c>
      <c r="B88" s="257" t="s">
        <v>1391</v>
      </c>
      <c r="C88" s="276">
        <v>44316</v>
      </c>
      <c r="D88" s="257" t="s">
        <v>1297</v>
      </c>
      <c r="E88" s="256" t="s">
        <v>1820</v>
      </c>
      <c r="F88" s="256" t="s">
        <v>1881</v>
      </c>
      <c r="G88" s="258">
        <v>7554000000</v>
      </c>
      <c r="H88" s="265">
        <v>0</v>
      </c>
      <c r="I88" s="258">
        <v>0</v>
      </c>
      <c r="J88" s="258">
        <v>7554000000</v>
      </c>
      <c r="K88" s="256" t="s">
        <v>1348</v>
      </c>
    </row>
    <row r="89" spans="1:11" x14ac:dyDescent="0.3">
      <c r="A89" s="256">
        <v>28</v>
      </c>
      <c r="B89" s="257" t="s">
        <v>1392</v>
      </c>
      <c r="C89" s="276">
        <v>44377</v>
      </c>
      <c r="D89" s="257" t="s">
        <v>1262</v>
      </c>
      <c r="E89" s="256" t="s">
        <v>1816</v>
      </c>
      <c r="F89" s="256" t="s">
        <v>1882</v>
      </c>
      <c r="G89" s="258">
        <v>8919000000</v>
      </c>
      <c r="H89" s="265">
        <v>0.1</v>
      </c>
      <c r="I89" s="258">
        <v>891900000</v>
      </c>
      <c r="J89" s="258">
        <v>9810900000</v>
      </c>
      <c r="K89" s="256" t="s">
        <v>1346</v>
      </c>
    </row>
    <row r="90" spans="1:11" x14ac:dyDescent="0.3">
      <c r="A90" s="256">
        <v>29</v>
      </c>
      <c r="B90" s="257" t="s">
        <v>1394</v>
      </c>
      <c r="C90" s="276">
        <v>44469</v>
      </c>
      <c r="D90" s="257" t="s">
        <v>1280</v>
      </c>
      <c r="E90" s="256" t="s">
        <v>1777</v>
      </c>
      <c r="F90" s="256" t="s">
        <v>1883</v>
      </c>
      <c r="G90" s="258">
        <v>13185000000</v>
      </c>
      <c r="H90" s="265">
        <v>0.1</v>
      </c>
      <c r="I90" s="258">
        <v>1318500000</v>
      </c>
      <c r="J90" s="258">
        <v>14503500000</v>
      </c>
      <c r="K90" s="256" t="s">
        <v>1346</v>
      </c>
    </row>
    <row r="91" spans="1:11" x14ac:dyDescent="0.3">
      <c r="A91" s="256">
        <v>30</v>
      </c>
      <c r="B91" s="257" t="s">
        <v>1396</v>
      </c>
      <c r="C91" s="276">
        <v>44530</v>
      </c>
      <c r="D91" s="257" t="s">
        <v>1304</v>
      </c>
      <c r="E91" s="256" t="s">
        <v>1831</v>
      </c>
      <c r="F91" s="256" t="s">
        <v>1881</v>
      </c>
      <c r="G91" s="258">
        <v>6941000000</v>
      </c>
      <c r="H91" s="265">
        <v>0.1</v>
      </c>
      <c r="I91" s="258">
        <v>694100000</v>
      </c>
      <c r="J91" s="258">
        <v>7635100000</v>
      </c>
      <c r="K91" s="256" t="s">
        <v>1348</v>
      </c>
    </row>
    <row r="92" spans="1:11" x14ac:dyDescent="0.3">
      <c r="A92" s="256">
        <v>31</v>
      </c>
      <c r="B92" s="257" t="s">
        <v>1397</v>
      </c>
      <c r="C92" s="276">
        <v>44286</v>
      </c>
      <c r="D92" s="257" t="s">
        <v>1287</v>
      </c>
      <c r="E92" s="256" t="s">
        <v>1801</v>
      </c>
      <c r="F92" s="256" t="s">
        <v>1883</v>
      </c>
      <c r="G92" s="258">
        <v>12827000000</v>
      </c>
      <c r="H92" s="265">
        <v>0.1</v>
      </c>
      <c r="I92" s="258">
        <v>1282700000</v>
      </c>
      <c r="J92" s="258">
        <v>14109700000</v>
      </c>
      <c r="K92" s="256" t="s">
        <v>1346</v>
      </c>
    </row>
    <row r="93" spans="1:11" x14ac:dyDescent="0.3">
      <c r="A93" s="256">
        <v>32</v>
      </c>
      <c r="B93" s="257" t="s">
        <v>1398</v>
      </c>
      <c r="C93" s="276">
        <v>44347</v>
      </c>
      <c r="D93" s="257" t="s">
        <v>1270</v>
      </c>
      <c r="E93" s="256" t="s">
        <v>1782</v>
      </c>
      <c r="F93" s="256" t="s">
        <v>1884</v>
      </c>
      <c r="G93" s="258">
        <v>9022000000</v>
      </c>
      <c r="H93" s="265">
        <v>0.1</v>
      </c>
      <c r="I93" s="258">
        <v>902200000</v>
      </c>
      <c r="J93" s="258">
        <v>9924200000</v>
      </c>
      <c r="K93" s="256" t="s">
        <v>1346</v>
      </c>
    </row>
    <row r="94" spans="1:11" x14ac:dyDescent="0.3">
      <c r="A94" s="256">
        <v>33</v>
      </c>
      <c r="B94" s="257" t="s">
        <v>1399</v>
      </c>
      <c r="C94" s="276">
        <v>44408</v>
      </c>
      <c r="D94" s="257" t="s">
        <v>1259</v>
      </c>
      <c r="E94" s="256" t="s">
        <v>1788</v>
      </c>
      <c r="F94" s="256" t="s">
        <v>1881</v>
      </c>
      <c r="G94" s="258">
        <v>12463000000</v>
      </c>
      <c r="H94" s="265">
        <v>0.1</v>
      </c>
      <c r="I94" s="258">
        <v>1246300000</v>
      </c>
      <c r="J94" s="258">
        <v>13709300000</v>
      </c>
      <c r="K94" s="256" t="s">
        <v>1346</v>
      </c>
    </row>
    <row r="95" spans="1:11" x14ac:dyDescent="0.3">
      <c r="A95" s="256">
        <v>34</v>
      </c>
      <c r="B95" s="257" t="s">
        <v>1401</v>
      </c>
      <c r="C95" s="276">
        <v>44439</v>
      </c>
      <c r="D95" s="257" t="s">
        <v>1273</v>
      </c>
      <c r="E95" s="256" t="s">
        <v>1829</v>
      </c>
      <c r="F95" s="256" t="s">
        <v>1882</v>
      </c>
      <c r="G95" s="258">
        <v>9589000000</v>
      </c>
      <c r="H95" s="265">
        <v>0.1</v>
      </c>
      <c r="I95" s="258">
        <v>958900000</v>
      </c>
      <c r="J95" s="258">
        <v>10547900000</v>
      </c>
      <c r="K95" s="256" t="s">
        <v>1346</v>
      </c>
    </row>
    <row r="96" spans="1:11" x14ac:dyDescent="0.3">
      <c r="A96" s="256">
        <v>35</v>
      </c>
      <c r="B96" s="257" t="s">
        <v>1402</v>
      </c>
      <c r="C96" s="276">
        <v>44500</v>
      </c>
      <c r="D96" s="257" t="s">
        <v>1286</v>
      </c>
      <c r="E96" s="256" t="s">
        <v>1828</v>
      </c>
      <c r="F96" s="256" t="s">
        <v>1884</v>
      </c>
      <c r="G96" s="258">
        <v>7366000000</v>
      </c>
      <c r="H96" s="265">
        <v>0.1</v>
      </c>
      <c r="I96" s="258">
        <v>736600000</v>
      </c>
      <c r="J96" s="258">
        <v>8102600000</v>
      </c>
      <c r="K96" s="256" t="s">
        <v>1346</v>
      </c>
    </row>
    <row r="97" spans="1:11" x14ac:dyDescent="0.3">
      <c r="A97" s="256">
        <v>36</v>
      </c>
      <c r="B97" s="257" t="s">
        <v>1403</v>
      </c>
      <c r="C97" s="276">
        <v>44561</v>
      </c>
      <c r="D97" s="257" t="s">
        <v>1260</v>
      </c>
      <c r="E97" s="256" t="s">
        <v>1804</v>
      </c>
      <c r="F97" s="256" t="s">
        <v>1883</v>
      </c>
      <c r="G97" s="258">
        <v>9177000000</v>
      </c>
      <c r="H97" s="265">
        <v>0</v>
      </c>
      <c r="I97" s="258">
        <v>0</v>
      </c>
      <c r="J97" s="258">
        <v>9177000000</v>
      </c>
      <c r="K97" s="256" t="s">
        <v>1346</v>
      </c>
    </row>
    <row r="98" spans="1:11" x14ac:dyDescent="0.3">
      <c r="A98" s="256">
        <v>37</v>
      </c>
      <c r="B98" s="257" t="s">
        <v>1404</v>
      </c>
      <c r="C98" s="276">
        <v>44561</v>
      </c>
      <c r="D98" s="257" t="s">
        <v>1279</v>
      </c>
      <c r="E98" s="256" t="s">
        <v>1827</v>
      </c>
      <c r="F98" s="256" t="s">
        <v>1881</v>
      </c>
      <c r="G98" s="258">
        <v>10930000000</v>
      </c>
      <c r="H98" s="265">
        <v>0.1</v>
      </c>
      <c r="I98" s="258">
        <v>1093000000</v>
      </c>
      <c r="J98" s="258">
        <v>12023000000</v>
      </c>
      <c r="K98" s="256" t="s">
        <v>1346</v>
      </c>
    </row>
    <row r="99" spans="1:11" x14ac:dyDescent="0.3">
      <c r="A99" s="256">
        <v>38</v>
      </c>
      <c r="B99" s="257" t="s">
        <v>1405</v>
      </c>
      <c r="C99" s="276">
        <v>44561</v>
      </c>
      <c r="D99" s="257" t="s">
        <v>1279</v>
      </c>
      <c r="E99" s="256" t="s">
        <v>1827</v>
      </c>
      <c r="F99" s="256" t="s">
        <v>1882</v>
      </c>
      <c r="G99" s="258">
        <v>9475000000</v>
      </c>
      <c r="H99" s="265">
        <v>0.1</v>
      </c>
      <c r="I99" s="258">
        <v>947500000</v>
      </c>
      <c r="J99" s="258">
        <v>10422500000</v>
      </c>
      <c r="K99" s="256" t="s">
        <v>1346</v>
      </c>
    </row>
    <row r="100" spans="1:11" x14ac:dyDescent="0.3">
      <c r="A100" s="256">
        <v>39</v>
      </c>
      <c r="B100" s="257" t="s">
        <v>1406</v>
      </c>
      <c r="C100" s="276">
        <v>44561</v>
      </c>
      <c r="D100" s="257" t="s">
        <v>1290</v>
      </c>
      <c r="E100" s="256" t="s">
        <v>1796</v>
      </c>
      <c r="F100" s="256" t="s">
        <v>1883</v>
      </c>
      <c r="G100" s="258">
        <v>7580000000</v>
      </c>
      <c r="H100" s="265">
        <v>0.1</v>
      </c>
      <c r="I100" s="258">
        <v>758000000</v>
      </c>
      <c r="J100" s="258">
        <v>8338000000</v>
      </c>
      <c r="K100" s="256" t="s">
        <v>1346</v>
      </c>
    </row>
    <row r="101" spans="1:11" x14ac:dyDescent="0.3">
      <c r="A101" s="256">
        <v>40</v>
      </c>
      <c r="B101" s="257" t="s">
        <v>1408</v>
      </c>
      <c r="C101" s="276">
        <v>44561</v>
      </c>
      <c r="D101" s="257" t="s">
        <v>1297</v>
      </c>
      <c r="E101" s="256" t="s">
        <v>1820</v>
      </c>
      <c r="F101" s="256" t="s">
        <v>1884</v>
      </c>
      <c r="G101" s="258">
        <v>9004000000</v>
      </c>
      <c r="H101" s="265">
        <v>0.1</v>
      </c>
      <c r="I101" s="258">
        <v>900400000</v>
      </c>
      <c r="J101" s="258">
        <v>9904400000</v>
      </c>
      <c r="K101" s="256" t="s">
        <v>1346</v>
      </c>
    </row>
    <row r="102" spans="1:11" x14ac:dyDescent="0.3">
      <c r="A102" s="256">
        <v>41</v>
      </c>
      <c r="B102" s="257" t="s">
        <v>1409</v>
      </c>
      <c r="C102" s="276">
        <v>44561</v>
      </c>
      <c r="D102" s="257" t="s">
        <v>1270</v>
      </c>
      <c r="E102" s="256" t="s">
        <v>1782</v>
      </c>
      <c r="F102" s="256" t="s">
        <v>1884</v>
      </c>
      <c r="G102" s="258">
        <v>6810000000</v>
      </c>
      <c r="H102" s="265">
        <v>0.1</v>
      </c>
      <c r="I102" s="258">
        <v>681000000</v>
      </c>
      <c r="J102" s="258">
        <v>7491000000</v>
      </c>
      <c r="K102" s="256" t="s">
        <v>1346</v>
      </c>
    </row>
    <row r="103" spans="1:11" x14ac:dyDescent="0.3">
      <c r="A103" s="256">
        <v>42</v>
      </c>
      <c r="B103" s="257" t="s">
        <v>1411</v>
      </c>
      <c r="C103" s="276">
        <v>44561</v>
      </c>
      <c r="D103" s="257" t="s">
        <v>1281</v>
      </c>
      <c r="E103" s="256" t="s">
        <v>1806</v>
      </c>
      <c r="F103" s="256" t="s">
        <v>1882</v>
      </c>
      <c r="G103" s="258">
        <v>7022000000</v>
      </c>
      <c r="H103" s="265">
        <v>0.1</v>
      </c>
      <c r="I103" s="258">
        <v>702200000</v>
      </c>
      <c r="J103" s="258">
        <v>7724200000</v>
      </c>
      <c r="K103" s="256" t="s">
        <v>1346</v>
      </c>
    </row>
    <row r="104" spans="1:11" x14ac:dyDescent="0.3">
      <c r="A104" s="256">
        <v>43</v>
      </c>
      <c r="B104" s="257" t="s">
        <v>1414</v>
      </c>
      <c r="C104" s="276">
        <v>44561</v>
      </c>
      <c r="D104" s="257" t="s">
        <v>1259</v>
      </c>
      <c r="E104" s="256" t="s">
        <v>1788</v>
      </c>
      <c r="F104" s="256" t="s">
        <v>1883</v>
      </c>
      <c r="G104" s="258">
        <v>4143000000</v>
      </c>
      <c r="H104" s="265">
        <v>0.1</v>
      </c>
      <c r="I104" s="258">
        <v>414300000</v>
      </c>
      <c r="J104" s="258">
        <v>4557300000</v>
      </c>
      <c r="K104" s="256" t="s">
        <v>1346</v>
      </c>
    </row>
    <row r="105" spans="1:11" x14ac:dyDescent="0.3">
      <c r="A105" s="256">
        <v>44</v>
      </c>
      <c r="B105" s="257" t="s">
        <v>1415</v>
      </c>
      <c r="C105" s="276">
        <v>44561</v>
      </c>
      <c r="D105" s="257" t="s">
        <v>1296</v>
      </c>
      <c r="E105" s="256" t="s">
        <v>1807</v>
      </c>
      <c r="F105" s="256" t="s">
        <v>1882</v>
      </c>
      <c r="G105" s="258">
        <v>9789000000</v>
      </c>
      <c r="H105" s="265">
        <v>0.1</v>
      </c>
      <c r="I105" s="258">
        <v>978900000</v>
      </c>
      <c r="J105" s="258">
        <v>10767900000</v>
      </c>
      <c r="K105" s="256" t="s">
        <v>1346</v>
      </c>
    </row>
    <row r="106" spans="1:11" x14ac:dyDescent="0.3">
      <c r="A106" s="256">
        <v>45</v>
      </c>
      <c r="B106" s="257" t="s">
        <v>1206</v>
      </c>
      <c r="C106" s="276">
        <v>44561</v>
      </c>
      <c r="D106" s="257" t="s">
        <v>1262</v>
      </c>
      <c r="E106" s="256" t="s">
        <v>1816</v>
      </c>
      <c r="F106" s="256" t="s">
        <v>1883</v>
      </c>
      <c r="G106" s="258">
        <v>10063000000</v>
      </c>
      <c r="H106" s="265">
        <v>0</v>
      </c>
      <c r="I106" s="258">
        <v>0</v>
      </c>
      <c r="J106" s="258">
        <v>10063000000</v>
      </c>
      <c r="K106" s="256" t="s">
        <v>1346</v>
      </c>
    </row>
    <row r="107" spans="1:11" x14ac:dyDescent="0.3">
      <c r="A107" s="256">
        <v>46</v>
      </c>
      <c r="B107" s="257" t="s">
        <v>1207</v>
      </c>
      <c r="C107" s="276">
        <v>44561</v>
      </c>
      <c r="D107" s="257" t="s">
        <v>1303</v>
      </c>
      <c r="E107" s="256" t="s">
        <v>1817</v>
      </c>
      <c r="F107" s="256" t="s">
        <v>1882</v>
      </c>
      <c r="G107" s="258">
        <v>3452000000</v>
      </c>
      <c r="H107" s="265">
        <v>0.1</v>
      </c>
      <c r="I107" s="258">
        <v>345200000</v>
      </c>
      <c r="J107" s="258">
        <v>3797200000</v>
      </c>
      <c r="K107" s="256" t="s">
        <v>1346</v>
      </c>
    </row>
    <row r="108" spans="1:11" x14ac:dyDescent="0.3">
      <c r="A108" s="256">
        <v>47</v>
      </c>
      <c r="B108" s="257" t="s">
        <v>1208</v>
      </c>
      <c r="C108" s="276">
        <v>44561</v>
      </c>
      <c r="D108" s="257" t="s">
        <v>1297</v>
      </c>
      <c r="E108" s="256" t="s">
        <v>1820</v>
      </c>
      <c r="F108" s="256" t="s">
        <v>1884</v>
      </c>
      <c r="G108" s="258">
        <v>3628000000</v>
      </c>
      <c r="H108" s="265">
        <v>0.1</v>
      </c>
      <c r="I108" s="258">
        <v>362800000</v>
      </c>
      <c r="J108" s="258">
        <v>3990800000</v>
      </c>
      <c r="K108" s="256" t="s">
        <v>1346</v>
      </c>
    </row>
    <row r="109" spans="1:11" x14ac:dyDescent="0.3">
      <c r="A109" s="256">
        <v>48</v>
      </c>
      <c r="B109" s="257" t="s">
        <v>1209</v>
      </c>
      <c r="C109" s="276">
        <v>44561</v>
      </c>
      <c r="D109" s="257" t="s">
        <v>1276</v>
      </c>
      <c r="E109" s="256" t="s">
        <v>1822</v>
      </c>
      <c r="F109" s="256" t="s">
        <v>1881</v>
      </c>
      <c r="G109" s="258">
        <v>3995000000</v>
      </c>
      <c r="H109" s="265">
        <v>0.1</v>
      </c>
      <c r="I109" s="258">
        <v>399500000</v>
      </c>
      <c r="J109" s="258">
        <v>4394500000</v>
      </c>
      <c r="K109" s="256" t="s">
        <v>1346</v>
      </c>
    </row>
    <row r="110" spans="1:11" x14ac:dyDescent="0.3">
      <c r="A110" s="256">
        <v>49</v>
      </c>
      <c r="B110" s="257" t="s">
        <v>1418</v>
      </c>
      <c r="C110" s="276">
        <v>44561</v>
      </c>
      <c r="D110" s="257" t="s">
        <v>1280</v>
      </c>
      <c r="E110" s="256" t="s">
        <v>1777</v>
      </c>
      <c r="F110" s="256" t="s">
        <v>1881</v>
      </c>
      <c r="G110" s="258">
        <v>9689000000</v>
      </c>
      <c r="H110" s="265">
        <v>0.1</v>
      </c>
      <c r="I110" s="258">
        <v>968900000</v>
      </c>
      <c r="J110" s="258">
        <v>10657900000</v>
      </c>
      <c r="K110" s="256" t="s">
        <v>1346</v>
      </c>
    </row>
    <row r="111" spans="1:11" x14ac:dyDescent="0.3">
      <c r="A111" s="256">
        <v>50</v>
      </c>
      <c r="B111" s="257" t="s">
        <v>1419</v>
      </c>
      <c r="C111" s="276">
        <v>44561</v>
      </c>
      <c r="D111" s="257" t="s">
        <v>1284</v>
      </c>
      <c r="E111" s="256" t="s">
        <v>1786</v>
      </c>
      <c r="F111" s="256" t="s">
        <v>1882</v>
      </c>
      <c r="G111" s="258">
        <v>3719000000</v>
      </c>
      <c r="H111" s="265">
        <v>0.1</v>
      </c>
      <c r="I111" s="258">
        <v>371900000</v>
      </c>
      <c r="J111" s="258">
        <v>4090900000</v>
      </c>
      <c r="K111" s="256" t="s">
        <v>1346</v>
      </c>
    </row>
    <row r="112" spans="1:11" x14ac:dyDescent="0.3">
      <c r="A112" s="266" t="s">
        <v>1351</v>
      </c>
      <c r="B112" s="266"/>
      <c r="C112" s="266"/>
      <c r="D112" s="266"/>
      <c r="E112" s="266"/>
      <c r="F112" s="266"/>
      <c r="G112" s="267">
        <f>SUM(G62:G111)</f>
        <v>413627000000</v>
      </c>
      <c r="H112" s="266"/>
      <c r="I112" s="267">
        <f>SUM(I62:I111)</f>
        <v>37514900000</v>
      </c>
      <c r="J112" s="267">
        <f>SUM(J62:J111)</f>
        <v>451141900000</v>
      </c>
      <c r="K112" s="266"/>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932</v>
      </c>
      <c r="C1" s="256"/>
      <c r="D1" s="256"/>
      <c r="E1" s="256"/>
      <c r="F1" s="256"/>
      <c r="G1" s="256"/>
      <c r="H1" s="256"/>
      <c r="I1" s="256"/>
      <c r="J1" s="256"/>
      <c r="K1" s="256"/>
    </row>
    <row r="2" spans="1:11" x14ac:dyDescent="0.3">
      <c r="A2" s="256" t="s">
        <v>1339</v>
      </c>
      <c r="B2" s="257">
        <v>107721413</v>
      </c>
      <c r="C2" s="256"/>
      <c r="D2" s="256"/>
      <c r="E2" s="256"/>
      <c r="F2" s="256"/>
      <c r="G2" s="256"/>
      <c r="H2" s="256"/>
      <c r="I2" s="256"/>
      <c r="J2" s="256"/>
      <c r="K2" s="256"/>
    </row>
    <row r="3" spans="1:11" x14ac:dyDescent="0.3">
      <c r="A3" s="256" t="s">
        <v>1343</v>
      </c>
      <c r="B3" s="258">
        <v>1328145807823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1404</v>
      </c>
      <c r="C8" s="276">
        <v>44317</v>
      </c>
      <c r="D8" s="257" t="s">
        <v>1295</v>
      </c>
      <c r="E8" s="256" t="s">
        <v>1825</v>
      </c>
      <c r="F8" s="256" t="s">
        <v>1837</v>
      </c>
      <c r="G8" s="258">
        <v>28738000000</v>
      </c>
      <c r="H8" s="265">
        <v>0</v>
      </c>
      <c r="I8" s="258">
        <v>0</v>
      </c>
      <c r="J8" s="258">
        <v>28738000000</v>
      </c>
      <c r="K8" s="256" t="s">
        <v>1346</v>
      </c>
    </row>
    <row r="9" spans="1:11" x14ac:dyDescent="0.3">
      <c r="A9" s="256">
        <v>2</v>
      </c>
      <c r="B9" s="257" t="s">
        <v>1483</v>
      </c>
      <c r="C9" s="276">
        <v>44318</v>
      </c>
      <c r="D9" s="257" t="s">
        <v>1304</v>
      </c>
      <c r="E9" s="256" t="s">
        <v>1831</v>
      </c>
      <c r="F9" s="256" t="s">
        <v>1741</v>
      </c>
      <c r="G9" s="258">
        <v>18383000000</v>
      </c>
      <c r="H9" s="265">
        <v>0.1</v>
      </c>
      <c r="I9" s="258">
        <v>1838300000</v>
      </c>
      <c r="J9" s="258">
        <v>20221300000</v>
      </c>
      <c r="K9" s="256" t="s">
        <v>1348</v>
      </c>
    </row>
    <row r="10" spans="1:11" x14ac:dyDescent="0.3">
      <c r="A10" s="256">
        <v>3</v>
      </c>
      <c r="B10" s="257" t="s">
        <v>1466</v>
      </c>
      <c r="C10" s="276">
        <v>44472</v>
      </c>
      <c r="D10" s="257" t="s">
        <v>1282</v>
      </c>
      <c r="E10" s="256" t="s">
        <v>1789</v>
      </c>
      <c r="F10" s="256" t="s">
        <v>1837</v>
      </c>
      <c r="G10" s="258">
        <v>7879000000</v>
      </c>
      <c r="H10" s="265">
        <v>0.1</v>
      </c>
      <c r="I10" s="258">
        <v>787900000</v>
      </c>
      <c r="J10" s="258">
        <v>8666900000</v>
      </c>
      <c r="K10" s="256" t="s">
        <v>1346</v>
      </c>
    </row>
    <row r="11" spans="1:11" x14ac:dyDescent="0.3">
      <c r="A11" s="256">
        <v>4</v>
      </c>
      <c r="B11" s="257" t="s">
        <v>1399</v>
      </c>
      <c r="C11" s="276">
        <v>44473</v>
      </c>
      <c r="D11" s="257" t="s">
        <v>1294</v>
      </c>
      <c r="E11" s="256" t="s">
        <v>1795</v>
      </c>
      <c r="F11" s="256" t="s">
        <v>1741</v>
      </c>
      <c r="G11" s="258">
        <v>20139000000</v>
      </c>
      <c r="H11" s="265">
        <v>0.1</v>
      </c>
      <c r="I11" s="258">
        <v>2013900000</v>
      </c>
      <c r="J11" s="258">
        <v>22152900000</v>
      </c>
      <c r="K11" s="256" t="s">
        <v>1346</v>
      </c>
    </row>
    <row r="12" spans="1:11" x14ac:dyDescent="0.3">
      <c r="A12" s="256">
        <v>5</v>
      </c>
      <c r="B12" s="257" t="s">
        <v>1482</v>
      </c>
      <c r="C12" s="276">
        <v>44474</v>
      </c>
      <c r="D12" s="257" t="s">
        <v>1277</v>
      </c>
      <c r="E12" s="256" t="s">
        <v>1783</v>
      </c>
      <c r="F12" s="256" t="s">
        <v>1835</v>
      </c>
      <c r="G12" s="258">
        <v>17760000000</v>
      </c>
      <c r="H12" s="265">
        <v>0.1</v>
      </c>
      <c r="I12" s="258">
        <v>1776000000</v>
      </c>
      <c r="J12" s="258">
        <v>19536000000</v>
      </c>
      <c r="K12" s="256" t="s">
        <v>1348</v>
      </c>
    </row>
    <row r="13" spans="1:11" x14ac:dyDescent="0.3">
      <c r="A13" s="256">
        <v>6</v>
      </c>
      <c r="B13" s="257" t="s">
        <v>1411</v>
      </c>
      <c r="C13" s="276">
        <v>44475</v>
      </c>
      <c r="D13" s="257" t="s">
        <v>1300</v>
      </c>
      <c r="E13" s="256" t="s">
        <v>1818</v>
      </c>
      <c r="F13" s="256" t="s">
        <v>1836</v>
      </c>
      <c r="G13" s="258">
        <v>27509000000</v>
      </c>
      <c r="H13" s="265">
        <v>0</v>
      </c>
      <c r="I13" s="258">
        <v>0</v>
      </c>
      <c r="J13" s="258">
        <v>27509000000</v>
      </c>
      <c r="K13" s="256" t="s">
        <v>1346</v>
      </c>
    </row>
    <row r="14" spans="1:11" x14ac:dyDescent="0.3">
      <c r="A14" s="256">
        <v>7</v>
      </c>
      <c r="B14" s="257" t="s">
        <v>1394</v>
      </c>
      <c r="C14" s="276">
        <v>44476</v>
      </c>
      <c r="D14" s="257" t="s">
        <v>1298</v>
      </c>
      <c r="E14" s="256" t="s">
        <v>1819</v>
      </c>
      <c r="F14" s="256" t="s">
        <v>1836</v>
      </c>
      <c r="G14" s="258">
        <v>15059000000</v>
      </c>
      <c r="H14" s="265">
        <v>0</v>
      </c>
      <c r="I14" s="258">
        <v>0</v>
      </c>
      <c r="J14" s="258">
        <v>15059000000</v>
      </c>
      <c r="K14" s="256" t="s">
        <v>1346</v>
      </c>
    </row>
    <row r="15" spans="1:11" x14ac:dyDescent="0.3">
      <c r="A15" s="256">
        <v>8</v>
      </c>
      <c r="B15" s="257" t="s">
        <v>1479</v>
      </c>
      <c r="C15" s="276">
        <v>44477</v>
      </c>
      <c r="D15" s="257" t="s">
        <v>1272</v>
      </c>
      <c r="E15" s="256" t="s">
        <v>1805</v>
      </c>
      <c r="F15" s="256" t="s">
        <v>1837</v>
      </c>
      <c r="G15" s="258">
        <v>8247000000</v>
      </c>
      <c r="H15" s="265">
        <v>0.1</v>
      </c>
      <c r="I15" s="258">
        <v>824700000</v>
      </c>
      <c r="J15" s="258">
        <v>9071700000</v>
      </c>
      <c r="K15" s="256" t="s">
        <v>1346</v>
      </c>
    </row>
    <row r="16" spans="1:11" x14ac:dyDescent="0.3">
      <c r="A16" s="256">
        <v>9</v>
      </c>
      <c r="B16" s="257" t="s">
        <v>1496</v>
      </c>
      <c r="C16" s="276">
        <v>44478</v>
      </c>
      <c r="D16" s="257" t="s">
        <v>1284</v>
      </c>
      <c r="E16" s="256" t="s">
        <v>1786</v>
      </c>
      <c r="F16" s="256" t="s">
        <v>1837</v>
      </c>
      <c r="G16" s="258">
        <v>15137000000</v>
      </c>
      <c r="H16" s="265">
        <v>0</v>
      </c>
      <c r="I16" s="258">
        <v>0</v>
      </c>
      <c r="J16" s="258">
        <v>15137000000</v>
      </c>
      <c r="K16" s="256" t="s">
        <v>1346</v>
      </c>
    </row>
    <row r="17" spans="1:11" x14ac:dyDescent="0.3">
      <c r="A17" s="256">
        <v>10</v>
      </c>
      <c r="B17" s="257" t="s">
        <v>1497</v>
      </c>
      <c r="C17" s="276">
        <v>44479</v>
      </c>
      <c r="D17" s="257" t="s">
        <v>1284</v>
      </c>
      <c r="E17" s="256" t="s">
        <v>1786</v>
      </c>
      <c r="F17" s="256" t="s">
        <v>1741</v>
      </c>
      <c r="G17" s="258">
        <v>19735000000</v>
      </c>
      <c r="H17" s="265">
        <v>0.1</v>
      </c>
      <c r="I17" s="258">
        <v>1973500000</v>
      </c>
      <c r="J17" s="258">
        <v>21708500000</v>
      </c>
      <c r="K17" s="256" t="s">
        <v>1346</v>
      </c>
    </row>
    <row r="18" spans="1:11" x14ac:dyDescent="0.3">
      <c r="A18" s="256">
        <v>11</v>
      </c>
      <c r="B18" s="257" t="s">
        <v>1466</v>
      </c>
      <c r="C18" s="276">
        <v>44480</v>
      </c>
      <c r="D18" s="257" t="s">
        <v>1285</v>
      </c>
      <c r="E18" s="256" t="s">
        <v>1793</v>
      </c>
      <c r="F18" s="256" t="s">
        <v>1834</v>
      </c>
      <c r="G18" s="258">
        <v>26881000000</v>
      </c>
      <c r="H18" s="265">
        <v>0</v>
      </c>
      <c r="I18" s="258">
        <v>0</v>
      </c>
      <c r="J18" s="258">
        <v>26881000000</v>
      </c>
      <c r="K18" s="256" t="s">
        <v>1346</v>
      </c>
    </row>
    <row r="19" spans="1:11" x14ac:dyDescent="0.3">
      <c r="A19" s="256">
        <v>12</v>
      </c>
      <c r="B19" s="257" t="s">
        <v>1419</v>
      </c>
      <c r="C19" s="276">
        <v>44481</v>
      </c>
      <c r="D19" s="257" t="s">
        <v>1290</v>
      </c>
      <c r="E19" s="256" t="s">
        <v>1796</v>
      </c>
      <c r="F19" s="256" t="s">
        <v>1837</v>
      </c>
      <c r="G19" s="258">
        <v>28080000000</v>
      </c>
      <c r="H19" s="265">
        <v>0.1</v>
      </c>
      <c r="I19" s="258">
        <v>2808000000</v>
      </c>
      <c r="J19" s="258">
        <v>30888000000</v>
      </c>
      <c r="K19" s="256" t="s">
        <v>1346</v>
      </c>
    </row>
    <row r="20" spans="1:11" x14ac:dyDescent="0.3">
      <c r="A20" s="256">
        <v>13</v>
      </c>
      <c r="B20" s="257" t="s">
        <v>1489</v>
      </c>
      <c r="C20" s="276">
        <v>44211</v>
      </c>
      <c r="D20" s="257" t="s">
        <v>1259</v>
      </c>
      <c r="E20" s="256" t="s">
        <v>1788</v>
      </c>
      <c r="F20" s="256" t="s">
        <v>1834</v>
      </c>
      <c r="G20" s="258">
        <v>21777000000</v>
      </c>
      <c r="H20" s="265">
        <v>0.1</v>
      </c>
      <c r="I20" s="258">
        <v>2177700000</v>
      </c>
      <c r="J20" s="258">
        <v>23954700000</v>
      </c>
      <c r="K20" s="256" t="s">
        <v>1346</v>
      </c>
    </row>
    <row r="21" spans="1:11" x14ac:dyDescent="0.3">
      <c r="A21" s="256">
        <v>14</v>
      </c>
      <c r="B21" s="257" t="s">
        <v>1399</v>
      </c>
      <c r="C21" s="276">
        <v>44242</v>
      </c>
      <c r="D21" s="257" t="s">
        <v>1261</v>
      </c>
      <c r="E21" s="256" t="s">
        <v>1813</v>
      </c>
      <c r="F21" s="256" t="s">
        <v>1837</v>
      </c>
      <c r="G21" s="258">
        <v>28920000000</v>
      </c>
      <c r="H21" s="265">
        <v>0.1</v>
      </c>
      <c r="I21" s="258">
        <v>2892000000</v>
      </c>
      <c r="J21" s="258">
        <v>31812000000</v>
      </c>
      <c r="K21" s="256" t="s">
        <v>1346</v>
      </c>
    </row>
    <row r="22" spans="1:11" x14ac:dyDescent="0.3">
      <c r="A22" s="256">
        <v>15</v>
      </c>
      <c r="B22" s="257" t="s">
        <v>1478</v>
      </c>
      <c r="C22" s="276">
        <v>44275</v>
      </c>
      <c r="D22" s="257" t="s">
        <v>1276</v>
      </c>
      <c r="E22" s="256" t="s">
        <v>1822</v>
      </c>
      <c r="F22" s="256" t="s">
        <v>1835</v>
      </c>
      <c r="G22" s="258">
        <v>21882000000</v>
      </c>
      <c r="H22" s="265">
        <v>0.1</v>
      </c>
      <c r="I22" s="258">
        <v>2188200000</v>
      </c>
      <c r="J22" s="258">
        <v>24070200000</v>
      </c>
      <c r="K22" s="256" t="s">
        <v>1346</v>
      </c>
    </row>
    <row r="23" spans="1:11" x14ac:dyDescent="0.3">
      <c r="A23" s="256">
        <v>16</v>
      </c>
      <c r="B23" s="257" t="s">
        <v>1479</v>
      </c>
      <c r="C23" s="276">
        <v>44306</v>
      </c>
      <c r="D23" s="257" t="s">
        <v>1276</v>
      </c>
      <c r="E23" s="256" t="s">
        <v>1822</v>
      </c>
      <c r="F23" s="256" t="s">
        <v>1836</v>
      </c>
      <c r="G23" s="258">
        <v>10391000000</v>
      </c>
      <c r="H23" s="265">
        <v>0.1</v>
      </c>
      <c r="I23" s="258">
        <v>1039100000</v>
      </c>
      <c r="J23" s="258">
        <v>11430100000</v>
      </c>
      <c r="K23" s="256" t="s">
        <v>1346</v>
      </c>
    </row>
    <row r="24" spans="1:11" x14ac:dyDescent="0.3">
      <c r="A24" s="256">
        <v>17</v>
      </c>
      <c r="B24" s="257" t="s">
        <v>1473</v>
      </c>
      <c r="C24" s="276">
        <v>44336</v>
      </c>
      <c r="D24" s="257" t="s">
        <v>1279</v>
      </c>
      <c r="E24" s="256" t="s">
        <v>1827</v>
      </c>
      <c r="F24" s="256" t="s">
        <v>1834</v>
      </c>
      <c r="G24" s="258">
        <v>15494000000</v>
      </c>
      <c r="H24" s="265">
        <v>0.1</v>
      </c>
      <c r="I24" s="258">
        <v>1549400000</v>
      </c>
      <c r="J24" s="258">
        <v>17043400000</v>
      </c>
      <c r="K24" s="256" t="s">
        <v>1346</v>
      </c>
    </row>
    <row r="25" spans="1:11" x14ac:dyDescent="0.3">
      <c r="A25" s="256">
        <v>18</v>
      </c>
      <c r="B25" s="257" t="s">
        <v>1480</v>
      </c>
      <c r="C25" s="276">
        <v>44367</v>
      </c>
      <c r="D25" s="257" t="s">
        <v>1272</v>
      </c>
      <c r="E25" s="256" t="s">
        <v>1805</v>
      </c>
      <c r="F25" s="256" t="s">
        <v>1734</v>
      </c>
      <c r="G25" s="258">
        <v>24358000000</v>
      </c>
      <c r="H25" s="265">
        <v>0.1</v>
      </c>
      <c r="I25" s="258">
        <v>2435800000</v>
      </c>
      <c r="J25" s="258">
        <v>26793800000</v>
      </c>
      <c r="K25" s="256" t="s">
        <v>1346</v>
      </c>
    </row>
    <row r="26" spans="1:11" x14ac:dyDescent="0.3">
      <c r="A26" s="256">
        <v>19</v>
      </c>
      <c r="B26" s="257" t="s">
        <v>1459</v>
      </c>
      <c r="C26" s="276">
        <v>44397</v>
      </c>
      <c r="D26" s="257" t="s">
        <v>1299</v>
      </c>
      <c r="E26" s="256" t="s">
        <v>1776</v>
      </c>
      <c r="F26" s="256" t="s">
        <v>1835</v>
      </c>
      <c r="G26" s="258">
        <v>23906000000</v>
      </c>
      <c r="H26" s="265">
        <v>0</v>
      </c>
      <c r="I26" s="258">
        <v>0</v>
      </c>
      <c r="J26" s="258">
        <v>23906000000</v>
      </c>
      <c r="K26" s="256" t="s">
        <v>1346</v>
      </c>
    </row>
    <row r="27" spans="1:11" x14ac:dyDescent="0.3">
      <c r="A27" s="256">
        <v>20</v>
      </c>
      <c r="B27" s="257" t="s">
        <v>1414</v>
      </c>
      <c r="C27" s="276">
        <v>44428</v>
      </c>
      <c r="D27" s="257" t="s">
        <v>1300</v>
      </c>
      <c r="E27" s="256" t="s">
        <v>1818</v>
      </c>
      <c r="F27" s="256" t="s">
        <v>1834</v>
      </c>
      <c r="G27" s="258">
        <v>24497000000</v>
      </c>
      <c r="H27" s="265">
        <v>0.1</v>
      </c>
      <c r="I27" s="258">
        <v>2449700000</v>
      </c>
      <c r="J27" s="258">
        <v>26946700000</v>
      </c>
      <c r="K27" s="256" t="s">
        <v>1346</v>
      </c>
    </row>
    <row r="28" spans="1:11" x14ac:dyDescent="0.3">
      <c r="A28" s="256">
        <v>21</v>
      </c>
      <c r="B28" s="257" t="s">
        <v>1418</v>
      </c>
      <c r="C28" s="276">
        <v>44459</v>
      </c>
      <c r="D28" s="257" t="s">
        <v>1302</v>
      </c>
      <c r="E28" s="256" t="s">
        <v>1784</v>
      </c>
      <c r="F28" s="256" t="s">
        <v>1834</v>
      </c>
      <c r="G28" s="258">
        <v>12018000000</v>
      </c>
      <c r="H28" s="265">
        <v>0.1</v>
      </c>
      <c r="I28" s="258">
        <v>1201800000</v>
      </c>
      <c r="J28" s="258">
        <v>13219800000</v>
      </c>
      <c r="K28" s="256" t="s">
        <v>1346</v>
      </c>
    </row>
    <row r="29" spans="1:11" x14ac:dyDescent="0.3">
      <c r="A29" s="256">
        <v>22</v>
      </c>
      <c r="B29" s="257" t="s">
        <v>1460</v>
      </c>
      <c r="C29" s="276">
        <v>44489</v>
      </c>
      <c r="D29" s="257" t="s">
        <v>1299</v>
      </c>
      <c r="E29" s="256" t="s">
        <v>1776</v>
      </c>
      <c r="F29" s="256" t="s">
        <v>1741</v>
      </c>
      <c r="G29" s="258">
        <v>10842000000</v>
      </c>
      <c r="H29" s="265">
        <v>0.1</v>
      </c>
      <c r="I29" s="258">
        <v>1084200000</v>
      </c>
      <c r="J29" s="258">
        <v>11926200000</v>
      </c>
      <c r="K29" s="256" t="s">
        <v>1346</v>
      </c>
    </row>
    <row r="30" spans="1:11" x14ac:dyDescent="0.3">
      <c r="A30" s="256">
        <v>23</v>
      </c>
      <c r="B30" s="257" t="s">
        <v>1401</v>
      </c>
      <c r="C30" s="276">
        <v>44520</v>
      </c>
      <c r="D30" s="257" t="s">
        <v>1294</v>
      </c>
      <c r="E30" s="256" t="s">
        <v>1795</v>
      </c>
      <c r="F30" s="256" t="s">
        <v>1741</v>
      </c>
      <c r="G30" s="258">
        <v>14931000000</v>
      </c>
      <c r="H30" s="265">
        <v>0.1</v>
      </c>
      <c r="I30" s="258">
        <v>1493100000</v>
      </c>
      <c r="J30" s="258">
        <v>16424100000</v>
      </c>
      <c r="K30" s="256" t="s">
        <v>1346</v>
      </c>
    </row>
    <row r="31" spans="1:11" x14ac:dyDescent="0.3">
      <c r="A31" s="256">
        <v>24</v>
      </c>
      <c r="B31" s="257" t="s">
        <v>1482</v>
      </c>
      <c r="C31" s="276">
        <v>44550</v>
      </c>
      <c r="D31" s="257" t="s">
        <v>1270</v>
      </c>
      <c r="E31" s="256" t="s">
        <v>1782</v>
      </c>
      <c r="F31" s="256" t="s">
        <v>1836</v>
      </c>
      <c r="G31" s="258">
        <v>23974000000</v>
      </c>
      <c r="H31" s="265">
        <v>0.1</v>
      </c>
      <c r="I31" s="258">
        <v>2397400000</v>
      </c>
      <c r="J31" s="258">
        <v>26371400000</v>
      </c>
      <c r="K31" s="256" t="s">
        <v>1348</v>
      </c>
    </row>
    <row r="32" spans="1:11" x14ac:dyDescent="0.3">
      <c r="A32" s="256">
        <v>25</v>
      </c>
      <c r="B32" s="257" t="s">
        <v>1405</v>
      </c>
      <c r="C32" s="276">
        <v>44221</v>
      </c>
      <c r="D32" s="257" t="s">
        <v>1295</v>
      </c>
      <c r="E32" s="256" t="s">
        <v>1825</v>
      </c>
      <c r="F32" s="256" t="s">
        <v>1741</v>
      </c>
      <c r="G32" s="258">
        <v>21504000000</v>
      </c>
      <c r="H32" s="265">
        <v>0.1</v>
      </c>
      <c r="I32" s="258">
        <v>2150400000</v>
      </c>
      <c r="J32" s="258">
        <v>23654400000</v>
      </c>
      <c r="K32" s="256" t="s">
        <v>1346</v>
      </c>
    </row>
    <row r="33" spans="1:11" x14ac:dyDescent="0.3">
      <c r="A33" s="256">
        <v>26</v>
      </c>
      <c r="B33" s="257" t="s">
        <v>1468</v>
      </c>
      <c r="C33" s="276">
        <v>44255</v>
      </c>
      <c r="D33" s="257" t="s">
        <v>1283</v>
      </c>
      <c r="E33" s="256" t="s">
        <v>1798</v>
      </c>
      <c r="F33" s="256" t="s">
        <v>1834</v>
      </c>
      <c r="G33" s="258">
        <v>22318000000</v>
      </c>
      <c r="H33" s="265">
        <v>0.1</v>
      </c>
      <c r="I33" s="258">
        <v>2231800000</v>
      </c>
      <c r="J33" s="258">
        <v>24549800000</v>
      </c>
      <c r="K33" s="256" t="s">
        <v>1348</v>
      </c>
    </row>
    <row r="34" spans="1:11" x14ac:dyDescent="0.3">
      <c r="A34" s="256">
        <v>27</v>
      </c>
      <c r="B34" s="257" t="s">
        <v>1465</v>
      </c>
      <c r="C34" s="276">
        <v>44316</v>
      </c>
      <c r="D34" s="257" t="s">
        <v>1257</v>
      </c>
      <c r="E34" s="256" t="s">
        <v>1815</v>
      </c>
      <c r="F34" s="256" t="s">
        <v>1837</v>
      </c>
      <c r="G34" s="258">
        <v>8097000000</v>
      </c>
      <c r="H34" s="265">
        <v>0.1</v>
      </c>
      <c r="I34" s="258">
        <v>809700000</v>
      </c>
      <c r="J34" s="258">
        <v>8906700000</v>
      </c>
      <c r="K34" s="256" t="s">
        <v>1346</v>
      </c>
    </row>
    <row r="35" spans="1:11" x14ac:dyDescent="0.3">
      <c r="A35" s="256">
        <v>28</v>
      </c>
      <c r="B35" s="257" t="s">
        <v>1481</v>
      </c>
      <c r="C35" s="276">
        <v>44377</v>
      </c>
      <c r="D35" s="257" t="s">
        <v>1260</v>
      </c>
      <c r="E35" s="256" t="s">
        <v>1804</v>
      </c>
      <c r="F35" s="256" t="s">
        <v>1834</v>
      </c>
      <c r="G35" s="258">
        <v>14791000000</v>
      </c>
      <c r="H35" s="265">
        <v>0.1</v>
      </c>
      <c r="I35" s="258">
        <v>1479100000</v>
      </c>
      <c r="J35" s="258">
        <v>16270100000</v>
      </c>
      <c r="K35" s="256" t="s">
        <v>1346</v>
      </c>
    </row>
    <row r="36" spans="1:11" x14ac:dyDescent="0.3">
      <c r="A36" s="256">
        <v>29</v>
      </c>
      <c r="B36" s="257" t="s">
        <v>1484</v>
      </c>
      <c r="C36" s="276">
        <v>44469</v>
      </c>
      <c r="D36" s="257" t="s">
        <v>1304</v>
      </c>
      <c r="E36" s="256" t="s">
        <v>1831</v>
      </c>
      <c r="F36" s="256" t="s">
        <v>1835</v>
      </c>
      <c r="G36" s="258">
        <v>19964000000</v>
      </c>
      <c r="H36" s="265">
        <v>0.1</v>
      </c>
      <c r="I36" s="258">
        <v>1996400000</v>
      </c>
      <c r="J36" s="258">
        <v>21960400000</v>
      </c>
      <c r="K36" s="256" t="s">
        <v>1346</v>
      </c>
    </row>
    <row r="37" spans="1:11" x14ac:dyDescent="0.3">
      <c r="A37" s="256">
        <v>30</v>
      </c>
      <c r="B37" s="257" t="s">
        <v>1482</v>
      </c>
      <c r="C37" s="276">
        <v>44530</v>
      </c>
      <c r="D37" s="257" t="s">
        <v>1260</v>
      </c>
      <c r="E37" s="256" t="s">
        <v>1804</v>
      </c>
      <c r="F37" s="256" t="s">
        <v>1741</v>
      </c>
      <c r="G37" s="258">
        <v>20721000000</v>
      </c>
      <c r="H37" s="265">
        <v>0.1</v>
      </c>
      <c r="I37" s="258">
        <v>2072100000</v>
      </c>
      <c r="J37" s="258">
        <v>22793100000</v>
      </c>
      <c r="K37" s="256" t="s">
        <v>1346</v>
      </c>
    </row>
    <row r="38" spans="1:11" x14ac:dyDescent="0.3">
      <c r="A38" s="256">
        <v>31</v>
      </c>
      <c r="B38" s="257" t="s">
        <v>1466</v>
      </c>
      <c r="C38" s="276">
        <v>44286</v>
      </c>
      <c r="D38" s="257" t="s">
        <v>1257</v>
      </c>
      <c r="E38" s="256" t="s">
        <v>1815</v>
      </c>
      <c r="F38" s="256" t="s">
        <v>1836</v>
      </c>
      <c r="G38" s="258">
        <v>29357000000</v>
      </c>
      <c r="H38" s="265">
        <v>0.1</v>
      </c>
      <c r="I38" s="258">
        <v>2935700000</v>
      </c>
      <c r="J38" s="258">
        <v>32292700000</v>
      </c>
      <c r="K38" s="256" t="s">
        <v>1346</v>
      </c>
    </row>
    <row r="39" spans="1:11" x14ac:dyDescent="0.3">
      <c r="A39" s="256">
        <v>32</v>
      </c>
      <c r="B39" s="257" t="s">
        <v>1469</v>
      </c>
      <c r="C39" s="276">
        <v>44347</v>
      </c>
      <c r="D39" s="257" t="s">
        <v>1288</v>
      </c>
      <c r="E39" s="256" t="s">
        <v>1797</v>
      </c>
      <c r="F39" s="256" t="s">
        <v>1836</v>
      </c>
      <c r="G39" s="258">
        <v>27024000000</v>
      </c>
      <c r="H39" s="265">
        <v>0.1</v>
      </c>
      <c r="I39" s="258">
        <v>2702400000</v>
      </c>
      <c r="J39" s="258">
        <v>29726400000</v>
      </c>
      <c r="K39" s="256" t="s">
        <v>1346</v>
      </c>
    </row>
    <row r="40" spans="1:11" x14ac:dyDescent="0.3">
      <c r="A40" s="256">
        <v>33</v>
      </c>
      <c r="B40" s="257" t="s">
        <v>1472</v>
      </c>
      <c r="C40" s="276">
        <v>44408</v>
      </c>
      <c r="D40" s="257" t="s">
        <v>1268</v>
      </c>
      <c r="E40" s="256" t="s">
        <v>1821</v>
      </c>
      <c r="F40" s="256" t="s">
        <v>1836</v>
      </c>
      <c r="G40" s="258">
        <v>10239000000</v>
      </c>
      <c r="H40" s="265">
        <v>0</v>
      </c>
      <c r="I40" s="258">
        <v>0</v>
      </c>
      <c r="J40" s="258">
        <v>10239000000</v>
      </c>
      <c r="K40" s="256" t="s">
        <v>1346</v>
      </c>
    </row>
    <row r="41" spans="1:11" x14ac:dyDescent="0.3">
      <c r="A41" s="256">
        <v>34</v>
      </c>
      <c r="B41" s="257" t="s">
        <v>1408</v>
      </c>
      <c r="C41" s="276">
        <v>44439</v>
      </c>
      <c r="D41" s="257" t="s">
        <v>1292</v>
      </c>
      <c r="E41" s="256" t="s">
        <v>1792</v>
      </c>
      <c r="F41" s="256" t="s">
        <v>1837</v>
      </c>
      <c r="G41" s="258">
        <v>18296000000</v>
      </c>
      <c r="H41" s="265">
        <v>0.1</v>
      </c>
      <c r="I41" s="258">
        <v>1829600000</v>
      </c>
      <c r="J41" s="258">
        <v>20125600000</v>
      </c>
      <c r="K41" s="256" t="s">
        <v>1346</v>
      </c>
    </row>
    <row r="42" spans="1:11" x14ac:dyDescent="0.3">
      <c r="A42" s="256">
        <v>35</v>
      </c>
      <c r="B42" s="257" t="s">
        <v>1474</v>
      </c>
      <c r="C42" s="276">
        <v>44500</v>
      </c>
      <c r="D42" s="257" t="s">
        <v>1279</v>
      </c>
      <c r="E42" s="256" t="s">
        <v>1827</v>
      </c>
      <c r="F42" s="256" t="s">
        <v>1836</v>
      </c>
      <c r="G42" s="258">
        <v>26106000000</v>
      </c>
      <c r="H42" s="265">
        <v>0.1</v>
      </c>
      <c r="I42" s="258">
        <v>2610600000</v>
      </c>
      <c r="J42" s="258">
        <v>28716600000</v>
      </c>
      <c r="K42" s="256" t="s">
        <v>1346</v>
      </c>
    </row>
    <row r="43" spans="1:11" x14ac:dyDescent="0.3">
      <c r="A43" s="256">
        <v>36</v>
      </c>
      <c r="B43" s="257" t="s">
        <v>1485</v>
      </c>
      <c r="C43" s="276">
        <v>44561</v>
      </c>
      <c r="D43" s="257" t="s">
        <v>1304</v>
      </c>
      <c r="E43" s="256" t="s">
        <v>1831</v>
      </c>
      <c r="F43" s="256" t="s">
        <v>1835</v>
      </c>
      <c r="G43" s="258">
        <v>28320000000</v>
      </c>
      <c r="H43" s="265">
        <v>0.1</v>
      </c>
      <c r="I43" s="258">
        <v>2832000000</v>
      </c>
      <c r="J43" s="258">
        <v>31152000000</v>
      </c>
      <c r="K43" s="256" t="s">
        <v>1346</v>
      </c>
    </row>
    <row r="44" spans="1:11" x14ac:dyDescent="0.3">
      <c r="A44" s="256">
        <v>37</v>
      </c>
      <c r="B44" s="257" t="s">
        <v>1415</v>
      </c>
      <c r="C44" s="276">
        <v>44561</v>
      </c>
      <c r="D44" s="257" t="s">
        <v>1300</v>
      </c>
      <c r="E44" s="256" t="s">
        <v>1818</v>
      </c>
      <c r="F44" s="256" t="s">
        <v>1835</v>
      </c>
      <c r="G44" s="258">
        <v>22254000000</v>
      </c>
      <c r="H44" s="265">
        <v>0.1</v>
      </c>
      <c r="I44" s="258">
        <v>2225400000</v>
      </c>
      <c r="J44" s="258">
        <v>24479400000</v>
      </c>
      <c r="K44" s="256" t="s">
        <v>1348</v>
      </c>
    </row>
    <row r="45" spans="1:11" x14ac:dyDescent="0.3">
      <c r="A45" s="256">
        <v>38</v>
      </c>
      <c r="B45" s="257" t="s">
        <v>1409</v>
      </c>
      <c r="C45" s="276">
        <v>44561</v>
      </c>
      <c r="D45" s="257" t="s">
        <v>1292</v>
      </c>
      <c r="E45" s="256" t="s">
        <v>1792</v>
      </c>
      <c r="F45" s="256" t="s">
        <v>1734</v>
      </c>
      <c r="G45" s="258">
        <v>15567000000</v>
      </c>
      <c r="H45" s="265">
        <v>0.1</v>
      </c>
      <c r="I45" s="258">
        <v>1556700000</v>
      </c>
      <c r="J45" s="258">
        <v>17123700000</v>
      </c>
      <c r="K45" s="256" t="s">
        <v>1346</v>
      </c>
    </row>
    <row r="46" spans="1:11" x14ac:dyDescent="0.3">
      <c r="A46" s="256">
        <v>39</v>
      </c>
      <c r="B46" s="257" t="s">
        <v>1486</v>
      </c>
      <c r="C46" s="276">
        <v>44561</v>
      </c>
      <c r="D46" s="257" t="s">
        <v>1304</v>
      </c>
      <c r="E46" s="256" t="s">
        <v>1831</v>
      </c>
      <c r="F46" s="256" t="s">
        <v>1836</v>
      </c>
      <c r="G46" s="258">
        <v>14145000000</v>
      </c>
      <c r="H46" s="265">
        <v>0.1</v>
      </c>
      <c r="I46" s="258">
        <v>1414500000</v>
      </c>
      <c r="J46" s="258">
        <v>15559500000</v>
      </c>
      <c r="K46" s="256" t="s">
        <v>1348</v>
      </c>
    </row>
    <row r="47" spans="1:11" x14ac:dyDescent="0.3">
      <c r="A47" s="256">
        <v>40</v>
      </c>
      <c r="B47" s="257" t="s">
        <v>1477</v>
      </c>
      <c r="C47" s="276">
        <v>44561</v>
      </c>
      <c r="D47" s="257" t="s">
        <v>1263</v>
      </c>
      <c r="E47" s="256" t="s">
        <v>1790</v>
      </c>
      <c r="F47" s="256" t="s">
        <v>1834</v>
      </c>
      <c r="G47" s="258">
        <v>11044000000</v>
      </c>
      <c r="H47" s="265">
        <v>0.1</v>
      </c>
      <c r="I47" s="258">
        <v>1104400000</v>
      </c>
      <c r="J47" s="258">
        <v>12148400000</v>
      </c>
      <c r="K47" s="256" t="s">
        <v>1346</v>
      </c>
    </row>
    <row r="48" spans="1:11" x14ac:dyDescent="0.3">
      <c r="A48" s="256">
        <v>41</v>
      </c>
      <c r="B48" s="257" t="s">
        <v>1467</v>
      </c>
      <c r="C48" s="276">
        <v>44561</v>
      </c>
      <c r="D48" s="257" t="s">
        <v>1285</v>
      </c>
      <c r="E48" s="256" t="s">
        <v>1793</v>
      </c>
      <c r="F48" s="256" t="s">
        <v>1741</v>
      </c>
      <c r="G48" s="258">
        <v>8381000000</v>
      </c>
      <c r="H48" s="265">
        <v>0.1</v>
      </c>
      <c r="I48" s="258">
        <v>838100000</v>
      </c>
      <c r="J48" s="258">
        <v>9219100000</v>
      </c>
      <c r="K48" s="256" t="s">
        <v>1346</v>
      </c>
    </row>
    <row r="49" spans="1:11" x14ac:dyDescent="0.3">
      <c r="A49" s="256">
        <v>42</v>
      </c>
      <c r="B49" s="257" t="s">
        <v>1469</v>
      </c>
      <c r="C49" s="276">
        <v>44561</v>
      </c>
      <c r="D49" s="257" t="s">
        <v>1283</v>
      </c>
      <c r="E49" s="256" t="s">
        <v>1798</v>
      </c>
      <c r="F49" s="256" t="s">
        <v>1741</v>
      </c>
      <c r="G49" s="258">
        <v>23700000000</v>
      </c>
      <c r="H49" s="265">
        <v>0.1</v>
      </c>
      <c r="I49" s="258">
        <v>2370000000</v>
      </c>
      <c r="J49" s="258">
        <v>26070000000</v>
      </c>
      <c r="K49" s="256" t="s">
        <v>1346</v>
      </c>
    </row>
    <row r="50" spans="1:11" x14ac:dyDescent="0.3">
      <c r="A50" s="256">
        <v>43</v>
      </c>
      <c r="B50" s="257" t="s">
        <v>1483</v>
      </c>
      <c r="C50" s="276">
        <v>44561</v>
      </c>
      <c r="D50" s="257" t="s">
        <v>1270</v>
      </c>
      <c r="E50" s="256" t="s">
        <v>1782</v>
      </c>
      <c r="F50" s="256" t="s">
        <v>1835</v>
      </c>
      <c r="G50" s="258">
        <v>26785000000</v>
      </c>
      <c r="H50" s="265">
        <v>0.1</v>
      </c>
      <c r="I50" s="258">
        <v>2678500000</v>
      </c>
      <c r="J50" s="258">
        <v>29463500000</v>
      </c>
      <c r="K50" s="256" t="s">
        <v>1346</v>
      </c>
    </row>
    <row r="51" spans="1:11" x14ac:dyDescent="0.3">
      <c r="A51" s="256">
        <v>44</v>
      </c>
      <c r="B51" s="257" t="s">
        <v>1419</v>
      </c>
      <c r="C51" s="276">
        <v>44561</v>
      </c>
      <c r="D51" s="257" t="s">
        <v>1302</v>
      </c>
      <c r="E51" s="256" t="s">
        <v>1784</v>
      </c>
      <c r="F51" s="256" t="s">
        <v>1741</v>
      </c>
      <c r="G51" s="258">
        <v>20638000000</v>
      </c>
      <c r="H51" s="265">
        <v>0.1</v>
      </c>
      <c r="I51" s="258">
        <v>2063800000</v>
      </c>
      <c r="J51" s="258">
        <v>22701800000</v>
      </c>
      <c r="K51" s="256" t="s">
        <v>1346</v>
      </c>
    </row>
    <row r="52" spans="1:11" x14ac:dyDescent="0.3">
      <c r="A52" s="256">
        <v>45</v>
      </c>
      <c r="B52" s="257" t="s">
        <v>1466</v>
      </c>
      <c r="C52" s="276">
        <v>44561</v>
      </c>
      <c r="D52" s="257" t="s">
        <v>1262</v>
      </c>
      <c r="E52" s="256" t="s">
        <v>1816</v>
      </c>
      <c r="F52" s="256" t="s">
        <v>1834</v>
      </c>
      <c r="G52" s="258">
        <v>17047000000</v>
      </c>
      <c r="H52" s="265">
        <v>0.1</v>
      </c>
      <c r="I52" s="258">
        <v>1704700000</v>
      </c>
      <c r="J52" s="258">
        <v>18751700000</v>
      </c>
      <c r="K52" s="256" t="s">
        <v>1348</v>
      </c>
    </row>
    <row r="53" spans="1:11" x14ac:dyDescent="0.3">
      <c r="A53" s="256">
        <v>46</v>
      </c>
      <c r="B53" s="257" t="s">
        <v>1401</v>
      </c>
      <c r="C53" s="276">
        <v>44561</v>
      </c>
      <c r="D53" s="257" t="s">
        <v>1261</v>
      </c>
      <c r="E53" s="256" t="s">
        <v>1813</v>
      </c>
      <c r="F53" s="256" t="s">
        <v>1734</v>
      </c>
      <c r="G53" s="258">
        <v>17061000000</v>
      </c>
      <c r="H53" s="265">
        <v>0.1</v>
      </c>
      <c r="I53" s="258">
        <v>1706100000</v>
      </c>
      <c r="J53" s="258">
        <v>18767100000</v>
      </c>
      <c r="K53" s="256" t="s">
        <v>1346</v>
      </c>
    </row>
    <row r="54" spans="1:11" x14ac:dyDescent="0.3">
      <c r="A54" s="256">
        <v>47</v>
      </c>
      <c r="B54" s="257" t="s">
        <v>1483</v>
      </c>
      <c r="C54" s="276">
        <v>44561</v>
      </c>
      <c r="D54" s="257" t="s">
        <v>1260</v>
      </c>
      <c r="E54" s="256" t="s">
        <v>1804</v>
      </c>
      <c r="F54" s="256" t="s">
        <v>1836</v>
      </c>
      <c r="G54" s="258">
        <v>22730000000</v>
      </c>
      <c r="H54" s="265">
        <v>0.1</v>
      </c>
      <c r="I54" s="258">
        <v>2273000000</v>
      </c>
      <c r="J54" s="258">
        <v>25003000000</v>
      </c>
      <c r="K54" s="256" t="s">
        <v>1346</v>
      </c>
    </row>
    <row r="55" spans="1:11" x14ac:dyDescent="0.3">
      <c r="A55" s="256">
        <v>48</v>
      </c>
      <c r="B55" s="257" t="s">
        <v>1456</v>
      </c>
      <c r="C55" s="276">
        <v>44561</v>
      </c>
      <c r="D55" s="257" t="s">
        <v>1302</v>
      </c>
      <c r="E55" s="256" t="s">
        <v>1784</v>
      </c>
      <c r="F55" s="256" t="s">
        <v>1836</v>
      </c>
      <c r="G55" s="258">
        <v>27307000000</v>
      </c>
      <c r="H55" s="265">
        <v>0.1</v>
      </c>
      <c r="I55" s="258">
        <v>2730700000</v>
      </c>
      <c r="J55" s="258">
        <v>30037700000</v>
      </c>
      <c r="K55" s="256" t="s">
        <v>1346</v>
      </c>
    </row>
    <row r="56" spans="1:11" x14ac:dyDescent="0.3">
      <c r="A56" s="256">
        <v>49</v>
      </c>
      <c r="B56" s="257" t="s">
        <v>1456</v>
      </c>
      <c r="C56" s="276">
        <v>44561</v>
      </c>
      <c r="D56" s="257" t="s">
        <v>1290</v>
      </c>
      <c r="E56" s="256" t="s">
        <v>1796</v>
      </c>
      <c r="F56" s="256" t="s">
        <v>1837</v>
      </c>
      <c r="G56" s="258">
        <v>24985000000</v>
      </c>
      <c r="H56" s="265">
        <v>0.1</v>
      </c>
      <c r="I56" s="258">
        <v>2498500000</v>
      </c>
      <c r="J56" s="258">
        <v>27483500000</v>
      </c>
      <c r="K56" s="256" t="s">
        <v>1346</v>
      </c>
    </row>
    <row r="57" spans="1:11" x14ac:dyDescent="0.3">
      <c r="A57" s="256">
        <v>50</v>
      </c>
      <c r="B57" s="257" t="s">
        <v>1484</v>
      </c>
      <c r="C57" s="276">
        <v>44561</v>
      </c>
      <c r="D57" s="257" t="s">
        <v>1260</v>
      </c>
      <c r="E57" s="256" t="s">
        <v>1804</v>
      </c>
      <c r="F57" s="256" t="s">
        <v>1734</v>
      </c>
      <c r="G57" s="258">
        <v>9842000000</v>
      </c>
      <c r="H57" s="265">
        <v>0</v>
      </c>
      <c r="I57" s="258">
        <v>0</v>
      </c>
      <c r="J57" s="258">
        <v>9842000000</v>
      </c>
      <c r="K57" s="256" t="s">
        <v>1346</v>
      </c>
    </row>
    <row r="58" spans="1:11" x14ac:dyDescent="0.3">
      <c r="A58" s="266" t="s">
        <v>1351</v>
      </c>
      <c r="B58" s="266"/>
      <c r="C58" s="266"/>
      <c r="D58" s="266"/>
      <c r="E58" s="266"/>
      <c r="F58" s="266"/>
      <c r="G58" s="267">
        <f>SUM(G8:G57)</f>
        <v>974760000000</v>
      </c>
      <c r="H58" s="266"/>
      <c r="I58" s="267">
        <f>SUM(I8:I57)</f>
        <v>81744900000</v>
      </c>
      <c r="J58" s="267">
        <f>SUM(J8:J57)</f>
        <v>1056504900000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1840</v>
      </c>
      <c r="G62" s="258">
        <v>19343000000</v>
      </c>
      <c r="H62" s="265">
        <v>0.1</v>
      </c>
      <c r="I62" s="258">
        <v>1934300000</v>
      </c>
      <c r="J62" s="258">
        <v>21277300000</v>
      </c>
      <c r="K62" s="256" t="s">
        <v>1346</v>
      </c>
    </row>
    <row r="63" spans="1:11" x14ac:dyDescent="0.3">
      <c r="A63" s="256">
        <v>2</v>
      </c>
      <c r="B63" s="257" t="s">
        <v>1201</v>
      </c>
      <c r="C63" s="276">
        <v>44318</v>
      </c>
      <c r="D63" s="257" t="s">
        <v>1267</v>
      </c>
      <c r="E63" s="256" t="s">
        <v>1810</v>
      </c>
      <c r="F63" s="256" t="s">
        <v>1841</v>
      </c>
      <c r="G63" s="258">
        <v>30552000000</v>
      </c>
      <c r="H63" s="265">
        <v>0.1</v>
      </c>
      <c r="I63" s="258">
        <v>3055200000</v>
      </c>
      <c r="J63" s="258">
        <v>33607200000</v>
      </c>
      <c r="K63" s="256" t="s">
        <v>1346</v>
      </c>
    </row>
    <row r="64" spans="1:11" x14ac:dyDescent="0.3">
      <c r="A64" s="256">
        <v>3</v>
      </c>
      <c r="B64" s="257" t="s">
        <v>1202</v>
      </c>
      <c r="C64" s="276">
        <v>44472</v>
      </c>
      <c r="D64" s="257" t="s">
        <v>1291</v>
      </c>
      <c r="E64" s="256" t="s">
        <v>1800</v>
      </c>
      <c r="F64" s="256" t="s">
        <v>1840</v>
      </c>
      <c r="G64" s="258">
        <v>17223000000</v>
      </c>
      <c r="H64" s="265">
        <v>0.1</v>
      </c>
      <c r="I64" s="258">
        <v>1722300000</v>
      </c>
      <c r="J64" s="258">
        <v>18945300000</v>
      </c>
      <c r="K64" s="256" t="s">
        <v>1346</v>
      </c>
    </row>
    <row r="65" spans="1:11" x14ac:dyDescent="0.3">
      <c r="A65" s="256">
        <v>4</v>
      </c>
      <c r="B65" s="257" t="s">
        <v>1355</v>
      </c>
      <c r="C65" s="276">
        <v>44473</v>
      </c>
      <c r="D65" s="257" t="s">
        <v>1297</v>
      </c>
      <c r="E65" s="256" t="s">
        <v>1820</v>
      </c>
      <c r="F65" s="256" t="s">
        <v>1839</v>
      </c>
      <c r="G65" s="258">
        <v>19990000000</v>
      </c>
      <c r="H65" s="265">
        <v>0.1</v>
      </c>
      <c r="I65" s="258">
        <v>1999000000</v>
      </c>
      <c r="J65" s="258">
        <v>21989000000</v>
      </c>
      <c r="K65" s="256" t="s">
        <v>1346</v>
      </c>
    </row>
    <row r="66" spans="1:11" x14ac:dyDescent="0.3">
      <c r="A66" s="256">
        <v>5</v>
      </c>
      <c r="B66" s="257" t="s">
        <v>1356</v>
      </c>
      <c r="C66" s="276">
        <v>44474</v>
      </c>
      <c r="D66" s="257" t="s">
        <v>1275</v>
      </c>
      <c r="E66" s="256" t="s">
        <v>1808</v>
      </c>
      <c r="F66" s="256" t="s">
        <v>1838</v>
      </c>
      <c r="G66" s="258">
        <v>25851000000</v>
      </c>
      <c r="H66" s="265">
        <v>0.1</v>
      </c>
      <c r="I66" s="258">
        <v>2585100000</v>
      </c>
      <c r="J66" s="258">
        <v>28436100000</v>
      </c>
      <c r="K66" s="256" t="s">
        <v>1346</v>
      </c>
    </row>
    <row r="67" spans="1:11" x14ac:dyDescent="0.3">
      <c r="A67" s="256">
        <v>6</v>
      </c>
      <c r="B67" s="257" t="s">
        <v>1358</v>
      </c>
      <c r="C67" s="276">
        <v>44475</v>
      </c>
      <c r="D67" s="257" t="s">
        <v>1277</v>
      </c>
      <c r="E67" s="256" t="s">
        <v>1783</v>
      </c>
      <c r="F67" s="256" t="s">
        <v>1839</v>
      </c>
      <c r="G67" s="258">
        <v>29214000000</v>
      </c>
      <c r="H67" s="265">
        <v>0.1</v>
      </c>
      <c r="I67" s="258">
        <v>2921400000</v>
      </c>
      <c r="J67" s="258">
        <v>32135400000</v>
      </c>
      <c r="K67" s="256" t="s">
        <v>1346</v>
      </c>
    </row>
    <row r="68" spans="1:11" x14ac:dyDescent="0.3">
      <c r="A68" s="256">
        <v>7</v>
      </c>
      <c r="B68" s="257" t="s">
        <v>1360</v>
      </c>
      <c r="C68" s="276">
        <v>44476</v>
      </c>
      <c r="D68" s="257" t="s">
        <v>1297</v>
      </c>
      <c r="E68" s="256" t="s">
        <v>1820</v>
      </c>
      <c r="F68" s="256" t="s">
        <v>1839</v>
      </c>
      <c r="G68" s="258">
        <v>38925000000</v>
      </c>
      <c r="H68" s="265">
        <v>0.1</v>
      </c>
      <c r="I68" s="258">
        <v>3892500000</v>
      </c>
      <c r="J68" s="258">
        <v>42817500000</v>
      </c>
      <c r="K68" s="256" t="s">
        <v>1346</v>
      </c>
    </row>
    <row r="69" spans="1:11" x14ac:dyDescent="0.3">
      <c r="A69" s="256">
        <v>8</v>
      </c>
      <c r="B69" s="257" t="s">
        <v>1362</v>
      </c>
      <c r="C69" s="276">
        <v>44477</v>
      </c>
      <c r="D69" s="257" t="s">
        <v>1300</v>
      </c>
      <c r="E69" s="256" t="s">
        <v>1818</v>
      </c>
      <c r="F69" s="256" t="s">
        <v>1838</v>
      </c>
      <c r="G69" s="258">
        <v>38961000000</v>
      </c>
      <c r="H69" s="265">
        <v>0.1</v>
      </c>
      <c r="I69" s="258">
        <v>3896100000</v>
      </c>
      <c r="J69" s="258">
        <v>42857100000</v>
      </c>
      <c r="K69" s="256" t="s">
        <v>1346</v>
      </c>
    </row>
    <row r="70" spans="1:11" x14ac:dyDescent="0.3">
      <c r="A70" s="256">
        <v>9</v>
      </c>
      <c r="B70" s="257" t="s">
        <v>1364</v>
      </c>
      <c r="C70" s="276">
        <v>44478</v>
      </c>
      <c r="D70" s="257" t="s">
        <v>1282</v>
      </c>
      <c r="E70" s="256" t="s">
        <v>1789</v>
      </c>
      <c r="F70" s="256" t="s">
        <v>1839</v>
      </c>
      <c r="G70" s="258">
        <v>10808000000</v>
      </c>
      <c r="H70" s="265">
        <v>0.1</v>
      </c>
      <c r="I70" s="258">
        <v>1080800000</v>
      </c>
      <c r="J70" s="258">
        <v>11888800000</v>
      </c>
      <c r="K70" s="256" t="s">
        <v>1346</v>
      </c>
    </row>
    <row r="71" spans="1:11" x14ac:dyDescent="0.3">
      <c r="A71" s="256">
        <v>10</v>
      </c>
      <c r="B71" s="257" t="s">
        <v>1366</v>
      </c>
      <c r="C71" s="276">
        <v>44479</v>
      </c>
      <c r="D71" s="257" t="s">
        <v>1289</v>
      </c>
      <c r="E71" s="256" t="s">
        <v>1803</v>
      </c>
      <c r="F71" s="256" t="s">
        <v>1841</v>
      </c>
      <c r="G71" s="258">
        <v>33120000000</v>
      </c>
      <c r="H71" s="265">
        <v>0.1</v>
      </c>
      <c r="I71" s="258">
        <v>3312000000</v>
      </c>
      <c r="J71" s="258">
        <v>36432000000</v>
      </c>
      <c r="K71" s="256" t="s">
        <v>1346</v>
      </c>
    </row>
    <row r="72" spans="1:11" x14ac:dyDescent="0.3">
      <c r="A72" s="256">
        <v>11</v>
      </c>
      <c r="B72" s="257" t="s">
        <v>1368</v>
      </c>
      <c r="C72" s="276">
        <v>44480</v>
      </c>
      <c r="D72" s="257" t="s">
        <v>1290</v>
      </c>
      <c r="E72" s="256" t="s">
        <v>1796</v>
      </c>
      <c r="F72" s="256" t="s">
        <v>1841</v>
      </c>
      <c r="G72" s="258">
        <v>31080000000</v>
      </c>
      <c r="H72" s="265">
        <v>0.1</v>
      </c>
      <c r="I72" s="258">
        <v>3108000000</v>
      </c>
      <c r="J72" s="258">
        <v>34188000000</v>
      </c>
      <c r="K72" s="256" t="s">
        <v>1346</v>
      </c>
    </row>
    <row r="73" spans="1:11" x14ac:dyDescent="0.3">
      <c r="A73" s="256">
        <v>12</v>
      </c>
      <c r="B73" s="257" t="s">
        <v>1371</v>
      </c>
      <c r="C73" s="276">
        <v>44481</v>
      </c>
      <c r="D73" s="257" t="s">
        <v>1260</v>
      </c>
      <c r="E73" s="256" t="s">
        <v>1804</v>
      </c>
      <c r="F73" s="256" t="s">
        <v>1840</v>
      </c>
      <c r="G73" s="258">
        <v>36418000000</v>
      </c>
      <c r="H73" s="265">
        <v>0.1</v>
      </c>
      <c r="I73" s="258">
        <v>3641800000</v>
      </c>
      <c r="J73" s="258">
        <v>40059800000</v>
      </c>
      <c r="K73" s="256" t="s">
        <v>1346</v>
      </c>
    </row>
    <row r="74" spans="1:11" x14ac:dyDescent="0.3">
      <c r="A74" s="256">
        <v>13</v>
      </c>
      <c r="B74" s="257" t="s">
        <v>1373</v>
      </c>
      <c r="C74" s="276">
        <v>44211</v>
      </c>
      <c r="D74" s="257" t="s">
        <v>1303</v>
      </c>
      <c r="E74" s="256" t="s">
        <v>1817</v>
      </c>
      <c r="F74" s="256" t="s">
        <v>1840</v>
      </c>
      <c r="G74" s="258">
        <v>15560000000</v>
      </c>
      <c r="H74" s="265">
        <v>0.1</v>
      </c>
      <c r="I74" s="258">
        <v>1556000000</v>
      </c>
      <c r="J74" s="258">
        <v>17116000000</v>
      </c>
      <c r="K74" s="256" t="s">
        <v>1346</v>
      </c>
    </row>
    <row r="75" spans="1:11" x14ac:dyDescent="0.3">
      <c r="A75" s="256">
        <v>14</v>
      </c>
      <c r="B75" s="257" t="s">
        <v>1374</v>
      </c>
      <c r="C75" s="276">
        <v>44242</v>
      </c>
      <c r="D75" s="257" t="s">
        <v>1291</v>
      </c>
      <c r="E75" s="256" t="s">
        <v>1800</v>
      </c>
      <c r="F75" s="256" t="s">
        <v>1841</v>
      </c>
      <c r="G75" s="258">
        <v>17074000000</v>
      </c>
      <c r="H75" s="265">
        <v>0.1</v>
      </c>
      <c r="I75" s="258">
        <v>1707400000</v>
      </c>
      <c r="J75" s="258">
        <v>18781400000</v>
      </c>
      <c r="K75" s="256" t="s">
        <v>1346</v>
      </c>
    </row>
    <row r="76" spans="1:11" x14ac:dyDescent="0.3">
      <c r="A76" s="256">
        <v>15</v>
      </c>
      <c r="B76" s="257" t="s">
        <v>1376</v>
      </c>
      <c r="C76" s="276">
        <v>44275</v>
      </c>
      <c r="D76" s="257" t="s">
        <v>1266</v>
      </c>
      <c r="E76" s="256" t="s">
        <v>1824</v>
      </c>
      <c r="F76" s="256" t="s">
        <v>1838</v>
      </c>
      <c r="G76" s="258">
        <v>24465000000</v>
      </c>
      <c r="H76" s="265">
        <v>0.1</v>
      </c>
      <c r="I76" s="258">
        <v>2446500000</v>
      </c>
      <c r="J76" s="258">
        <v>26911500000</v>
      </c>
      <c r="K76" s="256" t="s">
        <v>1346</v>
      </c>
    </row>
    <row r="77" spans="1:11" x14ac:dyDescent="0.3">
      <c r="A77" s="256">
        <v>16</v>
      </c>
      <c r="B77" s="257" t="s">
        <v>1378</v>
      </c>
      <c r="C77" s="276">
        <v>44306</v>
      </c>
      <c r="D77" s="257" t="s">
        <v>1270</v>
      </c>
      <c r="E77" s="256" t="s">
        <v>1782</v>
      </c>
      <c r="F77" s="256" t="s">
        <v>1838</v>
      </c>
      <c r="G77" s="258">
        <v>37416000000</v>
      </c>
      <c r="H77" s="265">
        <v>0.1</v>
      </c>
      <c r="I77" s="258">
        <v>3741600000</v>
      </c>
      <c r="J77" s="258">
        <v>41157600000</v>
      </c>
      <c r="K77" s="256" t="s">
        <v>1346</v>
      </c>
    </row>
    <row r="78" spans="1:11" x14ac:dyDescent="0.3">
      <c r="A78" s="256">
        <v>17</v>
      </c>
      <c r="B78" s="257" t="s">
        <v>1379</v>
      </c>
      <c r="C78" s="276">
        <v>44336</v>
      </c>
      <c r="D78" s="257" t="s">
        <v>1287</v>
      </c>
      <c r="E78" s="256" t="s">
        <v>1801</v>
      </c>
      <c r="F78" s="256" t="s">
        <v>1838</v>
      </c>
      <c r="G78" s="258">
        <v>33583000000</v>
      </c>
      <c r="H78" s="265">
        <v>0.1</v>
      </c>
      <c r="I78" s="258">
        <v>3358300000</v>
      </c>
      <c r="J78" s="258">
        <v>36941300000</v>
      </c>
      <c r="K78" s="256" t="s">
        <v>1346</v>
      </c>
    </row>
    <row r="79" spans="1:11" x14ac:dyDescent="0.3">
      <c r="A79" s="256">
        <v>18</v>
      </c>
      <c r="B79" s="257" t="s">
        <v>1381</v>
      </c>
      <c r="C79" s="276">
        <v>44367</v>
      </c>
      <c r="D79" s="257" t="s">
        <v>1258</v>
      </c>
      <c r="E79" s="256" t="s">
        <v>1833</v>
      </c>
      <c r="F79" s="256" t="s">
        <v>1840</v>
      </c>
      <c r="G79" s="258">
        <v>38548000000</v>
      </c>
      <c r="H79" s="265">
        <v>0.1</v>
      </c>
      <c r="I79" s="258">
        <v>3854800000</v>
      </c>
      <c r="J79" s="258">
        <v>42402800000</v>
      </c>
      <c r="K79" s="256" t="s">
        <v>1348</v>
      </c>
    </row>
    <row r="80" spans="1:11" x14ac:dyDescent="0.3">
      <c r="A80" s="256">
        <v>19</v>
      </c>
      <c r="B80" s="257" t="s">
        <v>1382</v>
      </c>
      <c r="C80" s="276">
        <v>44397</v>
      </c>
      <c r="D80" s="257" t="s">
        <v>1286</v>
      </c>
      <c r="E80" s="256" t="s">
        <v>1828</v>
      </c>
      <c r="F80" s="256" t="s">
        <v>1838</v>
      </c>
      <c r="G80" s="258">
        <v>21808000000</v>
      </c>
      <c r="H80" s="265">
        <v>0.1</v>
      </c>
      <c r="I80" s="258">
        <v>2180800000</v>
      </c>
      <c r="J80" s="258">
        <v>23988800000</v>
      </c>
      <c r="K80" s="256" t="s">
        <v>1346</v>
      </c>
    </row>
    <row r="81" spans="1:11" x14ac:dyDescent="0.3">
      <c r="A81" s="256">
        <v>20</v>
      </c>
      <c r="B81" s="257" t="s">
        <v>1383</v>
      </c>
      <c r="C81" s="276">
        <v>44428</v>
      </c>
      <c r="D81" s="257" t="s">
        <v>1293</v>
      </c>
      <c r="E81" s="256" t="s">
        <v>1826</v>
      </c>
      <c r="F81" s="256" t="s">
        <v>1840</v>
      </c>
      <c r="G81" s="258">
        <v>27641000000</v>
      </c>
      <c r="H81" s="265">
        <v>0</v>
      </c>
      <c r="I81" s="258">
        <v>0</v>
      </c>
      <c r="J81" s="258">
        <v>27641000000</v>
      </c>
      <c r="K81" s="256" t="s">
        <v>1346</v>
      </c>
    </row>
    <row r="82" spans="1:11" x14ac:dyDescent="0.3">
      <c r="A82" s="256">
        <v>21</v>
      </c>
      <c r="B82" s="257" t="s">
        <v>1203</v>
      </c>
      <c r="C82" s="276">
        <v>44459</v>
      </c>
      <c r="D82" s="257" t="s">
        <v>1294</v>
      </c>
      <c r="E82" s="256" t="s">
        <v>1795</v>
      </c>
      <c r="F82" s="256" t="s">
        <v>1838</v>
      </c>
      <c r="G82" s="258">
        <v>21660000000</v>
      </c>
      <c r="H82" s="265">
        <v>0.1</v>
      </c>
      <c r="I82" s="258">
        <v>2166000000</v>
      </c>
      <c r="J82" s="258">
        <v>23826000000</v>
      </c>
      <c r="K82" s="256" t="s">
        <v>1346</v>
      </c>
    </row>
    <row r="83" spans="1:11" x14ac:dyDescent="0.3">
      <c r="A83" s="256">
        <v>22</v>
      </c>
      <c r="B83" s="257" t="s">
        <v>1204</v>
      </c>
      <c r="C83" s="276">
        <v>44489</v>
      </c>
      <c r="D83" s="257" t="s">
        <v>1286</v>
      </c>
      <c r="E83" s="256" t="s">
        <v>1828</v>
      </c>
      <c r="F83" s="256" t="s">
        <v>1839</v>
      </c>
      <c r="G83" s="258">
        <v>15703000000</v>
      </c>
      <c r="H83" s="265">
        <v>0.1</v>
      </c>
      <c r="I83" s="258">
        <v>1570300000</v>
      </c>
      <c r="J83" s="258">
        <v>17273300000</v>
      </c>
      <c r="K83" s="256" t="s">
        <v>1346</v>
      </c>
    </row>
    <row r="84" spans="1:11" x14ac:dyDescent="0.3">
      <c r="A84" s="256">
        <v>23</v>
      </c>
      <c r="B84" s="257" t="s">
        <v>1205</v>
      </c>
      <c r="C84" s="276">
        <v>44520</v>
      </c>
      <c r="D84" s="257" t="s">
        <v>1291</v>
      </c>
      <c r="E84" s="256" t="s">
        <v>1800</v>
      </c>
      <c r="F84" s="256" t="s">
        <v>1838</v>
      </c>
      <c r="G84" s="258">
        <v>27624000000</v>
      </c>
      <c r="H84" s="265">
        <v>0.1</v>
      </c>
      <c r="I84" s="258">
        <v>2762400000</v>
      </c>
      <c r="J84" s="258">
        <v>30386400000</v>
      </c>
      <c r="K84" s="256" t="s">
        <v>1346</v>
      </c>
    </row>
    <row r="85" spans="1:11" x14ac:dyDescent="0.3">
      <c r="A85" s="256">
        <v>24</v>
      </c>
      <c r="B85" s="257" t="s">
        <v>1385</v>
      </c>
      <c r="C85" s="276">
        <v>44550</v>
      </c>
      <c r="D85" s="257" t="s">
        <v>1274</v>
      </c>
      <c r="E85" s="256" t="s">
        <v>1794</v>
      </c>
      <c r="F85" s="256" t="s">
        <v>1838</v>
      </c>
      <c r="G85" s="258">
        <v>16034000000</v>
      </c>
      <c r="H85" s="265">
        <v>0.1</v>
      </c>
      <c r="I85" s="258">
        <v>1603400000</v>
      </c>
      <c r="J85" s="258">
        <v>17637400000</v>
      </c>
      <c r="K85" s="256" t="s">
        <v>1346</v>
      </c>
    </row>
    <row r="86" spans="1:11" x14ac:dyDescent="0.3">
      <c r="A86" s="256">
        <v>25</v>
      </c>
      <c r="B86" s="257" t="s">
        <v>1387</v>
      </c>
      <c r="C86" s="276">
        <v>44221</v>
      </c>
      <c r="D86" s="257" t="s">
        <v>1287</v>
      </c>
      <c r="E86" s="256" t="s">
        <v>1801</v>
      </c>
      <c r="F86" s="256" t="s">
        <v>1838</v>
      </c>
      <c r="G86" s="258">
        <v>17749000000</v>
      </c>
      <c r="H86" s="265">
        <v>0.1</v>
      </c>
      <c r="I86" s="258">
        <v>1774900000</v>
      </c>
      <c r="J86" s="258">
        <v>19523900000</v>
      </c>
      <c r="K86" s="256" t="s">
        <v>1346</v>
      </c>
    </row>
    <row r="87" spans="1:11" x14ac:dyDescent="0.3">
      <c r="A87" s="256">
        <v>26</v>
      </c>
      <c r="B87" s="257" t="s">
        <v>1388</v>
      </c>
      <c r="C87" s="276">
        <v>44255</v>
      </c>
      <c r="D87" s="257" t="s">
        <v>1282</v>
      </c>
      <c r="E87" s="256" t="s">
        <v>1789</v>
      </c>
      <c r="F87" s="256" t="s">
        <v>1840</v>
      </c>
      <c r="G87" s="258">
        <v>24684000000</v>
      </c>
      <c r="H87" s="265">
        <v>0.1</v>
      </c>
      <c r="I87" s="258">
        <v>2468400000</v>
      </c>
      <c r="J87" s="258">
        <v>27152400000</v>
      </c>
      <c r="K87" s="256" t="s">
        <v>1346</v>
      </c>
    </row>
    <row r="88" spans="1:11" x14ac:dyDescent="0.3">
      <c r="A88" s="256">
        <v>27</v>
      </c>
      <c r="B88" s="257" t="s">
        <v>1391</v>
      </c>
      <c r="C88" s="276">
        <v>44316</v>
      </c>
      <c r="D88" s="257" t="s">
        <v>1259</v>
      </c>
      <c r="E88" s="256" t="s">
        <v>1788</v>
      </c>
      <c r="F88" s="256" t="s">
        <v>1840</v>
      </c>
      <c r="G88" s="258">
        <v>40388000000</v>
      </c>
      <c r="H88" s="265">
        <v>0.1</v>
      </c>
      <c r="I88" s="258">
        <v>4038800000</v>
      </c>
      <c r="J88" s="258">
        <v>44426800000</v>
      </c>
      <c r="K88" s="256" t="s">
        <v>1346</v>
      </c>
    </row>
    <row r="89" spans="1:11" x14ac:dyDescent="0.3">
      <c r="A89" s="256">
        <v>28</v>
      </c>
      <c r="B89" s="257" t="s">
        <v>1392</v>
      </c>
      <c r="C89" s="276">
        <v>44377</v>
      </c>
      <c r="D89" s="257" t="s">
        <v>1287</v>
      </c>
      <c r="E89" s="256" t="s">
        <v>1801</v>
      </c>
      <c r="F89" s="256" t="s">
        <v>1840</v>
      </c>
      <c r="G89" s="258">
        <v>14881000000</v>
      </c>
      <c r="H89" s="265">
        <v>0.1</v>
      </c>
      <c r="I89" s="258">
        <v>1488100000</v>
      </c>
      <c r="J89" s="258">
        <v>16369100000</v>
      </c>
      <c r="K89" s="256" t="s">
        <v>1346</v>
      </c>
    </row>
    <row r="90" spans="1:11" x14ac:dyDescent="0.3">
      <c r="A90" s="256">
        <v>29</v>
      </c>
      <c r="B90" s="257" t="s">
        <v>1394</v>
      </c>
      <c r="C90" s="276">
        <v>44469</v>
      </c>
      <c r="D90" s="257" t="s">
        <v>1290</v>
      </c>
      <c r="E90" s="256" t="s">
        <v>1796</v>
      </c>
      <c r="F90" s="256" t="s">
        <v>1840</v>
      </c>
      <c r="G90" s="258">
        <v>22250000000</v>
      </c>
      <c r="H90" s="265">
        <v>0.1</v>
      </c>
      <c r="I90" s="258">
        <v>2225000000</v>
      </c>
      <c r="J90" s="258">
        <v>24475000000</v>
      </c>
      <c r="K90" s="256" t="s">
        <v>1346</v>
      </c>
    </row>
    <row r="91" spans="1:11" x14ac:dyDescent="0.3">
      <c r="A91" s="256">
        <v>30</v>
      </c>
      <c r="B91" s="257" t="s">
        <v>1396</v>
      </c>
      <c r="C91" s="276">
        <v>44530</v>
      </c>
      <c r="D91" s="257" t="s">
        <v>1257</v>
      </c>
      <c r="E91" s="256" t="s">
        <v>1815</v>
      </c>
      <c r="F91" s="256" t="s">
        <v>1841</v>
      </c>
      <c r="G91" s="258">
        <v>23164000000</v>
      </c>
      <c r="H91" s="265">
        <v>0.1</v>
      </c>
      <c r="I91" s="258">
        <v>2316400000</v>
      </c>
      <c r="J91" s="258">
        <v>25480400000</v>
      </c>
      <c r="K91" s="256" t="s">
        <v>1346</v>
      </c>
    </row>
    <row r="92" spans="1:11" x14ac:dyDescent="0.3">
      <c r="A92" s="256">
        <v>31</v>
      </c>
      <c r="B92" s="257" t="s">
        <v>1397</v>
      </c>
      <c r="C92" s="276">
        <v>44286</v>
      </c>
      <c r="D92" s="257" t="s">
        <v>1272</v>
      </c>
      <c r="E92" s="256" t="s">
        <v>1805</v>
      </c>
      <c r="F92" s="256" t="s">
        <v>1840</v>
      </c>
      <c r="G92" s="258">
        <v>40655000000</v>
      </c>
      <c r="H92" s="265">
        <v>0</v>
      </c>
      <c r="I92" s="258">
        <v>0</v>
      </c>
      <c r="J92" s="258">
        <v>40655000000</v>
      </c>
      <c r="K92" s="256" t="s">
        <v>1346</v>
      </c>
    </row>
    <row r="93" spans="1:11" x14ac:dyDescent="0.3">
      <c r="A93" s="256">
        <v>32</v>
      </c>
      <c r="B93" s="257" t="s">
        <v>1398</v>
      </c>
      <c r="C93" s="276">
        <v>44347</v>
      </c>
      <c r="D93" s="257" t="s">
        <v>1267</v>
      </c>
      <c r="E93" s="256" t="s">
        <v>1810</v>
      </c>
      <c r="F93" s="256" t="s">
        <v>1841</v>
      </c>
      <c r="G93" s="258">
        <v>27555000000</v>
      </c>
      <c r="H93" s="265">
        <v>0.1</v>
      </c>
      <c r="I93" s="258">
        <v>2755500000</v>
      </c>
      <c r="J93" s="258">
        <v>30310500000</v>
      </c>
      <c r="K93" s="256" t="s">
        <v>1346</v>
      </c>
    </row>
    <row r="94" spans="1:11" x14ac:dyDescent="0.3">
      <c r="A94" s="256">
        <v>33</v>
      </c>
      <c r="B94" s="257" t="s">
        <v>1399</v>
      </c>
      <c r="C94" s="276">
        <v>44408</v>
      </c>
      <c r="D94" s="257" t="s">
        <v>1269</v>
      </c>
      <c r="E94" s="256" t="s">
        <v>1823</v>
      </c>
      <c r="F94" s="256" t="s">
        <v>1838</v>
      </c>
      <c r="G94" s="258">
        <v>36675000000</v>
      </c>
      <c r="H94" s="265">
        <v>0.1</v>
      </c>
      <c r="I94" s="258">
        <v>3667500000</v>
      </c>
      <c r="J94" s="258">
        <v>40342500000</v>
      </c>
      <c r="K94" s="256" t="s">
        <v>1348</v>
      </c>
    </row>
    <row r="95" spans="1:11" x14ac:dyDescent="0.3">
      <c r="A95" s="256">
        <v>34</v>
      </c>
      <c r="B95" s="257" t="s">
        <v>1401</v>
      </c>
      <c r="C95" s="276">
        <v>44439</v>
      </c>
      <c r="D95" s="257" t="s">
        <v>1266</v>
      </c>
      <c r="E95" s="256" t="s">
        <v>1824</v>
      </c>
      <c r="F95" s="256" t="s">
        <v>1839</v>
      </c>
      <c r="G95" s="258">
        <v>38362000000</v>
      </c>
      <c r="H95" s="265">
        <v>0.1</v>
      </c>
      <c r="I95" s="258">
        <v>3836200000</v>
      </c>
      <c r="J95" s="258">
        <v>42198200000</v>
      </c>
      <c r="K95" s="256" t="s">
        <v>1346</v>
      </c>
    </row>
    <row r="96" spans="1:11" x14ac:dyDescent="0.3">
      <c r="A96" s="256">
        <v>35</v>
      </c>
      <c r="B96" s="257" t="s">
        <v>1402</v>
      </c>
      <c r="C96" s="276">
        <v>44500</v>
      </c>
      <c r="D96" s="257" t="s">
        <v>1278</v>
      </c>
      <c r="E96" s="256" t="s">
        <v>1785</v>
      </c>
      <c r="F96" s="256" t="s">
        <v>1840</v>
      </c>
      <c r="G96" s="258">
        <v>23291000000</v>
      </c>
      <c r="H96" s="265">
        <v>0</v>
      </c>
      <c r="I96" s="258">
        <v>0</v>
      </c>
      <c r="J96" s="258">
        <v>23291000000</v>
      </c>
      <c r="K96" s="256" t="s">
        <v>1348</v>
      </c>
    </row>
    <row r="97" spans="1:11" x14ac:dyDescent="0.3">
      <c r="A97" s="256">
        <v>36</v>
      </c>
      <c r="B97" s="257" t="s">
        <v>1403</v>
      </c>
      <c r="C97" s="276">
        <v>44561</v>
      </c>
      <c r="D97" s="257" t="s">
        <v>1287</v>
      </c>
      <c r="E97" s="256" t="s">
        <v>1801</v>
      </c>
      <c r="F97" s="256" t="s">
        <v>1839</v>
      </c>
      <c r="G97" s="258">
        <v>35408000000</v>
      </c>
      <c r="H97" s="265">
        <v>0.1</v>
      </c>
      <c r="I97" s="258">
        <v>3540800000</v>
      </c>
      <c r="J97" s="258">
        <v>38948800000</v>
      </c>
      <c r="K97" s="256" t="s">
        <v>1346</v>
      </c>
    </row>
    <row r="98" spans="1:11" x14ac:dyDescent="0.3">
      <c r="A98" s="256">
        <v>37</v>
      </c>
      <c r="B98" s="257" t="s">
        <v>1404</v>
      </c>
      <c r="C98" s="276">
        <v>44561</v>
      </c>
      <c r="D98" s="257" t="s">
        <v>1281</v>
      </c>
      <c r="E98" s="256" t="s">
        <v>1806</v>
      </c>
      <c r="F98" s="256" t="s">
        <v>1838</v>
      </c>
      <c r="G98" s="258">
        <v>12473000000</v>
      </c>
      <c r="H98" s="265">
        <v>0.1</v>
      </c>
      <c r="I98" s="258">
        <v>1247300000</v>
      </c>
      <c r="J98" s="258">
        <v>13720300000</v>
      </c>
      <c r="K98" s="256" t="s">
        <v>1346</v>
      </c>
    </row>
    <row r="99" spans="1:11" x14ac:dyDescent="0.3">
      <c r="A99" s="256">
        <v>38</v>
      </c>
      <c r="B99" s="257" t="s">
        <v>1405</v>
      </c>
      <c r="C99" s="276">
        <v>44561</v>
      </c>
      <c r="D99" s="257" t="s">
        <v>1276</v>
      </c>
      <c r="E99" s="256" t="s">
        <v>1822</v>
      </c>
      <c r="F99" s="256" t="s">
        <v>1839</v>
      </c>
      <c r="G99" s="258">
        <v>25669000000</v>
      </c>
      <c r="H99" s="265">
        <v>0.1</v>
      </c>
      <c r="I99" s="258">
        <v>2566900000</v>
      </c>
      <c r="J99" s="258">
        <v>28235900000</v>
      </c>
      <c r="K99" s="256" t="s">
        <v>1346</v>
      </c>
    </row>
    <row r="100" spans="1:11" x14ac:dyDescent="0.3">
      <c r="A100" s="256">
        <v>39</v>
      </c>
      <c r="B100" s="257" t="s">
        <v>1406</v>
      </c>
      <c r="C100" s="276">
        <v>44561</v>
      </c>
      <c r="D100" s="257" t="s">
        <v>1301</v>
      </c>
      <c r="E100" s="256" t="s">
        <v>1781</v>
      </c>
      <c r="F100" s="256" t="s">
        <v>1840</v>
      </c>
      <c r="G100" s="258">
        <v>24965000000</v>
      </c>
      <c r="H100" s="265">
        <v>0.1</v>
      </c>
      <c r="I100" s="258">
        <v>2496500000</v>
      </c>
      <c r="J100" s="258">
        <v>27461500000</v>
      </c>
      <c r="K100" s="256" t="s">
        <v>1346</v>
      </c>
    </row>
    <row r="101" spans="1:11" x14ac:dyDescent="0.3">
      <c r="A101" s="256">
        <v>40</v>
      </c>
      <c r="B101" s="257" t="s">
        <v>1408</v>
      </c>
      <c r="C101" s="276">
        <v>44561</v>
      </c>
      <c r="D101" s="257" t="s">
        <v>1296</v>
      </c>
      <c r="E101" s="256" t="s">
        <v>1807</v>
      </c>
      <c r="F101" s="256" t="s">
        <v>1840</v>
      </c>
      <c r="G101" s="258">
        <v>39807000000</v>
      </c>
      <c r="H101" s="265">
        <v>0</v>
      </c>
      <c r="I101" s="258">
        <v>0</v>
      </c>
      <c r="J101" s="258">
        <v>39807000000</v>
      </c>
      <c r="K101" s="256" t="s">
        <v>1346</v>
      </c>
    </row>
    <row r="102" spans="1:11" x14ac:dyDescent="0.3">
      <c r="A102" s="256">
        <v>41</v>
      </c>
      <c r="B102" s="257" t="s">
        <v>1409</v>
      </c>
      <c r="C102" s="276">
        <v>44561</v>
      </c>
      <c r="D102" s="257" t="s">
        <v>1278</v>
      </c>
      <c r="E102" s="256" t="s">
        <v>1785</v>
      </c>
      <c r="F102" s="256" t="s">
        <v>1841</v>
      </c>
      <c r="G102" s="258">
        <v>26450000000</v>
      </c>
      <c r="H102" s="265">
        <v>0.1</v>
      </c>
      <c r="I102" s="258">
        <v>2645000000</v>
      </c>
      <c r="J102" s="258">
        <v>29095000000</v>
      </c>
      <c r="K102" s="256" t="s">
        <v>1346</v>
      </c>
    </row>
    <row r="103" spans="1:11" x14ac:dyDescent="0.3">
      <c r="A103" s="256">
        <v>42</v>
      </c>
      <c r="B103" s="257" t="s">
        <v>1411</v>
      </c>
      <c r="C103" s="276">
        <v>44561</v>
      </c>
      <c r="D103" s="257" t="s">
        <v>1304</v>
      </c>
      <c r="E103" s="256" t="s">
        <v>1831</v>
      </c>
      <c r="F103" s="256" t="s">
        <v>1841</v>
      </c>
      <c r="G103" s="258">
        <v>26856000000</v>
      </c>
      <c r="H103" s="265">
        <v>0.1</v>
      </c>
      <c r="I103" s="258">
        <v>2685600000</v>
      </c>
      <c r="J103" s="258">
        <v>29541600000</v>
      </c>
      <c r="K103" s="256" t="s">
        <v>1348</v>
      </c>
    </row>
    <row r="104" spans="1:11" x14ac:dyDescent="0.3">
      <c r="A104" s="256">
        <v>43</v>
      </c>
      <c r="B104" s="257" t="s">
        <v>1414</v>
      </c>
      <c r="C104" s="276">
        <v>44561</v>
      </c>
      <c r="D104" s="257" t="s">
        <v>1302</v>
      </c>
      <c r="E104" s="256" t="s">
        <v>1784</v>
      </c>
      <c r="F104" s="256" t="s">
        <v>1840</v>
      </c>
      <c r="G104" s="258">
        <v>36991000000</v>
      </c>
      <c r="H104" s="265">
        <v>0.1</v>
      </c>
      <c r="I104" s="258">
        <v>3699100000</v>
      </c>
      <c r="J104" s="258">
        <v>40690100000</v>
      </c>
      <c r="K104" s="256" t="s">
        <v>1346</v>
      </c>
    </row>
    <row r="105" spans="1:11" x14ac:dyDescent="0.3">
      <c r="A105" s="256">
        <v>44</v>
      </c>
      <c r="B105" s="257" t="s">
        <v>1415</v>
      </c>
      <c r="C105" s="276">
        <v>44561</v>
      </c>
      <c r="D105" s="257" t="s">
        <v>1284</v>
      </c>
      <c r="E105" s="256" t="s">
        <v>1786</v>
      </c>
      <c r="F105" s="256" t="s">
        <v>1841</v>
      </c>
      <c r="G105" s="258">
        <v>13363000000</v>
      </c>
      <c r="H105" s="265">
        <v>0.1</v>
      </c>
      <c r="I105" s="258">
        <v>1336300000</v>
      </c>
      <c r="J105" s="258">
        <v>14699300000</v>
      </c>
      <c r="K105" s="256" t="s">
        <v>1346</v>
      </c>
    </row>
    <row r="106" spans="1:11" x14ac:dyDescent="0.3">
      <c r="A106" s="256">
        <v>45</v>
      </c>
      <c r="B106" s="257" t="s">
        <v>1206</v>
      </c>
      <c r="C106" s="276">
        <v>44561</v>
      </c>
      <c r="D106" s="257" t="s">
        <v>1276</v>
      </c>
      <c r="E106" s="256" t="s">
        <v>1822</v>
      </c>
      <c r="F106" s="256" t="s">
        <v>1840</v>
      </c>
      <c r="G106" s="258">
        <v>33035000000</v>
      </c>
      <c r="H106" s="265">
        <v>0.1</v>
      </c>
      <c r="I106" s="258">
        <v>3303500000</v>
      </c>
      <c r="J106" s="258">
        <v>36338500000</v>
      </c>
      <c r="K106" s="256" t="s">
        <v>1346</v>
      </c>
    </row>
    <row r="107" spans="1:11" x14ac:dyDescent="0.3">
      <c r="A107" s="256">
        <v>46</v>
      </c>
      <c r="B107" s="257" t="s">
        <v>1207</v>
      </c>
      <c r="C107" s="276">
        <v>44561</v>
      </c>
      <c r="D107" s="257" t="s">
        <v>1261</v>
      </c>
      <c r="E107" s="256" t="s">
        <v>1813</v>
      </c>
      <c r="F107" s="256" t="s">
        <v>1838</v>
      </c>
      <c r="G107" s="258">
        <v>42239000000</v>
      </c>
      <c r="H107" s="265">
        <v>0.1</v>
      </c>
      <c r="I107" s="258">
        <v>4223900000</v>
      </c>
      <c r="J107" s="258">
        <v>46462900000</v>
      </c>
      <c r="K107" s="256" t="s">
        <v>1346</v>
      </c>
    </row>
    <row r="108" spans="1:11" x14ac:dyDescent="0.3">
      <c r="A108" s="256">
        <v>47</v>
      </c>
      <c r="B108" s="257" t="s">
        <v>1208</v>
      </c>
      <c r="C108" s="276">
        <v>44561</v>
      </c>
      <c r="D108" s="257" t="s">
        <v>1274</v>
      </c>
      <c r="E108" s="256" t="s">
        <v>1794</v>
      </c>
      <c r="F108" s="256" t="s">
        <v>1838</v>
      </c>
      <c r="G108" s="258">
        <v>34648000000</v>
      </c>
      <c r="H108" s="265">
        <v>0.1</v>
      </c>
      <c r="I108" s="258">
        <v>3464800000</v>
      </c>
      <c r="J108" s="258">
        <v>38112800000</v>
      </c>
      <c r="K108" s="256" t="s">
        <v>1348</v>
      </c>
    </row>
    <row r="109" spans="1:11" x14ac:dyDescent="0.3">
      <c r="A109" s="256">
        <v>48</v>
      </c>
      <c r="B109" s="257" t="s">
        <v>1209</v>
      </c>
      <c r="C109" s="276">
        <v>44561</v>
      </c>
      <c r="D109" s="257" t="s">
        <v>1297</v>
      </c>
      <c r="E109" s="256" t="s">
        <v>1820</v>
      </c>
      <c r="F109" s="256" t="s">
        <v>1841</v>
      </c>
      <c r="G109" s="258">
        <v>27797000000</v>
      </c>
      <c r="H109" s="265">
        <v>0.1</v>
      </c>
      <c r="I109" s="258">
        <v>2779700000</v>
      </c>
      <c r="J109" s="258">
        <v>30576700000</v>
      </c>
      <c r="K109" s="256" t="s">
        <v>1348</v>
      </c>
    </row>
    <row r="110" spans="1:11" x14ac:dyDescent="0.3">
      <c r="A110" s="256">
        <v>49</v>
      </c>
      <c r="B110" s="257" t="s">
        <v>1418</v>
      </c>
      <c r="C110" s="276">
        <v>44561</v>
      </c>
      <c r="D110" s="257" t="s">
        <v>1278</v>
      </c>
      <c r="E110" s="256" t="s">
        <v>1785</v>
      </c>
      <c r="F110" s="256" t="s">
        <v>1841</v>
      </c>
      <c r="G110" s="258">
        <v>26863000000</v>
      </c>
      <c r="H110" s="265">
        <v>0.1</v>
      </c>
      <c r="I110" s="258">
        <v>2686300000</v>
      </c>
      <c r="J110" s="258">
        <v>29549300000</v>
      </c>
      <c r="K110" s="256" t="s">
        <v>1346</v>
      </c>
    </row>
    <row r="111" spans="1:11" x14ac:dyDescent="0.3">
      <c r="A111" s="256">
        <v>50</v>
      </c>
      <c r="B111" s="257" t="s">
        <v>1419</v>
      </c>
      <c r="C111" s="276">
        <v>44561</v>
      </c>
      <c r="D111" s="257" t="s">
        <v>1266</v>
      </c>
      <c r="E111" s="256" t="s">
        <v>1824</v>
      </c>
      <c r="F111" s="256" t="s">
        <v>1839</v>
      </c>
      <c r="G111" s="258">
        <v>20616000000</v>
      </c>
      <c r="H111" s="265">
        <v>0.1</v>
      </c>
      <c r="I111" s="258">
        <v>2061600000</v>
      </c>
      <c r="J111" s="258">
        <v>22677600000</v>
      </c>
      <c r="K111" s="256" t="s">
        <v>1346</v>
      </c>
    </row>
    <row r="112" spans="1:11" x14ac:dyDescent="0.3">
      <c r="A112" s="266" t="s">
        <v>1351</v>
      </c>
      <c r="B112" s="266"/>
      <c r="C112" s="266"/>
      <c r="D112" s="266"/>
      <c r="E112" s="266"/>
      <c r="F112" s="266"/>
      <c r="G112" s="267">
        <f>SUM(G62:G111)</f>
        <v>1365435000000</v>
      </c>
      <c r="H112" s="266"/>
      <c r="I112" s="267">
        <f>SUM(I62:I111)</f>
        <v>123404100000</v>
      </c>
      <c r="J112" s="267">
        <f>SUM(J62:J111)</f>
        <v>1488839100000</v>
      </c>
      <c r="K112" s="266"/>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938</v>
      </c>
      <c r="C1" s="256"/>
      <c r="D1" s="256"/>
      <c r="E1" s="256"/>
      <c r="F1" s="256"/>
      <c r="G1" s="256"/>
      <c r="H1" s="256"/>
      <c r="I1" s="256"/>
      <c r="J1" s="256"/>
      <c r="K1" s="256"/>
    </row>
    <row r="2" spans="1:11" x14ac:dyDescent="0.3">
      <c r="A2" s="256" t="s">
        <v>1339</v>
      </c>
      <c r="B2" s="257">
        <v>107832875</v>
      </c>
      <c r="C2" s="256"/>
      <c r="D2" s="256"/>
      <c r="E2" s="256"/>
      <c r="F2" s="256"/>
      <c r="G2" s="256"/>
      <c r="H2" s="256"/>
      <c r="I2" s="256"/>
      <c r="J2" s="256"/>
      <c r="K2" s="256"/>
    </row>
    <row r="3" spans="1:11" x14ac:dyDescent="0.3">
      <c r="A3" s="256" t="s">
        <v>1343</v>
      </c>
      <c r="B3" s="258">
        <v>687945552157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1481</v>
      </c>
      <c r="C8" s="276">
        <v>44317</v>
      </c>
      <c r="D8" s="257" t="s">
        <v>1271</v>
      </c>
      <c r="E8" s="256" t="s">
        <v>1799</v>
      </c>
      <c r="F8" s="256" t="s">
        <v>1756</v>
      </c>
      <c r="G8" s="258">
        <v>6083000000</v>
      </c>
      <c r="H8" s="265">
        <v>0</v>
      </c>
      <c r="I8" s="258">
        <v>0</v>
      </c>
      <c r="J8" s="258">
        <v>6083000000</v>
      </c>
      <c r="K8" s="256" t="s">
        <v>1346</v>
      </c>
    </row>
    <row r="9" spans="1:11" x14ac:dyDescent="0.3">
      <c r="A9" s="256">
        <v>2</v>
      </c>
      <c r="B9" s="257" t="s">
        <v>1470</v>
      </c>
      <c r="C9" s="276">
        <v>44318</v>
      </c>
      <c r="D9" s="257" t="s">
        <v>1288</v>
      </c>
      <c r="E9" s="256" t="s">
        <v>1797</v>
      </c>
      <c r="F9" s="256" t="s">
        <v>1760</v>
      </c>
      <c r="G9" s="258">
        <v>9714000000</v>
      </c>
      <c r="H9" s="265">
        <v>0.1</v>
      </c>
      <c r="I9" s="258">
        <v>971400000</v>
      </c>
      <c r="J9" s="258">
        <v>10685400000</v>
      </c>
      <c r="K9" s="256" t="s">
        <v>1346</v>
      </c>
    </row>
    <row r="10" spans="1:11" x14ac:dyDescent="0.3">
      <c r="A10" s="256">
        <v>3</v>
      </c>
      <c r="B10" s="257" t="s">
        <v>1473</v>
      </c>
      <c r="C10" s="276">
        <v>44472</v>
      </c>
      <c r="D10" s="257" t="s">
        <v>1273</v>
      </c>
      <c r="E10" s="256" t="s">
        <v>1829</v>
      </c>
      <c r="F10" s="256" t="s">
        <v>1757</v>
      </c>
      <c r="G10" s="258">
        <v>13580000000</v>
      </c>
      <c r="H10" s="265">
        <v>0</v>
      </c>
      <c r="I10" s="258">
        <v>0</v>
      </c>
      <c r="J10" s="258">
        <v>13580000000</v>
      </c>
      <c r="K10" s="256" t="s">
        <v>1346</v>
      </c>
    </row>
    <row r="11" spans="1:11" x14ac:dyDescent="0.3">
      <c r="A11" s="256">
        <v>4</v>
      </c>
      <c r="B11" s="257" t="s">
        <v>1484</v>
      </c>
      <c r="C11" s="276">
        <v>44473</v>
      </c>
      <c r="D11" s="257" t="s">
        <v>1270</v>
      </c>
      <c r="E11" s="256" t="s">
        <v>1782</v>
      </c>
      <c r="F11" s="256" t="s">
        <v>1757</v>
      </c>
      <c r="G11" s="258">
        <v>13235000000</v>
      </c>
      <c r="H11" s="265">
        <v>0.1</v>
      </c>
      <c r="I11" s="258">
        <v>1323500000</v>
      </c>
      <c r="J11" s="258">
        <v>14558500000</v>
      </c>
      <c r="K11" s="256" t="s">
        <v>1346</v>
      </c>
    </row>
    <row r="12" spans="1:11" x14ac:dyDescent="0.3">
      <c r="A12" s="256">
        <v>5</v>
      </c>
      <c r="B12" s="257" t="s">
        <v>1396</v>
      </c>
      <c r="C12" s="276">
        <v>44474</v>
      </c>
      <c r="D12" s="257" t="s">
        <v>1298</v>
      </c>
      <c r="E12" s="256" t="s">
        <v>1819</v>
      </c>
      <c r="F12" s="256" t="s">
        <v>1760</v>
      </c>
      <c r="G12" s="258">
        <v>10254000000</v>
      </c>
      <c r="H12" s="265">
        <v>0.1</v>
      </c>
      <c r="I12" s="258">
        <v>1025400000</v>
      </c>
      <c r="J12" s="258">
        <v>11279400000</v>
      </c>
      <c r="K12" s="256" t="s">
        <v>1346</v>
      </c>
    </row>
    <row r="13" spans="1:11" x14ac:dyDescent="0.3">
      <c r="A13" s="256">
        <v>6</v>
      </c>
      <c r="B13" s="257" t="s">
        <v>1471</v>
      </c>
      <c r="C13" s="276">
        <v>44475</v>
      </c>
      <c r="D13" s="257" t="s">
        <v>1288</v>
      </c>
      <c r="E13" s="256" t="s">
        <v>1797</v>
      </c>
      <c r="F13" s="256" t="s">
        <v>1757</v>
      </c>
      <c r="G13" s="258">
        <v>10335000000</v>
      </c>
      <c r="H13" s="265">
        <v>0.1</v>
      </c>
      <c r="I13" s="258">
        <v>1033500000</v>
      </c>
      <c r="J13" s="258">
        <v>11368500000</v>
      </c>
      <c r="K13" s="256" t="s">
        <v>1346</v>
      </c>
    </row>
    <row r="14" spans="1:11" x14ac:dyDescent="0.3">
      <c r="A14" s="256">
        <v>7</v>
      </c>
      <c r="B14" s="257" t="s">
        <v>1485</v>
      </c>
      <c r="C14" s="276">
        <v>44476</v>
      </c>
      <c r="D14" s="257" t="s">
        <v>1270</v>
      </c>
      <c r="E14" s="256" t="s">
        <v>1782</v>
      </c>
      <c r="F14" s="256" t="s">
        <v>1757</v>
      </c>
      <c r="G14" s="258">
        <v>13787000000</v>
      </c>
      <c r="H14" s="265">
        <v>0.1</v>
      </c>
      <c r="I14" s="258">
        <v>1378700000</v>
      </c>
      <c r="J14" s="258">
        <v>15165700000</v>
      </c>
      <c r="K14" s="256" t="s">
        <v>1346</v>
      </c>
    </row>
    <row r="15" spans="1:11" x14ac:dyDescent="0.3">
      <c r="A15" s="256">
        <v>8</v>
      </c>
      <c r="B15" s="257" t="s">
        <v>1474</v>
      </c>
      <c r="C15" s="276">
        <v>44477</v>
      </c>
      <c r="D15" s="257" t="s">
        <v>1273</v>
      </c>
      <c r="E15" s="256" t="s">
        <v>1829</v>
      </c>
      <c r="F15" s="256" t="s">
        <v>1757</v>
      </c>
      <c r="G15" s="258">
        <v>5102000000</v>
      </c>
      <c r="H15" s="265">
        <v>0.1</v>
      </c>
      <c r="I15" s="258">
        <v>510200000</v>
      </c>
      <c r="J15" s="258">
        <v>5612200000</v>
      </c>
      <c r="K15" s="256" t="s">
        <v>1348</v>
      </c>
    </row>
    <row r="16" spans="1:11" x14ac:dyDescent="0.3">
      <c r="A16" s="256">
        <v>9</v>
      </c>
      <c r="B16" s="257" t="s">
        <v>1470</v>
      </c>
      <c r="C16" s="276">
        <v>44478</v>
      </c>
      <c r="D16" s="257" t="s">
        <v>1283</v>
      </c>
      <c r="E16" s="256" t="s">
        <v>1798</v>
      </c>
      <c r="F16" s="256" t="s">
        <v>1759</v>
      </c>
      <c r="G16" s="258">
        <v>10936000000</v>
      </c>
      <c r="H16" s="265">
        <v>0.1</v>
      </c>
      <c r="I16" s="258">
        <v>1093600000</v>
      </c>
      <c r="J16" s="258">
        <v>12029600000</v>
      </c>
      <c r="K16" s="256" t="s">
        <v>1346</v>
      </c>
    </row>
    <row r="17" spans="1:11" x14ac:dyDescent="0.3">
      <c r="A17" s="256">
        <v>10</v>
      </c>
      <c r="B17" s="257" t="s">
        <v>1404</v>
      </c>
      <c r="C17" s="276">
        <v>44479</v>
      </c>
      <c r="D17" s="257" t="s">
        <v>1291</v>
      </c>
      <c r="E17" s="256" t="s">
        <v>1800</v>
      </c>
      <c r="F17" s="256" t="s">
        <v>1756</v>
      </c>
      <c r="G17" s="258">
        <v>6137000000</v>
      </c>
      <c r="H17" s="265">
        <v>0.1</v>
      </c>
      <c r="I17" s="258">
        <v>613700000</v>
      </c>
      <c r="J17" s="258">
        <v>6750700000</v>
      </c>
      <c r="K17" s="256" t="s">
        <v>1346</v>
      </c>
    </row>
    <row r="18" spans="1:11" x14ac:dyDescent="0.3">
      <c r="A18" s="256">
        <v>11</v>
      </c>
      <c r="B18" s="257" t="s">
        <v>1457</v>
      </c>
      <c r="C18" s="276">
        <v>44480</v>
      </c>
      <c r="D18" s="257" t="s">
        <v>1290</v>
      </c>
      <c r="E18" s="256" t="s">
        <v>1796</v>
      </c>
      <c r="F18" s="256" t="s">
        <v>1760</v>
      </c>
      <c r="G18" s="258">
        <v>7139000000</v>
      </c>
      <c r="H18" s="265">
        <v>0.1</v>
      </c>
      <c r="I18" s="258">
        <v>713900000</v>
      </c>
      <c r="J18" s="258">
        <v>7852900000</v>
      </c>
      <c r="K18" s="256" t="s">
        <v>1346</v>
      </c>
    </row>
    <row r="19" spans="1:11" x14ac:dyDescent="0.3">
      <c r="A19" s="256">
        <v>12</v>
      </c>
      <c r="B19" s="257" t="s">
        <v>1419</v>
      </c>
      <c r="C19" s="276">
        <v>44481</v>
      </c>
      <c r="D19" s="257" t="s">
        <v>1293</v>
      </c>
      <c r="E19" s="256" t="s">
        <v>1826</v>
      </c>
      <c r="F19" s="256" t="s">
        <v>1756</v>
      </c>
      <c r="G19" s="258">
        <v>11906000000</v>
      </c>
      <c r="H19" s="265">
        <v>0.1</v>
      </c>
      <c r="I19" s="258">
        <v>1190600000</v>
      </c>
      <c r="J19" s="258">
        <v>13096600000</v>
      </c>
      <c r="K19" s="256" t="s">
        <v>1348</v>
      </c>
    </row>
    <row r="20" spans="1:11" x14ac:dyDescent="0.3">
      <c r="A20" s="256">
        <v>13</v>
      </c>
      <c r="B20" s="257" t="s">
        <v>1486</v>
      </c>
      <c r="C20" s="276">
        <v>44211</v>
      </c>
      <c r="D20" s="257" t="s">
        <v>1270</v>
      </c>
      <c r="E20" s="256" t="s">
        <v>1782</v>
      </c>
      <c r="F20" s="256" t="s">
        <v>1757</v>
      </c>
      <c r="G20" s="258">
        <v>15152000000</v>
      </c>
      <c r="H20" s="265">
        <v>0.1</v>
      </c>
      <c r="I20" s="258">
        <v>1515200000</v>
      </c>
      <c r="J20" s="258">
        <v>16667200000</v>
      </c>
      <c r="K20" s="256" t="s">
        <v>1346</v>
      </c>
    </row>
    <row r="21" spans="1:11" x14ac:dyDescent="0.3">
      <c r="A21" s="256">
        <v>14</v>
      </c>
      <c r="B21" s="257" t="s">
        <v>1457</v>
      </c>
      <c r="C21" s="276">
        <v>44242</v>
      </c>
      <c r="D21" s="257" t="s">
        <v>1302</v>
      </c>
      <c r="E21" s="256" t="s">
        <v>1784</v>
      </c>
      <c r="F21" s="256" t="s">
        <v>1759</v>
      </c>
      <c r="G21" s="258">
        <v>15132000000</v>
      </c>
      <c r="H21" s="265">
        <v>0.1</v>
      </c>
      <c r="I21" s="258">
        <v>1513200000</v>
      </c>
      <c r="J21" s="258">
        <v>16645200000</v>
      </c>
      <c r="K21" s="256" t="s">
        <v>1346</v>
      </c>
    </row>
    <row r="22" spans="1:11" x14ac:dyDescent="0.3">
      <c r="A22" s="256">
        <v>15</v>
      </c>
      <c r="B22" s="257" t="s">
        <v>1402</v>
      </c>
      <c r="C22" s="276">
        <v>44275</v>
      </c>
      <c r="D22" s="257" t="s">
        <v>1286</v>
      </c>
      <c r="E22" s="256" t="s">
        <v>1828</v>
      </c>
      <c r="F22" s="256" t="s">
        <v>1758</v>
      </c>
      <c r="G22" s="258">
        <v>8537000000</v>
      </c>
      <c r="H22" s="265">
        <v>0.1</v>
      </c>
      <c r="I22" s="258">
        <v>853700000</v>
      </c>
      <c r="J22" s="258">
        <v>9390700000</v>
      </c>
      <c r="K22" s="256" t="s">
        <v>1346</v>
      </c>
    </row>
    <row r="23" spans="1:11" x14ac:dyDescent="0.3">
      <c r="A23" s="256">
        <v>16</v>
      </c>
      <c r="B23" s="257" t="s">
        <v>1483</v>
      </c>
      <c r="C23" s="276">
        <v>44306</v>
      </c>
      <c r="D23" s="257" t="s">
        <v>1277</v>
      </c>
      <c r="E23" s="256" t="s">
        <v>1783</v>
      </c>
      <c r="F23" s="256" t="s">
        <v>1756</v>
      </c>
      <c r="G23" s="258">
        <v>16039000000</v>
      </c>
      <c r="H23" s="265">
        <v>0.1</v>
      </c>
      <c r="I23" s="258">
        <v>1603900000</v>
      </c>
      <c r="J23" s="258">
        <v>17642900000</v>
      </c>
      <c r="K23" s="256" t="s">
        <v>1346</v>
      </c>
    </row>
    <row r="24" spans="1:11" x14ac:dyDescent="0.3">
      <c r="A24" s="256">
        <v>17</v>
      </c>
      <c r="B24" s="257" t="s">
        <v>1462</v>
      </c>
      <c r="C24" s="276">
        <v>44336</v>
      </c>
      <c r="D24" s="257" t="s">
        <v>1289</v>
      </c>
      <c r="E24" s="256" t="s">
        <v>1803</v>
      </c>
      <c r="F24" s="256" t="s">
        <v>1760</v>
      </c>
      <c r="G24" s="258">
        <v>8044000000</v>
      </c>
      <c r="H24" s="265">
        <v>0.1</v>
      </c>
      <c r="I24" s="258">
        <v>804400000</v>
      </c>
      <c r="J24" s="258">
        <v>8848400000</v>
      </c>
      <c r="K24" s="256" t="s">
        <v>1346</v>
      </c>
    </row>
    <row r="25" spans="1:11" x14ac:dyDescent="0.3">
      <c r="A25" s="256">
        <v>18</v>
      </c>
      <c r="B25" s="257" t="s">
        <v>1485</v>
      </c>
      <c r="C25" s="276">
        <v>44367</v>
      </c>
      <c r="D25" s="257" t="s">
        <v>1260</v>
      </c>
      <c r="E25" s="256" t="s">
        <v>1804</v>
      </c>
      <c r="F25" s="256" t="s">
        <v>1755</v>
      </c>
      <c r="G25" s="258">
        <v>6614000000</v>
      </c>
      <c r="H25" s="265">
        <v>0.1</v>
      </c>
      <c r="I25" s="258">
        <v>661400000</v>
      </c>
      <c r="J25" s="258">
        <v>7275400000</v>
      </c>
      <c r="K25" s="256" t="s">
        <v>1346</v>
      </c>
    </row>
    <row r="26" spans="1:11" x14ac:dyDescent="0.3">
      <c r="A26" s="256">
        <v>19</v>
      </c>
      <c r="B26" s="257" t="s">
        <v>1458</v>
      </c>
      <c r="C26" s="276">
        <v>44397</v>
      </c>
      <c r="D26" s="257" t="s">
        <v>1290</v>
      </c>
      <c r="E26" s="256" t="s">
        <v>1796</v>
      </c>
      <c r="F26" s="256" t="s">
        <v>1756</v>
      </c>
      <c r="G26" s="258">
        <v>14262000000</v>
      </c>
      <c r="H26" s="265">
        <v>0.1</v>
      </c>
      <c r="I26" s="258">
        <v>1426200000</v>
      </c>
      <c r="J26" s="258">
        <v>15688200000</v>
      </c>
      <c r="K26" s="256" t="s">
        <v>1346</v>
      </c>
    </row>
    <row r="27" spans="1:11" x14ac:dyDescent="0.3">
      <c r="A27" s="256">
        <v>20</v>
      </c>
      <c r="B27" s="257" t="s">
        <v>1401</v>
      </c>
      <c r="C27" s="276">
        <v>44428</v>
      </c>
      <c r="D27" s="257" t="s">
        <v>1258</v>
      </c>
      <c r="E27" s="256" t="s">
        <v>1833</v>
      </c>
      <c r="F27" s="256" t="s">
        <v>1758</v>
      </c>
      <c r="G27" s="258">
        <v>9279000000</v>
      </c>
      <c r="H27" s="265">
        <v>0.1</v>
      </c>
      <c r="I27" s="258">
        <v>927900000</v>
      </c>
      <c r="J27" s="258">
        <v>10206900000</v>
      </c>
      <c r="K27" s="256" t="s">
        <v>1346</v>
      </c>
    </row>
    <row r="28" spans="1:11" x14ac:dyDescent="0.3">
      <c r="A28" s="256">
        <v>21</v>
      </c>
      <c r="B28" s="257" t="s">
        <v>1475</v>
      </c>
      <c r="C28" s="276">
        <v>44459</v>
      </c>
      <c r="D28" s="257" t="s">
        <v>1273</v>
      </c>
      <c r="E28" s="256" t="s">
        <v>1829</v>
      </c>
      <c r="F28" s="256" t="s">
        <v>1756</v>
      </c>
      <c r="G28" s="258">
        <v>8747000000</v>
      </c>
      <c r="H28" s="265">
        <v>0.1</v>
      </c>
      <c r="I28" s="258">
        <v>874700000</v>
      </c>
      <c r="J28" s="258">
        <v>9621700000</v>
      </c>
      <c r="K28" s="256" t="s">
        <v>1346</v>
      </c>
    </row>
    <row r="29" spans="1:11" x14ac:dyDescent="0.3">
      <c r="A29" s="256">
        <v>22</v>
      </c>
      <c r="B29" s="257" t="s">
        <v>1476</v>
      </c>
      <c r="C29" s="276">
        <v>44489</v>
      </c>
      <c r="D29" s="257" t="s">
        <v>1275</v>
      </c>
      <c r="E29" s="256" t="s">
        <v>1808</v>
      </c>
      <c r="F29" s="256" t="s">
        <v>1756</v>
      </c>
      <c r="G29" s="258">
        <v>15795000000</v>
      </c>
      <c r="H29" s="265">
        <v>0.1</v>
      </c>
      <c r="I29" s="258">
        <v>1579500000</v>
      </c>
      <c r="J29" s="258">
        <v>17374500000</v>
      </c>
      <c r="K29" s="256" t="s">
        <v>1346</v>
      </c>
    </row>
    <row r="30" spans="1:11" x14ac:dyDescent="0.3">
      <c r="A30" s="256">
        <v>23</v>
      </c>
      <c r="B30" s="257" t="s">
        <v>1472</v>
      </c>
      <c r="C30" s="276">
        <v>44520</v>
      </c>
      <c r="D30" s="257" t="s">
        <v>1288</v>
      </c>
      <c r="E30" s="256" t="s">
        <v>1797</v>
      </c>
      <c r="F30" s="256" t="s">
        <v>1755</v>
      </c>
      <c r="G30" s="258">
        <v>7971000000</v>
      </c>
      <c r="H30" s="265">
        <v>0.1</v>
      </c>
      <c r="I30" s="258">
        <v>797100000</v>
      </c>
      <c r="J30" s="258">
        <v>8768100000</v>
      </c>
      <c r="K30" s="256" t="s">
        <v>1346</v>
      </c>
    </row>
    <row r="31" spans="1:11" x14ac:dyDescent="0.3">
      <c r="A31" s="256">
        <v>24</v>
      </c>
      <c r="B31" s="257" t="s">
        <v>1473</v>
      </c>
      <c r="C31" s="276">
        <v>44550</v>
      </c>
      <c r="D31" s="257" t="s">
        <v>1288</v>
      </c>
      <c r="E31" s="256" t="s">
        <v>1797</v>
      </c>
      <c r="F31" s="256" t="s">
        <v>1758</v>
      </c>
      <c r="G31" s="258">
        <v>9068000000</v>
      </c>
      <c r="H31" s="265">
        <v>0.1</v>
      </c>
      <c r="I31" s="258">
        <v>906800000</v>
      </c>
      <c r="J31" s="258">
        <v>9974800000</v>
      </c>
      <c r="K31" s="256" t="s">
        <v>1346</v>
      </c>
    </row>
    <row r="32" spans="1:11" x14ac:dyDescent="0.3">
      <c r="A32" s="256">
        <v>25</v>
      </c>
      <c r="B32" s="257" t="s">
        <v>1209</v>
      </c>
      <c r="C32" s="276">
        <v>44221</v>
      </c>
      <c r="D32" s="257" t="s">
        <v>1267</v>
      </c>
      <c r="E32" s="256" t="s">
        <v>1810</v>
      </c>
      <c r="F32" s="256" t="s">
        <v>1756</v>
      </c>
      <c r="G32" s="258">
        <v>15156000000</v>
      </c>
      <c r="H32" s="265">
        <v>0.1</v>
      </c>
      <c r="I32" s="258">
        <v>1515600000</v>
      </c>
      <c r="J32" s="258">
        <v>16671600000</v>
      </c>
      <c r="K32" s="256" t="s">
        <v>1348</v>
      </c>
    </row>
    <row r="33" spans="1:11" x14ac:dyDescent="0.3">
      <c r="A33" s="256">
        <v>26</v>
      </c>
      <c r="B33" s="257" t="s">
        <v>1411</v>
      </c>
      <c r="C33" s="276">
        <v>44255</v>
      </c>
      <c r="D33" s="257" t="s">
        <v>1292</v>
      </c>
      <c r="E33" s="256" t="s">
        <v>1792</v>
      </c>
      <c r="F33" s="256" t="s">
        <v>1757</v>
      </c>
      <c r="G33" s="258">
        <v>9358000000</v>
      </c>
      <c r="H33" s="265">
        <v>0.1</v>
      </c>
      <c r="I33" s="258">
        <v>935800000</v>
      </c>
      <c r="J33" s="258">
        <v>10293800000</v>
      </c>
      <c r="K33" s="256" t="s">
        <v>1346</v>
      </c>
    </row>
    <row r="34" spans="1:11" x14ac:dyDescent="0.3">
      <c r="A34" s="256">
        <v>27</v>
      </c>
      <c r="B34" s="257" t="s">
        <v>1402</v>
      </c>
      <c r="C34" s="276">
        <v>44316</v>
      </c>
      <c r="D34" s="257" t="s">
        <v>1261</v>
      </c>
      <c r="E34" s="256" t="s">
        <v>1813</v>
      </c>
      <c r="F34" s="256" t="s">
        <v>1755</v>
      </c>
      <c r="G34" s="258">
        <v>13714000000</v>
      </c>
      <c r="H34" s="265">
        <v>0.1</v>
      </c>
      <c r="I34" s="258">
        <v>1371400000</v>
      </c>
      <c r="J34" s="258">
        <v>15085400000</v>
      </c>
      <c r="K34" s="256" t="s">
        <v>1346</v>
      </c>
    </row>
    <row r="35" spans="1:11" x14ac:dyDescent="0.3">
      <c r="A35" s="256">
        <v>28</v>
      </c>
      <c r="B35" s="257" t="s">
        <v>1477</v>
      </c>
      <c r="C35" s="276">
        <v>44377</v>
      </c>
      <c r="D35" s="257" t="s">
        <v>1275</v>
      </c>
      <c r="E35" s="256" t="s">
        <v>1808</v>
      </c>
      <c r="F35" s="256" t="s">
        <v>1760</v>
      </c>
      <c r="G35" s="258">
        <v>14854000000</v>
      </c>
      <c r="H35" s="265">
        <v>0.1</v>
      </c>
      <c r="I35" s="258">
        <v>1485400000</v>
      </c>
      <c r="J35" s="258">
        <v>16339400000</v>
      </c>
      <c r="K35" s="256" t="s">
        <v>1348</v>
      </c>
    </row>
    <row r="36" spans="1:11" x14ac:dyDescent="0.3">
      <c r="A36" s="256">
        <v>29</v>
      </c>
      <c r="B36" s="257" t="s">
        <v>1397</v>
      </c>
      <c r="C36" s="276">
        <v>44469</v>
      </c>
      <c r="D36" s="257" t="s">
        <v>1298</v>
      </c>
      <c r="E36" s="256" t="s">
        <v>1819</v>
      </c>
      <c r="F36" s="256" t="s">
        <v>1757</v>
      </c>
      <c r="G36" s="258">
        <v>8072000000</v>
      </c>
      <c r="H36" s="265">
        <v>0.1</v>
      </c>
      <c r="I36" s="258">
        <v>807200000</v>
      </c>
      <c r="J36" s="258">
        <v>8879200000</v>
      </c>
      <c r="K36" s="256" t="s">
        <v>1346</v>
      </c>
    </row>
    <row r="37" spans="1:11" x14ac:dyDescent="0.3">
      <c r="A37" s="256">
        <v>30</v>
      </c>
      <c r="B37" s="257" t="s">
        <v>1399</v>
      </c>
      <c r="C37" s="276">
        <v>44530</v>
      </c>
      <c r="D37" s="257" t="s">
        <v>1296</v>
      </c>
      <c r="E37" s="256" t="s">
        <v>1807</v>
      </c>
      <c r="F37" s="256" t="s">
        <v>1760</v>
      </c>
      <c r="G37" s="258">
        <v>14035000000</v>
      </c>
      <c r="H37" s="265">
        <v>0.1</v>
      </c>
      <c r="I37" s="258">
        <v>1403500000</v>
      </c>
      <c r="J37" s="258">
        <v>15438500000</v>
      </c>
      <c r="K37" s="256" t="s">
        <v>1346</v>
      </c>
    </row>
    <row r="38" spans="1:11" x14ac:dyDescent="0.3">
      <c r="A38" s="256">
        <v>31</v>
      </c>
      <c r="B38" s="257" t="s">
        <v>1475</v>
      </c>
      <c r="C38" s="276">
        <v>44286</v>
      </c>
      <c r="D38" s="257" t="s">
        <v>1256</v>
      </c>
      <c r="E38" s="256" t="s">
        <v>1802</v>
      </c>
      <c r="F38" s="256" t="s">
        <v>1755</v>
      </c>
      <c r="G38" s="258">
        <v>7694000000</v>
      </c>
      <c r="H38" s="265">
        <v>0.1</v>
      </c>
      <c r="I38" s="258">
        <v>769400000</v>
      </c>
      <c r="J38" s="258">
        <v>8463400000</v>
      </c>
      <c r="K38" s="256" t="s">
        <v>1346</v>
      </c>
    </row>
    <row r="39" spans="1:11" x14ac:dyDescent="0.3">
      <c r="A39" s="256">
        <v>32</v>
      </c>
      <c r="B39" s="257" t="s">
        <v>1484</v>
      </c>
      <c r="C39" s="276">
        <v>44347</v>
      </c>
      <c r="D39" s="257" t="s">
        <v>1274</v>
      </c>
      <c r="E39" s="256" t="s">
        <v>1794</v>
      </c>
      <c r="F39" s="256" t="s">
        <v>1755</v>
      </c>
      <c r="G39" s="258">
        <v>12051000000</v>
      </c>
      <c r="H39" s="265">
        <v>0.1</v>
      </c>
      <c r="I39" s="258">
        <v>1205100000</v>
      </c>
      <c r="J39" s="258">
        <v>13256100000</v>
      </c>
      <c r="K39" s="256" t="s">
        <v>1346</v>
      </c>
    </row>
    <row r="40" spans="1:11" x14ac:dyDescent="0.3">
      <c r="A40" s="256">
        <v>33</v>
      </c>
      <c r="B40" s="257" t="s">
        <v>1476</v>
      </c>
      <c r="C40" s="276">
        <v>44408</v>
      </c>
      <c r="D40" s="257" t="s">
        <v>1256</v>
      </c>
      <c r="E40" s="256" t="s">
        <v>1802</v>
      </c>
      <c r="F40" s="256" t="s">
        <v>1755</v>
      </c>
      <c r="G40" s="258">
        <v>6427000000</v>
      </c>
      <c r="H40" s="265">
        <v>0.1</v>
      </c>
      <c r="I40" s="258">
        <v>642700000</v>
      </c>
      <c r="J40" s="258">
        <v>7069700000</v>
      </c>
      <c r="K40" s="256" t="s">
        <v>1346</v>
      </c>
    </row>
    <row r="41" spans="1:11" x14ac:dyDescent="0.3">
      <c r="A41" s="256">
        <v>34</v>
      </c>
      <c r="B41" s="257" t="s">
        <v>1498</v>
      </c>
      <c r="C41" s="276">
        <v>44439</v>
      </c>
      <c r="D41" s="257" t="s">
        <v>1284</v>
      </c>
      <c r="E41" s="256" t="s">
        <v>1786</v>
      </c>
      <c r="F41" s="256" t="s">
        <v>1756</v>
      </c>
      <c r="G41" s="258">
        <v>12031000000</v>
      </c>
      <c r="H41" s="265">
        <v>0.1</v>
      </c>
      <c r="I41" s="258">
        <v>1203100000</v>
      </c>
      <c r="J41" s="258">
        <v>13234100000</v>
      </c>
      <c r="K41" s="256" t="s">
        <v>1348</v>
      </c>
    </row>
    <row r="42" spans="1:11" x14ac:dyDescent="0.3">
      <c r="A42" s="256">
        <v>35</v>
      </c>
      <c r="B42" s="257" t="s">
        <v>1405</v>
      </c>
      <c r="C42" s="276">
        <v>44500</v>
      </c>
      <c r="D42" s="257" t="s">
        <v>1297</v>
      </c>
      <c r="E42" s="256" t="s">
        <v>1820</v>
      </c>
      <c r="F42" s="256" t="s">
        <v>1760</v>
      </c>
      <c r="G42" s="258">
        <v>6498000000</v>
      </c>
      <c r="H42" s="265">
        <v>0.1</v>
      </c>
      <c r="I42" s="258">
        <v>649800000</v>
      </c>
      <c r="J42" s="258">
        <v>7147800000</v>
      </c>
      <c r="K42" s="256" t="s">
        <v>1346</v>
      </c>
    </row>
    <row r="43" spans="1:11" x14ac:dyDescent="0.3">
      <c r="A43" s="256">
        <v>36</v>
      </c>
      <c r="B43" s="257" t="s">
        <v>1467</v>
      </c>
      <c r="C43" s="276">
        <v>44561</v>
      </c>
      <c r="D43" s="257" t="s">
        <v>1282</v>
      </c>
      <c r="E43" s="256" t="s">
        <v>1789</v>
      </c>
      <c r="F43" s="256" t="s">
        <v>1760</v>
      </c>
      <c r="G43" s="258">
        <v>11752000000</v>
      </c>
      <c r="H43" s="265">
        <v>0.1</v>
      </c>
      <c r="I43" s="258">
        <v>1175200000</v>
      </c>
      <c r="J43" s="258">
        <v>12927200000</v>
      </c>
      <c r="K43" s="256" t="s">
        <v>1346</v>
      </c>
    </row>
    <row r="44" spans="1:11" x14ac:dyDescent="0.3">
      <c r="A44" s="256">
        <v>37</v>
      </c>
      <c r="B44" s="257" t="s">
        <v>1481</v>
      </c>
      <c r="C44" s="276">
        <v>44561</v>
      </c>
      <c r="D44" s="257" t="s">
        <v>1272</v>
      </c>
      <c r="E44" s="256" t="s">
        <v>1805</v>
      </c>
      <c r="F44" s="256" t="s">
        <v>1759</v>
      </c>
      <c r="G44" s="258">
        <v>11955000000</v>
      </c>
      <c r="H44" s="265">
        <v>0.1</v>
      </c>
      <c r="I44" s="258">
        <v>1195500000</v>
      </c>
      <c r="J44" s="258">
        <v>13150500000</v>
      </c>
      <c r="K44" s="256" t="s">
        <v>1346</v>
      </c>
    </row>
    <row r="45" spans="1:11" x14ac:dyDescent="0.3">
      <c r="A45" s="256">
        <v>38</v>
      </c>
      <c r="B45" s="257" t="s">
        <v>1475</v>
      </c>
      <c r="C45" s="276">
        <v>44561</v>
      </c>
      <c r="D45" s="257" t="s">
        <v>1279</v>
      </c>
      <c r="E45" s="256" t="s">
        <v>1827</v>
      </c>
      <c r="F45" s="256" t="s">
        <v>1755</v>
      </c>
      <c r="G45" s="258">
        <v>14578000000</v>
      </c>
      <c r="H45" s="265">
        <v>0.1</v>
      </c>
      <c r="I45" s="258">
        <v>1457800000</v>
      </c>
      <c r="J45" s="258">
        <v>16035800000</v>
      </c>
      <c r="K45" s="256" t="s">
        <v>1346</v>
      </c>
    </row>
    <row r="46" spans="1:11" x14ac:dyDescent="0.3">
      <c r="A46" s="256">
        <v>39</v>
      </c>
      <c r="B46" s="257" t="s">
        <v>1486</v>
      </c>
      <c r="C46" s="276">
        <v>44561</v>
      </c>
      <c r="D46" s="257" t="s">
        <v>1260</v>
      </c>
      <c r="E46" s="256" t="s">
        <v>1804</v>
      </c>
      <c r="F46" s="256" t="s">
        <v>1758</v>
      </c>
      <c r="G46" s="258">
        <v>12724000000</v>
      </c>
      <c r="H46" s="265">
        <v>0.1</v>
      </c>
      <c r="I46" s="258">
        <v>1272400000</v>
      </c>
      <c r="J46" s="258">
        <v>13996400000</v>
      </c>
      <c r="K46" s="256" t="s">
        <v>1346</v>
      </c>
    </row>
    <row r="47" spans="1:11" x14ac:dyDescent="0.3">
      <c r="A47" s="256">
        <v>40</v>
      </c>
      <c r="B47" s="257" t="s">
        <v>1414</v>
      </c>
      <c r="C47" s="276">
        <v>44561</v>
      </c>
      <c r="D47" s="257" t="s">
        <v>1292</v>
      </c>
      <c r="E47" s="256" t="s">
        <v>1792</v>
      </c>
      <c r="F47" s="256" t="s">
        <v>1760</v>
      </c>
      <c r="G47" s="258">
        <v>14385000000</v>
      </c>
      <c r="H47" s="265">
        <v>0.1</v>
      </c>
      <c r="I47" s="258">
        <v>1438500000</v>
      </c>
      <c r="J47" s="258">
        <v>15823500000</v>
      </c>
      <c r="K47" s="256" t="s">
        <v>1346</v>
      </c>
    </row>
    <row r="48" spans="1:11" x14ac:dyDescent="0.3">
      <c r="A48" s="256">
        <v>41</v>
      </c>
      <c r="B48" s="257" t="s">
        <v>1482</v>
      </c>
      <c r="C48" s="276">
        <v>44561</v>
      </c>
      <c r="D48" s="257" t="s">
        <v>1272</v>
      </c>
      <c r="E48" s="256" t="s">
        <v>1805</v>
      </c>
      <c r="F48" s="256" t="s">
        <v>1756</v>
      </c>
      <c r="G48" s="258">
        <v>10996000000</v>
      </c>
      <c r="H48" s="265">
        <v>0.1</v>
      </c>
      <c r="I48" s="258">
        <v>1099600000</v>
      </c>
      <c r="J48" s="258">
        <v>12095600000</v>
      </c>
      <c r="K48" s="256" t="s">
        <v>1346</v>
      </c>
    </row>
    <row r="49" spans="1:11" x14ac:dyDescent="0.3">
      <c r="A49" s="256">
        <v>42</v>
      </c>
      <c r="B49" s="257" t="s">
        <v>1476</v>
      </c>
      <c r="C49" s="276">
        <v>44561</v>
      </c>
      <c r="D49" s="257" t="s">
        <v>1273</v>
      </c>
      <c r="E49" s="256" t="s">
        <v>1829</v>
      </c>
      <c r="F49" s="256" t="s">
        <v>1757</v>
      </c>
      <c r="G49" s="258">
        <v>11620000000</v>
      </c>
      <c r="H49" s="265">
        <v>0.1</v>
      </c>
      <c r="I49" s="258">
        <v>1162000000</v>
      </c>
      <c r="J49" s="258">
        <v>12782000000</v>
      </c>
      <c r="K49" s="256" t="s">
        <v>1346</v>
      </c>
    </row>
    <row r="50" spans="1:11" x14ac:dyDescent="0.3">
      <c r="A50" s="256">
        <v>43</v>
      </c>
      <c r="B50" s="257" t="s">
        <v>1476</v>
      </c>
      <c r="C50" s="276">
        <v>44561</v>
      </c>
      <c r="D50" s="257" t="s">
        <v>1279</v>
      </c>
      <c r="E50" s="256" t="s">
        <v>1827</v>
      </c>
      <c r="F50" s="256" t="s">
        <v>1760</v>
      </c>
      <c r="G50" s="258">
        <v>11741000000</v>
      </c>
      <c r="H50" s="265">
        <v>0.1</v>
      </c>
      <c r="I50" s="258">
        <v>1174100000</v>
      </c>
      <c r="J50" s="258">
        <v>12915100000</v>
      </c>
      <c r="K50" s="256" t="s">
        <v>1346</v>
      </c>
    </row>
    <row r="51" spans="1:11" x14ac:dyDescent="0.3">
      <c r="A51" s="256">
        <v>44</v>
      </c>
      <c r="B51" s="257" t="s">
        <v>1406</v>
      </c>
      <c r="C51" s="276">
        <v>44561</v>
      </c>
      <c r="D51" s="257" t="s">
        <v>1297</v>
      </c>
      <c r="E51" s="256" t="s">
        <v>1820</v>
      </c>
      <c r="F51" s="256" t="s">
        <v>1760</v>
      </c>
      <c r="G51" s="258">
        <v>12014000000</v>
      </c>
      <c r="H51" s="265">
        <v>0.1</v>
      </c>
      <c r="I51" s="258">
        <v>1201400000</v>
      </c>
      <c r="J51" s="258">
        <v>13215400000</v>
      </c>
      <c r="K51" s="256" t="s">
        <v>1346</v>
      </c>
    </row>
    <row r="52" spans="1:11" x14ac:dyDescent="0.3">
      <c r="A52" s="256">
        <v>45</v>
      </c>
      <c r="B52" s="257" t="s">
        <v>1485</v>
      </c>
      <c r="C52" s="276">
        <v>44561</v>
      </c>
      <c r="D52" s="257" t="s">
        <v>1274</v>
      </c>
      <c r="E52" s="256" t="s">
        <v>1794</v>
      </c>
      <c r="F52" s="256" t="s">
        <v>1757</v>
      </c>
      <c r="G52" s="258">
        <v>7087000000</v>
      </c>
      <c r="H52" s="265">
        <v>0</v>
      </c>
      <c r="I52" s="258">
        <v>0</v>
      </c>
      <c r="J52" s="258">
        <v>7087000000</v>
      </c>
      <c r="K52" s="256" t="s">
        <v>1346</v>
      </c>
    </row>
    <row r="53" spans="1:11" x14ac:dyDescent="0.3">
      <c r="A53" s="256">
        <v>46</v>
      </c>
      <c r="B53" s="257" t="s">
        <v>1487</v>
      </c>
      <c r="C53" s="276">
        <v>44561</v>
      </c>
      <c r="D53" s="257" t="s">
        <v>1260</v>
      </c>
      <c r="E53" s="256" t="s">
        <v>1804</v>
      </c>
      <c r="F53" s="256" t="s">
        <v>1757</v>
      </c>
      <c r="G53" s="258">
        <v>13761000000</v>
      </c>
      <c r="H53" s="265">
        <v>0</v>
      </c>
      <c r="I53" s="258">
        <v>0</v>
      </c>
      <c r="J53" s="258">
        <v>13761000000</v>
      </c>
      <c r="K53" s="256" t="s">
        <v>1346</v>
      </c>
    </row>
    <row r="54" spans="1:11" x14ac:dyDescent="0.3">
      <c r="A54" s="256">
        <v>47</v>
      </c>
      <c r="B54" s="257" t="s">
        <v>1403</v>
      </c>
      <c r="C54" s="276">
        <v>44561</v>
      </c>
      <c r="D54" s="257" t="s">
        <v>1286</v>
      </c>
      <c r="E54" s="256" t="s">
        <v>1828</v>
      </c>
      <c r="F54" s="256" t="s">
        <v>1760</v>
      </c>
      <c r="G54" s="258">
        <v>13141000000</v>
      </c>
      <c r="H54" s="265">
        <v>0.1</v>
      </c>
      <c r="I54" s="258">
        <v>1314100000</v>
      </c>
      <c r="J54" s="258">
        <v>14455100000</v>
      </c>
      <c r="K54" s="256" t="s">
        <v>1346</v>
      </c>
    </row>
    <row r="55" spans="1:11" x14ac:dyDescent="0.3">
      <c r="A55" s="256">
        <v>48</v>
      </c>
      <c r="B55" s="257" t="s">
        <v>1461</v>
      </c>
      <c r="C55" s="276">
        <v>44561</v>
      </c>
      <c r="D55" s="257" t="s">
        <v>1299</v>
      </c>
      <c r="E55" s="256" t="s">
        <v>1776</v>
      </c>
      <c r="F55" s="256" t="s">
        <v>1758</v>
      </c>
      <c r="G55" s="258">
        <v>7986000000</v>
      </c>
      <c r="H55" s="265">
        <v>0.1</v>
      </c>
      <c r="I55" s="258">
        <v>798600000</v>
      </c>
      <c r="J55" s="258">
        <v>8784600000</v>
      </c>
      <c r="K55" s="256" t="s">
        <v>1348</v>
      </c>
    </row>
    <row r="56" spans="1:11" x14ac:dyDescent="0.3">
      <c r="A56" s="256">
        <v>49</v>
      </c>
      <c r="B56" s="257" t="s">
        <v>1499</v>
      </c>
      <c r="C56" s="276">
        <v>44561</v>
      </c>
      <c r="D56" s="257" t="s">
        <v>1284</v>
      </c>
      <c r="E56" s="256" t="s">
        <v>1786</v>
      </c>
      <c r="F56" s="256" t="s">
        <v>1756</v>
      </c>
      <c r="G56" s="258">
        <v>9721000000</v>
      </c>
      <c r="H56" s="265">
        <v>0.1</v>
      </c>
      <c r="I56" s="258">
        <v>972100000</v>
      </c>
      <c r="J56" s="258">
        <v>10693100000</v>
      </c>
      <c r="K56" s="256" t="s">
        <v>1346</v>
      </c>
    </row>
    <row r="57" spans="1:11" x14ac:dyDescent="0.3">
      <c r="A57" s="256">
        <v>50</v>
      </c>
      <c r="B57" s="257" t="s">
        <v>1468</v>
      </c>
      <c r="C57" s="276">
        <v>44561</v>
      </c>
      <c r="D57" s="257" t="s">
        <v>1282</v>
      </c>
      <c r="E57" s="256" t="s">
        <v>1789</v>
      </c>
      <c r="F57" s="256" t="s">
        <v>1757</v>
      </c>
      <c r="G57" s="258">
        <v>4286000000</v>
      </c>
      <c r="H57" s="265">
        <v>0.1</v>
      </c>
      <c r="I57" s="258">
        <v>428600000</v>
      </c>
      <c r="J57" s="258">
        <v>4714600000</v>
      </c>
      <c r="K57" s="256" t="s">
        <v>1346</v>
      </c>
    </row>
    <row r="58" spans="1:11" x14ac:dyDescent="0.3">
      <c r="A58" s="266" t="s">
        <v>1351</v>
      </c>
      <c r="B58" s="266"/>
      <c r="C58" s="266"/>
      <c r="D58" s="266"/>
      <c r="E58" s="266"/>
      <c r="F58" s="266"/>
      <c r="G58" s="267">
        <f>SUM(G8:G57)</f>
        <v>540485000000</v>
      </c>
      <c r="H58" s="266"/>
      <c r="I58" s="267">
        <f>SUM(I8:I57)</f>
        <v>49997400000</v>
      </c>
      <c r="J58" s="267">
        <f>SUM(J8:J57)</f>
        <v>590482400000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1287</v>
      </c>
      <c r="E62" s="256" t="s">
        <v>1801</v>
      </c>
      <c r="F62" s="256" t="s">
        <v>1764</v>
      </c>
      <c r="G62" s="258">
        <v>21796000000</v>
      </c>
      <c r="H62" s="265">
        <v>0.1</v>
      </c>
      <c r="I62" s="258">
        <v>2179600000</v>
      </c>
      <c r="J62" s="258">
        <v>23975600000</v>
      </c>
      <c r="K62" s="256" t="s">
        <v>1346</v>
      </c>
    </row>
    <row r="63" spans="1:11" x14ac:dyDescent="0.3">
      <c r="A63" s="256">
        <v>2</v>
      </c>
      <c r="B63" s="257" t="s">
        <v>1201</v>
      </c>
      <c r="C63" s="276">
        <v>44318</v>
      </c>
      <c r="D63" s="257" t="s">
        <v>1260</v>
      </c>
      <c r="E63" s="256" t="s">
        <v>1804</v>
      </c>
      <c r="F63" s="256" t="s">
        <v>1762</v>
      </c>
      <c r="G63" s="258">
        <v>21237000000</v>
      </c>
      <c r="H63" s="265">
        <v>0</v>
      </c>
      <c r="I63" s="258">
        <v>0</v>
      </c>
      <c r="J63" s="258">
        <v>21237000000</v>
      </c>
      <c r="K63" s="256" t="s">
        <v>1346</v>
      </c>
    </row>
    <row r="64" spans="1:11" x14ac:dyDescent="0.3">
      <c r="A64" s="256">
        <v>3</v>
      </c>
      <c r="B64" s="257" t="s">
        <v>1202</v>
      </c>
      <c r="C64" s="276">
        <v>44472</v>
      </c>
      <c r="D64" s="257" t="s">
        <v>1287</v>
      </c>
      <c r="E64" s="256" t="s">
        <v>1801</v>
      </c>
      <c r="F64" s="256" t="s">
        <v>1832</v>
      </c>
      <c r="G64" s="258">
        <v>8489000000</v>
      </c>
      <c r="H64" s="265">
        <v>0.1</v>
      </c>
      <c r="I64" s="258">
        <v>848900000</v>
      </c>
      <c r="J64" s="258">
        <v>9337900000</v>
      </c>
      <c r="K64" s="256" t="s">
        <v>1348</v>
      </c>
    </row>
    <row r="65" spans="1:11" x14ac:dyDescent="0.3">
      <c r="A65" s="256">
        <v>4</v>
      </c>
      <c r="B65" s="257" t="s">
        <v>1355</v>
      </c>
      <c r="C65" s="276">
        <v>44473</v>
      </c>
      <c r="D65" s="257" t="s">
        <v>1267</v>
      </c>
      <c r="E65" s="256" t="s">
        <v>1810</v>
      </c>
      <c r="F65" s="256" t="s">
        <v>1762</v>
      </c>
      <c r="G65" s="258">
        <v>18057000000</v>
      </c>
      <c r="H65" s="265">
        <v>0.1</v>
      </c>
      <c r="I65" s="258">
        <v>1805700000</v>
      </c>
      <c r="J65" s="258">
        <v>19862700000</v>
      </c>
      <c r="K65" s="256" t="s">
        <v>1346</v>
      </c>
    </row>
    <row r="66" spans="1:11" x14ac:dyDescent="0.3">
      <c r="A66" s="256">
        <v>5</v>
      </c>
      <c r="B66" s="257" t="s">
        <v>1356</v>
      </c>
      <c r="C66" s="276">
        <v>44474</v>
      </c>
      <c r="D66" s="257" t="s">
        <v>1275</v>
      </c>
      <c r="E66" s="256" t="s">
        <v>1808</v>
      </c>
      <c r="F66" s="256" t="s">
        <v>1832</v>
      </c>
      <c r="G66" s="258">
        <v>19082000000</v>
      </c>
      <c r="H66" s="265">
        <v>0.1</v>
      </c>
      <c r="I66" s="258">
        <v>1908200000</v>
      </c>
      <c r="J66" s="258">
        <v>20990200000</v>
      </c>
      <c r="K66" s="256" t="s">
        <v>1346</v>
      </c>
    </row>
    <row r="67" spans="1:11" x14ac:dyDescent="0.3">
      <c r="A67" s="256">
        <v>6</v>
      </c>
      <c r="B67" s="257" t="s">
        <v>1358</v>
      </c>
      <c r="C67" s="276">
        <v>44475</v>
      </c>
      <c r="D67" s="257" t="s">
        <v>1262</v>
      </c>
      <c r="E67" s="256" t="s">
        <v>1816</v>
      </c>
      <c r="F67" s="256" t="s">
        <v>1762</v>
      </c>
      <c r="G67" s="258">
        <v>7824000000</v>
      </c>
      <c r="H67" s="265">
        <v>0.1</v>
      </c>
      <c r="I67" s="258">
        <v>782400000</v>
      </c>
      <c r="J67" s="258">
        <v>8606400000</v>
      </c>
      <c r="K67" s="256" t="s">
        <v>1346</v>
      </c>
    </row>
    <row r="68" spans="1:11" x14ac:dyDescent="0.3">
      <c r="A68" s="256">
        <v>7</v>
      </c>
      <c r="B68" s="257" t="s">
        <v>1360</v>
      </c>
      <c r="C68" s="276">
        <v>44476</v>
      </c>
      <c r="D68" s="257" t="s">
        <v>1274</v>
      </c>
      <c r="E68" s="256" t="s">
        <v>1794</v>
      </c>
      <c r="F68" s="256" t="s">
        <v>1832</v>
      </c>
      <c r="G68" s="258">
        <v>20133000000</v>
      </c>
      <c r="H68" s="265">
        <v>0.1</v>
      </c>
      <c r="I68" s="258">
        <v>2013300000</v>
      </c>
      <c r="J68" s="258">
        <v>22146300000</v>
      </c>
      <c r="K68" s="256" t="s">
        <v>1346</v>
      </c>
    </row>
    <row r="69" spans="1:11" x14ac:dyDescent="0.3">
      <c r="A69" s="256">
        <v>8</v>
      </c>
      <c r="B69" s="257" t="s">
        <v>1362</v>
      </c>
      <c r="C69" s="276">
        <v>44477</v>
      </c>
      <c r="D69" s="257" t="s">
        <v>1274</v>
      </c>
      <c r="E69" s="256" t="s">
        <v>1794</v>
      </c>
      <c r="F69" s="256" t="s">
        <v>1764</v>
      </c>
      <c r="G69" s="258">
        <v>15407000000</v>
      </c>
      <c r="H69" s="265">
        <v>0.1</v>
      </c>
      <c r="I69" s="258">
        <v>1540700000</v>
      </c>
      <c r="J69" s="258">
        <v>16947700000</v>
      </c>
      <c r="K69" s="256" t="s">
        <v>1346</v>
      </c>
    </row>
    <row r="70" spans="1:11" x14ac:dyDescent="0.3">
      <c r="A70" s="256">
        <v>9</v>
      </c>
      <c r="B70" s="257" t="s">
        <v>1364</v>
      </c>
      <c r="C70" s="276">
        <v>44478</v>
      </c>
      <c r="D70" s="257" t="s">
        <v>1286</v>
      </c>
      <c r="E70" s="256" t="s">
        <v>1828</v>
      </c>
      <c r="F70" s="256" t="s">
        <v>1762</v>
      </c>
      <c r="G70" s="258">
        <v>17784000000</v>
      </c>
      <c r="H70" s="265">
        <v>0.1</v>
      </c>
      <c r="I70" s="258">
        <v>1778400000</v>
      </c>
      <c r="J70" s="258">
        <v>19562400000</v>
      </c>
      <c r="K70" s="256" t="s">
        <v>1346</v>
      </c>
    </row>
    <row r="71" spans="1:11" x14ac:dyDescent="0.3">
      <c r="A71" s="256">
        <v>10</v>
      </c>
      <c r="B71" s="257" t="s">
        <v>1366</v>
      </c>
      <c r="C71" s="276">
        <v>44479</v>
      </c>
      <c r="D71" s="257" t="s">
        <v>1264</v>
      </c>
      <c r="E71" s="256" t="s">
        <v>1779</v>
      </c>
      <c r="F71" s="256" t="s">
        <v>1832</v>
      </c>
      <c r="G71" s="258">
        <v>10302000000</v>
      </c>
      <c r="H71" s="265">
        <v>0.1</v>
      </c>
      <c r="I71" s="258">
        <v>1030200000</v>
      </c>
      <c r="J71" s="258">
        <v>11332200000</v>
      </c>
      <c r="K71" s="256" t="s">
        <v>1346</v>
      </c>
    </row>
    <row r="72" spans="1:11" x14ac:dyDescent="0.3">
      <c r="A72" s="256">
        <v>11</v>
      </c>
      <c r="B72" s="257" t="s">
        <v>1368</v>
      </c>
      <c r="C72" s="276">
        <v>44480</v>
      </c>
      <c r="D72" s="257" t="s">
        <v>1271</v>
      </c>
      <c r="E72" s="256" t="s">
        <v>1799</v>
      </c>
      <c r="F72" s="256" t="s">
        <v>1761</v>
      </c>
      <c r="G72" s="258">
        <v>7015000000</v>
      </c>
      <c r="H72" s="265">
        <v>0.1</v>
      </c>
      <c r="I72" s="258">
        <v>701500000</v>
      </c>
      <c r="J72" s="258">
        <v>7716500000</v>
      </c>
      <c r="K72" s="256" t="s">
        <v>1346</v>
      </c>
    </row>
    <row r="73" spans="1:11" x14ac:dyDescent="0.3">
      <c r="A73" s="256">
        <v>12</v>
      </c>
      <c r="B73" s="257" t="s">
        <v>1371</v>
      </c>
      <c r="C73" s="276">
        <v>44481</v>
      </c>
      <c r="D73" s="257" t="s">
        <v>1278</v>
      </c>
      <c r="E73" s="256" t="s">
        <v>1785</v>
      </c>
      <c r="F73" s="256" t="s">
        <v>1832</v>
      </c>
      <c r="G73" s="258">
        <v>13587000000</v>
      </c>
      <c r="H73" s="265">
        <v>0.1</v>
      </c>
      <c r="I73" s="258">
        <v>1358700000</v>
      </c>
      <c r="J73" s="258">
        <v>14945700000</v>
      </c>
      <c r="K73" s="256" t="s">
        <v>1346</v>
      </c>
    </row>
    <row r="74" spans="1:11" x14ac:dyDescent="0.3">
      <c r="A74" s="256">
        <v>13</v>
      </c>
      <c r="B74" s="257" t="s">
        <v>1373</v>
      </c>
      <c r="C74" s="276">
        <v>44211</v>
      </c>
      <c r="D74" s="257" t="s">
        <v>1255</v>
      </c>
      <c r="E74" s="273">
        <v>46152</v>
      </c>
      <c r="F74" s="256" t="s">
        <v>1762</v>
      </c>
      <c r="G74" s="258">
        <v>11513000000</v>
      </c>
      <c r="H74" s="265">
        <v>0.1</v>
      </c>
      <c r="I74" s="258">
        <v>1151300000</v>
      </c>
      <c r="J74" s="258">
        <v>12664300000</v>
      </c>
      <c r="K74" s="256" t="s">
        <v>1346</v>
      </c>
    </row>
    <row r="75" spans="1:11" x14ac:dyDescent="0.3">
      <c r="A75" s="256">
        <v>14</v>
      </c>
      <c r="B75" s="257" t="s">
        <v>1374</v>
      </c>
      <c r="C75" s="276">
        <v>44242</v>
      </c>
      <c r="D75" s="257" t="s">
        <v>1295</v>
      </c>
      <c r="E75" s="256" t="s">
        <v>1825</v>
      </c>
      <c r="F75" s="256" t="s">
        <v>1764</v>
      </c>
      <c r="G75" s="258">
        <v>9844000000</v>
      </c>
      <c r="H75" s="265">
        <v>0.1</v>
      </c>
      <c r="I75" s="258">
        <v>984400000</v>
      </c>
      <c r="J75" s="258">
        <v>10828400000</v>
      </c>
      <c r="K75" s="256" t="s">
        <v>1346</v>
      </c>
    </row>
    <row r="76" spans="1:11" x14ac:dyDescent="0.3">
      <c r="A76" s="256">
        <v>15</v>
      </c>
      <c r="B76" s="257" t="s">
        <v>1376</v>
      </c>
      <c r="C76" s="276">
        <v>44275</v>
      </c>
      <c r="D76" s="257" t="s">
        <v>1283</v>
      </c>
      <c r="E76" s="256" t="s">
        <v>1798</v>
      </c>
      <c r="F76" s="256" t="s">
        <v>1762</v>
      </c>
      <c r="G76" s="258">
        <v>14580000000</v>
      </c>
      <c r="H76" s="265">
        <v>0.1</v>
      </c>
      <c r="I76" s="258">
        <v>1458000000</v>
      </c>
      <c r="J76" s="258">
        <v>16038000000</v>
      </c>
      <c r="K76" s="256" t="s">
        <v>1346</v>
      </c>
    </row>
    <row r="77" spans="1:11" x14ac:dyDescent="0.3">
      <c r="A77" s="256">
        <v>16</v>
      </c>
      <c r="B77" s="257" t="s">
        <v>1378</v>
      </c>
      <c r="C77" s="276">
        <v>44306</v>
      </c>
      <c r="D77" s="257" t="s">
        <v>1265</v>
      </c>
      <c r="E77" s="256" t="s">
        <v>1830</v>
      </c>
      <c r="F77" s="256" t="s">
        <v>1832</v>
      </c>
      <c r="G77" s="258">
        <v>8331000000</v>
      </c>
      <c r="H77" s="265">
        <v>0.1</v>
      </c>
      <c r="I77" s="258">
        <v>833100000</v>
      </c>
      <c r="J77" s="258">
        <v>9164100000</v>
      </c>
      <c r="K77" s="256" t="s">
        <v>1346</v>
      </c>
    </row>
    <row r="78" spans="1:11" x14ac:dyDescent="0.3">
      <c r="A78" s="256">
        <v>17</v>
      </c>
      <c r="B78" s="257" t="s">
        <v>1379</v>
      </c>
      <c r="C78" s="276">
        <v>44336</v>
      </c>
      <c r="D78" s="257" t="s">
        <v>1259</v>
      </c>
      <c r="E78" s="256" t="s">
        <v>1788</v>
      </c>
      <c r="F78" s="256" t="s">
        <v>1761</v>
      </c>
      <c r="G78" s="258">
        <v>7863000000</v>
      </c>
      <c r="H78" s="265">
        <v>0.1</v>
      </c>
      <c r="I78" s="258">
        <v>786300000</v>
      </c>
      <c r="J78" s="258">
        <v>8649300000</v>
      </c>
      <c r="K78" s="256" t="s">
        <v>1346</v>
      </c>
    </row>
    <row r="79" spans="1:11" x14ac:dyDescent="0.3">
      <c r="A79" s="256">
        <v>18</v>
      </c>
      <c r="B79" s="257" t="s">
        <v>1381</v>
      </c>
      <c r="C79" s="276">
        <v>44367</v>
      </c>
      <c r="D79" s="257" t="s">
        <v>1276</v>
      </c>
      <c r="E79" s="256" t="s">
        <v>1822</v>
      </c>
      <c r="F79" s="256" t="s">
        <v>1762</v>
      </c>
      <c r="G79" s="258">
        <v>9454000000</v>
      </c>
      <c r="H79" s="265">
        <v>0.1</v>
      </c>
      <c r="I79" s="258">
        <v>945400000</v>
      </c>
      <c r="J79" s="258">
        <v>10399400000</v>
      </c>
      <c r="K79" s="256" t="s">
        <v>1346</v>
      </c>
    </row>
    <row r="80" spans="1:11" x14ac:dyDescent="0.3">
      <c r="A80" s="256">
        <v>19</v>
      </c>
      <c r="B80" s="257" t="s">
        <v>1382</v>
      </c>
      <c r="C80" s="276">
        <v>44397</v>
      </c>
      <c r="D80" s="257" t="s">
        <v>1293</v>
      </c>
      <c r="E80" s="256" t="s">
        <v>1826</v>
      </c>
      <c r="F80" s="256" t="s">
        <v>1762</v>
      </c>
      <c r="G80" s="258">
        <v>17378000000</v>
      </c>
      <c r="H80" s="265">
        <v>0.1</v>
      </c>
      <c r="I80" s="258">
        <v>1737800000</v>
      </c>
      <c r="J80" s="258">
        <v>19115800000</v>
      </c>
      <c r="K80" s="256" t="s">
        <v>1346</v>
      </c>
    </row>
    <row r="81" spans="1:11" x14ac:dyDescent="0.3">
      <c r="A81" s="256">
        <v>20</v>
      </c>
      <c r="B81" s="257" t="s">
        <v>1383</v>
      </c>
      <c r="C81" s="276">
        <v>44428</v>
      </c>
      <c r="D81" s="257" t="s">
        <v>1286</v>
      </c>
      <c r="E81" s="256" t="s">
        <v>1828</v>
      </c>
      <c r="F81" s="256" t="s">
        <v>1761</v>
      </c>
      <c r="G81" s="258">
        <v>19396000000</v>
      </c>
      <c r="H81" s="265">
        <v>0.1</v>
      </c>
      <c r="I81" s="258">
        <v>1939600000</v>
      </c>
      <c r="J81" s="258">
        <v>21335600000</v>
      </c>
      <c r="K81" s="256" t="s">
        <v>1346</v>
      </c>
    </row>
    <row r="82" spans="1:11" x14ac:dyDescent="0.3">
      <c r="A82" s="256">
        <v>21</v>
      </c>
      <c r="B82" s="257" t="s">
        <v>1203</v>
      </c>
      <c r="C82" s="276">
        <v>44459</v>
      </c>
      <c r="D82" s="257" t="s">
        <v>1261</v>
      </c>
      <c r="E82" s="256" t="s">
        <v>1813</v>
      </c>
      <c r="F82" s="256" t="s">
        <v>1761</v>
      </c>
      <c r="G82" s="258">
        <v>10386000000</v>
      </c>
      <c r="H82" s="265">
        <v>0.1</v>
      </c>
      <c r="I82" s="258">
        <v>1038600000</v>
      </c>
      <c r="J82" s="258">
        <v>11424600000</v>
      </c>
      <c r="K82" s="256" t="s">
        <v>1346</v>
      </c>
    </row>
    <row r="83" spans="1:11" x14ac:dyDescent="0.3">
      <c r="A83" s="256">
        <v>22</v>
      </c>
      <c r="B83" s="257" t="s">
        <v>1204</v>
      </c>
      <c r="C83" s="276">
        <v>44489</v>
      </c>
      <c r="D83" s="257" t="s">
        <v>1274</v>
      </c>
      <c r="E83" s="256" t="s">
        <v>1794</v>
      </c>
      <c r="F83" s="256" t="s">
        <v>1832</v>
      </c>
      <c r="G83" s="258">
        <v>8336000000</v>
      </c>
      <c r="H83" s="265">
        <v>0.1</v>
      </c>
      <c r="I83" s="258">
        <v>833600000</v>
      </c>
      <c r="J83" s="258">
        <v>9169600000</v>
      </c>
      <c r="K83" s="256" t="s">
        <v>1346</v>
      </c>
    </row>
    <row r="84" spans="1:11" x14ac:dyDescent="0.3">
      <c r="A84" s="256">
        <v>23</v>
      </c>
      <c r="B84" s="257" t="s">
        <v>1205</v>
      </c>
      <c r="C84" s="276">
        <v>44520</v>
      </c>
      <c r="D84" s="257" t="s">
        <v>1264</v>
      </c>
      <c r="E84" s="256" t="s">
        <v>1779</v>
      </c>
      <c r="F84" s="256" t="s">
        <v>1764</v>
      </c>
      <c r="G84" s="258">
        <v>18588000000</v>
      </c>
      <c r="H84" s="265">
        <v>0.1</v>
      </c>
      <c r="I84" s="258">
        <v>1858800000</v>
      </c>
      <c r="J84" s="258">
        <v>20446800000</v>
      </c>
      <c r="K84" s="256" t="s">
        <v>1346</v>
      </c>
    </row>
    <row r="85" spans="1:11" x14ac:dyDescent="0.3">
      <c r="A85" s="256">
        <v>24</v>
      </c>
      <c r="B85" s="257" t="s">
        <v>1385</v>
      </c>
      <c r="C85" s="276">
        <v>44550</v>
      </c>
      <c r="D85" s="257" t="s">
        <v>1256</v>
      </c>
      <c r="E85" s="256" t="s">
        <v>1802</v>
      </c>
      <c r="F85" s="256" t="s">
        <v>1764</v>
      </c>
      <c r="G85" s="258">
        <v>16311000000</v>
      </c>
      <c r="H85" s="265">
        <v>0.1</v>
      </c>
      <c r="I85" s="258">
        <v>1631100000</v>
      </c>
      <c r="J85" s="258">
        <v>17942100000</v>
      </c>
      <c r="K85" s="256" t="s">
        <v>1346</v>
      </c>
    </row>
    <row r="86" spans="1:11" x14ac:dyDescent="0.3">
      <c r="A86" s="256">
        <v>25</v>
      </c>
      <c r="B86" s="257" t="s">
        <v>1387</v>
      </c>
      <c r="C86" s="276">
        <v>44221</v>
      </c>
      <c r="D86" s="257" t="s">
        <v>1277</v>
      </c>
      <c r="E86" s="256" t="s">
        <v>1783</v>
      </c>
      <c r="F86" s="256" t="s">
        <v>1762</v>
      </c>
      <c r="G86" s="258">
        <v>20008000000</v>
      </c>
      <c r="H86" s="265">
        <v>0.1</v>
      </c>
      <c r="I86" s="258">
        <v>2000800000</v>
      </c>
      <c r="J86" s="258">
        <v>22008800000</v>
      </c>
      <c r="K86" s="256" t="s">
        <v>1348</v>
      </c>
    </row>
    <row r="87" spans="1:11" x14ac:dyDescent="0.3">
      <c r="A87" s="256">
        <v>26</v>
      </c>
      <c r="B87" s="257" t="s">
        <v>1388</v>
      </c>
      <c r="C87" s="276">
        <v>44255</v>
      </c>
      <c r="D87" s="257" t="s">
        <v>1276</v>
      </c>
      <c r="E87" s="256" t="s">
        <v>1822</v>
      </c>
      <c r="F87" s="256" t="s">
        <v>1764</v>
      </c>
      <c r="G87" s="258">
        <v>7121000000</v>
      </c>
      <c r="H87" s="265">
        <v>0.1</v>
      </c>
      <c r="I87" s="258">
        <v>712100000</v>
      </c>
      <c r="J87" s="258">
        <v>7833100000</v>
      </c>
      <c r="K87" s="256" t="s">
        <v>1346</v>
      </c>
    </row>
    <row r="88" spans="1:11" x14ac:dyDescent="0.3">
      <c r="A88" s="256">
        <v>27</v>
      </c>
      <c r="B88" s="257" t="s">
        <v>1391</v>
      </c>
      <c r="C88" s="276">
        <v>44316</v>
      </c>
      <c r="D88" s="257" t="s">
        <v>1267</v>
      </c>
      <c r="E88" s="256" t="s">
        <v>1810</v>
      </c>
      <c r="F88" s="256" t="s">
        <v>1761</v>
      </c>
      <c r="G88" s="258">
        <v>9877000000</v>
      </c>
      <c r="H88" s="265">
        <v>0.1</v>
      </c>
      <c r="I88" s="258">
        <v>987700000</v>
      </c>
      <c r="J88" s="258">
        <v>10864700000</v>
      </c>
      <c r="K88" s="256" t="s">
        <v>1348</v>
      </c>
    </row>
    <row r="89" spans="1:11" x14ac:dyDescent="0.3">
      <c r="A89" s="256">
        <v>28</v>
      </c>
      <c r="B89" s="257" t="s">
        <v>1392</v>
      </c>
      <c r="C89" s="276">
        <v>44377</v>
      </c>
      <c r="D89" s="257" t="s">
        <v>1257</v>
      </c>
      <c r="E89" s="256" t="s">
        <v>1815</v>
      </c>
      <c r="F89" s="256" t="s">
        <v>1764</v>
      </c>
      <c r="G89" s="258">
        <v>6192000000</v>
      </c>
      <c r="H89" s="265">
        <v>0.1</v>
      </c>
      <c r="I89" s="258">
        <v>619200000</v>
      </c>
      <c r="J89" s="258">
        <v>6811200000</v>
      </c>
      <c r="K89" s="256" t="s">
        <v>1346</v>
      </c>
    </row>
    <row r="90" spans="1:11" x14ac:dyDescent="0.3">
      <c r="A90" s="256">
        <v>29</v>
      </c>
      <c r="B90" s="257" t="s">
        <v>1394</v>
      </c>
      <c r="C90" s="276">
        <v>44469</v>
      </c>
      <c r="D90" s="257" t="s">
        <v>1299</v>
      </c>
      <c r="E90" s="256" t="s">
        <v>1776</v>
      </c>
      <c r="F90" s="256" t="s">
        <v>1761</v>
      </c>
      <c r="G90" s="258">
        <v>13058000000</v>
      </c>
      <c r="H90" s="265">
        <v>0.1</v>
      </c>
      <c r="I90" s="258">
        <v>1305800000</v>
      </c>
      <c r="J90" s="258">
        <v>14363800000</v>
      </c>
      <c r="K90" s="256" t="s">
        <v>1346</v>
      </c>
    </row>
    <row r="91" spans="1:11" x14ac:dyDescent="0.3">
      <c r="A91" s="256">
        <v>30</v>
      </c>
      <c r="B91" s="257" t="s">
        <v>1396</v>
      </c>
      <c r="C91" s="276">
        <v>44530</v>
      </c>
      <c r="D91" s="257" t="s">
        <v>1260</v>
      </c>
      <c r="E91" s="256" t="s">
        <v>1804</v>
      </c>
      <c r="F91" s="256" t="s">
        <v>1832</v>
      </c>
      <c r="G91" s="258">
        <v>8565000000</v>
      </c>
      <c r="H91" s="265">
        <v>0.1</v>
      </c>
      <c r="I91" s="258">
        <v>856500000</v>
      </c>
      <c r="J91" s="258">
        <v>9421500000</v>
      </c>
      <c r="K91" s="256" t="s">
        <v>1346</v>
      </c>
    </row>
    <row r="92" spans="1:11" x14ac:dyDescent="0.3">
      <c r="A92" s="256">
        <v>31</v>
      </c>
      <c r="B92" s="257" t="s">
        <v>1397</v>
      </c>
      <c r="C92" s="276">
        <v>44286</v>
      </c>
      <c r="D92" s="257" t="s">
        <v>1273</v>
      </c>
      <c r="E92" s="256" t="s">
        <v>1829</v>
      </c>
      <c r="F92" s="256" t="s">
        <v>1832</v>
      </c>
      <c r="G92" s="258">
        <v>11520000000</v>
      </c>
      <c r="H92" s="265">
        <v>0.1</v>
      </c>
      <c r="I92" s="258">
        <v>1152000000</v>
      </c>
      <c r="J92" s="258">
        <v>12672000000</v>
      </c>
      <c r="K92" s="256" t="s">
        <v>1346</v>
      </c>
    </row>
    <row r="93" spans="1:11" x14ac:dyDescent="0.3">
      <c r="A93" s="256">
        <v>32</v>
      </c>
      <c r="B93" s="257" t="s">
        <v>1398</v>
      </c>
      <c r="C93" s="276">
        <v>44347</v>
      </c>
      <c r="D93" s="257" t="s">
        <v>1282</v>
      </c>
      <c r="E93" s="256" t="s">
        <v>1789</v>
      </c>
      <c r="F93" s="256" t="s">
        <v>1832</v>
      </c>
      <c r="G93" s="258">
        <v>11353000000</v>
      </c>
      <c r="H93" s="265">
        <v>0.1</v>
      </c>
      <c r="I93" s="258">
        <v>1135300000</v>
      </c>
      <c r="J93" s="258">
        <v>12488300000</v>
      </c>
      <c r="K93" s="256" t="s">
        <v>1346</v>
      </c>
    </row>
    <row r="94" spans="1:11" x14ac:dyDescent="0.3">
      <c r="A94" s="256">
        <v>33</v>
      </c>
      <c r="B94" s="257" t="s">
        <v>1399</v>
      </c>
      <c r="C94" s="276">
        <v>44408</v>
      </c>
      <c r="D94" s="257" t="s">
        <v>1255</v>
      </c>
      <c r="E94" s="273">
        <v>46152</v>
      </c>
      <c r="F94" s="256" t="s">
        <v>1832</v>
      </c>
      <c r="G94" s="258">
        <v>19227000000</v>
      </c>
      <c r="H94" s="265">
        <v>0.1</v>
      </c>
      <c r="I94" s="258">
        <v>1922700000</v>
      </c>
      <c r="J94" s="258">
        <v>21149700000</v>
      </c>
      <c r="K94" s="256" t="s">
        <v>1348</v>
      </c>
    </row>
    <row r="95" spans="1:11" x14ac:dyDescent="0.3">
      <c r="A95" s="256">
        <v>34</v>
      </c>
      <c r="B95" s="257" t="s">
        <v>1401</v>
      </c>
      <c r="C95" s="276">
        <v>44439</v>
      </c>
      <c r="D95" s="257" t="s">
        <v>1290</v>
      </c>
      <c r="E95" s="256" t="s">
        <v>1796</v>
      </c>
      <c r="F95" s="256" t="s">
        <v>1761</v>
      </c>
      <c r="G95" s="258">
        <v>20437000000</v>
      </c>
      <c r="H95" s="265">
        <v>0.1</v>
      </c>
      <c r="I95" s="258">
        <v>2043700000</v>
      </c>
      <c r="J95" s="258">
        <v>22480700000</v>
      </c>
      <c r="K95" s="256" t="s">
        <v>1346</v>
      </c>
    </row>
    <row r="96" spans="1:11" x14ac:dyDescent="0.3">
      <c r="A96" s="256">
        <v>35</v>
      </c>
      <c r="B96" s="257" t="s">
        <v>1402</v>
      </c>
      <c r="C96" s="276">
        <v>44500</v>
      </c>
      <c r="D96" s="257" t="s">
        <v>1292</v>
      </c>
      <c r="E96" s="256" t="s">
        <v>1792</v>
      </c>
      <c r="F96" s="256" t="s">
        <v>1764</v>
      </c>
      <c r="G96" s="258">
        <v>6600000000</v>
      </c>
      <c r="H96" s="265">
        <v>0.1</v>
      </c>
      <c r="I96" s="258">
        <v>660000000</v>
      </c>
      <c r="J96" s="258">
        <v>7260000000</v>
      </c>
      <c r="K96" s="256" t="s">
        <v>1348</v>
      </c>
    </row>
    <row r="97" spans="1:11" x14ac:dyDescent="0.3">
      <c r="A97" s="256">
        <v>36</v>
      </c>
      <c r="B97" s="257" t="s">
        <v>1403</v>
      </c>
      <c r="C97" s="276">
        <v>44561</v>
      </c>
      <c r="D97" s="257" t="s">
        <v>1267</v>
      </c>
      <c r="E97" s="256" t="s">
        <v>1810</v>
      </c>
      <c r="F97" s="256" t="s">
        <v>1761</v>
      </c>
      <c r="G97" s="258">
        <v>8080000000</v>
      </c>
      <c r="H97" s="265">
        <v>0.1</v>
      </c>
      <c r="I97" s="258">
        <v>808000000</v>
      </c>
      <c r="J97" s="258">
        <v>8888000000</v>
      </c>
      <c r="K97" s="256" t="s">
        <v>1346</v>
      </c>
    </row>
    <row r="98" spans="1:11" x14ac:dyDescent="0.3">
      <c r="A98" s="256">
        <v>37</v>
      </c>
      <c r="B98" s="257" t="s">
        <v>1404</v>
      </c>
      <c r="C98" s="276">
        <v>44561</v>
      </c>
      <c r="D98" s="257" t="s">
        <v>1290</v>
      </c>
      <c r="E98" s="256" t="s">
        <v>1796</v>
      </c>
      <c r="F98" s="256" t="s">
        <v>1761</v>
      </c>
      <c r="G98" s="258">
        <v>14057000000</v>
      </c>
      <c r="H98" s="265">
        <v>0.1</v>
      </c>
      <c r="I98" s="258">
        <v>1405700000</v>
      </c>
      <c r="J98" s="258">
        <v>15462700000</v>
      </c>
      <c r="K98" s="256" t="s">
        <v>1346</v>
      </c>
    </row>
    <row r="99" spans="1:11" x14ac:dyDescent="0.3">
      <c r="A99" s="256">
        <v>38</v>
      </c>
      <c r="B99" s="257" t="s">
        <v>1405</v>
      </c>
      <c r="C99" s="276">
        <v>44561</v>
      </c>
      <c r="D99" s="257" t="s">
        <v>1273</v>
      </c>
      <c r="E99" s="256" t="s">
        <v>1829</v>
      </c>
      <c r="F99" s="256" t="s">
        <v>1762</v>
      </c>
      <c r="G99" s="258">
        <v>8337000000</v>
      </c>
      <c r="H99" s="265">
        <v>0.1</v>
      </c>
      <c r="I99" s="258">
        <v>833700000</v>
      </c>
      <c r="J99" s="258">
        <v>9170700000</v>
      </c>
      <c r="K99" s="256" t="s">
        <v>1346</v>
      </c>
    </row>
    <row r="100" spans="1:11" x14ac:dyDescent="0.3">
      <c r="A100" s="256">
        <v>39</v>
      </c>
      <c r="B100" s="257" t="s">
        <v>1406</v>
      </c>
      <c r="C100" s="276">
        <v>44561</v>
      </c>
      <c r="D100" s="257" t="s">
        <v>1298</v>
      </c>
      <c r="E100" s="256" t="s">
        <v>1819</v>
      </c>
      <c r="F100" s="256" t="s">
        <v>1764</v>
      </c>
      <c r="G100" s="258">
        <v>13624000000</v>
      </c>
      <c r="H100" s="265">
        <v>0.1</v>
      </c>
      <c r="I100" s="258">
        <v>1362400000</v>
      </c>
      <c r="J100" s="258">
        <v>14986400000</v>
      </c>
      <c r="K100" s="256" t="s">
        <v>1346</v>
      </c>
    </row>
    <row r="101" spans="1:11" x14ac:dyDescent="0.3">
      <c r="A101" s="256">
        <v>40</v>
      </c>
      <c r="B101" s="257" t="s">
        <v>1408</v>
      </c>
      <c r="C101" s="276">
        <v>44561</v>
      </c>
      <c r="D101" s="257" t="s">
        <v>1294</v>
      </c>
      <c r="E101" s="256" t="s">
        <v>1795</v>
      </c>
      <c r="F101" s="256" t="s">
        <v>1764</v>
      </c>
      <c r="G101" s="258">
        <v>6274000000</v>
      </c>
      <c r="H101" s="265">
        <v>0.1</v>
      </c>
      <c r="I101" s="258">
        <v>627400000</v>
      </c>
      <c r="J101" s="258">
        <v>6901400000</v>
      </c>
      <c r="K101" s="256" t="s">
        <v>1346</v>
      </c>
    </row>
    <row r="102" spans="1:11" x14ac:dyDescent="0.3">
      <c r="A102" s="256">
        <v>41</v>
      </c>
      <c r="B102" s="257" t="s">
        <v>1409</v>
      </c>
      <c r="C102" s="276">
        <v>44561</v>
      </c>
      <c r="D102" s="257" t="s">
        <v>1302</v>
      </c>
      <c r="E102" s="256" t="s">
        <v>1784</v>
      </c>
      <c r="F102" s="256" t="s">
        <v>1762</v>
      </c>
      <c r="G102" s="258">
        <v>7124000000</v>
      </c>
      <c r="H102" s="265">
        <v>0.1</v>
      </c>
      <c r="I102" s="258">
        <v>712400000</v>
      </c>
      <c r="J102" s="258">
        <v>7836400000</v>
      </c>
      <c r="K102" s="256" t="s">
        <v>1348</v>
      </c>
    </row>
    <row r="103" spans="1:11" x14ac:dyDescent="0.3">
      <c r="A103" s="256">
        <v>42</v>
      </c>
      <c r="B103" s="257" t="s">
        <v>1411</v>
      </c>
      <c r="C103" s="276">
        <v>44561</v>
      </c>
      <c r="D103" s="257" t="s">
        <v>1282</v>
      </c>
      <c r="E103" s="256" t="s">
        <v>1789</v>
      </c>
      <c r="F103" s="256" t="s">
        <v>1762</v>
      </c>
      <c r="G103" s="258">
        <v>11201000000</v>
      </c>
      <c r="H103" s="265">
        <v>0.1</v>
      </c>
      <c r="I103" s="258">
        <v>1120100000</v>
      </c>
      <c r="J103" s="258">
        <v>12321100000</v>
      </c>
      <c r="K103" s="256" t="s">
        <v>1346</v>
      </c>
    </row>
    <row r="104" spans="1:11" x14ac:dyDescent="0.3">
      <c r="A104" s="256">
        <v>43</v>
      </c>
      <c r="B104" s="257" t="s">
        <v>1414</v>
      </c>
      <c r="C104" s="276">
        <v>44561</v>
      </c>
      <c r="D104" s="257" t="s">
        <v>1304</v>
      </c>
      <c r="E104" s="256" t="s">
        <v>1831</v>
      </c>
      <c r="F104" s="256" t="s">
        <v>1762</v>
      </c>
      <c r="G104" s="258">
        <v>21642000000</v>
      </c>
      <c r="H104" s="265">
        <v>0.1</v>
      </c>
      <c r="I104" s="258">
        <v>2164200000</v>
      </c>
      <c r="J104" s="258">
        <v>23806200000</v>
      </c>
      <c r="K104" s="256" t="s">
        <v>1348</v>
      </c>
    </row>
    <row r="105" spans="1:11" x14ac:dyDescent="0.3">
      <c r="A105" s="256">
        <v>44</v>
      </c>
      <c r="B105" s="257" t="s">
        <v>1415</v>
      </c>
      <c r="C105" s="276">
        <v>44561</v>
      </c>
      <c r="D105" s="257" t="s">
        <v>1286</v>
      </c>
      <c r="E105" s="256" t="s">
        <v>1828</v>
      </c>
      <c r="F105" s="256" t="s">
        <v>1762</v>
      </c>
      <c r="G105" s="258">
        <v>21229000000</v>
      </c>
      <c r="H105" s="265">
        <v>0.1</v>
      </c>
      <c r="I105" s="258">
        <v>2122900000</v>
      </c>
      <c r="J105" s="258">
        <v>23351900000</v>
      </c>
      <c r="K105" s="256" t="s">
        <v>1348</v>
      </c>
    </row>
    <row r="106" spans="1:11" x14ac:dyDescent="0.3">
      <c r="A106" s="256">
        <v>45</v>
      </c>
      <c r="B106" s="257" t="s">
        <v>1206</v>
      </c>
      <c r="C106" s="276">
        <v>44561</v>
      </c>
      <c r="D106" s="257" t="s">
        <v>1299</v>
      </c>
      <c r="E106" s="256" t="s">
        <v>1776</v>
      </c>
      <c r="F106" s="256" t="s">
        <v>1764</v>
      </c>
      <c r="G106" s="258">
        <v>9355000000</v>
      </c>
      <c r="H106" s="265">
        <v>0.1</v>
      </c>
      <c r="I106" s="258">
        <v>935500000</v>
      </c>
      <c r="J106" s="258">
        <v>10290500000</v>
      </c>
      <c r="K106" s="256" t="s">
        <v>1346</v>
      </c>
    </row>
    <row r="107" spans="1:11" x14ac:dyDescent="0.3">
      <c r="A107" s="256">
        <v>46</v>
      </c>
      <c r="B107" s="257" t="s">
        <v>1207</v>
      </c>
      <c r="C107" s="276">
        <v>44561</v>
      </c>
      <c r="D107" s="257" t="s">
        <v>1304</v>
      </c>
      <c r="E107" s="256" t="s">
        <v>1831</v>
      </c>
      <c r="F107" s="256" t="s">
        <v>1761</v>
      </c>
      <c r="G107" s="258">
        <v>11350000000</v>
      </c>
      <c r="H107" s="265">
        <v>0.1</v>
      </c>
      <c r="I107" s="258">
        <v>1135000000</v>
      </c>
      <c r="J107" s="258">
        <v>12485000000</v>
      </c>
      <c r="K107" s="256" t="s">
        <v>1348</v>
      </c>
    </row>
    <row r="108" spans="1:11" x14ac:dyDescent="0.3">
      <c r="A108" s="256">
        <v>47</v>
      </c>
      <c r="B108" s="257" t="s">
        <v>1208</v>
      </c>
      <c r="C108" s="276">
        <v>44561</v>
      </c>
      <c r="D108" s="257" t="s">
        <v>1285</v>
      </c>
      <c r="E108" s="256" t="s">
        <v>1793</v>
      </c>
      <c r="F108" s="256" t="s">
        <v>1832</v>
      </c>
      <c r="G108" s="258">
        <v>21081000000</v>
      </c>
      <c r="H108" s="265">
        <v>0.1</v>
      </c>
      <c r="I108" s="258">
        <v>2108100000</v>
      </c>
      <c r="J108" s="258">
        <v>23189100000</v>
      </c>
      <c r="K108" s="256" t="s">
        <v>1348</v>
      </c>
    </row>
    <row r="109" spans="1:11" x14ac:dyDescent="0.3">
      <c r="A109" s="256">
        <v>48</v>
      </c>
      <c r="B109" s="257" t="s">
        <v>1209</v>
      </c>
      <c r="C109" s="276">
        <v>44561</v>
      </c>
      <c r="D109" s="257" t="s">
        <v>1295</v>
      </c>
      <c r="E109" s="256" t="s">
        <v>1825</v>
      </c>
      <c r="F109" s="256" t="s">
        <v>1762</v>
      </c>
      <c r="G109" s="258">
        <v>10818000000</v>
      </c>
      <c r="H109" s="265">
        <v>0.1</v>
      </c>
      <c r="I109" s="258">
        <v>1081800000</v>
      </c>
      <c r="J109" s="258">
        <v>11899800000</v>
      </c>
      <c r="K109" s="256" t="s">
        <v>1346</v>
      </c>
    </row>
    <row r="110" spans="1:11" x14ac:dyDescent="0.3">
      <c r="A110" s="256">
        <v>49</v>
      </c>
      <c r="B110" s="257" t="s">
        <v>1418</v>
      </c>
      <c r="C110" s="276">
        <v>44561</v>
      </c>
      <c r="D110" s="257" t="s">
        <v>1295</v>
      </c>
      <c r="E110" s="256" t="s">
        <v>1825</v>
      </c>
      <c r="F110" s="256" t="s">
        <v>1762</v>
      </c>
      <c r="G110" s="258">
        <v>10299000000</v>
      </c>
      <c r="H110" s="265">
        <v>0.1</v>
      </c>
      <c r="I110" s="258">
        <v>1029900000</v>
      </c>
      <c r="J110" s="258">
        <v>11328900000</v>
      </c>
      <c r="K110" s="256" t="s">
        <v>1346</v>
      </c>
    </row>
    <row r="111" spans="1:11" x14ac:dyDescent="0.3">
      <c r="A111" s="256">
        <v>50</v>
      </c>
      <c r="B111" s="257" t="s">
        <v>1419</v>
      </c>
      <c r="C111" s="276">
        <v>44561</v>
      </c>
      <c r="D111" s="257" t="s">
        <v>1257</v>
      </c>
      <c r="E111" s="256" t="s">
        <v>1815</v>
      </c>
      <c r="F111" s="256" t="s">
        <v>1762</v>
      </c>
      <c r="G111" s="258">
        <v>16840000000</v>
      </c>
      <c r="H111" s="265">
        <v>0.1</v>
      </c>
      <c r="I111" s="258">
        <v>1684000000</v>
      </c>
      <c r="J111" s="258">
        <v>18524000000</v>
      </c>
      <c r="K111" s="256" t="s">
        <v>1346</v>
      </c>
    </row>
    <row r="112" spans="1:11" x14ac:dyDescent="0.3">
      <c r="A112" s="266" t="s">
        <v>1351</v>
      </c>
      <c r="B112" s="266"/>
      <c r="C112" s="266"/>
      <c r="D112" s="266"/>
      <c r="E112" s="266"/>
      <c r="F112" s="266"/>
      <c r="G112" s="267">
        <f>SUM(G62:G111)</f>
        <v>657962000000</v>
      </c>
      <c r="H112" s="266"/>
      <c r="I112" s="267">
        <f>SUM(I62:I111)</f>
        <v>63672500000</v>
      </c>
      <c r="J112" s="267">
        <f>SUM(J62:J111)</f>
        <v>721634500000</v>
      </c>
      <c r="K112" s="266"/>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948</v>
      </c>
      <c r="C1" s="256"/>
      <c r="D1" s="256"/>
      <c r="E1" s="256"/>
      <c r="F1" s="256"/>
      <c r="G1" s="256"/>
      <c r="H1" s="256"/>
      <c r="I1" s="256"/>
      <c r="J1" s="256"/>
      <c r="K1" s="256"/>
    </row>
    <row r="2" spans="1:11" x14ac:dyDescent="0.3">
      <c r="A2" s="256" t="s">
        <v>1339</v>
      </c>
      <c r="B2" s="257">
        <v>107833244</v>
      </c>
      <c r="C2" s="256"/>
      <c r="D2" s="256"/>
      <c r="E2" s="256"/>
      <c r="F2" s="256"/>
      <c r="G2" s="256"/>
      <c r="H2" s="256"/>
      <c r="I2" s="256"/>
      <c r="J2" s="256"/>
      <c r="K2" s="256"/>
    </row>
    <row r="3" spans="1:11" x14ac:dyDescent="0.3">
      <c r="A3" s="256" t="s">
        <v>1343</v>
      </c>
      <c r="B3" s="258">
        <v>802558887580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1482</v>
      </c>
      <c r="C8" s="276">
        <v>44317</v>
      </c>
      <c r="D8" s="257" t="s">
        <v>1281</v>
      </c>
      <c r="E8" s="256" t="s">
        <v>1806</v>
      </c>
      <c r="F8" s="256" t="s">
        <v>1928</v>
      </c>
      <c r="G8" s="258">
        <v>10549000000</v>
      </c>
      <c r="H8" s="265">
        <v>0.1</v>
      </c>
      <c r="I8" s="258">
        <v>1054900000</v>
      </c>
      <c r="J8" s="258">
        <v>11603900000</v>
      </c>
      <c r="K8" s="256" t="s">
        <v>1346</v>
      </c>
    </row>
    <row r="9" spans="1:11" x14ac:dyDescent="0.3">
      <c r="A9" s="256">
        <v>2</v>
      </c>
      <c r="B9" s="257" t="s">
        <v>1471</v>
      </c>
      <c r="C9" s="276">
        <v>44318</v>
      </c>
      <c r="D9" s="257" t="s">
        <v>1283</v>
      </c>
      <c r="E9" s="256" t="s">
        <v>1798</v>
      </c>
      <c r="F9" s="256" t="s">
        <v>1929</v>
      </c>
      <c r="G9" s="258">
        <v>15518000000</v>
      </c>
      <c r="H9" s="265">
        <v>0</v>
      </c>
      <c r="I9" s="258">
        <v>0</v>
      </c>
      <c r="J9" s="258">
        <v>15518000000</v>
      </c>
      <c r="K9" s="256" t="s">
        <v>1346</v>
      </c>
    </row>
    <row r="10" spans="1:11" x14ac:dyDescent="0.3">
      <c r="A10" s="256">
        <v>3</v>
      </c>
      <c r="B10" s="257" t="s">
        <v>1483</v>
      </c>
      <c r="C10" s="276">
        <v>44472</v>
      </c>
      <c r="D10" s="257" t="s">
        <v>1272</v>
      </c>
      <c r="E10" s="256" t="s">
        <v>1805</v>
      </c>
      <c r="F10" s="256" t="s">
        <v>1930</v>
      </c>
      <c r="G10" s="258">
        <v>10138000000</v>
      </c>
      <c r="H10" s="265">
        <v>0.1</v>
      </c>
      <c r="I10" s="258">
        <v>1013800000</v>
      </c>
      <c r="J10" s="258">
        <v>11151800000</v>
      </c>
      <c r="K10" s="256" t="s">
        <v>1348</v>
      </c>
    </row>
    <row r="11" spans="1:11" x14ac:dyDescent="0.3">
      <c r="A11" s="256">
        <v>4</v>
      </c>
      <c r="B11" s="257" t="s">
        <v>1482</v>
      </c>
      <c r="C11" s="276">
        <v>44473</v>
      </c>
      <c r="D11" s="257" t="s">
        <v>1271</v>
      </c>
      <c r="E11" s="256" t="s">
        <v>1799</v>
      </c>
      <c r="F11" s="256" t="s">
        <v>1741</v>
      </c>
      <c r="G11" s="258">
        <v>10667000000</v>
      </c>
      <c r="H11" s="265">
        <v>0.1</v>
      </c>
      <c r="I11" s="258">
        <v>1066700000</v>
      </c>
      <c r="J11" s="258">
        <v>11733700000</v>
      </c>
      <c r="K11" s="256" t="s">
        <v>1346</v>
      </c>
    </row>
    <row r="12" spans="1:11" x14ac:dyDescent="0.3">
      <c r="A12" s="256">
        <v>5</v>
      </c>
      <c r="B12" s="257" t="s">
        <v>1468</v>
      </c>
      <c r="C12" s="276">
        <v>44474</v>
      </c>
      <c r="D12" s="257" t="s">
        <v>1285</v>
      </c>
      <c r="E12" s="256" t="s">
        <v>1793</v>
      </c>
      <c r="F12" s="256" t="s">
        <v>1931</v>
      </c>
      <c r="G12" s="258">
        <v>16297000000</v>
      </c>
      <c r="H12" s="265">
        <v>0</v>
      </c>
      <c r="I12" s="258">
        <v>0</v>
      </c>
      <c r="J12" s="258">
        <v>16297000000</v>
      </c>
      <c r="K12" s="256" t="s">
        <v>1346</v>
      </c>
    </row>
    <row r="13" spans="1:11" x14ac:dyDescent="0.3">
      <c r="A13" s="256">
        <v>6</v>
      </c>
      <c r="B13" s="257" t="s">
        <v>1402</v>
      </c>
      <c r="C13" s="276">
        <v>44475</v>
      </c>
      <c r="D13" s="257" t="s">
        <v>1294</v>
      </c>
      <c r="E13" s="256" t="s">
        <v>1795</v>
      </c>
      <c r="F13" s="256" t="s">
        <v>1741</v>
      </c>
      <c r="G13" s="258">
        <v>13990000000</v>
      </c>
      <c r="H13" s="265">
        <v>0.1</v>
      </c>
      <c r="I13" s="258">
        <v>1399000000</v>
      </c>
      <c r="J13" s="258">
        <v>15389000000</v>
      </c>
      <c r="K13" s="256" t="s">
        <v>1346</v>
      </c>
    </row>
    <row r="14" spans="1:11" x14ac:dyDescent="0.3">
      <c r="A14" s="256">
        <v>7</v>
      </c>
      <c r="B14" s="257" t="s">
        <v>1474</v>
      </c>
      <c r="C14" s="276">
        <v>44476</v>
      </c>
      <c r="D14" s="257" t="s">
        <v>1288</v>
      </c>
      <c r="E14" s="256" t="s">
        <v>1797</v>
      </c>
      <c r="F14" s="256" t="s">
        <v>1931</v>
      </c>
      <c r="G14" s="258">
        <v>8217000000</v>
      </c>
      <c r="H14" s="265">
        <v>0.1</v>
      </c>
      <c r="I14" s="258">
        <v>821700000</v>
      </c>
      <c r="J14" s="258">
        <v>9038700000</v>
      </c>
      <c r="K14" s="256" t="s">
        <v>1346</v>
      </c>
    </row>
    <row r="15" spans="1:11" x14ac:dyDescent="0.3">
      <c r="A15" s="256">
        <v>8</v>
      </c>
      <c r="B15" s="257" t="s">
        <v>1500</v>
      </c>
      <c r="C15" s="276">
        <v>44477</v>
      </c>
      <c r="D15" s="257" t="s">
        <v>1284</v>
      </c>
      <c r="E15" s="256" t="s">
        <v>1786</v>
      </c>
      <c r="F15" s="256" t="s">
        <v>1928</v>
      </c>
      <c r="G15" s="258">
        <v>7621000000</v>
      </c>
      <c r="H15" s="265">
        <v>0.1</v>
      </c>
      <c r="I15" s="258">
        <v>762100000</v>
      </c>
      <c r="J15" s="258">
        <v>8383100000</v>
      </c>
      <c r="K15" s="256" t="s">
        <v>1346</v>
      </c>
    </row>
    <row r="16" spans="1:11" x14ac:dyDescent="0.3">
      <c r="A16" s="256">
        <v>9</v>
      </c>
      <c r="B16" s="257" t="s">
        <v>1483</v>
      </c>
      <c r="C16" s="276">
        <v>44478</v>
      </c>
      <c r="D16" s="257" t="s">
        <v>1271</v>
      </c>
      <c r="E16" s="256" t="s">
        <v>1799</v>
      </c>
      <c r="F16" s="256" t="s">
        <v>1687</v>
      </c>
      <c r="G16" s="258">
        <v>11833000000</v>
      </c>
      <c r="H16" s="265">
        <v>0.1</v>
      </c>
      <c r="I16" s="258">
        <v>1183300000</v>
      </c>
      <c r="J16" s="258">
        <v>13016300000</v>
      </c>
      <c r="K16" s="256" t="s">
        <v>1346</v>
      </c>
    </row>
    <row r="17" spans="1:11" x14ac:dyDescent="0.3">
      <c r="A17" s="256">
        <v>10</v>
      </c>
      <c r="B17" s="257" t="s">
        <v>1487</v>
      </c>
      <c r="C17" s="276">
        <v>44479</v>
      </c>
      <c r="D17" s="257" t="s">
        <v>1304</v>
      </c>
      <c r="E17" s="256" t="s">
        <v>1831</v>
      </c>
      <c r="F17" s="256" t="s">
        <v>1741</v>
      </c>
      <c r="G17" s="258">
        <v>7791000000</v>
      </c>
      <c r="H17" s="265">
        <v>0.1</v>
      </c>
      <c r="I17" s="258">
        <v>779100000</v>
      </c>
      <c r="J17" s="258">
        <v>8570100000</v>
      </c>
      <c r="K17" s="256" t="s">
        <v>1348</v>
      </c>
    </row>
    <row r="18" spans="1:11" x14ac:dyDescent="0.3">
      <c r="A18" s="256">
        <v>11</v>
      </c>
      <c r="B18" s="257" t="s">
        <v>1460</v>
      </c>
      <c r="C18" s="276">
        <v>44480</v>
      </c>
      <c r="D18" s="257" t="s">
        <v>1265</v>
      </c>
      <c r="E18" s="256" t="s">
        <v>1830</v>
      </c>
      <c r="F18" s="256" t="s">
        <v>1928</v>
      </c>
      <c r="G18" s="258">
        <v>7216000000</v>
      </c>
      <c r="H18" s="265">
        <v>0.1</v>
      </c>
      <c r="I18" s="258">
        <v>721600000</v>
      </c>
      <c r="J18" s="258">
        <v>7937600000</v>
      </c>
      <c r="K18" s="256" t="s">
        <v>1346</v>
      </c>
    </row>
    <row r="19" spans="1:11" x14ac:dyDescent="0.3">
      <c r="A19" s="256">
        <v>12</v>
      </c>
      <c r="B19" s="257" t="s">
        <v>1462</v>
      </c>
      <c r="C19" s="276">
        <v>44481</v>
      </c>
      <c r="D19" s="257" t="s">
        <v>1299</v>
      </c>
      <c r="E19" s="256" t="s">
        <v>1776</v>
      </c>
      <c r="F19" s="256" t="s">
        <v>1931</v>
      </c>
      <c r="G19" s="258">
        <v>7424000000</v>
      </c>
      <c r="H19" s="265">
        <v>0.1</v>
      </c>
      <c r="I19" s="258">
        <v>742400000</v>
      </c>
      <c r="J19" s="258">
        <v>8166400000</v>
      </c>
      <c r="K19" s="256" t="s">
        <v>1346</v>
      </c>
    </row>
    <row r="20" spans="1:11" x14ac:dyDescent="0.3">
      <c r="A20" s="256">
        <v>13</v>
      </c>
      <c r="B20" s="257" t="s">
        <v>1486</v>
      </c>
      <c r="C20" s="276">
        <v>44211</v>
      </c>
      <c r="D20" s="257" t="s">
        <v>1274</v>
      </c>
      <c r="E20" s="256" t="s">
        <v>1794</v>
      </c>
      <c r="F20" s="256" t="s">
        <v>1741</v>
      </c>
      <c r="G20" s="258">
        <v>11472000000</v>
      </c>
      <c r="H20" s="265">
        <v>0.1</v>
      </c>
      <c r="I20" s="258">
        <v>1147200000</v>
      </c>
      <c r="J20" s="258">
        <v>12619200000</v>
      </c>
      <c r="K20" s="256" t="s">
        <v>1348</v>
      </c>
    </row>
    <row r="21" spans="1:11" x14ac:dyDescent="0.3">
      <c r="A21" s="256">
        <v>14</v>
      </c>
      <c r="B21" s="257" t="s">
        <v>1464</v>
      </c>
      <c r="C21" s="276">
        <v>44242</v>
      </c>
      <c r="D21" s="257" t="s">
        <v>1266</v>
      </c>
      <c r="E21" s="256" t="s">
        <v>1824</v>
      </c>
      <c r="F21" s="256" t="s">
        <v>1929</v>
      </c>
      <c r="G21" s="258">
        <v>15552000000</v>
      </c>
      <c r="H21" s="265">
        <v>0.1</v>
      </c>
      <c r="I21" s="258">
        <v>1555200000</v>
      </c>
      <c r="J21" s="258">
        <v>17107200000</v>
      </c>
      <c r="K21" s="256" t="s">
        <v>1346</v>
      </c>
    </row>
    <row r="22" spans="1:11" x14ac:dyDescent="0.3">
      <c r="A22" s="256">
        <v>15</v>
      </c>
      <c r="B22" s="257" t="s">
        <v>1488</v>
      </c>
      <c r="C22" s="276">
        <v>44275</v>
      </c>
      <c r="D22" s="257" t="s">
        <v>1304</v>
      </c>
      <c r="E22" s="256" t="s">
        <v>1831</v>
      </c>
      <c r="F22" s="256" t="s">
        <v>1929</v>
      </c>
      <c r="G22" s="258">
        <v>12363000000</v>
      </c>
      <c r="H22" s="265">
        <v>0.1</v>
      </c>
      <c r="I22" s="258">
        <v>1236300000</v>
      </c>
      <c r="J22" s="258">
        <v>13599300000</v>
      </c>
      <c r="K22" s="256" t="s">
        <v>1346</v>
      </c>
    </row>
    <row r="23" spans="1:11" x14ac:dyDescent="0.3">
      <c r="A23" s="256">
        <v>16</v>
      </c>
      <c r="B23" s="257" t="s">
        <v>1483</v>
      </c>
      <c r="C23" s="276">
        <v>44306</v>
      </c>
      <c r="D23" s="257" t="s">
        <v>1281</v>
      </c>
      <c r="E23" s="256" t="s">
        <v>1806</v>
      </c>
      <c r="F23" s="256" t="s">
        <v>1929</v>
      </c>
      <c r="G23" s="258">
        <v>15687000000</v>
      </c>
      <c r="H23" s="265">
        <v>0.1</v>
      </c>
      <c r="I23" s="258">
        <v>1568700000</v>
      </c>
      <c r="J23" s="258">
        <v>17255700000</v>
      </c>
      <c r="K23" s="256" t="s">
        <v>1346</v>
      </c>
    </row>
    <row r="24" spans="1:11" x14ac:dyDescent="0.3">
      <c r="A24" s="256">
        <v>17</v>
      </c>
      <c r="B24" s="257" t="s">
        <v>1484</v>
      </c>
      <c r="C24" s="276">
        <v>44336</v>
      </c>
      <c r="D24" s="257" t="s">
        <v>1281</v>
      </c>
      <c r="E24" s="256" t="s">
        <v>1806</v>
      </c>
      <c r="F24" s="256" t="s">
        <v>1928</v>
      </c>
      <c r="G24" s="258">
        <v>7095000000</v>
      </c>
      <c r="H24" s="265">
        <v>0.1</v>
      </c>
      <c r="I24" s="258">
        <v>709500000</v>
      </c>
      <c r="J24" s="258">
        <v>7804500000</v>
      </c>
      <c r="K24" s="256" t="s">
        <v>1346</v>
      </c>
    </row>
    <row r="25" spans="1:11" x14ac:dyDescent="0.3">
      <c r="A25" s="256">
        <v>18</v>
      </c>
      <c r="B25" s="257" t="s">
        <v>1477</v>
      </c>
      <c r="C25" s="276">
        <v>44367</v>
      </c>
      <c r="D25" s="257" t="s">
        <v>1273</v>
      </c>
      <c r="E25" s="256" t="s">
        <v>1829</v>
      </c>
      <c r="F25" s="256" t="s">
        <v>1687</v>
      </c>
      <c r="G25" s="258">
        <v>11409000000</v>
      </c>
      <c r="H25" s="265">
        <v>0.1</v>
      </c>
      <c r="I25" s="258">
        <v>1140900000</v>
      </c>
      <c r="J25" s="258">
        <v>12549900000</v>
      </c>
      <c r="K25" s="256" t="s">
        <v>1346</v>
      </c>
    </row>
    <row r="26" spans="1:11" x14ac:dyDescent="0.3">
      <c r="A26" s="256">
        <v>19</v>
      </c>
      <c r="B26" s="257" t="s">
        <v>1501</v>
      </c>
      <c r="C26" s="276">
        <v>44397</v>
      </c>
      <c r="D26" s="257" t="s">
        <v>1284</v>
      </c>
      <c r="E26" s="256" t="s">
        <v>1786</v>
      </c>
      <c r="F26" s="256" t="s">
        <v>1741</v>
      </c>
      <c r="G26" s="258">
        <v>6518000000</v>
      </c>
      <c r="H26" s="265">
        <v>0.1</v>
      </c>
      <c r="I26" s="258">
        <v>651800000</v>
      </c>
      <c r="J26" s="258">
        <v>7169800000</v>
      </c>
      <c r="K26" s="256" t="s">
        <v>1346</v>
      </c>
    </row>
    <row r="27" spans="1:11" x14ac:dyDescent="0.3">
      <c r="A27" s="256">
        <v>20</v>
      </c>
      <c r="B27" s="257" t="s">
        <v>1502</v>
      </c>
      <c r="C27" s="276">
        <v>44428</v>
      </c>
      <c r="D27" s="257" t="s">
        <v>1284</v>
      </c>
      <c r="E27" s="256" t="s">
        <v>1786</v>
      </c>
      <c r="F27" s="256" t="s">
        <v>1931</v>
      </c>
      <c r="G27" s="258">
        <v>14820000000</v>
      </c>
      <c r="H27" s="265">
        <v>0.1</v>
      </c>
      <c r="I27" s="258">
        <v>1482000000</v>
      </c>
      <c r="J27" s="258">
        <v>16302000000</v>
      </c>
      <c r="K27" s="256" t="s">
        <v>1346</v>
      </c>
    </row>
    <row r="28" spans="1:11" x14ac:dyDescent="0.3">
      <c r="A28" s="256">
        <v>21</v>
      </c>
      <c r="B28" s="257" t="s">
        <v>1459</v>
      </c>
      <c r="C28" s="276">
        <v>44459</v>
      </c>
      <c r="D28" s="257" t="s">
        <v>1290</v>
      </c>
      <c r="E28" s="256" t="s">
        <v>1796</v>
      </c>
      <c r="F28" s="256" t="s">
        <v>1929</v>
      </c>
      <c r="G28" s="258">
        <v>12873000000</v>
      </c>
      <c r="H28" s="265">
        <v>0.1</v>
      </c>
      <c r="I28" s="258">
        <v>1287300000</v>
      </c>
      <c r="J28" s="258">
        <v>14160300000</v>
      </c>
      <c r="K28" s="256" t="s">
        <v>1346</v>
      </c>
    </row>
    <row r="29" spans="1:11" x14ac:dyDescent="0.3">
      <c r="A29" s="256">
        <v>22</v>
      </c>
      <c r="B29" s="257" t="s">
        <v>1206</v>
      </c>
      <c r="C29" s="276">
        <v>44489</v>
      </c>
      <c r="D29" s="257" t="s">
        <v>1300</v>
      </c>
      <c r="E29" s="256" t="s">
        <v>1818</v>
      </c>
      <c r="F29" s="256" t="s">
        <v>1930</v>
      </c>
      <c r="G29" s="258">
        <v>16507000000</v>
      </c>
      <c r="H29" s="265">
        <v>0.1</v>
      </c>
      <c r="I29" s="258">
        <v>1650700000</v>
      </c>
      <c r="J29" s="258">
        <v>18157700000</v>
      </c>
      <c r="K29" s="256" t="s">
        <v>1348</v>
      </c>
    </row>
    <row r="30" spans="1:11" x14ac:dyDescent="0.3">
      <c r="A30" s="256">
        <v>23</v>
      </c>
      <c r="B30" s="257" t="s">
        <v>1419</v>
      </c>
      <c r="C30" s="276">
        <v>44520</v>
      </c>
      <c r="D30" s="257" t="s">
        <v>1269</v>
      </c>
      <c r="E30" s="256" t="s">
        <v>1823</v>
      </c>
      <c r="F30" s="256" t="s">
        <v>1929</v>
      </c>
      <c r="G30" s="258">
        <v>16110000000</v>
      </c>
      <c r="H30" s="265">
        <v>0.1</v>
      </c>
      <c r="I30" s="258">
        <v>1611000000</v>
      </c>
      <c r="J30" s="258">
        <v>17721000000</v>
      </c>
      <c r="K30" s="256" t="s">
        <v>1346</v>
      </c>
    </row>
    <row r="31" spans="1:11" x14ac:dyDescent="0.3">
      <c r="A31" s="256">
        <v>24</v>
      </c>
      <c r="B31" s="257" t="s">
        <v>1461</v>
      </c>
      <c r="C31" s="276">
        <v>44550</v>
      </c>
      <c r="D31" s="257" t="s">
        <v>1265</v>
      </c>
      <c r="E31" s="256" t="s">
        <v>1830</v>
      </c>
      <c r="F31" s="256" t="s">
        <v>1930</v>
      </c>
      <c r="G31" s="258">
        <v>5778000000</v>
      </c>
      <c r="H31" s="265">
        <v>0.1</v>
      </c>
      <c r="I31" s="258">
        <v>577800000</v>
      </c>
      <c r="J31" s="258">
        <v>6355800000</v>
      </c>
      <c r="K31" s="256" t="s">
        <v>1346</v>
      </c>
    </row>
    <row r="32" spans="1:11" x14ac:dyDescent="0.3">
      <c r="A32" s="256">
        <v>25</v>
      </c>
      <c r="B32" s="257" t="s">
        <v>1489</v>
      </c>
      <c r="C32" s="276">
        <v>44221</v>
      </c>
      <c r="D32" s="257" t="s">
        <v>1304</v>
      </c>
      <c r="E32" s="256" t="s">
        <v>1831</v>
      </c>
      <c r="F32" s="256" t="s">
        <v>1931</v>
      </c>
      <c r="G32" s="258">
        <v>15672000000</v>
      </c>
      <c r="H32" s="265">
        <v>0.1</v>
      </c>
      <c r="I32" s="258">
        <v>1567200000</v>
      </c>
      <c r="J32" s="258">
        <v>17239200000</v>
      </c>
      <c r="K32" s="256" t="s">
        <v>1346</v>
      </c>
    </row>
    <row r="33" spans="1:11" x14ac:dyDescent="0.3">
      <c r="A33" s="256">
        <v>26</v>
      </c>
      <c r="B33" s="257" t="s">
        <v>1456</v>
      </c>
      <c r="C33" s="276">
        <v>44255</v>
      </c>
      <c r="D33" s="257" t="s">
        <v>1293</v>
      </c>
      <c r="E33" s="256" t="s">
        <v>1826</v>
      </c>
      <c r="F33" s="256" t="s">
        <v>1931</v>
      </c>
      <c r="G33" s="258">
        <v>15600000000</v>
      </c>
      <c r="H33" s="265">
        <v>0.1</v>
      </c>
      <c r="I33" s="258">
        <v>1560000000</v>
      </c>
      <c r="J33" s="258">
        <v>17160000000</v>
      </c>
      <c r="K33" s="256" t="s">
        <v>1346</v>
      </c>
    </row>
    <row r="34" spans="1:11" x14ac:dyDescent="0.3">
      <c r="A34" s="256">
        <v>27</v>
      </c>
      <c r="B34" s="257" t="s">
        <v>1467</v>
      </c>
      <c r="C34" s="276">
        <v>44316</v>
      </c>
      <c r="D34" s="257" t="s">
        <v>1262</v>
      </c>
      <c r="E34" s="256" t="s">
        <v>1816</v>
      </c>
      <c r="F34" s="256" t="s">
        <v>1741</v>
      </c>
      <c r="G34" s="258">
        <v>16991000000</v>
      </c>
      <c r="H34" s="265">
        <v>0.1</v>
      </c>
      <c r="I34" s="258">
        <v>1699100000</v>
      </c>
      <c r="J34" s="258">
        <v>18690100000</v>
      </c>
      <c r="K34" s="256" t="s">
        <v>1346</v>
      </c>
    </row>
    <row r="35" spans="1:11" x14ac:dyDescent="0.3">
      <c r="A35" s="256">
        <v>28</v>
      </c>
      <c r="B35" s="257" t="s">
        <v>1404</v>
      </c>
      <c r="C35" s="276">
        <v>44377</v>
      </c>
      <c r="D35" s="257" t="s">
        <v>1286</v>
      </c>
      <c r="E35" s="256" t="s">
        <v>1828</v>
      </c>
      <c r="F35" s="256" t="s">
        <v>1929</v>
      </c>
      <c r="G35" s="258">
        <v>4939000000</v>
      </c>
      <c r="H35" s="265">
        <v>0.1</v>
      </c>
      <c r="I35" s="258">
        <v>493900000</v>
      </c>
      <c r="J35" s="258">
        <v>5432900000</v>
      </c>
      <c r="K35" s="256" t="s">
        <v>1348</v>
      </c>
    </row>
    <row r="36" spans="1:11" x14ac:dyDescent="0.3">
      <c r="A36" s="256">
        <v>29</v>
      </c>
      <c r="B36" s="257" t="s">
        <v>1490</v>
      </c>
      <c r="C36" s="276">
        <v>44469</v>
      </c>
      <c r="D36" s="257" t="s">
        <v>1304</v>
      </c>
      <c r="E36" s="256" t="s">
        <v>1831</v>
      </c>
      <c r="F36" s="256" t="s">
        <v>1928</v>
      </c>
      <c r="G36" s="258">
        <v>15590000000</v>
      </c>
      <c r="H36" s="265">
        <v>0.1</v>
      </c>
      <c r="I36" s="258">
        <v>1559000000</v>
      </c>
      <c r="J36" s="258">
        <v>17149000000</v>
      </c>
      <c r="K36" s="256" t="s">
        <v>1346</v>
      </c>
    </row>
    <row r="37" spans="1:11" x14ac:dyDescent="0.3">
      <c r="A37" s="256">
        <v>30</v>
      </c>
      <c r="B37" s="257" t="s">
        <v>1463</v>
      </c>
      <c r="C37" s="276">
        <v>44530</v>
      </c>
      <c r="D37" s="257" t="s">
        <v>1289</v>
      </c>
      <c r="E37" s="256" t="s">
        <v>1803</v>
      </c>
      <c r="F37" s="256" t="s">
        <v>1929</v>
      </c>
      <c r="G37" s="258">
        <v>8567000000</v>
      </c>
      <c r="H37" s="265">
        <v>0.1</v>
      </c>
      <c r="I37" s="258">
        <v>856700000</v>
      </c>
      <c r="J37" s="258">
        <v>9423700000</v>
      </c>
      <c r="K37" s="256" t="s">
        <v>1346</v>
      </c>
    </row>
    <row r="38" spans="1:11" x14ac:dyDescent="0.3">
      <c r="A38" s="256">
        <v>31</v>
      </c>
      <c r="B38" s="257" t="s">
        <v>1464</v>
      </c>
      <c r="C38" s="276">
        <v>44286</v>
      </c>
      <c r="D38" s="257" t="s">
        <v>1289</v>
      </c>
      <c r="E38" s="256" t="s">
        <v>1803</v>
      </c>
      <c r="F38" s="256" t="s">
        <v>1930</v>
      </c>
      <c r="G38" s="258">
        <v>17280000000</v>
      </c>
      <c r="H38" s="265">
        <v>0.1</v>
      </c>
      <c r="I38" s="258">
        <v>1728000000</v>
      </c>
      <c r="J38" s="258">
        <v>19008000000</v>
      </c>
      <c r="K38" s="256" t="s">
        <v>1346</v>
      </c>
    </row>
    <row r="39" spans="1:11" x14ac:dyDescent="0.3">
      <c r="A39" s="256">
        <v>32</v>
      </c>
      <c r="B39" s="257" t="s">
        <v>1457</v>
      </c>
      <c r="C39" s="276">
        <v>44347</v>
      </c>
      <c r="D39" s="257" t="s">
        <v>1293</v>
      </c>
      <c r="E39" s="256" t="s">
        <v>1826</v>
      </c>
      <c r="F39" s="256" t="s">
        <v>1931</v>
      </c>
      <c r="G39" s="258">
        <v>11902000000</v>
      </c>
      <c r="H39" s="265">
        <v>0</v>
      </c>
      <c r="I39" s="258">
        <v>0</v>
      </c>
      <c r="J39" s="258">
        <v>11902000000</v>
      </c>
      <c r="K39" s="256" t="s">
        <v>1348</v>
      </c>
    </row>
    <row r="40" spans="1:11" x14ac:dyDescent="0.3">
      <c r="A40" s="256">
        <v>33</v>
      </c>
      <c r="B40" s="257" t="s">
        <v>1401</v>
      </c>
      <c r="C40" s="276">
        <v>44408</v>
      </c>
      <c r="D40" s="257" t="s">
        <v>1296</v>
      </c>
      <c r="E40" s="256" t="s">
        <v>1807</v>
      </c>
      <c r="F40" s="256" t="s">
        <v>1687</v>
      </c>
      <c r="G40" s="258">
        <v>8195000000</v>
      </c>
      <c r="H40" s="265">
        <v>0.1</v>
      </c>
      <c r="I40" s="258">
        <v>819500000</v>
      </c>
      <c r="J40" s="258">
        <v>9014500000</v>
      </c>
      <c r="K40" s="256" t="s">
        <v>1346</v>
      </c>
    </row>
    <row r="41" spans="1:11" x14ac:dyDescent="0.3">
      <c r="A41" s="256">
        <v>34</v>
      </c>
      <c r="B41" s="257" t="s">
        <v>1484</v>
      </c>
      <c r="C41" s="276">
        <v>44439</v>
      </c>
      <c r="D41" s="257" t="s">
        <v>1272</v>
      </c>
      <c r="E41" s="256" t="s">
        <v>1805</v>
      </c>
      <c r="F41" s="256" t="s">
        <v>1929</v>
      </c>
      <c r="G41" s="258">
        <v>12089000000</v>
      </c>
      <c r="H41" s="265">
        <v>0.1</v>
      </c>
      <c r="I41" s="258">
        <v>1208900000</v>
      </c>
      <c r="J41" s="258">
        <v>13297900000</v>
      </c>
      <c r="K41" s="256" t="s">
        <v>1346</v>
      </c>
    </row>
    <row r="42" spans="1:11" x14ac:dyDescent="0.3">
      <c r="A42" s="256">
        <v>35</v>
      </c>
      <c r="B42" s="257" t="s">
        <v>1207</v>
      </c>
      <c r="C42" s="276">
        <v>44500</v>
      </c>
      <c r="D42" s="257" t="s">
        <v>1300</v>
      </c>
      <c r="E42" s="256" t="s">
        <v>1818</v>
      </c>
      <c r="F42" s="256" t="s">
        <v>1930</v>
      </c>
      <c r="G42" s="258">
        <v>17030000000</v>
      </c>
      <c r="H42" s="265">
        <v>0.1</v>
      </c>
      <c r="I42" s="258">
        <v>1703000000</v>
      </c>
      <c r="J42" s="258">
        <v>18733000000</v>
      </c>
      <c r="K42" s="256" t="s">
        <v>1346</v>
      </c>
    </row>
    <row r="43" spans="1:11" x14ac:dyDescent="0.3">
      <c r="A43" s="256">
        <v>36</v>
      </c>
      <c r="B43" s="257" t="s">
        <v>1490</v>
      </c>
      <c r="C43" s="276">
        <v>44561</v>
      </c>
      <c r="D43" s="257" t="s">
        <v>1259</v>
      </c>
      <c r="E43" s="256" t="s">
        <v>1788</v>
      </c>
      <c r="F43" s="256" t="s">
        <v>1931</v>
      </c>
      <c r="G43" s="258">
        <v>16565000000</v>
      </c>
      <c r="H43" s="265">
        <v>0.1</v>
      </c>
      <c r="I43" s="258">
        <v>1656500000</v>
      </c>
      <c r="J43" s="258">
        <v>18221500000</v>
      </c>
      <c r="K43" s="256" t="s">
        <v>1346</v>
      </c>
    </row>
    <row r="44" spans="1:11" x14ac:dyDescent="0.3">
      <c r="A44" s="256">
        <v>37</v>
      </c>
      <c r="B44" s="257" t="s">
        <v>1411</v>
      </c>
      <c r="C44" s="276">
        <v>44561</v>
      </c>
      <c r="D44" s="257" t="s">
        <v>1287</v>
      </c>
      <c r="E44" s="256" t="s">
        <v>1801</v>
      </c>
      <c r="F44" s="256" t="s">
        <v>1930</v>
      </c>
      <c r="G44" s="258">
        <v>18725000000</v>
      </c>
      <c r="H44" s="265">
        <v>0.1</v>
      </c>
      <c r="I44" s="258">
        <v>1872500000</v>
      </c>
      <c r="J44" s="258">
        <v>20597500000</v>
      </c>
      <c r="K44" s="256" t="s">
        <v>1346</v>
      </c>
    </row>
    <row r="45" spans="1:11" x14ac:dyDescent="0.3">
      <c r="A45" s="256">
        <v>38</v>
      </c>
      <c r="B45" s="257" t="s">
        <v>1473</v>
      </c>
      <c r="C45" s="276">
        <v>44561</v>
      </c>
      <c r="D45" s="257" t="s">
        <v>1268</v>
      </c>
      <c r="E45" s="256" t="s">
        <v>1821</v>
      </c>
      <c r="F45" s="256" t="s">
        <v>1741</v>
      </c>
      <c r="G45" s="258">
        <v>14862000000</v>
      </c>
      <c r="H45" s="265">
        <v>0.1</v>
      </c>
      <c r="I45" s="258">
        <v>1486200000</v>
      </c>
      <c r="J45" s="258">
        <v>16348200000</v>
      </c>
      <c r="K45" s="256" t="s">
        <v>1346</v>
      </c>
    </row>
    <row r="46" spans="1:11" x14ac:dyDescent="0.3">
      <c r="A46" s="256">
        <v>39</v>
      </c>
      <c r="B46" s="257" t="s">
        <v>1487</v>
      </c>
      <c r="C46" s="276">
        <v>44561</v>
      </c>
      <c r="D46" s="257" t="s">
        <v>1270</v>
      </c>
      <c r="E46" s="256" t="s">
        <v>1782</v>
      </c>
      <c r="F46" s="256" t="s">
        <v>1687</v>
      </c>
      <c r="G46" s="258">
        <v>12348000000</v>
      </c>
      <c r="H46" s="265">
        <v>0.1</v>
      </c>
      <c r="I46" s="258">
        <v>1234800000</v>
      </c>
      <c r="J46" s="258">
        <v>13582800000</v>
      </c>
      <c r="K46" s="256" t="s">
        <v>1346</v>
      </c>
    </row>
    <row r="47" spans="1:11" x14ac:dyDescent="0.3">
      <c r="A47" s="256">
        <v>40</v>
      </c>
      <c r="B47" s="257" t="s">
        <v>1460</v>
      </c>
      <c r="C47" s="276">
        <v>44561</v>
      </c>
      <c r="D47" s="257" t="s">
        <v>1290</v>
      </c>
      <c r="E47" s="256" t="s">
        <v>1796</v>
      </c>
      <c r="F47" s="256" t="s">
        <v>1741</v>
      </c>
      <c r="G47" s="258">
        <v>13903000000</v>
      </c>
      <c r="H47" s="265">
        <v>0.1</v>
      </c>
      <c r="I47" s="258">
        <v>1390300000</v>
      </c>
      <c r="J47" s="258">
        <v>15293300000</v>
      </c>
      <c r="K47" s="256" t="s">
        <v>1346</v>
      </c>
    </row>
    <row r="48" spans="1:11" x14ac:dyDescent="0.3">
      <c r="A48" s="256">
        <v>41</v>
      </c>
      <c r="B48" s="257" t="s">
        <v>1475</v>
      </c>
      <c r="C48" s="276">
        <v>44561</v>
      </c>
      <c r="D48" s="257" t="s">
        <v>1288</v>
      </c>
      <c r="E48" s="256" t="s">
        <v>1797</v>
      </c>
      <c r="F48" s="256" t="s">
        <v>1931</v>
      </c>
      <c r="G48" s="258">
        <v>10085000000</v>
      </c>
      <c r="H48" s="265">
        <v>0.1</v>
      </c>
      <c r="I48" s="258">
        <v>1008500000</v>
      </c>
      <c r="J48" s="258">
        <v>11093500000</v>
      </c>
      <c r="K48" s="256" t="s">
        <v>1346</v>
      </c>
    </row>
    <row r="49" spans="1:11" x14ac:dyDescent="0.3">
      <c r="A49" s="256">
        <v>42</v>
      </c>
      <c r="B49" s="257" t="s">
        <v>1469</v>
      </c>
      <c r="C49" s="276">
        <v>44561</v>
      </c>
      <c r="D49" s="257" t="s">
        <v>1282</v>
      </c>
      <c r="E49" s="256" t="s">
        <v>1789</v>
      </c>
      <c r="F49" s="256" t="s">
        <v>1931</v>
      </c>
      <c r="G49" s="258">
        <v>18345000000</v>
      </c>
      <c r="H49" s="265">
        <v>0.1</v>
      </c>
      <c r="I49" s="258">
        <v>1834500000</v>
      </c>
      <c r="J49" s="258">
        <v>20179500000</v>
      </c>
      <c r="K49" s="256" t="s">
        <v>1346</v>
      </c>
    </row>
    <row r="50" spans="1:11" x14ac:dyDescent="0.3">
      <c r="A50" s="256">
        <v>43</v>
      </c>
      <c r="B50" s="257" t="s">
        <v>1462</v>
      </c>
      <c r="C50" s="276">
        <v>44561</v>
      </c>
      <c r="D50" s="257" t="s">
        <v>1265</v>
      </c>
      <c r="E50" s="256" t="s">
        <v>1830</v>
      </c>
      <c r="F50" s="256" t="s">
        <v>1930</v>
      </c>
      <c r="G50" s="258">
        <v>4752000000</v>
      </c>
      <c r="H50" s="265">
        <v>0.1</v>
      </c>
      <c r="I50" s="258">
        <v>475200000</v>
      </c>
      <c r="J50" s="258">
        <v>5227200000</v>
      </c>
      <c r="K50" s="256" t="s">
        <v>1346</v>
      </c>
    </row>
    <row r="51" spans="1:11" x14ac:dyDescent="0.3">
      <c r="A51" s="256">
        <v>44</v>
      </c>
      <c r="B51" s="257" t="s">
        <v>1491</v>
      </c>
      <c r="C51" s="276">
        <v>44561</v>
      </c>
      <c r="D51" s="257" t="s">
        <v>1259</v>
      </c>
      <c r="E51" s="256" t="s">
        <v>1788</v>
      </c>
      <c r="F51" s="256" t="s">
        <v>1929</v>
      </c>
      <c r="G51" s="258">
        <v>13445000000</v>
      </c>
      <c r="H51" s="265">
        <v>0.1</v>
      </c>
      <c r="I51" s="258">
        <v>1344500000</v>
      </c>
      <c r="J51" s="258">
        <v>14789500000</v>
      </c>
      <c r="K51" s="256" t="s">
        <v>1346</v>
      </c>
    </row>
    <row r="52" spans="1:11" x14ac:dyDescent="0.3">
      <c r="A52" s="256">
        <v>45</v>
      </c>
      <c r="B52" s="257" t="s">
        <v>1402</v>
      </c>
      <c r="C52" s="276">
        <v>44561</v>
      </c>
      <c r="D52" s="257" t="s">
        <v>1258</v>
      </c>
      <c r="E52" s="256" t="s">
        <v>1833</v>
      </c>
      <c r="F52" s="256" t="s">
        <v>1931</v>
      </c>
      <c r="G52" s="258">
        <v>15855000000</v>
      </c>
      <c r="H52" s="265">
        <v>0.1</v>
      </c>
      <c r="I52" s="258">
        <v>1585500000</v>
      </c>
      <c r="J52" s="258">
        <v>17440500000</v>
      </c>
      <c r="K52" s="256" t="s">
        <v>1346</v>
      </c>
    </row>
    <row r="53" spans="1:11" x14ac:dyDescent="0.3">
      <c r="A53" s="256">
        <v>46</v>
      </c>
      <c r="B53" s="257" t="s">
        <v>1477</v>
      </c>
      <c r="C53" s="276">
        <v>44561</v>
      </c>
      <c r="D53" s="257" t="s">
        <v>1279</v>
      </c>
      <c r="E53" s="256" t="s">
        <v>1827</v>
      </c>
      <c r="F53" s="256" t="s">
        <v>1931</v>
      </c>
      <c r="G53" s="258">
        <v>7156000000</v>
      </c>
      <c r="H53" s="265">
        <v>0</v>
      </c>
      <c r="I53" s="258">
        <v>0</v>
      </c>
      <c r="J53" s="258">
        <v>7156000000</v>
      </c>
      <c r="K53" s="256" t="s">
        <v>1346</v>
      </c>
    </row>
    <row r="54" spans="1:11" x14ac:dyDescent="0.3">
      <c r="A54" s="256">
        <v>47</v>
      </c>
      <c r="B54" s="257" t="s">
        <v>1492</v>
      </c>
      <c r="C54" s="276">
        <v>44561</v>
      </c>
      <c r="D54" s="257" t="s">
        <v>1259</v>
      </c>
      <c r="E54" s="256" t="s">
        <v>1788</v>
      </c>
      <c r="F54" s="256" t="s">
        <v>1931</v>
      </c>
      <c r="G54" s="258">
        <v>13099000000</v>
      </c>
      <c r="H54" s="265">
        <v>0.1</v>
      </c>
      <c r="I54" s="258">
        <v>1309900000</v>
      </c>
      <c r="J54" s="258">
        <v>14408900000</v>
      </c>
      <c r="K54" s="256" t="s">
        <v>1346</v>
      </c>
    </row>
    <row r="55" spans="1:11" x14ac:dyDescent="0.3">
      <c r="A55" s="256">
        <v>48</v>
      </c>
      <c r="B55" s="257" t="s">
        <v>1478</v>
      </c>
      <c r="C55" s="276">
        <v>44561</v>
      </c>
      <c r="D55" s="257" t="s">
        <v>1273</v>
      </c>
      <c r="E55" s="256" t="s">
        <v>1829</v>
      </c>
      <c r="F55" s="256" t="s">
        <v>1687</v>
      </c>
      <c r="G55" s="258">
        <v>11968000000</v>
      </c>
      <c r="H55" s="265">
        <v>0.1</v>
      </c>
      <c r="I55" s="258">
        <v>1196800000</v>
      </c>
      <c r="J55" s="258">
        <v>13164800000</v>
      </c>
      <c r="K55" s="256" t="s">
        <v>1346</v>
      </c>
    </row>
    <row r="56" spans="1:11" x14ac:dyDescent="0.3">
      <c r="A56" s="256">
        <v>49</v>
      </c>
      <c r="B56" s="257" t="s">
        <v>1207</v>
      </c>
      <c r="C56" s="276">
        <v>44561</v>
      </c>
      <c r="D56" s="257" t="s">
        <v>1301</v>
      </c>
      <c r="E56" s="256" t="s">
        <v>1781</v>
      </c>
      <c r="F56" s="256" t="s">
        <v>1931</v>
      </c>
      <c r="G56" s="258">
        <v>9150000000</v>
      </c>
      <c r="H56" s="265">
        <v>0.1</v>
      </c>
      <c r="I56" s="258">
        <v>915000000</v>
      </c>
      <c r="J56" s="258">
        <v>10065000000</v>
      </c>
      <c r="K56" s="256" t="s">
        <v>1346</v>
      </c>
    </row>
    <row r="57" spans="1:11" x14ac:dyDescent="0.3">
      <c r="A57" s="256">
        <v>50</v>
      </c>
      <c r="B57" s="257" t="s">
        <v>1463</v>
      </c>
      <c r="C57" s="276">
        <v>44561</v>
      </c>
      <c r="D57" s="257" t="s">
        <v>1299</v>
      </c>
      <c r="E57" s="256" t="s">
        <v>1776</v>
      </c>
      <c r="F57" s="256" t="s">
        <v>1930</v>
      </c>
      <c r="G57" s="258">
        <v>8832000000</v>
      </c>
      <c r="H57" s="265">
        <v>0.1</v>
      </c>
      <c r="I57" s="258">
        <v>883200000</v>
      </c>
      <c r="J57" s="258">
        <v>9715200000</v>
      </c>
      <c r="K57" s="256" t="s">
        <v>1346</v>
      </c>
    </row>
    <row r="58" spans="1:11" x14ac:dyDescent="0.3">
      <c r="A58" s="266" t="s">
        <v>1351</v>
      </c>
      <c r="B58" s="266"/>
      <c r="C58" s="266"/>
      <c r="D58" s="266"/>
      <c r="E58" s="266"/>
      <c r="F58" s="266"/>
      <c r="G58" s="267">
        <f>SUM(G8:G57)</f>
        <v>606390000000</v>
      </c>
      <c r="H58" s="266"/>
      <c r="I58" s="267">
        <f>SUM(I8:I57)</f>
        <v>55551700000</v>
      </c>
      <c r="J58" s="267">
        <f>SUM(J8:J57)</f>
        <v>661941700000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1932</v>
      </c>
      <c r="G62" s="258">
        <v>12085000000</v>
      </c>
      <c r="H62" s="265">
        <v>0.1</v>
      </c>
      <c r="I62" s="258">
        <v>1208500000</v>
      </c>
      <c r="J62" s="258">
        <v>13293500000</v>
      </c>
      <c r="K62" s="256" t="s">
        <v>1346</v>
      </c>
    </row>
    <row r="63" spans="1:11" x14ac:dyDescent="0.3">
      <c r="A63" s="256">
        <v>2</v>
      </c>
      <c r="B63" s="257" t="s">
        <v>1201</v>
      </c>
      <c r="C63" s="276">
        <v>44318</v>
      </c>
      <c r="D63" s="257" t="s">
        <v>1259</v>
      </c>
      <c r="E63" s="256" t="s">
        <v>1788</v>
      </c>
      <c r="F63" s="256" t="s">
        <v>1933</v>
      </c>
      <c r="G63" s="258">
        <v>21554000000</v>
      </c>
      <c r="H63" s="265">
        <v>0.1</v>
      </c>
      <c r="I63" s="258">
        <v>2155400000</v>
      </c>
      <c r="J63" s="258">
        <v>23709400000</v>
      </c>
      <c r="K63" s="256" t="s">
        <v>1348</v>
      </c>
    </row>
    <row r="64" spans="1:11" x14ac:dyDescent="0.3">
      <c r="A64" s="256">
        <v>3</v>
      </c>
      <c r="B64" s="257" t="s">
        <v>1202</v>
      </c>
      <c r="C64" s="276">
        <v>44472</v>
      </c>
      <c r="D64" s="257" t="s">
        <v>1298</v>
      </c>
      <c r="E64" s="256" t="s">
        <v>1819</v>
      </c>
      <c r="F64" s="256" t="s">
        <v>1934</v>
      </c>
      <c r="G64" s="258">
        <v>11793000000</v>
      </c>
      <c r="H64" s="265">
        <v>0</v>
      </c>
      <c r="I64" s="258">
        <v>0</v>
      </c>
      <c r="J64" s="258">
        <v>11793000000</v>
      </c>
      <c r="K64" s="256" t="s">
        <v>1346</v>
      </c>
    </row>
    <row r="65" spans="1:11" x14ac:dyDescent="0.3">
      <c r="A65" s="256">
        <v>4</v>
      </c>
      <c r="B65" s="257" t="s">
        <v>1355</v>
      </c>
      <c r="C65" s="276">
        <v>44473</v>
      </c>
      <c r="D65" s="257" t="s">
        <v>1288</v>
      </c>
      <c r="E65" s="256" t="s">
        <v>1797</v>
      </c>
      <c r="F65" s="256" t="s">
        <v>1935</v>
      </c>
      <c r="G65" s="258">
        <v>11485000000</v>
      </c>
      <c r="H65" s="265">
        <v>0</v>
      </c>
      <c r="I65" s="258">
        <v>0</v>
      </c>
      <c r="J65" s="258">
        <v>11485000000</v>
      </c>
      <c r="K65" s="256" t="s">
        <v>1348</v>
      </c>
    </row>
    <row r="66" spans="1:11" x14ac:dyDescent="0.3">
      <c r="A66" s="256">
        <v>5</v>
      </c>
      <c r="B66" s="257" t="s">
        <v>1356</v>
      </c>
      <c r="C66" s="276">
        <v>44474</v>
      </c>
      <c r="D66" s="257" t="s">
        <v>1285</v>
      </c>
      <c r="E66" s="256" t="s">
        <v>1793</v>
      </c>
      <c r="F66" s="256" t="s">
        <v>1932</v>
      </c>
      <c r="G66" s="258">
        <v>7857000000</v>
      </c>
      <c r="H66" s="265">
        <v>0.1</v>
      </c>
      <c r="I66" s="258">
        <v>785700000</v>
      </c>
      <c r="J66" s="258">
        <v>8642700000</v>
      </c>
      <c r="K66" s="256" t="s">
        <v>1346</v>
      </c>
    </row>
    <row r="67" spans="1:11" x14ac:dyDescent="0.3">
      <c r="A67" s="256">
        <v>6</v>
      </c>
      <c r="B67" s="257" t="s">
        <v>1358</v>
      </c>
      <c r="C67" s="276">
        <v>44475</v>
      </c>
      <c r="D67" s="257" t="s">
        <v>1286</v>
      </c>
      <c r="E67" s="256" t="s">
        <v>1828</v>
      </c>
      <c r="F67" s="256" t="s">
        <v>1933</v>
      </c>
      <c r="G67" s="258">
        <v>9783000000</v>
      </c>
      <c r="H67" s="265">
        <v>0</v>
      </c>
      <c r="I67" s="258">
        <v>0</v>
      </c>
      <c r="J67" s="258">
        <v>9783000000</v>
      </c>
      <c r="K67" s="256" t="s">
        <v>1346</v>
      </c>
    </row>
    <row r="68" spans="1:11" x14ac:dyDescent="0.3">
      <c r="A68" s="256">
        <v>7</v>
      </c>
      <c r="B68" s="257" t="s">
        <v>1360</v>
      </c>
      <c r="C68" s="276">
        <v>44476</v>
      </c>
      <c r="D68" s="257" t="s">
        <v>1256</v>
      </c>
      <c r="E68" s="256" t="s">
        <v>1802</v>
      </c>
      <c r="F68" s="256" t="s">
        <v>1933</v>
      </c>
      <c r="G68" s="258">
        <v>14863000000</v>
      </c>
      <c r="H68" s="265">
        <v>0.1</v>
      </c>
      <c r="I68" s="258">
        <v>1486300000</v>
      </c>
      <c r="J68" s="258">
        <v>16349300000</v>
      </c>
      <c r="K68" s="256" t="s">
        <v>1346</v>
      </c>
    </row>
    <row r="69" spans="1:11" x14ac:dyDescent="0.3">
      <c r="A69" s="256">
        <v>8</v>
      </c>
      <c r="B69" s="257" t="s">
        <v>1362</v>
      </c>
      <c r="C69" s="276">
        <v>44477</v>
      </c>
      <c r="D69" s="257" t="s">
        <v>1289</v>
      </c>
      <c r="E69" s="256" t="s">
        <v>1803</v>
      </c>
      <c r="F69" s="256" t="s">
        <v>1934</v>
      </c>
      <c r="G69" s="258">
        <v>10100000000</v>
      </c>
      <c r="H69" s="265">
        <v>0.1</v>
      </c>
      <c r="I69" s="258">
        <v>1010000000</v>
      </c>
      <c r="J69" s="258">
        <v>11110000000</v>
      </c>
      <c r="K69" s="256" t="s">
        <v>1346</v>
      </c>
    </row>
    <row r="70" spans="1:11" x14ac:dyDescent="0.3">
      <c r="A70" s="256">
        <v>9</v>
      </c>
      <c r="B70" s="257" t="s">
        <v>1364</v>
      </c>
      <c r="C70" s="276">
        <v>44478</v>
      </c>
      <c r="D70" s="257" t="s">
        <v>1301</v>
      </c>
      <c r="E70" s="256" t="s">
        <v>1781</v>
      </c>
      <c r="F70" s="256" t="s">
        <v>1935</v>
      </c>
      <c r="G70" s="258">
        <v>17955000000</v>
      </c>
      <c r="H70" s="265">
        <v>0.1</v>
      </c>
      <c r="I70" s="258">
        <v>1795500000</v>
      </c>
      <c r="J70" s="258">
        <v>19750500000</v>
      </c>
      <c r="K70" s="256" t="s">
        <v>1346</v>
      </c>
    </row>
    <row r="71" spans="1:11" x14ac:dyDescent="0.3">
      <c r="A71" s="256">
        <v>10</v>
      </c>
      <c r="B71" s="257" t="s">
        <v>1366</v>
      </c>
      <c r="C71" s="276">
        <v>44479</v>
      </c>
      <c r="D71" s="257" t="s">
        <v>1276</v>
      </c>
      <c r="E71" s="256" t="s">
        <v>1822</v>
      </c>
      <c r="F71" s="256" t="s">
        <v>1932</v>
      </c>
      <c r="G71" s="258">
        <v>7551000000</v>
      </c>
      <c r="H71" s="265">
        <v>0.1</v>
      </c>
      <c r="I71" s="258">
        <v>755100000</v>
      </c>
      <c r="J71" s="258">
        <v>8306100000</v>
      </c>
      <c r="K71" s="256" t="s">
        <v>1346</v>
      </c>
    </row>
    <row r="72" spans="1:11" x14ac:dyDescent="0.3">
      <c r="A72" s="256">
        <v>11</v>
      </c>
      <c r="B72" s="257" t="s">
        <v>1368</v>
      </c>
      <c r="C72" s="276">
        <v>44480</v>
      </c>
      <c r="D72" s="257" t="s">
        <v>1263</v>
      </c>
      <c r="E72" s="256" t="s">
        <v>1790</v>
      </c>
      <c r="F72" s="256" t="s">
        <v>1933</v>
      </c>
      <c r="G72" s="258">
        <v>23730000000</v>
      </c>
      <c r="H72" s="265">
        <v>0</v>
      </c>
      <c r="I72" s="258">
        <v>0</v>
      </c>
      <c r="J72" s="258">
        <v>23730000000</v>
      </c>
      <c r="K72" s="256" t="s">
        <v>1346</v>
      </c>
    </row>
    <row r="73" spans="1:11" x14ac:dyDescent="0.3">
      <c r="A73" s="256">
        <v>12</v>
      </c>
      <c r="B73" s="257" t="s">
        <v>1371</v>
      </c>
      <c r="C73" s="276">
        <v>44481</v>
      </c>
      <c r="D73" s="257" t="s">
        <v>1284</v>
      </c>
      <c r="E73" s="256" t="s">
        <v>1786</v>
      </c>
      <c r="F73" s="256" t="s">
        <v>1933</v>
      </c>
      <c r="G73" s="258">
        <v>14025000000</v>
      </c>
      <c r="H73" s="265">
        <v>0.1</v>
      </c>
      <c r="I73" s="258">
        <v>1402500000</v>
      </c>
      <c r="J73" s="258">
        <v>15427500000</v>
      </c>
      <c r="K73" s="256" t="s">
        <v>1346</v>
      </c>
    </row>
    <row r="74" spans="1:11" x14ac:dyDescent="0.3">
      <c r="A74" s="256">
        <v>13</v>
      </c>
      <c r="B74" s="257" t="s">
        <v>1373</v>
      </c>
      <c r="C74" s="276">
        <v>44211</v>
      </c>
      <c r="D74" s="257" t="s">
        <v>1291</v>
      </c>
      <c r="E74" s="256" t="s">
        <v>1800</v>
      </c>
      <c r="F74" s="256" t="s">
        <v>1935</v>
      </c>
      <c r="G74" s="258">
        <v>23671000000</v>
      </c>
      <c r="H74" s="265">
        <v>0.1</v>
      </c>
      <c r="I74" s="258">
        <v>2367100000</v>
      </c>
      <c r="J74" s="258">
        <v>26038100000</v>
      </c>
      <c r="K74" s="256" t="s">
        <v>1346</v>
      </c>
    </row>
    <row r="75" spans="1:11" x14ac:dyDescent="0.3">
      <c r="A75" s="256">
        <v>14</v>
      </c>
      <c r="B75" s="257" t="s">
        <v>1374</v>
      </c>
      <c r="C75" s="276">
        <v>44242</v>
      </c>
      <c r="D75" s="257" t="s">
        <v>1255</v>
      </c>
      <c r="E75" s="273">
        <v>46152</v>
      </c>
      <c r="F75" s="256" t="s">
        <v>1935</v>
      </c>
      <c r="G75" s="258">
        <v>18944000000</v>
      </c>
      <c r="H75" s="265">
        <v>0.1</v>
      </c>
      <c r="I75" s="258">
        <v>1894400000</v>
      </c>
      <c r="J75" s="258">
        <v>20838400000</v>
      </c>
      <c r="K75" s="256" t="s">
        <v>1346</v>
      </c>
    </row>
    <row r="76" spans="1:11" x14ac:dyDescent="0.3">
      <c r="A76" s="256">
        <v>15</v>
      </c>
      <c r="B76" s="257" t="s">
        <v>1376</v>
      </c>
      <c r="C76" s="276">
        <v>44275</v>
      </c>
      <c r="D76" s="257" t="s">
        <v>1296</v>
      </c>
      <c r="E76" s="256" t="s">
        <v>1807</v>
      </c>
      <c r="F76" s="256" t="s">
        <v>1933</v>
      </c>
      <c r="G76" s="258">
        <v>17153000000</v>
      </c>
      <c r="H76" s="265">
        <v>0.1</v>
      </c>
      <c r="I76" s="258">
        <v>1715300000</v>
      </c>
      <c r="J76" s="258">
        <v>18868300000</v>
      </c>
      <c r="K76" s="256" t="s">
        <v>1346</v>
      </c>
    </row>
    <row r="77" spans="1:11" x14ac:dyDescent="0.3">
      <c r="A77" s="256">
        <v>16</v>
      </c>
      <c r="B77" s="257" t="s">
        <v>1378</v>
      </c>
      <c r="C77" s="276">
        <v>44306</v>
      </c>
      <c r="D77" s="257" t="s">
        <v>1298</v>
      </c>
      <c r="E77" s="256" t="s">
        <v>1819</v>
      </c>
      <c r="F77" s="256" t="s">
        <v>1934</v>
      </c>
      <c r="G77" s="258">
        <v>22663000000</v>
      </c>
      <c r="H77" s="265">
        <v>0.1</v>
      </c>
      <c r="I77" s="258">
        <v>2266300000</v>
      </c>
      <c r="J77" s="258">
        <v>24929300000</v>
      </c>
      <c r="K77" s="256" t="s">
        <v>1348</v>
      </c>
    </row>
    <row r="78" spans="1:11" x14ac:dyDescent="0.3">
      <c r="A78" s="256">
        <v>17</v>
      </c>
      <c r="B78" s="257" t="s">
        <v>1379</v>
      </c>
      <c r="C78" s="276">
        <v>44336</v>
      </c>
      <c r="D78" s="257" t="s">
        <v>1261</v>
      </c>
      <c r="E78" s="256" t="s">
        <v>1813</v>
      </c>
      <c r="F78" s="256" t="s">
        <v>1932</v>
      </c>
      <c r="G78" s="258">
        <v>10234000000</v>
      </c>
      <c r="H78" s="265">
        <v>0.1</v>
      </c>
      <c r="I78" s="258">
        <v>1023400000</v>
      </c>
      <c r="J78" s="258">
        <v>11257400000</v>
      </c>
      <c r="K78" s="256" t="s">
        <v>1348</v>
      </c>
    </row>
    <row r="79" spans="1:11" x14ac:dyDescent="0.3">
      <c r="A79" s="256">
        <v>18</v>
      </c>
      <c r="B79" s="257" t="s">
        <v>1381</v>
      </c>
      <c r="C79" s="276">
        <v>44367</v>
      </c>
      <c r="D79" s="257" t="s">
        <v>1299</v>
      </c>
      <c r="E79" s="256" t="s">
        <v>1776</v>
      </c>
      <c r="F79" s="256" t="s">
        <v>1933</v>
      </c>
      <c r="G79" s="258">
        <v>16870000000</v>
      </c>
      <c r="H79" s="265">
        <v>0.1</v>
      </c>
      <c r="I79" s="258">
        <v>1687000000</v>
      </c>
      <c r="J79" s="258">
        <v>18557000000</v>
      </c>
      <c r="K79" s="256" t="s">
        <v>1346</v>
      </c>
    </row>
    <row r="80" spans="1:11" x14ac:dyDescent="0.3">
      <c r="A80" s="256">
        <v>19</v>
      </c>
      <c r="B80" s="257" t="s">
        <v>1382</v>
      </c>
      <c r="C80" s="276">
        <v>44397</v>
      </c>
      <c r="D80" s="257" t="s">
        <v>1300</v>
      </c>
      <c r="E80" s="256" t="s">
        <v>1818</v>
      </c>
      <c r="F80" s="256" t="s">
        <v>1934</v>
      </c>
      <c r="G80" s="258">
        <v>10999000000</v>
      </c>
      <c r="H80" s="265">
        <v>0.1</v>
      </c>
      <c r="I80" s="258">
        <v>1099900000</v>
      </c>
      <c r="J80" s="258">
        <v>12098900000</v>
      </c>
      <c r="K80" s="256" t="s">
        <v>1346</v>
      </c>
    </row>
    <row r="81" spans="1:11" x14ac:dyDescent="0.3">
      <c r="A81" s="256">
        <v>20</v>
      </c>
      <c r="B81" s="257" t="s">
        <v>1383</v>
      </c>
      <c r="C81" s="276">
        <v>44428</v>
      </c>
      <c r="D81" s="257" t="s">
        <v>1275</v>
      </c>
      <c r="E81" s="256" t="s">
        <v>1808</v>
      </c>
      <c r="F81" s="256" t="s">
        <v>1932</v>
      </c>
      <c r="G81" s="258">
        <v>23685000000</v>
      </c>
      <c r="H81" s="265">
        <v>0.1</v>
      </c>
      <c r="I81" s="258">
        <v>2368500000</v>
      </c>
      <c r="J81" s="258">
        <v>26053500000</v>
      </c>
      <c r="K81" s="256" t="s">
        <v>1346</v>
      </c>
    </row>
    <row r="82" spans="1:11" x14ac:dyDescent="0.3">
      <c r="A82" s="256">
        <v>21</v>
      </c>
      <c r="B82" s="257" t="s">
        <v>1203</v>
      </c>
      <c r="C82" s="276">
        <v>44459</v>
      </c>
      <c r="D82" s="257" t="s">
        <v>1301</v>
      </c>
      <c r="E82" s="256" t="s">
        <v>1781</v>
      </c>
      <c r="F82" s="256" t="s">
        <v>1933</v>
      </c>
      <c r="G82" s="258">
        <v>25271000000</v>
      </c>
      <c r="H82" s="265">
        <v>0.1</v>
      </c>
      <c r="I82" s="258">
        <v>2527100000</v>
      </c>
      <c r="J82" s="258">
        <v>27798100000</v>
      </c>
      <c r="K82" s="256" t="s">
        <v>1346</v>
      </c>
    </row>
    <row r="83" spans="1:11" x14ac:dyDescent="0.3">
      <c r="A83" s="256">
        <v>22</v>
      </c>
      <c r="B83" s="257" t="s">
        <v>1204</v>
      </c>
      <c r="C83" s="276">
        <v>44489</v>
      </c>
      <c r="D83" s="257" t="s">
        <v>1265</v>
      </c>
      <c r="E83" s="256" t="s">
        <v>1830</v>
      </c>
      <c r="F83" s="256" t="s">
        <v>1932</v>
      </c>
      <c r="G83" s="258">
        <v>22756000000</v>
      </c>
      <c r="H83" s="265">
        <v>0.1</v>
      </c>
      <c r="I83" s="258">
        <v>2275600000</v>
      </c>
      <c r="J83" s="258">
        <v>25031600000</v>
      </c>
      <c r="K83" s="256" t="s">
        <v>1346</v>
      </c>
    </row>
    <row r="84" spans="1:11" x14ac:dyDescent="0.3">
      <c r="A84" s="256">
        <v>23</v>
      </c>
      <c r="B84" s="257" t="s">
        <v>1205</v>
      </c>
      <c r="C84" s="276">
        <v>44520</v>
      </c>
      <c r="D84" s="257" t="s">
        <v>1273</v>
      </c>
      <c r="E84" s="256" t="s">
        <v>1829</v>
      </c>
      <c r="F84" s="256" t="s">
        <v>1934</v>
      </c>
      <c r="G84" s="258">
        <v>11477000000</v>
      </c>
      <c r="H84" s="265">
        <v>0.1</v>
      </c>
      <c r="I84" s="258">
        <v>1147700000</v>
      </c>
      <c r="J84" s="258">
        <v>12624700000</v>
      </c>
      <c r="K84" s="256" t="s">
        <v>1346</v>
      </c>
    </row>
    <row r="85" spans="1:11" x14ac:dyDescent="0.3">
      <c r="A85" s="256">
        <v>24</v>
      </c>
      <c r="B85" s="257" t="s">
        <v>1385</v>
      </c>
      <c r="C85" s="276">
        <v>44550</v>
      </c>
      <c r="D85" s="257" t="s">
        <v>1279</v>
      </c>
      <c r="E85" s="256" t="s">
        <v>1827</v>
      </c>
      <c r="F85" s="256" t="s">
        <v>1933</v>
      </c>
      <c r="G85" s="258">
        <v>19632000000</v>
      </c>
      <c r="H85" s="265">
        <v>0.1</v>
      </c>
      <c r="I85" s="258">
        <v>1963200000</v>
      </c>
      <c r="J85" s="258">
        <v>21595200000</v>
      </c>
      <c r="K85" s="256" t="s">
        <v>1346</v>
      </c>
    </row>
    <row r="86" spans="1:11" x14ac:dyDescent="0.3">
      <c r="A86" s="256">
        <v>25</v>
      </c>
      <c r="B86" s="257" t="s">
        <v>1387</v>
      </c>
      <c r="C86" s="276">
        <v>44221</v>
      </c>
      <c r="D86" s="257" t="s">
        <v>1263</v>
      </c>
      <c r="E86" s="256" t="s">
        <v>1790</v>
      </c>
      <c r="F86" s="256" t="s">
        <v>1932</v>
      </c>
      <c r="G86" s="258">
        <v>22715000000</v>
      </c>
      <c r="H86" s="265">
        <v>0.1</v>
      </c>
      <c r="I86" s="258">
        <v>2271500000</v>
      </c>
      <c r="J86" s="258">
        <v>24986500000</v>
      </c>
      <c r="K86" s="256" t="s">
        <v>1346</v>
      </c>
    </row>
    <row r="87" spans="1:11" x14ac:dyDescent="0.3">
      <c r="A87" s="256">
        <v>26</v>
      </c>
      <c r="B87" s="257" t="s">
        <v>1388</v>
      </c>
      <c r="C87" s="276">
        <v>44255</v>
      </c>
      <c r="D87" s="257" t="s">
        <v>1288</v>
      </c>
      <c r="E87" s="256" t="s">
        <v>1797</v>
      </c>
      <c r="F87" s="256" t="s">
        <v>1933</v>
      </c>
      <c r="G87" s="258">
        <v>18982000000</v>
      </c>
      <c r="H87" s="265">
        <v>0.1</v>
      </c>
      <c r="I87" s="258">
        <v>1898200000</v>
      </c>
      <c r="J87" s="258">
        <v>20880200000</v>
      </c>
      <c r="K87" s="256" t="s">
        <v>1346</v>
      </c>
    </row>
    <row r="88" spans="1:11" x14ac:dyDescent="0.3">
      <c r="A88" s="256">
        <v>27</v>
      </c>
      <c r="B88" s="257" t="s">
        <v>1391</v>
      </c>
      <c r="C88" s="276">
        <v>44316</v>
      </c>
      <c r="D88" s="257" t="s">
        <v>1298</v>
      </c>
      <c r="E88" s="256" t="s">
        <v>1819</v>
      </c>
      <c r="F88" s="256" t="s">
        <v>1935</v>
      </c>
      <c r="G88" s="258">
        <v>6455000000</v>
      </c>
      <c r="H88" s="265">
        <v>0.1</v>
      </c>
      <c r="I88" s="258">
        <v>645500000</v>
      </c>
      <c r="J88" s="258">
        <v>7100500000</v>
      </c>
      <c r="K88" s="256" t="s">
        <v>1346</v>
      </c>
    </row>
    <row r="89" spans="1:11" x14ac:dyDescent="0.3">
      <c r="A89" s="256">
        <v>28</v>
      </c>
      <c r="B89" s="257" t="s">
        <v>1392</v>
      </c>
      <c r="C89" s="276">
        <v>44377</v>
      </c>
      <c r="D89" s="257" t="s">
        <v>1292</v>
      </c>
      <c r="E89" s="256" t="s">
        <v>1792</v>
      </c>
      <c r="F89" s="256" t="s">
        <v>1934</v>
      </c>
      <c r="G89" s="258">
        <v>22688000000</v>
      </c>
      <c r="H89" s="265">
        <v>0.1</v>
      </c>
      <c r="I89" s="258">
        <v>2268800000</v>
      </c>
      <c r="J89" s="258">
        <v>24956800000</v>
      </c>
      <c r="K89" s="256" t="s">
        <v>1346</v>
      </c>
    </row>
    <row r="90" spans="1:11" x14ac:dyDescent="0.3">
      <c r="A90" s="256">
        <v>29</v>
      </c>
      <c r="B90" s="257" t="s">
        <v>1394</v>
      </c>
      <c r="C90" s="276">
        <v>44469</v>
      </c>
      <c r="D90" s="257" t="s">
        <v>1295</v>
      </c>
      <c r="E90" s="256" t="s">
        <v>1825</v>
      </c>
      <c r="F90" s="256" t="s">
        <v>1935</v>
      </c>
      <c r="G90" s="258">
        <v>14779000000</v>
      </c>
      <c r="H90" s="265">
        <v>0.1</v>
      </c>
      <c r="I90" s="258">
        <v>1477900000</v>
      </c>
      <c r="J90" s="258">
        <v>16256900000</v>
      </c>
      <c r="K90" s="256" t="s">
        <v>1346</v>
      </c>
    </row>
    <row r="91" spans="1:11" x14ac:dyDescent="0.3">
      <c r="A91" s="256">
        <v>30</v>
      </c>
      <c r="B91" s="257" t="s">
        <v>1396</v>
      </c>
      <c r="C91" s="276">
        <v>44530</v>
      </c>
      <c r="D91" s="257" t="s">
        <v>1269</v>
      </c>
      <c r="E91" s="256" t="s">
        <v>1823</v>
      </c>
      <c r="F91" s="256" t="s">
        <v>1933</v>
      </c>
      <c r="G91" s="258">
        <v>8230000000</v>
      </c>
      <c r="H91" s="265">
        <v>0.1</v>
      </c>
      <c r="I91" s="258">
        <v>823000000</v>
      </c>
      <c r="J91" s="258">
        <v>9053000000</v>
      </c>
      <c r="K91" s="256" t="s">
        <v>1346</v>
      </c>
    </row>
    <row r="92" spans="1:11" x14ac:dyDescent="0.3">
      <c r="A92" s="256">
        <v>31</v>
      </c>
      <c r="B92" s="257" t="s">
        <v>1397</v>
      </c>
      <c r="C92" s="276">
        <v>44286</v>
      </c>
      <c r="D92" s="257" t="s">
        <v>1256</v>
      </c>
      <c r="E92" s="256" t="s">
        <v>1802</v>
      </c>
      <c r="F92" s="256" t="s">
        <v>1934</v>
      </c>
      <c r="G92" s="258">
        <v>19990000000</v>
      </c>
      <c r="H92" s="265">
        <v>0.1</v>
      </c>
      <c r="I92" s="258">
        <v>1999000000</v>
      </c>
      <c r="J92" s="258">
        <v>21989000000</v>
      </c>
      <c r="K92" s="256" t="s">
        <v>1346</v>
      </c>
    </row>
    <row r="93" spans="1:11" x14ac:dyDescent="0.3">
      <c r="A93" s="256">
        <v>32</v>
      </c>
      <c r="B93" s="257" t="s">
        <v>1398</v>
      </c>
      <c r="C93" s="276">
        <v>44347</v>
      </c>
      <c r="D93" s="257" t="s">
        <v>1259</v>
      </c>
      <c r="E93" s="256" t="s">
        <v>1788</v>
      </c>
      <c r="F93" s="256" t="s">
        <v>1935</v>
      </c>
      <c r="G93" s="258">
        <v>25398000000</v>
      </c>
      <c r="H93" s="265">
        <v>0.1</v>
      </c>
      <c r="I93" s="258">
        <v>2539800000</v>
      </c>
      <c r="J93" s="258">
        <v>27937800000</v>
      </c>
      <c r="K93" s="256" t="s">
        <v>1346</v>
      </c>
    </row>
    <row r="94" spans="1:11" x14ac:dyDescent="0.3">
      <c r="A94" s="256">
        <v>33</v>
      </c>
      <c r="B94" s="257" t="s">
        <v>1399</v>
      </c>
      <c r="C94" s="276">
        <v>44408</v>
      </c>
      <c r="D94" s="257" t="s">
        <v>1284</v>
      </c>
      <c r="E94" s="256" t="s">
        <v>1786</v>
      </c>
      <c r="F94" s="256" t="s">
        <v>1935</v>
      </c>
      <c r="G94" s="258">
        <v>12013000000</v>
      </c>
      <c r="H94" s="265">
        <v>0.1</v>
      </c>
      <c r="I94" s="258">
        <v>1201300000</v>
      </c>
      <c r="J94" s="258">
        <v>13214300000</v>
      </c>
      <c r="K94" s="256" t="s">
        <v>1346</v>
      </c>
    </row>
    <row r="95" spans="1:11" x14ac:dyDescent="0.3">
      <c r="A95" s="256">
        <v>34</v>
      </c>
      <c r="B95" s="257" t="s">
        <v>1401</v>
      </c>
      <c r="C95" s="276">
        <v>44439</v>
      </c>
      <c r="D95" s="257" t="s">
        <v>1266</v>
      </c>
      <c r="E95" s="256" t="s">
        <v>1824</v>
      </c>
      <c r="F95" s="256" t="s">
        <v>1933</v>
      </c>
      <c r="G95" s="258">
        <v>20412000000</v>
      </c>
      <c r="H95" s="265">
        <v>0.1</v>
      </c>
      <c r="I95" s="258">
        <v>2041200000</v>
      </c>
      <c r="J95" s="258">
        <v>22453200000</v>
      </c>
      <c r="K95" s="256" t="s">
        <v>1348</v>
      </c>
    </row>
    <row r="96" spans="1:11" x14ac:dyDescent="0.3">
      <c r="A96" s="256">
        <v>35</v>
      </c>
      <c r="B96" s="257" t="s">
        <v>1402</v>
      </c>
      <c r="C96" s="276">
        <v>44500</v>
      </c>
      <c r="D96" s="257" t="s">
        <v>1260</v>
      </c>
      <c r="E96" s="256" t="s">
        <v>1804</v>
      </c>
      <c r="F96" s="256" t="s">
        <v>1932</v>
      </c>
      <c r="G96" s="258">
        <v>7208000000</v>
      </c>
      <c r="H96" s="265">
        <v>0.1</v>
      </c>
      <c r="I96" s="258">
        <v>720800000</v>
      </c>
      <c r="J96" s="258">
        <v>7928800000</v>
      </c>
      <c r="K96" s="256" t="s">
        <v>1346</v>
      </c>
    </row>
    <row r="97" spans="1:11" x14ac:dyDescent="0.3">
      <c r="A97" s="256">
        <v>36</v>
      </c>
      <c r="B97" s="257" t="s">
        <v>1403</v>
      </c>
      <c r="C97" s="276">
        <v>44561</v>
      </c>
      <c r="D97" s="257" t="s">
        <v>1257</v>
      </c>
      <c r="E97" s="256" t="s">
        <v>1815</v>
      </c>
      <c r="F97" s="256" t="s">
        <v>1935</v>
      </c>
      <c r="G97" s="258">
        <v>10555000000</v>
      </c>
      <c r="H97" s="265">
        <v>0</v>
      </c>
      <c r="I97" s="258">
        <v>0</v>
      </c>
      <c r="J97" s="258">
        <v>10555000000</v>
      </c>
      <c r="K97" s="256" t="s">
        <v>1346</v>
      </c>
    </row>
    <row r="98" spans="1:11" x14ac:dyDescent="0.3">
      <c r="A98" s="256">
        <v>37</v>
      </c>
      <c r="B98" s="257" t="s">
        <v>1404</v>
      </c>
      <c r="C98" s="276">
        <v>44561</v>
      </c>
      <c r="D98" s="257" t="s">
        <v>1295</v>
      </c>
      <c r="E98" s="256" t="s">
        <v>1825</v>
      </c>
      <c r="F98" s="256" t="s">
        <v>1933</v>
      </c>
      <c r="G98" s="258">
        <v>12341000000</v>
      </c>
      <c r="H98" s="265">
        <v>0.1</v>
      </c>
      <c r="I98" s="258">
        <v>1234100000</v>
      </c>
      <c r="J98" s="258">
        <v>13575100000</v>
      </c>
      <c r="K98" s="256" t="s">
        <v>1346</v>
      </c>
    </row>
    <row r="99" spans="1:11" x14ac:dyDescent="0.3">
      <c r="A99" s="256">
        <v>38</v>
      </c>
      <c r="B99" s="257" t="s">
        <v>1405</v>
      </c>
      <c r="C99" s="276">
        <v>44561</v>
      </c>
      <c r="D99" s="257" t="s">
        <v>1292</v>
      </c>
      <c r="E99" s="256" t="s">
        <v>1792</v>
      </c>
      <c r="F99" s="256" t="s">
        <v>1934</v>
      </c>
      <c r="G99" s="258">
        <v>18600000000</v>
      </c>
      <c r="H99" s="265">
        <v>0.1</v>
      </c>
      <c r="I99" s="258">
        <v>1860000000</v>
      </c>
      <c r="J99" s="258">
        <v>20460000000</v>
      </c>
      <c r="K99" s="256" t="s">
        <v>1346</v>
      </c>
    </row>
    <row r="100" spans="1:11" x14ac:dyDescent="0.3">
      <c r="A100" s="256">
        <v>39</v>
      </c>
      <c r="B100" s="257" t="s">
        <v>1406</v>
      </c>
      <c r="C100" s="276">
        <v>44561</v>
      </c>
      <c r="D100" s="257" t="s">
        <v>1263</v>
      </c>
      <c r="E100" s="256" t="s">
        <v>1790</v>
      </c>
      <c r="F100" s="256" t="s">
        <v>1932</v>
      </c>
      <c r="G100" s="258">
        <v>13475000000</v>
      </c>
      <c r="H100" s="265">
        <v>0.1</v>
      </c>
      <c r="I100" s="258">
        <v>1347500000</v>
      </c>
      <c r="J100" s="258">
        <v>14822500000</v>
      </c>
      <c r="K100" s="256" t="s">
        <v>1346</v>
      </c>
    </row>
    <row r="101" spans="1:11" x14ac:dyDescent="0.3">
      <c r="A101" s="256">
        <v>40</v>
      </c>
      <c r="B101" s="257" t="s">
        <v>1408</v>
      </c>
      <c r="C101" s="276">
        <v>44561</v>
      </c>
      <c r="D101" s="257" t="s">
        <v>1268</v>
      </c>
      <c r="E101" s="256" t="s">
        <v>1821</v>
      </c>
      <c r="F101" s="256" t="s">
        <v>1934</v>
      </c>
      <c r="G101" s="258">
        <v>17414000000</v>
      </c>
      <c r="H101" s="265">
        <v>0.1</v>
      </c>
      <c r="I101" s="258">
        <v>1741400000</v>
      </c>
      <c r="J101" s="258">
        <v>19155400000</v>
      </c>
      <c r="K101" s="256" t="s">
        <v>1346</v>
      </c>
    </row>
    <row r="102" spans="1:11" x14ac:dyDescent="0.3">
      <c r="A102" s="256">
        <v>41</v>
      </c>
      <c r="B102" s="257" t="s">
        <v>1409</v>
      </c>
      <c r="C102" s="276">
        <v>44561</v>
      </c>
      <c r="D102" s="257" t="s">
        <v>1258</v>
      </c>
      <c r="E102" s="256" t="s">
        <v>1833</v>
      </c>
      <c r="F102" s="256" t="s">
        <v>1932</v>
      </c>
      <c r="G102" s="258">
        <v>15078000000</v>
      </c>
      <c r="H102" s="265">
        <v>0.1</v>
      </c>
      <c r="I102" s="258">
        <v>1507800000</v>
      </c>
      <c r="J102" s="258">
        <v>16585800000</v>
      </c>
      <c r="K102" s="256" t="s">
        <v>1346</v>
      </c>
    </row>
    <row r="103" spans="1:11" x14ac:dyDescent="0.3">
      <c r="A103" s="256">
        <v>42</v>
      </c>
      <c r="B103" s="257" t="s">
        <v>1411</v>
      </c>
      <c r="C103" s="276">
        <v>44561</v>
      </c>
      <c r="D103" s="257" t="s">
        <v>1257</v>
      </c>
      <c r="E103" s="256" t="s">
        <v>1815</v>
      </c>
      <c r="F103" s="256" t="s">
        <v>1932</v>
      </c>
      <c r="G103" s="258">
        <v>7440000000</v>
      </c>
      <c r="H103" s="265">
        <v>0</v>
      </c>
      <c r="I103" s="258">
        <v>0</v>
      </c>
      <c r="J103" s="258">
        <v>7440000000</v>
      </c>
      <c r="K103" s="256" t="s">
        <v>1346</v>
      </c>
    </row>
    <row r="104" spans="1:11" x14ac:dyDescent="0.3">
      <c r="A104" s="256">
        <v>43</v>
      </c>
      <c r="B104" s="257" t="s">
        <v>1414</v>
      </c>
      <c r="C104" s="276">
        <v>44561</v>
      </c>
      <c r="D104" s="257" t="s">
        <v>1272</v>
      </c>
      <c r="E104" s="256" t="s">
        <v>1805</v>
      </c>
      <c r="F104" s="256" t="s">
        <v>1935</v>
      </c>
      <c r="G104" s="258">
        <v>23237000000</v>
      </c>
      <c r="H104" s="265">
        <v>0.1</v>
      </c>
      <c r="I104" s="258">
        <v>2323700000</v>
      </c>
      <c r="J104" s="258">
        <v>25560700000</v>
      </c>
      <c r="K104" s="256" t="s">
        <v>1346</v>
      </c>
    </row>
    <row r="105" spans="1:11" x14ac:dyDescent="0.3">
      <c r="A105" s="256">
        <v>44</v>
      </c>
      <c r="B105" s="257" t="s">
        <v>1415</v>
      </c>
      <c r="C105" s="276">
        <v>44561</v>
      </c>
      <c r="D105" s="257" t="s">
        <v>1284</v>
      </c>
      <c r="E105" s="256" t="s">
        <v>1786</v>
      </c>
      <c r="F105" s="256" t="s">
        <v>1933</v>
      </c>
      <c r="G105" s="258">
        <v>22680000000</v>
      </c>
      <c r="H105" s="265">
        <v>0.1</v>
      </c>
      <c r="I105" s="258">
        <v>2268000000</v>
      </c>
      <c r="J105" s="258">
        <v>24948000000</v>
      </c>
      <c r="K105" s="256" t="s">
        <v>1346</v>
      </c>
    </row>
    <row r="106" spans="1:11" x14ac:dyDescent="0.3">
      <c r="A106" s="256">
        <v>45</v>
      </c>
      <c r="B106" s="257" t="s">
        <v>1206</v>
      </c>
      <c r="C106" s="276">
        <v>44561</v>
      </c>
      <c r="D106" s="257" t="s">
        <v>1264</v>
      </c>
      <c r="E106" s="256" t="s">
        <v>1779</v>
      </c>
      <c r="F106" s="256" t="s">
        <v>1933</v>
      </c>
      <c r="G106" s="258">
        <v>15409000000</v>
      </c>
      <c r="H106" s="265">
        <v>0</v>
      </c>
      <c r="I106" s="258">
        <v>0</v>
      </c>
      <c r="J106" s="258">
        <v>15409000000</v>
      </c>
      <c r="K106" s="256" t="s">
        <v>1346</v>
      </c>
    </row>
    <row r="107" spans="1:11" x14ac:dyDescent="0.3">
      <c r="A107" s="256">
        <v>46</v>
      </c>
      <c r="B107" s="257" t="s">
        <v>1207</v>
      </c>
      <c r="C107" s="276">
        <v>44561</v>
      </c>
      <c r="D107" s="257" t="s">
        <v>1272</v>
      </c>
      <c r="E107" s="256" t="s">
        <v>1805</v>
      </c>
      <c r="F107" s="256" t="s">
        <v>1935</v>
      </c>
      <c r="G107" s="258">
        <v>16195000000</v>
      </c>
      <c r="H107" s="265">
        <v>0.1</v>
      </c>
      <c r="I107" s="258">
        <v>1619500000</v>
      </c>
      <c r="J107" s="258">
        <v>17814500000</v>
      </c>
      <c r="K107" s="256" t="s">
        <v>1346</v>
      </c>
    </row>
    <row r="108" spans="1:11" x14ac:dyDescent="0.3">
      <c r="A108" s="256">
        <v>47</v>
      </c>
      <c r="B108" s="257" t="s">
        <v>1208</v>
      </c>
      <c r="C108" s="276">
        <v>44561</v>
      </c>
      <c r="D108" s="257" t="s">
        <v>1282</v>
      </c>
      <c r="E108" s="256" t="s">
        <v>1789</v>
      </c>
      <c r="F108" s="256" t="s">
        <v>1935</v>
      </c>
      <c r="G108" s="258">
        <v>7118000000</v>
      </c>
      <c r="H108" s="265">
        <v>0.1</v>
      </c>
      <c r="I108" s="258">
        <v>711800000</v>
      </c>
      <c r="J108" s="258">
        <v>7829800000</v>
      </c>
      <c r="K108" s="256" t="s">
        <v>1346</v>
      </c>
    </row>
    <row r="109" spans="1:11" x14ac:dyDescent="0.3">
      <c r="A109" s="256">
        <v>48</v>
      </c>
      <c r="B109" s="257" t="s">
        <v>1209</v>
      </c>
      <c r="C109" s="276">
        <v>44561</v>
      </c>
      <c r="D109" s="257" t="s">
        <v>1292</v>
      </c>
      <c r="E109" s="256" t="s">
        <v>1792</v>
      </c>
      <c r="F109" s="256" t="s">
        <v>1934</v>
      </c>
      <c r="G109" s="258">
        <v>19552000000</v>
      </c>
      <c r="H109" s="265">
        <v>0.1</v>
      </c>
      <c r="I109" s="258">
        <v>1955200000</v>
      </c>
      <c r="J109" s="258">
        <v>21507200000</v>
      </c>
      <c r="K109" s="256" t="s">
        <v>1346</v>
      </c>
    </row>
    <row r="110" spans="1:11" x14ac:dyDescent="0.3">
      <c r="A110" s="256">
        <v>49</v>
      </c>
      <c r="B110" s="257" t="s">
        <v>1418</v>
      </c>
      <c r="C110" s="276">
        <v>44561</v>
      </c>
      <c r="D110" s="257" t="s">
        <v>1274</v>
      </c>
      <c r="E110" s="256" t="s">
        <v>1794</v>
      </c>
      <c r="F110" s="256" t="s">
        <v>1933</v>
      </c>
      <c r="G110" s="258">
        <v>7725000000</v>
      </c>
      <c r="H110" s="265">
        <v>0.1</v>
      </c>
      <c r="I110" s="258">
        <v>772500000</v>
      </c>
      <c r="J110" s="258">
        <v>8497500000</v>
      </c>
      <c r="K110" s="256" t="s">
        <v>1346</v>
      </c>
    </row>
    <row r="111" spans="1:11" x14ac:dyDescent="0.3">
      <c r="A111" s="256">
        <v>50</v>
      </c>
      <c r="B111" s="257" t="s">
        <v>1419</v>
      </c>
      <c r="C111" s="276">
        <v>44561</v>
      </c>
      <c r="D111" s="257" t="s">
        <v>1294</v>
      </c>
      <c r="E111" s="256" t="s">
        <v>1795</v>
      </c>
      <c r="F111" s="256" t="s">
        <v>1935</v>
      </c>
      <c r="G111" s="258">
        <v>14674000000</v>
      </c>
      <c r="H111" s="265">
        <v>0</v>
      </c>
      <c r="I111" s="258">
        <v>0</v>
      </c>
      <c r="J111" s="258">
        <v>14674000000</v>
      </c>
      <c r="K111" s="256" t="s">
        <v>1348</v>
      </c>
    </row>
    <row r="112" spans="1:11" x14ac:dyDescent="0.3">
      <c r="A112" s="266" t="s">
        <v>1351</v>
      </c>
      <c r="B112" s="266"/>
      <c r="C112" s="266"/>
      <c r="D112" s="266"/>
      <c r="E112" s="266"/>
      <c r="F112" s="266"/>
      <c r="G112" s="267">
        <f>SUM(G62:G111)</f>
        <v>786499000000</v>
      </c>
      <c r="H112" s="266"/>
      <c r="I112" s="267">
        <f>SUM(I62:I111)</f>
        <v>68163000000</v>
      </c>
      <c r="J112" s="267">
        <f>SUM(J62:J111)</f>
        <v>854662000000</v>
      </c>
      <c r="K112" s="266"/>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956</v>
      </c>
      <c r="C1" s="256"/>
      <c r="D1" s="256"/>
      <c r="E1" s="256"/>
      <c r="F1" s="256"/>
      <c r="G1" s="256"/>
      <c r="H1" s="256"/>
      <c r="I1" s="256"/>
      <c r="J1" s="256"/>
      <c r="K1" s="256"/>
    </row>
    <row r="2" spans="1:11" x14ac:dyDescent="0.3">
      <c r="A2" s="256" t="s">
        <v>1339</v>
      </c>
      <c r="B2" s="257">
        <v>108076653</v>
      </c>
      <c r="C2" s="256"/>
      <c r="D2" s="256"/>
      <c r="E2" s="256"/>
      <c r="F2" s="256"/>
      <c r="G2" s="256"/>
      <c r="H2" s="256"/>
      <c r="I2" s="256"/>
      <c r="J2" s="256"/>
      <c r="K2" s="256"/>
    </row>
    <row r="3" spans="1:11" x14ac:dyDescent="0.3">
      <c r="A3" s="256" t="s">
        <v>1343</v>
      </c>
      <c r="B3" s="258">
        <v>979399197083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1464</v>
      </c>
      <c r="C8" s="276">
        <v>44317</v>
      </c>
      <c r="D8" s="257" t="s">
        <v>1299</v>
      </c>
      <c r="E8" s="256" t="s">
        <v>1776</v>
      </c>
      <c r="F8" s="256" t="s">
        <v>1741</v>
      </c>
      <c r="G8" s="258">
        <v>20379000000</v>
      </c>
      <c r="H8" s="265">
        <v>0.1</v>
      </c>
      <c r="I8" s="258">
        <v>2037900000</v>
      </c>
      <c r="J8" s="258">
        <v>22416900000</v>
      </c>
      <c r="K8" s="256" t="s">
        <v>1346</v>
      </c>
    </row>
    <row r="9" spans="1:11" x14ac:dyDescent="0.3">
      <c r="A9" s="256">
        <v>2</v>
      </c>
      <c r="B9" s="257" t="s">
        <v>1466</v>
      </c>
      <c r="C9" s="276">
        <v>44318</v>
      </c>
      <c r="D9" s="257" t="s">
        <v>1280</v>
      </c>
      <c r="E9" s="256" t="s">
        <v>1777</v>
      </c>
      <c r="F9" s="256" t="s">
        <v>1743</v>
      </c>
      <c r="G9" s="258">
        <v>9847000000</v>
      </c>
      <c r="H9" s="265">
        <v>0</v>
      </c>
      <c r="I9" s="258">
        <v>0</v>
      </c>
      <c r="J9" s="258">
        <v>9847000000</v>
      </c>
      <c r="K9" s="256" t="s">
        <v>1346</v>
      </c>
    </row>
    <row r="10" spans="1:11" x14ac:dyDescent="0.3">
      <c r="A10" s="256">
        <v>3</v>
      </c>
      <c r="B10" s="257" t="s">
        <v>1418</v>
      </c>
      <c r="C10" s="276">
        <v>44472</v>
      </c>
      <c r="D10" s="257" t="s">
        <v>1264</v>
      </c>
      <c r="E10" s="256" t="s">
        <v>1779</v>
      </c>
      <c r="F10" s="256" t="s">
        <v>1744</v>
      </c>
      <c r="G10" s="258">
        <v>6275000000</v>
      </c>
      <c r="H10" s="265">
        <v>0.1</v>
      </c>
      <c r="I10" s="258">
        <v>627500000</v>
      </c>
      <c r="J10" s="258">
        <v>6902500000</v>
      </c>
      <c r="K10" s="256" t="s">
        <v>1346</v>
      </c>
    </row>
    <row r="11" spans="1:11" x14ac:dyDescent="0.3">
      <c r="A11" s="256">
        <v>4</v>
      </c>
      <c r="B11" s="257" t="s">
        <v>1208</v>
      </c>
      <c r="C11" s="276">
        <v>44473</v>
      </c>
      <c r="D11" s="257" t="s">
        <v>1301</v>
      </c>
      <c r="E11" s="256" t="s">
        <v>1781</v>
      </c>
      <c r="F11" s="256" t="s">
        <v>1746</v>
      </c>
      <c r="G11" s="258">
        <v>20892000000</v>
      </c>
      <c r="H11" s="265">
        <v>0</v>
      </c>
      <c r="I11" s="258">
        <v>0</v>
      </c>
      <c r="J11" s="258">
        <v>20892000000</v>
      </c>
      <c r="K11" s="256" t="s">
        <v>1346</v>
      </c>
    </row>
    <row r="12" spans="1:11" x14ac:dyDescent="0.3">
      <c r="A12" s="256">
        <v>5</v>
      </c>
      <c r="B12" s="257" t="s">
        <v>1488</v>
      </c>
      <c r="C12" s="276">
        <v>44474</v>
      </c>
      <c r="D12" s="257" t="s">
        <v>1270</v>
      </c>
      <c r="E12" s="256" t="s">
        <v>1782</v>
      </c>
      <c r="F12" s="256" t="s">
        <v>1744</v>
      </c>
      <c r="G12" s="258">
        <v>13634000000</v>
      </c>
      <c r="H12" s="265">
        <v>0.1</v>
      </c>
      <c r="I12" s="258">
        <v>1363400000</v>
      </c>
      <c r="J12" s="258">
        <v>14997400000</v>
      </c>
      <c r="K12" s="256" t="s">
        <v>1346</v>
      </c>
    </row>
    <row r="13" spans="1:11" x14ac:dyDescent="0.3">
      <c r="A13" s="256">
        <v>6</v>
      </c>
      <c r="B13" s="257" t="s">
        <v>1467</v>
      </c>
      <c r="C13" s="276">
        <v>44475</v>
      </c>
      <c r="D13" s="257" t="s">
        <v>1280</v>
      </c>
      <c r="E13" s="256" t="s">
        <v>1777</v>
      </c>
      <c r="F13" s="256" t="s">
        <v>1741</v>
      </c>
      <c r="G13" s="258">
        <v>5745000000</v>
      </c>
      <c r="H13" s="265">
        <v>0.1</v>
      </c>
      <c r="I13" s="258">
        <v>574500000</v>
      </c>
      <c r="J13" s="258">
        <v>6319500000</v>
      </c>
      <c r="K13" s="256" t="s">
        <v>1348</v>
      </c>
    </row>
    <row r="14" spans="1:11" x14ac:dyDescent="0.3">
      <c r="A14" s="256">
        <v>7</v>
      </c>
      <c r="B14" s="257" t="s">
        <v>1484</v>
      </c>
      <c r="C14" s="276">
        <v>44476</v>
      </c>
      <c r="D14" s="257" t="s">
        <v>1277</v>
      </c>
      <c r="E14" s="256" t="s">
        <v>1783</v>
      </c>
      <c r="F14" s="256" t="s">
        <v>1744</v>
      </c>
      <c r="G14" s="258">
        <v>12321000000</v>
      </c>
      <c r="H14" s="265">
        <v>0.1</v>
      </c>
      <c r="I14" s="258">
        <v>1232100000</v>
      </c>
      <c r="J14" s="258">
        <v>13553100000</v>
      </c>
      <c r="K14" s="256" t="s">
        <v>1346</v>
      </c>
    </row>
    <row r="15" spans="1:11" x14ac:dyDescent="0.3">
      <c r="A15" s="256">
        <v>8</v>
      </c>
      <c r="B15" s="257" t="s">
        <v>1458</v>
      </c>
      <c r="C15" s="276">
        <v>44477</v>
      </c>
      <c r="D15" s="257" t="s">
        <v>1302</v>
      </c>
      <c r="E15" s="256" t="s">
        <v>1784</v>
      </c>
      <c r="F15" s="256" t="s">
        <v>1743</v>
      </c>
      <c r="G15" s="258">
        <v>8245000000</v>
      </c>
      <c r="H15" s="265">
        <v>0.1</v>
      </c>
      <c r="I15" s="258">
        <v>824500000</v>
      </c>
      <c r="J15" s="258">
        <v>9069500000</v>
      </c>
      <c r="K15" s="256" t="s">
        <v>1346</v>
      </c>
    </row>
    <row r="16" spans="1:11" x14ac:dyDescent="0.3">
      <c r="A16" s="256">
        <v>9</v>
      </c>
      <c r="B16" s="257" t="s">
        <v>1467</v>
      </c>
      <c r="C16" s="276">
        <v>44478</v>
      </c>
      <c r="D16" s="257" t="s">
        <v>1278</v>
      </c>
      <c r="E16" s="256" t="s">
        <v>1785</v>
      </c>
      <c r="F16" s="256" t="s">
        <v>1746</v>
      </c>
      <c r="G16" s="258">
        <v>18574000000</v>
      </c>
      <c r="H16" s="265">
        <v>0.1</v>
      </c>
      <c r="I16" s="258">
        <v>1857400000</v>
      </c>
      <c r="J16" s="258">
        <v>20431400000</v>
      </c>
      <c r="K16" s="256" t="s">
        <v>1346</v>
      </c>
    </row>
    <row r="17" spans="1:11" x14ac:dyDescent="0.3">
      <c r="A17" s="256">
        <v>10</v>
      </c>
      <c r="B17" s="257" t="s">
        <v>1503</v>
      </c>
      <c r="C17" s="276">
        <v>44479</v>
      </c>
      <c r="D17" s="257" t="s">
        <v>1284</v>
      </c>
      <c r="E17" s="256" t="s">
        <v>1786</v>
      </c>
      <c r="F17" s="256" t="s">
        <v>1744</v>
      </c>
      <c r="G17" s="258">
        <v>21790000000</v>
      </c>
      <c r="H17" s="265">
        <v>0.1</v>
      </c>
      <c r="I17" s="258">
        <v>2179000000</v>
      </c>
      <c r="J17" s="258">
        <v>23969000000</v>
      </c>
      <c r="K17" s="256" t="s">
        <v>1346</v>
      </c>
    </row>
    <row r="18" spans="1:11" x14ac:dyDescent="0.3">
      <c r="A18" s="256">
        <v>11</v>
      </c>
      <c r="B18" s="257" t="s">
        <v>1459</v>
      </c>
      <c r="C18" s="276">
        <v>44480</v>
      </c>
      <c r="D18" s="257" t="s">
        <v>1302</v>
      </c>
      <c r="E18" s="256" t="s">
        <v>1784</v>
      </c>
      <c r="F18" s="256" t="s">
        <v>1745</v>
      </c>
      <c r="G18" s="258">
        <v>17072000000</v>
      </c>
      <c r="H18" s="265">
        <v>0.1</v>
      </c>
      <c r="I18" s="258">
        <v>1707200000</v>
      </c>
      <c r="J18" s="258">
        <v>18779200000</v>
      </c>
      <c r="K18" s="256" t="s">
        <v>1346</v>
      </c>
    </row>
    <row r="19" spans="1:11" x14ac:dyDescent="0.3">
      <c r="A19" s="256">
        <v>12</v>
      </c>
      <c r="B19" s="257" t="s">
        <v>1493</v>
      </c>
      <c r="C19" s="276">
        <v>44481</v>
      </c>
      <c r="D19" s="257" t="s">
        <v>1259</v>
      </c>
      <c r="E19" s="256" t="s">
        <v>1788</v>
      </c>
      <c r="F19" s="256" t="s">
        <v>1743</v>
      </c>
      <c r="G19" s="258">
        <v>12634000000</v>
      </c>
      <c r="H19" s="265">
        <v>0.1</v>
      </c>
      <c r="I19" s="258">
        <v>1263400000</v>
      </c>
      <c r="J19" s="258">
        <v>13897400000</v>
      </c>
      <c r="K19" s="256" t="s">
        <v>1346</v>
      </c>
    </row>
    <row r="20" spans="1:11" x14ac:dyDescent="0.3">
      <c r="A20" s="256">
        <v>13</v>
      </c>
      <c r="B20" s="257" t="s">
        <v>1470</v>
      </c>
      <c r="C20" s="276">
        <v>44211</v>
      </c>
      <c r="D20" s="257" t="s">
        <v>1282</v>
      </c>
      <c r="E20" s="256" t="s">
        <v>1789</v>
      </c>
      <c r="F20" s="256" t="s">
        <v>1745</v>
      </c>
      <c r="G20" s="258">
        <v>22655000000</v>
      </c>
      <c r="H20" s="265">
        <v>0.1</v>
      </c>
      <c r="I20" s="258">
        <v>2265500000</v>
      </c>
      <c r="J20" s="258">
        <v>24920500000</v>
      </c>
      <c r="K20" s="256" t="s">
        <v>1346</v>
      </c>
    </row>
    <row r="21" spans="1:11" x14ac:dyDescent="0.3">
      <c r="A21" s="256">
        <v>14</v>
      </c>
      <c r="B21" s="257" t="s">
        <v>1478</v>
      </c>
      <c r="C21" s="276">
        <v>44242</v>
      </c>
      <c r="D21" s="257" t="s">
        <v>1263</v>
      </c>
      <c r="E21" s="256" t="s">
        <v>1790</v>
      </c>
      <c r="F21" s="256" t="s">
        <v>1744</v>
      </c>
      <c r="G21" s="258">
        <v>8182000000</v>
      </c>
      <c r="H21" s="265">
        <v>0.1</v>
      </c>
      <c r="I21" s="258">
        <v>818200000</v>
      </c>
      <c r="J21" s="258">
        <v>9000200000</v>
      </c>
      <c r="K21" s="256" t="s">
        <v>1346</v>
      </c>
    </row>
    <row r="22" spans="1:11" x14ac:dyDescent="0.3">
      <c r="A22" s="256">
        <v>15</v>
      </c>
      <c r="B22" s="257" t="s">
        <v>1465</v>
      </c>
      <c r="C22" s="276">
        <v>44275</v>
      </c>
      <c r="D22" s="257" t="s">
        <v>1299</v>
      </c>
      <c r="E22" s="256" t="s">
        <v>1776</v>
      </c>
      <c r="F22" s="256" t="s">
        <v>1742</v>
      </c>
      <c r="G22" s="258">
        <v>22460000000</v>
      </c>
      <c r="H22" s="265">
        <v>0.1</v>
      </c>
      <c r="I22" s="258">
        <v>2246000000</v>
      </c>
      <c r="J22" s="258">
        <v>24706000000</v>
      </c>
      <c r="K22" s="256" t="s">
        <v>1346</v>
      </c>
    </row>
    <row r="23" spans="1:11" x14ac:dyDescent="0.3">
      <c r="A23" s="256">
        <v>16</v>
      </c>
      <c r="B23" s="257" t="s">
        <v>1415</v>
      </c>
      <c r="C23" s="276">
        <v>44306</v>
      </c>
      <c r="D23" s="257" t="s">
        <v>1292</v>
      </c>
      <c r="E23" s="256" t="s">
        <v>1792</v>
      </c>
      <c r="F23" s="256" t="s">
        <v>1741</v>
      </c>
      <c r="G23" s="258">
        <v>19545000000</v>
      </c>
      <c r="H23" s="265">
        <v>0.1</v>
      </c>
      <c r="I23" s="258">
        <v>1954500000</v>
      </c>
      <c r="J23" s="258">
        <v>21499500000</v>
      </c>
      <c r="K23" s="256" t="s">
        <v>1346</v>
      </c>
    </row>
    <row r="24" spans="1:11" x14ac:dyDescent="0.3">
      <c r="A24" s="256">
        <v>17</v>
      </c>
      <c r="B24" s="257" t="s">
        <v>1489</v>
      </c>
      <c r="C24" s="276">
        <v>44336</v>
      </c>
      <c r="D24" s="257" t="s">
        <v>1270</v>
      </c>
      <c r="E24" s="256" t="s">
        <v>1782</v>
      </c>
      <c r="F24" s="256" t="s">
        <v>1745</v>
      </c>
      <c r="G24" s="258">
        <v>10415000000</v>
      </c>
      <c r="H24" s="265">
        <v>0.1</v>
      </c>
      <c r="I24" s="258">
        <v>1041500000</v>
      </c>
      <c r="J24" s="258">
        <v>11456500000</v>
      </c>
      <c r="K24" s="256" t="s">
        <v>1346</v>
      </c>
    </row>
    <row r="25" spans="1:11" x14ac:dyDescent="0.3">
      <c r="A25" s="256">
        <v>18</v>
      </c>
      <c r="B25" s="257" t="s">
        <v>1206</v>
      </c>
      <c r="C25" s="276">
        <v>44367</v>
      </c>
      <c r="D25" s="257" t="s">
        <v>1292</v>
      </c>
      <c r="E25" s="256" t="s">
        <v>1792</v>
      </c>
      <c r="F25" s="256" t="s">
        <v>1741</v>
      </c>
      <c r="G25" s="258">
        <v>14523000000</v>
      </c>
      <c r="H25" s="265">
        <v>0.1</v>
      </c>
      <c r="I25" s="258">
        <v>1452300000</v>
      </c>
      <c r="J25" s="258">
        <v>15975300000</v>
      </c>
      <c r="K25" s="256" t="s">
        <v>1346</v>
      </c>
    </row>
    <row r="26" spans="1:11" x14ac:dyDescent="0.3">
      <c r="A26" s="256">
        <v>19</v>
      </c>
      <c r="B26" s="257" t="s">
        <v>1469</v>
      </c>
      <c r="C26" s="276">
        <v>44397</v>
      </c>
      <c r="D26" s="257" t="s">
        <v>1285</v>
      </c>
      <c r="E26" s="256" t="s">
        <v>1793</v>
      </c>
      <c r="F26" s="256" t="s">
        <v>1745</v>
      </c>
      <c r="G26" s="258">
        <v>7170000000</v>
      </c>
      <c r="H26" s="265">
        <v>0.1</v>
      </c>
      <c r="I26" s="258">
        <v>717000000</v>
      </c>
      <c r="J26" s="258">
        <v>7887000000</v>
      </c>
      <c r="K26" s="256" t="s">
        <v>1346</v>
      </c>
    </row>
    <row r="27" spans="1:11" x14ac:dyDescent="0.3">
      <c r="A27" s="256">
        <v>20</v>
      </c>
      <c r="B27" s="257" t="s">
        <v>1471</v>
      </c>
      <c r="C27" s="276">
        <v>44428</v>
      </c>
      <c r="D27" s="257" t="s">
        <v>1282</v>
      </c>
      <c r="E27" s="256" t="s">
        <v>1789</v>
      </c>
      <c r="F27" s="256" t="s">
        <v>1746</v>
      </c>
      <c r="G27" s="258">
        <v>12170000000</v>
      </c>
      <c r="H27" s="265">
        <v>0.1</v>
      </c>
      <c r="I27" s="258">
        <v>1217000000</v>
      </c>
      <c r="J27" s="258">
        <v>13387000000</v>
      </c>
      <c r="K27" s="256" t="s">
        <v>1348</v>
      </c>
    </row>
    <row r="28" spans="1:11" x14ac:dyDescent="0.3">
      <c r="A28" s="256">
        <v>21</v>
      </c>
      <c r="B28" s="257" t="s">
        <v>1487</v>
      </c>
      <c r="C28" s="276">
        <v>44459</v>
      </c>
      <c r="D28" s="257" t="s">
        <v>1274</v>
      </c>
      <c r="E28" s="256" t="s">
        <v>1794</v>
      </c>
      <c r="F28" s="256" t="s">
        <v>1741</v>
      </c>
      <c r="G28" s="258">
        <v>13307000000</v>
      </c>
      <c r="H28" s="265">
        <v>0</v>
      </c>
      <c r="I28" s="258">
        <v>0</v>
      </c>
      <c r="J28" s="258">
        <v>13307000000</v>
      </c>
      <c r="K28" s="256" t="s">
        <v>1348</v>
      </c>
    </row>
    <row r="29" spans="1:11" x14ac:dyDescent="0.3">
      <c r="A29" s="256">
        <v>22</v>
      </c>
      <c r="B29" s="257" t="s">
        <v>1403</v>
      </c>
      <c r="C29" s="276">
        <v>44489</v>
      </c>
      <c r="D29" s="257" t="s">
        <v>1294</v>
      </c>
      <c r="E29" s="256" t="s">
        <v>1795</v>
      </c>
      <c r="F29" s="256" t="s">
        <v>1744</v>
      </c>
      <c r="G29" s="258">
        <v>5846000000</v>
      </c>
      <c r="H29" s="265">
        <v>0</v>
      </c>
      <c r="I29" s="258">
        <v>0</v>
      </c>
      <c r="J29" s="258">
        <v>5846000000</v>
      </c>
      <c r="K29" s="256" t="s">
        <v>1346</v>
      </c>
    </row>
    <row r="30" spans="1:11" x14ac:dyDescent="0.3">
      <c r="A30" s="256">
        <v>23</v>
      </c>
      <c r="B30" s="257" t="s">
        <v>1461</v>
      </c>
      <c r="C30" s="276">
        <v>44520</v>
      </c>
      <c r="D30" s="257" t="s">
        <v>1290</v>
      </c>
      <c r="E30" s="256" t="s">
        <v>1796</v>
      </c>
      <c r="F30" s="256" t="s">
        <v>1742</v>
      </c>
      <c r="G30" s="258">
        <v>16979000000</v>
      </c>
      <c r="H30" s="265">
        <v>0.1</v>
      </c>
      <c r="I30" s="258">
        <v>1697900000</v>
      </c>
      <c r="J30" s="258">
        <v>18676900000</v>
      </c>
      <c r="K30" s="256" t="s">
        <v>1348</v>
      </c>
    </row>
    <row r="31" spans="1:11" x14ac:dyDescent="0.3">
      <c r="A31" s="256">
        <v>24</v>
      </c>
      <c r="B31" s="257" t="s">
        <v>1476</v>
      </c>
      <c r="C31" s="276">
        <v>44550</v>
      </c>
      <c r="D31" s="257" t="s">
        <v>1288</v>
      </c>
      <c r="E31" s="256" t="s">
        <v>1797</v>
      </c>
      <c r="F31" s="256" t="s">
        <v>1743</v>
      </c>
      <c r="G31" s="258">
        <v>7520000000</v>
      </c>
      <c r="H31" s="265">
        <v>0.1</v>
      </c>
      <c r="I31" s="258">
        <v>752000000</v>
      </c>
      <c r="J31" s="258">
        <v>8272000000</v>
      </c>
      <c r="K31" s="256" t="s">
        <v>1348</v>
      </c>
    </row>
    <row r="32" spans="1:11" x14ac:dyDescent="0.3">
      <c r="A32" s="256">
        <v>25</v>
      </c>
      <c r="B32" s="257" t="s">
        <v>1472</v>
      </c>
      <c r="C32" s="276">
        <v>44221</v>
      </c>
      <c r="D32" s="257" t="s">
        <v>1283</v>
      </c>
      <c r="E32" s="256" t="s">
        <v>1798</v>
      </c>
      <c r="F32" s="256" t="s">
        <v>1742</v>
      </c>
      <c r="G32" s="258">
        <v>7855000000</v>
      </c>
      <c r="H32" s="265">
        <v>0.1</v>
      </c>
      <c r="I32" s="258">
        <v>785500000</v>
      </c>
      <c r="J32" s="258">
        <v>8640500000</v>
      </c>
      <c r="K32" s="256" t="s">
        <v>1346</v>
      </c>
    </row>
    <row r="33" spans="1:11" x14ac:dyDescent="0.3">
      <c r="A33" s="256">
        <v>26</v>
      </c>
      <c r="B33" s="257" t="s">
        <v>1472</v>
      </c>
      <c r="C33" s="276">
        <v>44255</v>
      </c>
      <c r="D33" s="257" t="s">
        <v>1282</v>
      </c>
      <c r="E33" s="256" t="s">
        <v>1789</v>
      </c>
      <c r="F33" s="256" t="s">
        <v>1741</v>
      </c>
      <c r="G33" s="258">
        <v>12785000000</v>
      </c>
      <c r="H33" s="265">
        <v>0.1</v>
      </c>
      <c r="I33" s="258">
        <v>1278500000</v>
      </c>
      <c r="J33" s="258">
        <v>14063500000</v>
      </c>
      <c r="K33" s="256" t="s">
        <v>1346</v>
      </c>
    </row>
    <row r="34" spans="1:11" x14ac:dyDescent="0.3">
      <c r="A34" s="256">
        <v>27</v>
      </c>
      <c r="B34" s="257" t="s">
        <v>1484</v>
      </c>
      <c r="C34" s="276">
        <v>44316</v>
      </c>
      <c r="D34" s="257" t="s">
        <v>1271</v>
      </c>
      <c r="E34" s="256" t="s">
        <v>1799</v>
      </c>
      <c r="F34" s="256" t="s">
        <v>1746</v>
      </c>
      <c r="G34" s="258">
        <v>8362000000</v>
      </c>
      <c r="H34" s="265">
        <v>0.1</v>
      </c>
      <c r="I34" s="258">
        <v>836200000</v>
      </c>
      <c r="J34" s="258">
        <v>9198200000</v>
      </c>
      <c r="K34" s="256" t="s">
        <v>1346</v>
      </c>
    </row>
    <row r="35" spans="1:11" x14ac:dyDescent="0.3">
      <c r="A35" s="256">
        <v>28</v>
      </c>
      <c r="B35" s="257" t="s">
        <v>1468</v>
      </c>
      <c r="C35" s="276">
        <v>44377</v>
      </c>
      <c r="D35" s="257" t="s">
        <v>1280</v>
      </c>
      <c r="E35" s="256" t="s">
        <v>1777</v>
      </c>
      <c r="F35" s="256" t="s">
        <v>1742</v>
      </c>
      <c r="G35" s="258">
        <v>17984000000</v>
      </c>
      <c r="H35" s="265">
        <v>0.1</v>
      </c>
      <c r="I35" s="258">
        <v>1798400000</v>
      </c>
      <c r="J35" s="258">
        <v>19782400000</v>
      </c>
      <c r="K35" s="256" t="s">
        <v>1346</v>
      </c>
    </row>
    <row r="36" spans="1:11" x14ac:dyDescent="0.3">
      <c r="A36" s="256">
        <v>29</v>
      </c>
      <c r="B36" s="257" t="s">
        <v>1485</v>
      </c>
      <c r="C36" s="276">
        <v>44469</v>
      </c>
      <c r="D36" s="257" t="s">
        <v>1271</v>
      </c>
      <c r="E36" s="256" t="s">
        <v>1799</v>
      </c>
      <c r="F36" s="256" t="s">
        <v>1744</v>
      </c>
      <c r="G36" s="258">
        <v>15951000000</v>
      </c>
      <c r="H36" s="265">
        <v>0.1</v>
      </c>
      <c r="I36" s="258">
        <v>1595100000</v>
      </c>
      <c r="J36" s="258">
        <v>17546100000</v>
      </c>
      <c r="K36" s="256" t="s">
        <v>1346</v>
      </c>
    </row>
    <row r="37" spans="1:11" x14ac:dyDescent="0.3">
      <c r="A37" s="256">
        <v>30</v>
      </c>
      <c r="B37" s="257" t="s">
        <v>1405</v>
      </c>
      <c r="C37" s="276">
        <v>44530</v>
      </c>
      <c r="D37" s="257" t="s">
        <v>1291</v>
      </c>
      <c r="E37" s="256" t="s">
        <v>1800</v>
      </c>
      <c r="F37" s="256" t="s">
        <v>1744</v>
      </c>
      <c r="G37" s="258">
        <v>21741000000</v>
      </c>
      <c r="H37" s="265">
        <v>0.1</v>
      </c>
      <c r="I37" s="258">
        <v>2174100000</v>
      </c>
      <c r="J37" s="258">
        <v>23915100000</v>
      </c>
      <c r="K37" s="256" t="s">
        <v>1346</v>
      </c>
    </row>
    <row r="38" spans="1:11" x14ac:dyDescent="0.3">
      <c r="A38" s="256">
        <v>31</v>
      </c>
      <c r="B38" s="257" t="s">
        <v>1414</v>
      </c>
      <c r="C38" s="276">
        <v>44286</v>
      </c>
      <c r="D38" s="257" t="s">
        <v>1287</v>
      </c>
      <c r="E38" s="256" t="s">
        <v>1801</v>
      </c>
      <c r="F38" s="256" t="s">
        <v>1742</v>
      </c>
      <c r="G38" s="258">
        <v>22573000000</v>
      </c>
      <c r="H38" s="265">
        <v>0.1</v>
      </c>
      <c r="I38" s="258">
        <v>2257300000</v>
      </c>
      <c r="J38" s="258">
        <v>24830300000</v>
      </c>
      <c r="K38" s="256" t="s">
        <v>1346</v>
      </c>
    </row>
    <row r="39" spans="1:11" x14ac:dyDescent="0.3">
      <c r="A39" s="256">
        <v>32</v>
      </c>
      <c r="B39" s="257" t="s">
        <v>1477</v>
      </c>
      <c r="C39" s="276">
        <v>44347</v>
      </c>
      <c r="D39" s="257" t="s">
        <v>1256</v>
      </c>
      <c r="E39" s="256" t="s">
        <v>1802</v>
      </c>
      <c r="F39" s="256" t="s">
        <v>1743</v>
      </c>
      <c r="G39" s="258">
        <v>21420000000</v>
      </c>
      <c r="H39" s="265">
        <v>0.1</v>
      </c>
      <c r="I39" s="258">
        <v>2142000000</v>
      </c>
      <c r="J39" s="258">
        <v>23562000000</v>
      </c>
      <c r="K39" s="256" t="s">
        <v>1346</v>
      </c>
    </row>
    <row r="40" spans="1:11" x14ac:dyDescent="0.3">
      <c r="A40" s="256">
        <v>33</v>
      </c>
      <c r="B40" s="257" t="s">
        <v>1488</v>
      </c>
      <c r="C40" s="276">
        <v>44408</v>
      </c>
      <c r="D40" s="257" t="s">
        <v>1274</v>
      </c>
      <c r="E40" s="256" t="s">
        <v>1794</v>
      </c>
      <c r="F40" s="256" t="s">
        <v>1744</v>
      </c>
      <c r="G40" s="258">
        <v>21004000000</v>
      </c>
      <c r="H40" s="265">
        <v>0.1</v>
      </c>
      <c r="I40" s="258">
        <v>2100400000</v>
      </c>
      <c r="J40" s="258">
        <v>23104400000</v>
      </c>
      <c r="K40" s="256" t="s">
        <v>1346</v>
      </c>
    </row>
    <row r="41" spans="1:11" x14ac:dyDescent="0.3">
      <c r="A41" s="256">
        <v>34</v>
      </c>
      <c r="B41" s="257" t="s">
        <v>1489</v>
      </c>
      <c r="C41" s="276">
        <v>44439</v>
      </c>
      <c r="D41" s="257" t="s">
        <v>1274</v>
      </c>
      <c r="E41" s="256" t="s">
        <v>1794</v>
      </c>
      <c r="F41" s="256" t="s">
        <v>1743</v>
      </c>
      <c r="G41" s="258">
        <v>16149000000</v>
      </c>
      <c r="H41" s="265">
        <v>0.1</v>
      </c>
      <c r="I41" s="258">
        <v>1614900000</v>
      </c>
      <c r="J41" s="258">
        <v>17763900000</v>
      </c>
      <c r="K41" s="256" t="s">
        <v>1346</v>
      </c>
    </row>
    <row r="42" spans="1:11" x14ac:dyDescent="0.3">
      <c r="A42" s="256">
        <v>35</v>
      </c>
      <c r="B42" s="257" t="s">
        <v>1466</v>
      </c>
      <c r="C42" s="276">
        <v>44500</v>
      </c>
      <c r="D42" s="257" t="s">
        <v>1299</v>
      </c>
      <c r="E42" s="256" t="s">
        <v>1776</v>
      </c>
      <c r="F42" s="256" t="s">
        <v>1746</v>
      </c>
      <c r="G42" s="258">
        <v>10968000000</v>
      </c>
      <c r="H42" s="265">
        <v>0.1</v>
      </c>
      <c r="I42" s="258">
        <v>1096800000</v>
      </c>
      <c r="J42" s="258">
        <v>12064800000</v>
      </c>
      <c r="K42" s="256" t="s">
        <v>1346</v>
      </c>
    </row>
    <row r="43" spans="1:11" x14ac:dyDescent="0.3">
      <c r="A43" s="256">
        <v>36</v>
      </c>
      <c r="B43" s="257" t="s">
        <v>1473</v>
      </c>
      <c r="C43" s="276">
        <v>44561</v>
      </c>
      <c r="D43" s="257" t="s">
        <v>1282</v>
      </c>
      <c r="E43" s="256" t="s">
        <v>1789</v>
      </c>
      <c r="F43" s="256" t="s">
        <v>1744</v>
      </c>
      <c r="G43" s="258">
        <v>6449000000</v>
      </c>
      <c r="H43" s="265">
        <v>0.1</v>
      </c>
      <c r="I43" s="258">
        <v>644900000</v>
      </c>
      <c r="J43" s="258">
        <v>7093900000</v>
      </c>
      <c r="K43" s="256" t="s">
        <v>1346</v>
      </c>
    </row>
    <row r="44" spans="1:11" x14ac:dyDescent="0.3">
      <c r="A44" s="256">
        <v>37</v>
      </c>
      <c r="B44" s="257" t="s">
        <v>1494</v>
      </c>
      <c r="C44" s="276">
        <v>44561</v>
      </c>
      <c r="D44" s="257" t="s">
        <v>1259</v>
      </c>
      <c r="E44" s="256" t="s">
        <v>1788</v>
      </c>
      <c r="F44" s="256" t="s">
        <v>1746</v>
      </c>
      <c r="G44" s="258">
        <v>7925000000</v>
      </c>
      <c r="H44" s="265">
        <v>0.1</v>
      </c>
      <c r="I44" s="258">
        <v>792500000</v>
      </c>
      <c r="J44" s="258">
        <v>8717500000</v>
      </c>
      <c r="K44" s="256" t="s">
        <v>1346</v>
      </c>
    </row>
    <row r="45" spans="1:11" x14ac:dyDescent="0.3">
      <c r="A45" s="256">
        <v>38</v>
      </c>
      <c r="B45" s="257" t="s">
        <v>1474</v>
      </c>
      <c r="C45" s="276">
        <v>44561</v>
      </c>
      <c r="D45" s="257" t="s">
        <v>1282</v>
      </c>
      <c r="E45" s="256" t="s">
        <v>1789</v>
      </c>
      <c r="F45" s="256" t="s">
        <v>1746</v>
      </c>
      <c r="G45" s="258">
        <v>6483000000</v>
      </c>
      <c r="H45" s="265">
        <v>0.1</v>
      </c>
      <c r="I45" s="258">
        <v>648300000</v>
      </c>
      <c r="J45" s="258">
        <v>7131300000</v>
      </c>
      <c r="K45" s="256" t="s">
        <v>1346</v>
      </c>
    </row>
    <row r="46" spans="1:11" x14ac:dyDescent="0.3">
      <c r="A46" s="256">
        <v>39</v>
      </c>
      <c r="B46" s="257" t="s">
        <v>1465</v>
      </c>
      <c r="C46" s="276">
        <v>44561</v>
      </c>
      <c r="D46" s="257" t="s">
        <v>1289</v>
      </c>
      <c r="E46" s="256" t="s">
        <v>1803</v>
      </c>
      <c r="F46" s="256" t="s">
        <v>1742</v>
      </c>
      <c r="G46" s="258">
        <v>13424000000</v>
      </c>
      <c r="H46" s="265">
        <v>0</v>
      </c>
      <c r="I46" s="258">
        <v>0</v>
      </c>
      <c r="J46" s="258">
        <v>13424000000</v>
      </c>
      <c r="K46" s="256" t="s">
        <v>1346</v>
      </c>
    </row>
    <row r="47" spans="1:11" x14ac:dyDescent="0.3">
      <c r="A47" s="256">
        <v>40</v>
      </c>
      <c r="B47" s="257" t="s">
        <v>1488</v>
      </c>
      <c r="C47" s="276">
        <v>44561</v>
      </c>
      <c r="D47" s="257" t="s">
        <v>1260</v>
      </c>
      <c r="E47" s="256" t="s">
        <v>1804</v>
      </c>
      <c r="F47" s="256" t="s">
        <v>1742</v>
      </c>
      <c r="G47" s="258">
        <v>9679000000</v>
      </c>
      <c r="H47" s="265">
        <v>0.1</v>
      </c>
      <c r="I47" s="258">
        <v>967900000</v>
      </c>
      <c r="J47" s="258">
        <v>10646900000</v>
      </c>
      <c r="K47" s="256" t="s">
        <v>1348</v>
      </c>
    </row>
    <row r="48" spans="1:11" x14ac:dyDescent="0.3">
      <c r="A48" s="256">
        <v>41</v>
      </c>
      <c r="B48" s="257" t="s">
        <v>1485</v>
      </c>
      <c r="C48" s="276">
        <v>44561</v>
      </c>
      <c r="D48" s="257" t="s">
        <v>1277</v>
      </c>
      <c r="E48" s="256" t="s">
        <v>1783</v>
      </c>
      <c r="F48" s="256" t="s">
        <v>1742</v>
      </c>
      <c r="G48" s="258">
        <v>16652000000</v>
      </c>
      <c r="H48" s="265">
        <v>0.1</v>
      </c>
      <c r="I48" s="258">
        <v>1665200000</v>
      </c>
      <c r="J48" s="258">
        <v>18317200000</v>
      </c>
      <c r="K48" s="256" t="s">
        <v>1346</v>
      </c>
    </row>
    <row r="49" spans="1:11" x14ac:dyDescent="0.3">
      <c r="A49" s="256">
        <v>42</v>
      </c>
      <c r="B49" s="257" t="s">
        <v>1485</v>
      </c>
      <c r="C49" s="276">
        <v>44561</v>
      </c>
      <c r="D49" s="257" t="s">
        <v>1272</v>
      </c>
      <c r="E49" s="256" t="s">
        <v>1805</v>
      </c>
      <c r="F49" s="256" t="s">
        <v>1741</v>
      </c>
      <c r="G49" s="258">
        <v>10611000000</v>
      </c>
      <c r="H49" s="265">
        <v>0.1</v>
      </c>
      <c r="I49" s="258">
        <v>1061100000</v>
      </c>
      <c r="J49" s="258">
        <v>11672100000</v>
      </c>
      <c r="K49" s="256" t="s">
        <v>1346</v>
      </c>
    </row>
    <row r="50" spans="1:11" x14ac:dyDescent="0.3">
      <c r="A50" s="256">
        <v>43</v>
      </c>
      <c r="B50" s="257" t="s">
        <v>1479</v>
      </c>
      <c r="C50" s="276">
        <v>44561</v>
      </c>
      <c r="D50" s="257" t="s">
        <v>1263</v>
      </c>
      <c r="E50" s="256" t="s">
        <v>1790</v>
      </c>
      <c r="F50" s="256" t="s">
        <v>1744</v>
      </c>
      <c r="G50" s="258">
        <v>8617000000</v>
      </c>
      <c r="H50" s="265">
        <v>0.1</v>
      </c>
      <c r="I50" s="258">
        <v>861700000</v>
      </c>
      <c r="J50" s="258">
        <v>9478700000</v>
      </c>
      <c r="K50" s="256" t="s">
        <v>1348</v>
      </c>
    </row>
    <row r="51" spans="1:11" x14ac:dyDescent="0.3">
      <c r="A51" s="256">
        <v>44</v>
      </c>
      <c r="B51" s="257" t="s">
        <v>1485</v>
      </c>
      <c r="C51" s="276">
        <v>44561</v>
      </c>
      <c r="D51" s="257" t="s">
        <v>1281</v>
      </c>
      <c r="E51" s="256" t="s">
        <v>1806</v>
      </c>
      <c r="F51" s="256" t="s">
        <v>1741</v>
      </c>
      <c r="G51" s="258">
        <v>6075000000</v>
      </c>
      <c r="H51" s="265">
        <v>0</v>
      </c>
      <c r="I51" s="258">
        <v>0</v>
      </c>
      <c r="J51" s="258">
        <v>6075000000</v>
      </c>
      <c r="K51" s="256" t="s">
        <v>1346</v>
      </c>
    </row>
    <row r="52" spans="1:11" x14ac:dyDescent="0.3">
      <c r="A52" s="256">
        <v>45</v>
      </c>
      <c r="B52" s="257" t="s">
        <v>1473</v>
      </c>
      <c r="C52" s="276">
        <v>44561</v>
      </c>
      <c r="D52" s="257" t="s">
        <v>1283</v>
      </c>
      <c r="E52" s="256" t="s">
        <v>1798</v>
      </c>
      <c r="F52" s="256" t="s">
        <v>1743</v>
      </c>
      <c r="G52" s="258">
        <v>10284000000</v>
      </c>
      <c r="H52" s="265">
        <v>0.1</v>
      </c>
      <c r="I52" s="258">
        <v>1028400000</v>
      </c>
      <c r="J52" s="258">
        <v>11312400000</v>
      </c>
      <c r="K52" s="256" t="s">
        <v>1346</v>
      </c>
    </row>
    <row r="53" spans="1:11" x14ac:dyDescent="0.3">
      <c r="A53" s="256">
        <v>46</v>
      </c>
      <c r="B53" s="257" t="s">
        <v>1469</v>
      </c>
      <c r="C53" s="276">
        <v>44561</v>
      </c>
      <c r="D53" s="257" t="s">
        <v>1280</v>
      </c>
      <c r="E53" s="256" t="s">
        <v>1777</v>
      </c>
      <c r="F53" s="256" t="s">
        <v>1745</v>
      </c>
      <c r="G53" s="258">
        <v>10362000000</v>
      </c>
      <c r="H53" s="265">
        <v>0.1</v>
      </c>
      <c r="I53" s="258">
        <v>1036200000</v>
      </c>
      <c r="J53" s="258">
        <v>11398200000</v>
      </c>
      <c r="K53" s="256" t="s">
        <v>1346</v>
      </c>
    </row>
    <row r="54" spans="1:11" x14ac:dyDescent="0.3">
      <c r="A54" s="256">
        <v>47</v>
      </c>
      <c r="B54" s="257" t="s">
        <v>1402</v>
      </c>
      <c r="C54" s="276">
        <v>44561</v>
      </c>
      <c r="D54" s="257" t="s">
        <v>1296</v>
      </c>
      <c r="E54" s="256" t="s">
        <v>1807</v>
      </c>
      <c r="F54" s="256" t="s">
        <v>1745</v>
      </c>
      <c r="G54" s="258">
        <v>12858000000</v>
      </c>
      <c r="H54" s="265">
        <v>0.1</v>
      </c>
      <c r="I54" s="258">
        <v>1285800000</v>
      </c>
      <c r="J54" s="258">
        <v>14143800000</v>
      </c>
      <c r="K54" s="256" t="s">
        <v>1346</v>
      </c>
    </row>
    <row r="55" spans="1:11" x14ac:dyDescent="0.3">
      <c r="A55" s="256">
        <v>48</v>
      </c>
      <c r="B55" s="257" t="s">
        <v>1478</v>
      </c>
      <c r="C55" s="276">
        <v>44561</v>
      </c>
      <c r="D55" s="257" t="s">
        <v>1275</v>
      </c>
      <c r="E55" s="256" t="s">
        <v>1808</v>
      </c>
      <c r="F55" s="256" t="s">
        <v>1745</v>
      </c>
      <c r="G55" s="258">
        <v>11445000000</v>
      </c>
      <c r="H55" s="265">
        <v>0.1</v>
      </c>
      <c r="I55" s="258">
        <v>1144500000</v>
      </c>
      <c r="J55" s="258">
        <v>12589500000</v>
      </c>
      <c r="K55" s="256" t="s">
        <v>1346</v>
      </c>
    </row>
    <row r="56" spans="1:11" x14ac:dyDescent="0.3">
      <c r="A56" s="256">
        <v>49</v>
      </c>
      <c r="B56" s="257" t="s">
        <v>1489</v>
      </c>
      <c r="C56" s="276">
        <v>44561</v>
      </c>
      <c r="D56" s="257" t="s">
        <v>1260</v>
      </c>
      <c r="E56" s="256" t="s">
        <v>1804</v>
      </c>
      <c r="F56" s="256" t="s">
        <v>1745</v>
      </c>
      <c r="G56" s="258">
        <v>11597000000</v>
      </c>
      <c r="H56" s="265">
        <v>0.1</v>
      </c>
      <c r="I56" s="258">
        <v>1159700000</v>
      </c>
      <c r="J56" s="258">
        <v>12756700000</v>
      </c>
      <c r="K56" s="256" t="s">
        <v>1348</v>
      </c>
    </row>
    <row r="57" spans="1:11" x14ac:dyDescent="0.3">
      <c r="A57" s="256">
        <v>50</v>
      </c>
      <c r="B57" s="257" t="s">
        <v>1490</v>
      </c>
      <c r="C57" s="276">
        <v>44561</v>
      </c>
      <c r="D57" s="257" t="s">
        <v>1260</v>
      </c>
      <c r="E57" s="256" t="s">
        <v>1804</v>
      </c>
      <c r="F57" s="256" t="s">
        <v>1746</v>
      </c>
      <c r="G57" s="258">
        <v>17474000000</v>
      </c>
      <c r="H57" s="265">
        <v>0</v>
      </c>
      <c r="I57" s="258">
        <v>0</v>
      </c>
      <c r="J57" s="258">
        <v>17474000000</v>
      </c>
      <c r="K57" s="256" t="s">
        <v>1346</v>
      </c>
    </row>
    <row r="58" spans="1:11" x14ac:dyDescent="0.3">
      <c r="A58" s="266" t="s">
        <v>1351</v>
      </c>
      <c r="B58" s="266"/>
      <c r="C58" s="266"/>
      <c r="D58" s="266"/>
      <c r="E58" s="266"/>
      <c r="F58" s="266"/>
      <c r="G58" s="267">
        <f>SUM(G8:G57)</f>
        <v>664907000000</v>
      </c>
      <c r="H58" s="266"/>
      <c r="I58" s="267">
        <f>SUM(I8:I57)</f>
        <v>57804200000</v>
      </c>
      <c r="J58" s="267">
        <f>SUM(J8:J57)</f>
        <v>722711200000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1285</v>
      </c>
      <c r="E62" s="256" t="s">
        <v>1793</v>
      </c>
      <c r="F62" s="256" t="s">
        <v>1748</v>
      </c>
      <c r="G62" s="258">
        <v>22412000000</v>
      </c>
      <c r="H62" s="265">
        <v>0.1</v>
      </c>
      <c r="I62" s="258">
        <v>2241200000</v>
      </c>
      <c r="J62" s="258">
        <v>24653200000</v>
      </c>
      <c r="K62" s="256" t="s">
        <v>1346</v>
      </c>
    </row>
    <row r="63" spans="1:11" x14ac:dyDescent="0.3">
      <c r="A63" s="256">
        <v>2</v>
      </c>
      <c r="B63" s="257" t="s">
        <v>1201</v>
      </c>
      <c r="C63" s="276">
        <v>44318</v>
      </c>
      <c r="D63" s="257" t="s">
        <v>1267</v>
      </c>
      <c r="E63" s="256" t="s">
        <v>1810</v>
      </c>
      <c r="F63" s="256" t="s">
        <v>1747</v>
      </c>
      <c r="G63" s="258">
        <v>16547000000</v>
      </c>
      <c r="H63" s="265">
        <v>0.1</v>
      </c>
      <c r="I63" s="258">
        <v>1654700000</v>
      </c>
      <c r="J63" s="258">
        <v>18201700000</v>
      </c>
      <c r="K63" s="256" t="s">
        <v>1348</v>
      </c>
    </row>
    <row r="64" spans="1:11" x14ac:dyDescent="0.3">
      <c r="A64" s="256">
        <v>3</v>
      </c>
      <c r="B64" s="257" t="s">
        <v>1202</v>
      </c>
      <c r="C64" s="276">
        <v>44472</v>
      </c>
      <c r="D64" s="257" t="s">
        <v>1302</v>
      </c>
      <c r="E64" s="256" t="s">
        <v>1784</v>
      </c>
      <c r="F64" s="256" t="s">
        <v>1750</v>
      </c>
      <c r="G64" s="258">
        <v>17467000000</v>
      </c>
      <c r="H64" s="265">
        <v>0.1</v>
      </c>
      <c r="I64" s="258">
        <v>1746700000</v>
      </c>
      <c r="J64" s="258">
        <v>19213700000</v>
      </c>
      <c r="K64" s="256" t="s">
        <v>1346</v>
      </c>
    </row>
    <row r="65" spans="1:11" x14ac:dyDescent="0.3">
      <c r="A65" s="256">
        <v>4</v>
      </c>
      <c r="B65" s="257" t="s">
        <v>1355</v>
      </c>
      <c r="C65" s="276">
        <v>44473</v>
      </c>
      <c r="D65" s="257" t="s">
        <v>1290</v>
      </c>
      <c r="E65" s="256" t="s">
        <v>1796</v>
      </c>
      <c r="F65" s="256" t="s">
        <v>1747</v>
      </c>
      <c r="G65" s="258">
        <v>11477000000</v>
      </c>
      <c r="H65" s="265">
        <v>0</v>
      </c>
      <c r="I65" s="258">
        <v>0</v>
      </c>
      <c r="J65" s="258">
        <v>11477000000</v>
      </c>
      <c r="K65" s="256" t="s">
        <v>1346</v>
      </c>
    </row>
    <row r="66" spans="1:11" x14ac:dyDescent="0.3">
      <c r="A66" s="256">
        <v>5</v>
      </c>
      <c r="B66" s="257" t="s">
        <v>1356</v>
      </c>
      <c r="C66" s="276">
        <v>44474</v>
      </c>
      <c r="D66" s="257" t="s">
        <v>1261</v>
      </c>
      <c r="E66" s="256" t="s">
        <v>1813</v>
      </c>
      <c r="F66" s="256" t="s">
        <v>1748</v>
      </c>
      <c r="G66" s="258">
        <v>17233000000</v>
      </c>
      <c r="H66" s="265">
        <v>0.1</v>
      </c>
      <c r="I66" s="258">
        <v>1723300000</v>
      </c>
      <c r="J66" s="258">
        <v>18956300000</v>
      </c>
      <c r="K66" s="256" t="s">
        <v>1346</v>
      </c>
    </row>
    <row r="67" spans="1:11" x14ac:dyDescent="0.3">
      <c r="A67" s="256">
        <v>6</v>
      </c>
      <c r="B67" s="257" t="s">
        <v>1358</v>
      </c>
      <c r="C67" s="276">
        <v>44475</v>
      </c>
      <c r="D67" s="257" t="s">
        <v>1257</v>
      </c>
      <c r="E67" s="256" t="s">
        <v>1815</v>
      </c>
      <c r="F67" s="256" t="s">
        <v>1748</v>
      </c>
      <c r="G67" s="258">
        <v>17889000000</v>
      </c>
      <c r="H67" s="265">
        <v>0.1</v>
      </c>
      <c r="I67" s="258">
        <v>1788900000</v>
      </c>
      <c r="J67" s="258">
        <v>19677900000</v>
      </c>
      <c r="K67" s="256" t="s">
        <v>1346</v>
      </c>
    </row>
    <row r="68" spans="1:11" x14ac:dyDescent="0.3">
      <c r="A68" s="256">
        <v>7</v>
      </c>
      <c r="B68" s="257" t="s">
        <v>1360</v>
      </c>
      <c r="C68" s="276">
        <v>44476</v>
      </c>
      <c r="D68" s="257" t="s">
        <v>1261</v>
      </c>
      <c r="E68" s="256" t="s">
        <v>1813</v>
      </c>
      <c r="F68" s="256" t="s">
        <v>1747</v>
      </c>
      <c r="G68" s="258">
        <v>7873000000</v>
      </c>
      <c r="H68" s="265">
        <v>0.1</v>
      </c>
      <c r="I68" s="258">
        <v>787300000</v>
      </c>
      <c r="J68" s="258">
        <v>8660300000</v>
      </c>
      <c r="K68" s="256" t="s">
        <v>1348</v>
      </c>
    </row>
    <row r="69" spans="1:11" x14ac:dyDescent="0.3">
      <c r="A69" s="256">
        <v>8</v>
      </c>
      <c r="B69" s="257" t="s">
        <v>1362</v>
      </c>
      <c r="C69" s="276">
        <v>44477</v>
      </c>
      <c r="D69" s="257" t="s">
        <v>1272</v>
      </c>
      <c r="E69" s="256" t="s">
        <v>1805</v>
      </c>
      <c r="F69" s="256" t="s">
        <v>1750</v>
      </c>
      <c r="G69" s="258">
        <v>15931000000</v>
      </c>
      <c r="H69" s="265">
        <v>0.1</v>
      </c>
      <c r="I69" s="258">
        <v>1593100000</v>
      </c>
      <c r="J69" s="258">
        <v>17524100000</v>
      </c>
      <c r="K69" s="256" t="s">
        <v>1346</v>
      </c>
    </row>
    <row r="70" spans="1:11" x14ac:dyDescent="0.3">
      <c r="A70" s="256">
        <v>9</v>
      </c>
      <c r="B70" s="257" t="s">
        <v>1364</v>
      </c>
      <c r="C70" s="276">
        <v>44478</v>
      </c>
      <c r="D70" s="257" t="s">
        <v>1284</v>
      </c>
      <c r="E70" s="256" t="s">
        <v>1786</v>
      </c>
      <c r="F70" s="256" t="s">
        <v>1750</v>
      </c>
      <c r="G70" s="258">
        <v>21502000000</v>
      </c>
      <c r="H70" s="265">
        <v>0.1</v>
      </c>
      <c r="I70" s="258">
        <v>2150200000</v>
      </c>
      <c r="J70" s="258">
        <v>23652200000</v>
      </c>
      <c r="K70" s="256" t="s">
        <v>1346</v>
      </c>
    </row>
    <row r="71" spans="1:11" x14ac:dyDescent="0.3">
      <c r="A71" s="256">
        <v>10</v>
      </c>
      <c r="B71" s="257" t="s">
        <v>1366</v>
      </c>
      <c r="C71" s="276">
        <v>44479</v>
      </c>
      <c r="D71" s="257" t="s">
        <v>1262</v>
      </c>
      <c r="E71" s="256" t="s">
        <v>1816</v>
      </c>
      <c r="F71" s="256" t="s">
        <v>1748</v>
      </c>
      <c r="G71" s="258">
        <v>21689000000</v>
      </c>
      <c r="H71" s="265">
        <v>0.1</v>
      </c>
      <c r="I71" s="258">
        <v>2168900000</v>
      </c>
      <c r="J71" s="258">
        <v>23857900000</v>
      </c>
      <c r="K71" s="256" t="s">
        <v>1346</v>
      </c>
    </row>
    <row r="72" spans="1:11" x14ac:dyDescent="0.3">
      <c r="A72" s="256">
        <v>11</v>
      </c>
      <c r="B72" s="257" t="s">
        <v>1368</v>
      </c>
      <c r="C72" s="276">
        <v>44480</v>
      </c>
      <c r="D72" s="257" t="s">
        <v>1285</v>
      </c>
      <c r="E72" s="256" t="s">
        <v>1793</v>
      </c>
      <c r="F72" s="256" t="s">
        <v>1747</v>
      </c>
      <c r="G72" s="258">
        <v>28402000000</v>
      </c>
      <c r="H72" s="265">
        <v>0</v>
      </c>
      <c r="I72" s="258">
        <v>0</v>
      </c>
      <c r="J72" s="258">
        <v>28402000000</v>
      </c>
      <c r="K72" s="256" t="s">
        <v>1346</v>
      </c>
    </row>
    <row r="73" spans="1:11" x14ac:dyDescent="0.3">
      <c r="A73" s="256">
        <v>12</v>
      </c>
      <c r="B73" s="257" t="s">
        <v>1371</v>
      </c>
      <c r="C73" s="276">
        <v>44481</v>
      </c>
      <c r="D73" s="257" t="s">
        <v>1303</v>
      </c>
      <c r="E73" s="256" t="s">
        <v>1817</v>
      </c>
      <c r="F73" s="256" t="s">
        <v>1750</v>
      </c>
      <c r="G73" s="258">
        <v>30620000000</v>
      </c>
      <c r="H73" s="265">
        <v>0.1</v>
      </c>
      <c r="I73" s="258">
        <v>3062000000</v>
      </c>
      <c r="J73" s="258">
        <v>33682000000</v>
      </c>
      <c r="K73" s="256" t="s">
        <v>1346</v>
      </c>
    </row>
    <row r="74" spans="1:11" x14ac:dyDescent="0.3">
      <c r="A74" s="256">
        <v>13</v>
      </c>
      <c r="B74" s="257" t="s">
        <v>1373</v>
      </c>
      <c r="C74" s="276">
        <v>44211</v>
      </c>
      <c r="D74" s="257" t="s">
        <v>1290</v>
      </c>
      <c r="E74" s="256" t="s">
        <v>1796</v>
      </c>
      <c r="F74" s="256" t="s">
        <v>1750</v>
      </c>
      <c r="G74" s="258">
        <v>28689000000</v>
      </c>
      <c r="H74" s="265">
        <v>0.1</v>
      </c>
      <c r="I74" s="258">
        <v>2868900000</v>
      </c>
      <c r="J74" s="258">
        <v>31557900000</v>
      </c>
      <c r="K74" s="256" t="s">
        <v>1346</v>
      </c>
    </row>
    <row r="75" spans="1:11" x14ac:dyDescent="0.3">
      <c r="A75" s="256">
        <v>14</v>
      </c>
      <c r="B75" s="257" t="s">
        <v>1374</v>
      </c>
      <c r="C75" s="276">
        <v>44242</v>
      </c>
      <c r="D75" s="257" t="s">
        <v>1284</v>
      </c>
      <c r="E75" s="256" t="s">
        <v>1786</v>
      </c>
      <c r="F75" s="256" t="s">
        <v>1750</v>
      </c>
      <c r="G75" s="258">
        <v>15370000000</v>
      </c>
      <c r="H75" s="265">
        <v>0.1</v>
      </c>
      <c r="I75" s="258">
        <v>1537000000</v>
      </c>
      <c r="J75" s="258">
        <v>16907000000</v>
      </c>
      <c r="K75" s="256" t="s">
        <v>1346</v>
      </c>
    </row>
    <row r="76" spans="1:11" x14ac:dyDescent="0.3">
      <c r="A76" s="256">
        <v>15</v>
      </c>
      <c r="B76" s="257" t="s">
        <v>1376</v>
      </c>
      <c r="C76" s="276">
        <v>44275</v>
      </c>
      <c r="D76" s="257" t="s">
        <v>1282</v>
      </c>
      <c r="E76" s="256" t="s">
        <v>1789</v>
      </c>
      <c r="F76" s="256" t="s">
        <v>1748</v>
      </c>
      <c r="G76" s="258">
        <v>14123000000</v>
      </c>
      <c r="H76" s="265">
        <v>0.1</v>
      </c>
      <c r="I76" s="258">
        <v>1412300000</v>
      </c>
      <c r="J76" s="258">
        <v>15535300000</v>
      </c>
      <c r="K76" s="256" t="s">
        <v>1346</v>
      </c>
    </row>
    <row r="77" spans="1:11" x14ac:dyDescent="0.3">
      <c r="A77" s="256">
        <v>16</v>
      </c>
      <c r="B77" s="257" t="s">
        <v>1378</v>
      </c>
      <c r="C77" s="276">
        <v>44306</v>
      </c>
      <c r="D77" s="257" t="s">
        <v>1261</v>
      </c>
      <c r="E77" s="256" t="s">
        <v>1813</v>
      </c>
      <c r="F77" s="256" t="s">
        <v>1748</v>
      </c>
      <c r="G77" s="258">
        <v>23871000000</v>
      </c>
      <c r="H77" s="265">
        <v>0.1</v>
      </c>
      <c r="I77" s="258">
        <v>2387100000</v>
      </c>
      <c r="J77" s="258">
        <v>26258100000</v>
      </c>
      <c r="K77" s="256" t="s">
        <v>1346</v>
      </c>
    </row>
    <row r="78" spans="1:11" x14ac:dyDescent="0.3">
      <c r="A78" s="256">
        <v>17</v>
      </c>
      <c r="B78" s="257" t="s">
        <v>1379</v>
      </c>
      <c r="C78" s="276">
        <v>44336</v>
      </c>
      <c r="D78" s="257" t="s">
        <v>1289</v>
      </c>
      <c r="E78" s="256" t="s">
        <v>1803</v>
      </c>
      <c r="F78" s="256" t="s">
        <v>1750</v>
      </c>
      <c r="G78" s="258">
        <v>12110000000</v>
      </c>
      <c r="H78" s="265">
        <v>0.1</v>
      </c>
      <c r="I78" s="258">
        <v>1211000000</v>
      </c>
      <c r="J78" s="258">
        <v>13321000000</v>
      </c>
      <c r="K78" s="256" t="s">
        <v>1346</v>
      </c>
    </row>
    <row r="79" spans="1:11" x14ac:dyDescent="0.3">
      <c r="A79" s="256">
        <v>18</v>
      </c>
      <c r="B79" s="257" t="s">
        <v>1381</v>
      </c>
      <c r="C79" s="276">
        <v>44367</v>
      </c>
      <c r="D79" s="257" t="s">
        <v>1290</v>
      </c>
      <c r="E79" s="256" t="s">
        <v>1796</v>
      </c>
      <c r="F79" s="256" t="s">
        <v>1748</v>
      </c>
      <c r="G79" s="258">
        <v>28003000000</v>
      </c>
      <c r="H79" s="265">
        <v>0.1</v>
      </c>
      <c r="I79" s="258">
        <v>2800300000</v>
      </c>
      <c r="J79" s="258">
        <v>30803300000</v>
      </c>
      <c r="K79" s="256" t="s">
        <v>1346</v>
      </c>
    </row>
    <row r="80" spans="1:11" x14ac:dyDescent="0.3">
      <c r="A80" s="256">
        <v>19</v>
      </c>
      <c r="B80" s="257" t="s">
        <v>1382</v>
      </c>
      <c r="C80" s="276">
        <v>44397</v>
      </c>
      <c r="D80" s="257" t="s">
        <v>1290</v>
      </c>
      <c r="E80" s="256" t="s">
        <v>1796</v>
      </c>
      <c r="F80" s="256" t="s">
        <v>1747</v>
      </c>
      <c r="G80" s="258">
        <v>27915000000</v>
      </c>
      <c r="H80" s="265">
        <v>0.1</v>
      </c>
      <c r="I80" s="258">
        <v>2791500000</v>
      </c>
      <c r="J80" s="258">
        <v>30706500000</v>
      </c>
      <c r="K80" s="256" t="s">
        <v>1346</v>
      </c>
    </row>
    <row r="81" spans="1:11" x14ac:dyDescent="0.3">
      <c r="A81" s="256">
        <v>20</v>
      </c>
      <c r="B81" s="257" t="s">
        <v>1383</v>
      </c>
      <c r="C81" s="276">
        <v>44428</v>
      </c>
      <c r="D81" s="257" t="s">
        <v>1283</v>
      </c>
      <c r="E81" s="256" t="s">
        <v>1798</v>
      </c>
      <c r="F81" s="256" t="s">
        <v>1748</v>
      </c>
      <c r="G81" s="258">
        <v>15345000000</v>
      </c>
      <c r="H81" s="265">
        <v>0.1</v>
      </c>
      <c r="I81" s="258">
        <v>1534500000</v>
      </c>
      <c r="J81" s="258">
        <v>16879500000</v>
      </c>
      <c r="K81" s="256" t="s">
        <v>1346</v>
      </c>
    </row>
    <row r="82" spans="1:11" x14ac:dyDescent="0.3">
      <c r="A82" s="256">
        <v>21</v>
      </c>
      <c r="B82" s="257" t="s">
        <v>1203</v>
      </c>
      <c r="C82" s="276">
        <v>44459</v>
      </c>
      <c r="D82" s="257" t="s">
        <v>1292</v>
      </c>
      <c r="E82" s="256" t="s">
        <v>1792</v>
      </c>
      <c r="F82" s="256" t="s">
        <v>1750</v>
      </c>
      <c r="G82" s="258">
        <v>13646000000</v>
      </c>
      <c r="H82" s="265">
        <v>0.1</v>
      </c>
      <c r="I82" s="258">
        <v>1364600000</v>
      </c>
      <c r="J82" s="258">
        <v>15010600000</v>
      </c>
      <c r="K82" s="256" t="s">
        <v>1346</v>
      </c>
    </row>
    <row r="83" spans="1:11" x14ac:dyDescent="0.3">
      <c r="A83" s="256">
        <v>22</v>
      </c>
      <c r="B83" s="257" t="s">
        <v>1204</v>
      </c>
      <c r="C83" s="276">
        <v>44489</v>
      </c>
      <c r="D83" s="257" t="s">
        <v>1300</v>
      </c>
      <c r="E83" s="256" t="s">
        <v>1818</v>
      </c>
      <c r="F83" s="256" t="s">
        <v>1748</v>
      </c>
      <c r="G83" s="258">
        <v>13648000000</v>
      </c>
      <c r="H83" s="265">
        <v>0.1</v>
      </c>
      <c r="I83" s="258">
        <v>1364800000</v>
      </c>
      <c r="J83" s="258">
        <v>15012800000</v>
      </c>
      <c r="K83" s="256" t="s">
        <v>1346</v>
      </c>
    </row>
    <row r="84" spans="1:11" x14ac:dyDescent="0.3">
      <c r="A84" s="256">
        <v>23</v>
      </c>
      <c r="B84" s="257" t="s">
        <v>1205</v>
      </c>
      <c r="C84" s="276">
        <v>44520</v>
      </c>
      <c r="D84" s="257" t="s">
        <v>1298</v>
      </c>
      <c r="E84" s="256" t="s">
        <v>1819</v>
      </c>
      <c r="F84" s="256" t="s">
        <v>1750</v>
      </c>
      <c r="G84" s="258">
        <v>27866000000</v>
      </c>
      <c r="H84" s="265">
        <v>0.1</v>
      </c>
      <c r="I84" s="258">
        <v>2786600000</v>
      </c>
      <c r="J84" s="258">
        <v>30652600000</v>
      </c>
      <c r="K84" s="256" t="s">
        <v>1346</v>
      </c>
    </row>
    <row r="85" spans="1:11" x14ac:dyDescent="0.3">
      <c r="A85" s="256">
        <v>24</v>
      </c>
      <c r="B85" s="257" t="s">
        <v>1385</v>
      </c>
      <c r="C85" s="276">
        <v>44550</v>
      </c>
      <c r="D85" s="257" t="s">
        <v>1294</v>
      </c>
      <c r="E85" s="256" t="s">
        <v>1795</v>
      </c>
      <c r="F85" s="256" t="s">
        <v>1747</v>
      </c>
      <c r="G85" s="258">
        <v>17294000000</v>
      </c>
      <c r="H85" s="265">
        <v>0.1</v>
      </c>
      <c r="I85" s="258">
        <v>1729400000</v>
      </c>
      <c r="J85" s="258">
        <v>19023400000</v>
      </c>
      <c r="K85" s="256" t="s">
        <v>1348</v>
      </c>
    </row>
    <row r="86" spans="1:11" x14ac:dyDescent="0.3">
      <c r="A86" s="256">
        <v>25</v>
      </c>
      <c r="B86" s="257" t="s">
        <v>1387</v>
      </c>
      <c r="C86" s="276">
        <v>44221</v>
      </c>
      <c r="D86" s="257" t="s">
        <v>1267</v>
      </c>
      <c r="E86" s="256" t="s">
        <v>1810</v>
      </c>
      <c r="F86" s="256" t="s">
        <v>1747</v>
      </c>
      <c r="G86" s="258">
        <v>25703000000</v>
      </c>
      <c r="H86" s="265">
        <v>0.1</v>
      </c>
      <c r="I86" s="258">
        <v>2570300000</v>
      </c>
      <c r="J86" s="258">
        <v>28273300000</v>
      </c>
      <c r="K86" s="256" t="s">
        <v>1346</v>
      </c>
    </row>
    <row r="87" spans="1:11" x14ac:dyDescent="0.3">
      <c r="A87" s="256">
        <v>26</v>
      </c>
      <c r="B87" s="257" t="s">
        <v>1388</v>
      </c>
      <c r="C87" s="276">
        <v>44255</v>
      </c>
      <c r="D87" s="257" t="s">
        <v>1297</v>
      </c>
      <c r="E87" s="256" t="s">
        <v>1820</v>
      </c>
      <c r="F87" s="256" t="s">
        <v>1750</v>
      </c>
      <c r="G87" s="258">
        <v>12880000000</v>
      </c>
      <c r="H87" s="265">
        <v>0.1</v>
      </c>
      <c r="I87" s="258">
        <v>1288000000</v>
      </c>
      <c r="J87" s="258">
        <v>14168000000</v>
      </c>
      <c r="K87" s="256" t="s">
        <v>1346</v>
      </c>
    </row>
    <row r="88" spans="1:11" x14ac:dyDescent="0.3">
      <c r="A88" s="256">
        <v>27</v>
      </c>
      <c r="B88" s="257" t="s">
        <v>1391</v>
      </c>
      <c r="C88" s="276">
        <v>44316</v>
      </c>
      <c r="D88" s="257" t="s">
        <v>1282</v>
      </c>
      <c r="E88" s="256" t="s">
        <v>1789</v>
      </c>
      <c r="F88" s="256" t="s">
        <v>1750</v>
      </c>
      <c r="G88" s="258">
        <v>27779000000</v>
      </c>
      <c r="H88" s="265">
        <v>0.1</v>
      </c>
      <c r="I88" s="258">
        <v>2777900000</v>
      </c>
      <c r="J88" s="258">
        <v>30556900000</v>
      </c>
      <c r="K88" s="256" t="s">
        <v>1348</v>
      </c>
    </row>
    <row r="89" spans="1:11" x14ac:dyDescent="0.3">
      <c r="A89" s="256">
        <v>28</v>
      </c>
      <c r="B89" s="257" t="s">
        <v>1392</v>
      </c>
      <c r="C89" s="276">
        <v>44377</v>
      </c>
      <c r="D89" s="257" t="s">
        <v>1302</v>
      </c>
      <c r="E89" s="256" t="s">
        <v>1784</v>
      </c>
      <c r="F89" s="256" t="s">
        <v>1748</v>
      </c>
      <c r="G89" s="258">
        <v>16998000000</v>
      </c>
      <c r="H89" s="265">
        <v>0</v>
      </c>
      <c r="I89" s="258">
        <v>0</v>
      </c>
      <c r="J89" s="258">
        <v>16998000000</v>
      </c>
      <c r="K89" s="256" t="s">
        <v>1346</v>
      </c>
    </row>
    <row r="90" spans="1:11" x14ac:dyDescent="0.3">
      <c r="A90" s="256">
        <v>29</v>
      </c>
      <c r="B90" s="257" t="s">
        <v>1394</v>
      </c>
      <c r="C90" s="276">
        <v>44469</v>
      </c>
      <c r="D90" s="257" t="s">
        <v>1289</v>
      </c>
      <c r="E90" s="256" t="s">
        <v>1803</v>
      </c>
      <c r="F90" s="256" t="s">
        <v>1747</v>
      </c>
      <c r="G90" s="258">
        <v>9020000000</v>
      </c>
      <c r="H90" s="265">
        <v>0.1</v>
      </c>
      <c r="I90" s="258">
        <v>902000000</v>
      </c>
      <c r="J90" s="258">
        <v>9922000000</v>
      </c>
      <c r="K90" s="256" t="s">
        <v>1346</v>
      </c>
    </row>
    <row r="91" spans="1:11" x14ac:dyDescent="0.3">
      <c r="A91" s="256">
        <v>30</v>
      </c>
      <c r="B91" s="257" t="s">
        <v>1396</v>
      </c>
      <c r="C91" s="276">
        <v>44530</v>
      </c>
      <c r="D91" s="257" t="s">
        <v>1280</v>
      </c>
      <c r="E91" s="256" t="s">
        <v>1777</v>
      </c>
      <c r="F91" s="256" t="s">
        <v>1747</v>
      </c>
      <c r="G91" s="258">
        <v>27356000000</v>
      </c>
      <c r="H91" s="265">
        <v>0.1</v>
      </c>
      <c r="I91" s="258">
        <v>2735600000</v>
      </c>
      <c r="J91" s="258">
        <v>30091600000</v>
      </c>
      <c r="K91" s="256" t="s">
        <v>1346</v>
      </c>
    </row>
    <row r="92" spans="1:11" x14ac:dyDescent="0.3">
      <c r="A92" s="256">
        <v>31</v>
      </c>
      <c r="B92" s="257" t="s">
        <v>1397</v>
      </c>
      <c r="C92" s="276">
        <v>44286</v>
      </c>
      <c r="D92" s="257" t="s">
        <v>1299</v>
      </c>
      <c r="E92" s="256" t="s">
        <v>1776</v>
      </c>
      <c r="F92" s="256" t="s">
        <v>1748</v>
      </c>
      <c r="G92" s="258">
        <v>9142000000</v>
      </c>
      <c r="H92" s="265">
        <v>0.1</v>
      </c>
      <c r="I92" s="258">
        <v>914200000</v>
      </c>
      <c r="J92" s="258">
        <v>10056200000</v>
      </c>
      <c r="K92" s="256" t="s">
        <v>1346</v>
      </c>
    </row>
    <row r="93" spans="1:11" x14ac:dyDescent="0.3">
      <c r="A93" s="256">
        <v>32</v>
      </c>
      <c r="B93" s="257" t="s">
        <v>1398</v>
      </c>
      <c r="C93" s="276">
        <v>44347</v>
      </c>
      <c r="D93" s="257" t="s">
        <v>1268</v>
      </c>
      <c r="E93" s="256" t="s">
        <v>1821</v>
      </c>
      <c r="F93" s="256" t="s">
        <v>1750</v>
      </c>
      <c r="G93" s="258">
        <v>22503000000</v>
      </c>
      <c r="H93" s="265">
        <v>0.1</v>
      </c>
      <c r="I93" s="258">
        <v>2250300000</v>
      </c>
      <c r="J93" s="258">
        <v>24753300000</v>
      </c>
      <c r="K93" s="256" t="s">
        <v>1348</v>
      </c>
    </row>
    <row r="94" spans="1:11" x14ac:dyDescent="0.3">
      <c r="A94" s="256">
        <v>33</v>
      </c>
      <c r="B94" s="257" t="s">
        <v>1399</v>
      </c>
      <c r="C94" s="276">
        <v>44408</v>
      </c>
      <c r="D94" s="257" t="s">
        <v>1276</v>
      </c>
      <c r="E94" s="256" t="s">
        <v>1822</v>
      </c>
      <c r="F94" s="256" t="s">
        <v>1750</v>
      </c>
      <c r="G94" s="258">
        <v>29915000000</v>
      </c>
      <c r="H94" s="265">
        <v>0</v>
      </c>
      <c r="I94" s="258">
        <v>0</v>
      </c>
      <c r="J94" s="258">
        <v>29915000000</v>
      </c>
      <c r="K94" s="256" t="s">
        <v>1346</v>
      </c>
    </row>
    <row r="95" spans="1:11" x14ac:dyDescent="0.3">
      <c r="A95" s="256">
        <v>34</v>
      </c>
      <c r="B95" s="257" t="s">
        <v>1401</v>
      </c>
      <c r="C95" s="276">
        <v>44439</v>
      </c>
      <c r="D95" s="257" t="s">
        <v>1263</v>
      </c>
      <c r="E95" s="256" t="s">
        <v>1790</v>
      </c>
      <c r="F95" s="256" t="s">
        <v>1750</v>
      </c>
      <c r="G95" s="258">
        <v>11108000000</v>
      </c>
      <c r="H95" s="265">
        <v>0.1</v>
      </c>
      <c r="I95" s="258">
        <v>1110800000</v>
      </c>
      <c r="J95" s="258">
        <v>12218800000</v>
      </c>
      <c r="K95" s="256" t="s">
        <v>1346</v>
      </c>
    </row>
    <row r="96" spans="1:11" x14ac:dyDescent="0.3">
      <c r="A96" s="256">
        <v>35</v>
      </c>
      <c r="B96" s="257" t="s">
        <v>1402</v>
      </c>
      <c r="C96" s="276">
        <v>44500</v>
      </c>
      <c r="D96" s="257" t="s">
        <v>1288</v>
      </c>
      <c r="E96" s="256" t="s">
        <v>1797</v>
      </c>
      <c r="F96" s="256" t="s">
        <v>1750</v>
      </c>
      <c r="G96" s="258">
        <v>13994000000</v>
      </c>
      <c r="H96" s="265">
        <v>0.1</v>
      </c>
      <c r="I96" s="258">
        <v>1399400000</v>
      </c>
      <c r="J96" s="258">
        <v>15393400000</v>
      </c>
      <c r="K96" s="256" t="s">
        <v>1346</v>
      </c>
    </row>
    <row r="97" spans="1:11" x14ac:dyDescent="0.3">
      <c r="A97" s="256">
        <v>36</v>
      </c>
      <c r="B97" s="257" t="s">
        <v>1403</v>
      </c>
      <c r="C97" s="276">
        <v>44561</v>
      </c>
      <c r="D97" s="257" t="s">
        <v>1268</v>
      </c>
      <c r="E97" s="256" t="s">
        <v>1821</v>
      </c>
      <c r="F97" s="256" t="s">
        <v>1748</v>
      </c>
      <c r="G97" s="258">
        <v>21620000000</v>
      </c>
      <c r="H97" s="265">
        <v>0.1</v>
      </c>
      <c r="I97" s="258">
        <v>2162000000</v>
      </c>
      <c r="J97" s="258">
        <v>23782000000</v>
      </c>
      <c r="K97" s="256" t="s">
        <v>1346</v>
      </c>
    </row>
    <row r="98" spans="1:11" x14ac:dyDescent="0.3">
      <c r="A98" s="256">
        <v>37</v>
      </c>
      <c r="B98" s="257" t="s">
        <v>1404</v>
      </c>
      <c r="C98" s="276">
        <v>44561</v>
      </c>
      <c r="D98" s="257" t="s">
        <v>1267</v>
      </c>
      <c r="E98" s="256" t="s">
        <v>1810</v>
      </c>
      <c r="F98" s="256" t="s">
        <v>1750</v>
      </c>
      <c r="G98" s="258">
        <v>9140000000</v>
      </c>
      <c r="H98" s="265">
        <v>0.1</v>
      </c>
      <c r="I98" s="258">
        <v>914000000</v>
      </c>
      <c r="J98" s="258">
        <v>10054000000</v>
      </c>
      <c r="K98" s="256" t="s">
        <v>1346</v>
      </c>
    </row>
    <row r="99" spans="1:11" x14ac:dyDescent="0.3">
      <c r="A99" s="256">
        <v>38</v>
      </c>
      <c r="B99" s="257" t="s">
        <v>1405</v>
      </c>
      <c r="C99" s="276">
        <v>44561</v>
      </c>
      <c r="D99" s="257" t="s">
        <v>1287</v>
      </c>
      <c r="E99" s="256" t="s">
        <v>1801</v>
      </c>
      <c r="F99" s="256" t="s">
        <v>1750</v>
      </c>
      <c r="G99" s="258">
        <v>29689000000</v>
      </c>
      <c r="H99" s="265">
        <v>0</v>
      </c>
      <c r="I99" s="258">
        <v>0</v>
      </c>
      <c r="J99" s="258">
        <v>29689000000</v>
      </c>
      <c r="K99" s="256" t="s">
        <v>1346</v>
      </c>
    </row>
    <row r="100" spans="1:11" x14ac:dyDescent="0.3">
      <c r="A100" s="256">
        <v>39</v>
      </c>
      <c r="B100" s="257" t="s">
        <v>1406</v>
      </c>
      <c r="C100" s="276">
        <v>44561</v>
      </c>
      <c r="D100" s="257" t="s">
        <v>1281</v>
      </c>
      <c r="E100" s="256" t="s">
        <v>1806</v>
      </c>
      <c r="F100" s="256" t="s">
        <v>1747</v>
      </c>
      <c r="G100" s="258">
        <v>8483000000</v>
      </c>
      <c r="H100" s="265">
        <v>0</v>
      </c>
      <c r="I100" s="258">
        <v>0</v>
      </c>
      <c r="J100" s="258">
        <v>8483000000</v>
      </c>
      <c r="K100" s="256" t="s">
        <v>1348</v>
      </c>
    </row>
    <row r="101" spans="1:11" x14ac:dyDescent="0.3">
      <c r="A101" s="256">
        <v>40</v>
      </c>
      <c r="B101" s="257" t="s">
        <v>1408</v>
      </c>
      <c r="C101" s="276">
        <v>44561</v>
      </c>
      <c r="D101" s="257" t="s">
        <v>1278</v>
      </c>
      <c r="E101" s="256" t="s">
        <v>1785</v>
      </c>
      <c r="F101" s="256" t="s">
        <v>1747</v>
      </c>
      <c r="G101" s="258">
        <v>26554000000</v>
      </c>
      <c r="H101" s="265">
        <v>0.1</v>
      </c>
      <c r="I101" s="258">
        <v>2655400000</v>
      </c>
      <c r="J101" s="258">
        <v>29209400000</v>
      </c>
      <c r="K101" s="256" t="s">
        <v>1346</v>
      </c>
    </row>
    <row r="102" spans="1:11" x14ac:dyDescent="0.3">
      <c r="A102" s="256">
        <v>41</v>
      </c>
      <c r="B102" s="257" t="s">
        <v>1409</v>
      </c>
      <c r="C102" s="276">
        <v>44561</v>
      </c>
      <c r="D102" s="257" t="s">
        <v>1281</v>
      </c>
      <c r="E102" s="256" t="s">
        <v>1806</v>
      </c>
      <c r="F102" s="256" t="s">
        <v>1748</v>
      </c>
      <c r="G102" s="258">
        <v>23882000000</v>
      </c>
      <c r="H102" s="265">
        <v>0.1</v>
      </c>
      <c r="I102" s="258">
        <v>2388200000</v>
      </c>
      <c r="J102" s="258">
        <v>26270200000</v>
      </c>
      <c r="K102" s="256" t="s">
        <v>1346</v>
      </c>
    </row>
    <row r="103" spans="1:11" x14ac:dyDescent="0.3">
      <c r="A103" s="256">
        <v>42</v>
      </c>
      <c r="B103" s="257" t="s">
        <v>1411</v>
      </c>
      <c r="C103" s="276">
        <v>44561</v>
      </c>
      <c r="D103" s="257" t="s">
        <v>1271</v>
      </c>
      <c r="E103" s="256" t="s">
        <v>1799</v>
      </c>
      <c r="F103" s="256" t="s">
        <v>1748</v>
      </c>
      <c r="G103" s="258">
        <v>20749000000</v>
      </c>
      <c r="H103" s="265">
        <v>0.1</v>
      </c>
      <c r="I103" s="258">
        <v>2074900000</v>
      </c>
      <c r="J103" s="258">
        <v>22823900000</v>
      </c>
      <c r="K103" s="256" t="s">
        <v>1346</v>
      </c>
    </row>
    <row r="104" spans="1:11" x14ac:dyDescent="0.3">
      <c r="A104" s="256">
        <v>43</v>
      </c>
      <c r="B104" s="257" t="s">
        <v>1414</v>
      </c>
      <c r="C104" s="276">
        <v>44561</v>
      </c>
      <c r="D104" s="257" t="s">
        <v>1289</v>
      </c>
      <c r="E104" s="256" t="s">
        <v>1803</v>
      </c>
      <c r="F104" s="256" t="s">
        <v>1750</v>
      </c>
      <c r="G104" s="258">
        <v>24868000000</v>
      </c>
      <c r="H104" s="265">
        <v>0.1</v>
      </c>
      <c r="I104" s="258">
        <v>2486800000</v>
      </c>
      <c r="J104" s="258">
        <v>27354800000</v>
      </c>
      <c r="K104" s="256" t="s">
        <v>1346</v>
      </c>
    </row>
    <row r="105" spans="1:11" x14ac:dyDescent="0.3">
      <c r="A105" s="256">
        <v>44</v>
      </c>
      <c r="B105" s="257" t="s">
        <v>1415</v>
      </c>
      <c r="C105" s="276">
        <v>44561</v>
      </c>
      <c r="D105" s="257" t="s">
        <v>1269</v>
      </c>
      <c r="E105" s="256" t="s">
        <v>1823</v>
      </c>
      <c r="F105" s="256" t="s">
        <v>1748</v>
      </c>
      <c r="G105" s="258">
        <v>14165000000</v>
      </c>
      <c r="H105" s="265">
        <v>0.1</v>
      </c>
      <c r="I105" s="258">
        <v>1416500000</v>
      </c>
      <c r="J105" s="258">
        <v>15581500000</v>
      </c>
      <c r="K105" s="256" t="s">
        <v>1348</v>
      </c>
    </row>
    <row r="106" spans="1:11" x14ac:dyDescent="0.3">
      <c r="A106" s="256">
        <v>45</v>
      </c>
      <c r="B106" s="257" t="s">
        <v>1206</v>
      </c>
      <c r="C106" s="276">
        <v>44561</v>
      </c>
      <c r="D106" s="257" t="s">
        <v>1267</v>
      </c>
      <c r="E106" s="256" t="s">
        <v>1810</v>
      </c>
      <c r="F106" s="256" t="s">
        <v>1750</v>
      </c>
      <c r="G106" s="258">
        <v>9708000000</v>
      </c>
      <c r="H106" s="265">
        <v>0.1</v>
      </c>
      <c r="I106" s="258">
        <v>970800000</v>
      </c>
      <c r="J106" s="258">
        <v>10678800000</v>
      </c>
      <c r="K106" s="256" t="s">
        <v>1346</v>
      </c>
    </row>
    <row r="107" spans="1:11" x14ac:dyDescent="0.3">
      <c r="A107" s="256">
        <v>46</v>
      </c>
      <c r="B107" s="257" t="s">
        <v>1207</v>
      </c>
      <c r="C107" s="276">
        <v>44561</v>
      </c>
      <c r="D107" s="257" t="s">
        <v>1291</v>
      </c>
      <c r="E107" s="256" t="s">
        <v>1800</v>
      </c>
      <c r="F107" s="256" t="s">
        <v>1748</v>
      </c>
      <c r="G107" s="258">
        <v>22103000000</v>
      </c>
      <c r="H107" s="265">
        <v>0.1</v>
      </c>
      <c r="I107" s="258">
        <v>2210300000</v>
      </c>
      <c r="J107" s="258">
        <v>24313300000</v>
      </c>
      <c r="K107" s="256" t="s">
        <v>1348</v>
      </c>
    </row>
    <row r="108" spans="1:11" x14ac:dyDescent="0.3">
      <c r="A108" s="256">
        <v>47</v>
      </c>
      <c r="B108" s="257" t="s">
        <v>1208</v>
      </c>
      <c r="C108" s="276">
        <v>44561</v>
      </c>
      <c r="D108" s="257" t="s">
        <v>1263</v>
      </c>
      <c r="E108" s="256" t="s">
        <v>1790</v>
      </c>
      <c r="F108" s="256" t="s">
        <v>1748</v>
      </c>
      <c r="G108" s="258">
        <v>8206000000</v>
      </c>
      <c r="H108" s="265">
        <v>0.1</v>
      </c>
      <c r="I108" s="258">
        <v>820600000</v>
      </c>
      <c r="J108" s="258">
        <v>9026600000</v>
      </c>
      <c r="K108" s="256" t="s">
        <v>1346</v>
      </c>
    </row>
    <row r="109" spans="1:11" x14ac:dyDescent="0.3">
      <c r="A109" s="256">
        <v>48</v>
      </c>
      <c r="B109" s="257" t="s">
        <v>1209</v>
      </c>
      <c r="C109" s="276">
        <v>44561</v>
      </c>
      <c r="D109" s="257" t="s">
        <v>1270</v>
      </c>
      <c r="E109" s="256" t="s">
        <v>1782</v>
      </c>
      <c r="F109" s="256" t="s">
        <v>1748</v>
      </c>
      <c r="G109" s="258">
        <v>10014000000</v>
      </c>
      <c r="H109" s="265">
        <v>0.1</v>
      </c>
      <c r="I109" s="258">
        <v>1001400000</v>
      </c>
      <c r="J109" s="258">
        <v>11015400000</v>
      </c>
      <c r="K109" s="256" t="s">
        <v>1346</v>
      </c>
    </row>
    <row r="110" spans="1:11" x14ac:dyDescent="0.3">
      <c r="A110" s="256">
        <v>49</v>
      </c>
      <c r="B110" s="257" t="s">
        <v>1418</v>
      </c>
      <c r="C110" s="276">
        <v>44561</v>
      </c>
      <c r="D110" s="257" t="s">
        <v>1283</v>
      </c>
      <c r="E110" s="256" t="s">
        <v>1798</v>
      </c>
      <c r="F110" s="256" t="s">
        <v>1747</v>
      </c>
      <c r="G110" s="258">
        <v>11342000000</v>
      </c>
      <c r="H110" s="265">
        <v>0.1</v>
      </c>
      <c r="I110" s="258">
        <v>1134200000</v>
      </c>
      <c r="J110" s="258">
        <v>12476200000</v>
      </c>
      <c r="K110" s="256" t="s">
        <v>1346</v>
      </c>
    </row>
    <row r="111" spans="1:11" x14ac:dyDescent="0.3">
      <c r="A111" s="256">
        <v>50</v>
      </c>
      <c r="B111" s="257" t="s">
        <v>1419</v>
      </c>
      <c r="C111" s="276">
        <v>44561</v>
      </c>
      <c r="D111" s="257" t="s">
        <v>1266</v>
      </c>
      <c r="E111" s="256" t="s">
        <v>1824</v>
      </c>
      <c r="F111" s="256" t="s">
        <v>1748</v>
      </c>
      <c r="G111" s="258">
        <v>8199000000</v>
      </c>
      <c r="H111" s="265">
        <v>0.1</v>
      </c>
      <c r="I111" s="258">
        <v>819900000</v>
      </c>
      <c r="J111" s="258">
        <v>9018900000</v>
      </c>
      <c r="K111" s="256" t="s">
        <v>1346</v>
      </c>
    </row>
    <row r="112" spans="1:11" x14ac:dyDescent="0.3">
      <c r="A112" s="266" t="s">
        <v>1351</v>
      </c>
      <c r="B112" s="266"/>
      <c r="C112" s="266"/>
      <c r="D112" s="266"/>
      <c r="E112" s="266"/>
      <c r="F112" s="266"/>
      <c r="G112" s="267">
        <f>SUM(G62:G111)</f>
        <v>922042000000</v>
      </c>
      <c r="H112" s="266"/>
      <c r="I112" s="267">
        <f>SUM(I62:I111)</f>
        <v>79707800000</v>
      </c>
      <c r="J112" s="267">
        <f>SUM(J62:J111)</f>
        <v>1001749800000</v>
      </c>
      <c r="K112" s="266"/>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964</v>
      </c>
      <c r="C1" s="256"/>
      <c r="D1" s="256"/>
      <c r="E1" s="256"/>
      <c r="F1" s="256"/>
      <c r="G1" s="256"/>
      <c r="H1" s="256"/>
      <c r="I1" s="256"/>
      <c r="J1" s="256"/>
      <c r="K1" s="256"/>
    </row>
    <row r="2" spans="1:11" x14ac:dyDescent="0.3">
      <c r="A2" s="256" t="s">
        <v>1339</v>
      </c>
      <c r="B2" s="257">
        <v>108261864</v>
      </c>
      <c r="C2" s="256"/>
      <c r="D2" s="256"/>
      <c r="E2" s="256"/>
      <c r="F2" s="256"/>
      <c r="G2" s="256"/>
      <c r="H2" s="256"/>
      <c r="I2" s="256"/>
      <c r="J2" s="256"/>
      <c r="K2" s="256"/>
    </row>
    <row r="3" spans="1:11" x14ac:dyDescent="0.3">
      <c r="A3" s="256" t="s">
        <v>1343</v>
      </c>
      <c r="B3" s="258">
        <v>287761331996</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1467</v>
      </c>
      <c r="C8" s="276">
        <v>44317</v>
      </c>
      <c r="D8" s="257" t="s">
        <v>1299</v>
      </c>
      <c r="E8" s="256" t="s">
        <v>1776</v>
      </c>
      <c r="F8" s="256" t="s">
        <v>1876</v>
      </c>
      <c r="G8" s="258">
        <v>5987000000</v>
      </c>
      <c r="H8" s="265">
        <v>0.1</v>
      </c>
      <c r="I8" s="258">
        <v>598700000</v>
      </c>
      <c r="J8" s="258">
        <v>6585700000</v>
      </c>
      <c r="K8" s="256" t="s">
        <v>1346</v>
      </c>
    </row>
    <row r="9" spans="1:11" x14ac:dyDescent="0.3">
      <c r="A9" s="256">
        <v>2</v>
      </c>
      <c r="B9" s="257" t="s">
        <v>1470</v>
      </c>
      <c r="C9" s="276">
        <v>44318</v>
      </c>
      <c r="D9" s="257" t="s">
        <v>1280</v>
      </c>
      <c r="E9" s="256" t="s">
        <v>1777</v>
      </c>
      <c r="F9" s="256" t="s">
        <v>1878</v>
      </c>
      <c r="G9" s="258">
        <v>2893000000</v>
      </c>
      <c r="H9" s="265">
        <v>0</v>
      </c>
      <c r="I9" s="258">
        <v>0</v>
      </c>
      <c r="J9" s="258">
        <v>2893000000</v>
      </c>
      <c r="K9" s="256" t="s">
        <v>1346</v>
      </c>
    </row>
    <row r="10" spans="1:11" x14ac:dyDescent="0.3">
      <c r="A10" s="256">
        <v>3</v>
      </c>
      <c r="B10" s="257" t="s">
        <v>1419</v>
      </c>
      <c r="C10" s="276">
        <v>44472</v>
      </c>
      <c r="D10" s="257" t="s">
        <v>1264</v>
      </c>
      <c r="E10" s="256" t="s">
        <v>1779</v>
      </c>
      <c r="F10" s="256" t="s">
        <v>1879</v>
      </c>
      <c r="G10" s="258">
        <v>1844000000</v>
      </c>
      <c r="H10" s="265">
        <v>0.1</v>
      </c>
      <c r="I10" s="258">
        <v>184400000</v>
      </c>
      <c r="J10" s="258">
        <v>2028400000</v>
      </c>
      <c r="K10" s="256" t="s">
        <v>1346</v>
      </c>
    </row>
    <row r="11" spans="1:11" x14ac:dyDescent="0.3">
      <c r="A11" s="256">
        <v>4</v>
      </c>
      <c r="B11" s="257" t="s">
        <v>1209</v>
      </c>
      <c r="C11" s="276">
        <v>44473</v>
      </c>
      <c r="D11" s="257" t="s">
        <v>1301</v>
      </c>
      <c r="E11" s="256" t="s">
        <v>1781</v>
      </c>
      <c r="F11" s="256" t="s">
        <v>1877</v>
      </c>
      <c r="G11" s="258">
        <v>6138000000</v>
      </c>
      <c r="H11" s="265">
        <v>0</v>
      </c>
      <c r="I11" s="258">
        <v>0</v>
      </c>
      <c r="J11" s="258">
        <v>6138000000</v>
      </c>
      <c r="K11" s="256" t="s">
        <v>1346</v>
      </c>
    </row>
    <row r="12" spans="1:11" x14ac:dyDescent="0.3">
      <c r="A12" s="256">
        <v>5</v>
      </c>
      <c r="B12" s="257" t="s">
        <v>1490</v>
      </c>
      <c r="C12" s="276">
        <v>44474</v>
      </c>
      <c r="D12" s="257" t="s">
        <v>1270</v>
      </c>
      <c r="E12" s="256" t="s">
        <v>1782</v>
      </c>
      <c r="F12" s="256" t="s">
        <v>1879</v>
      </c>
      <c r="G12" s="258">
        <v>4006000000</v>
      </c>
      <c r="H12" s="265">
        <v>0.1</v>
      </c>
      <c r="I12" s="258">
        <v>400600000</v>
      </c>
      <c r="J12" s="258">
        <v>4406600000</v>
      </c>
      <c r="K12" s="256" t="s">
        <v>1346</v>
      </c>
    </row>
    <row r="13" spans="1:11" x14ac:dyDescent="0.3">
      <c r="A13" s="256">
        <v>6</v>
      </c>
      <c r="B13" s="257" t="s">
        <v>1471</v>
      </c>
      <c r="C13" s="276">
        <v>44475</v>
      </c>
      <c r="D13" s="257" t="s">
        <v>1280</v>
      </c>
      <c r="E13" s="256" t="s">
        <v>1777</v>
      </c>
      <c r="F13" s="256" t="s">
        <v>1876</v>
      </c>
      <c r="G13" s="258">
        <v>1688000000</v>
      </c>
      <c r="H13" s="265">
        <v>0.1</v>
      </c>
      <c r="I13" s="258">
        <v>168800000</v>
      </c>
      <c r="J13" s="258">
        <v>1856800000</v>
      </c>
      <c r="K13" s="256" t="s">
        <v>1348</v>
      </c>
    </row>
    <row r="14" spans="1:11" x14ac:dyDescent="0.3">
      <c r="A14" s="256">
        <v>7</v>
      </c>
      <c r="B14" s="257" t="s">
        <v>1486</v>
      </c>
      <c r="C14" s="276">
        <v>44476</v>
      </c>
      <c r="D14" s="257" t="s">
        <v>1277</v>
      </c>
      <c r="E14" s="256" t="s">
        <v>1783</v>
      </c>
      <c r="F14" s="256" t="s">
        <v>1879</v>
      </c>
      <c r="G14" s="258">
        <v>3620000000</v>
      </c>
      <c r="H14" s="265">
        <v>0.1</v>
      </c>
      <c r="I14" s="258">
        <v>362000000</v>
      </c>
      <c r="J14" s="258">
        <v>3982000000</v>
      </c>
      <c r="K14" s="256" t="s">
        <v>1346</v>
      </c>
    </row>
    <row r="15" spans="1:11" x14ac:dyDescent="0.3">
      <c r="A15" s="256">
        <v>8</v>
      </c>
      <c r="B15" s="257" t="s">
        <v>1460</v>
      </c>
      <c r="C15" s="276">
        <v>44477</v>
      </c>
      <c r="D15" s="257" t="s">
        <v>1302</v>
      </c>
      <c r="E15" s="256" t="s">
        <v>1784</v>
      </c>
      <c r="F15" s="256" t="s">
        <v>1878</v>
      </c>
      <c r="G15" s="258">
        <v>2422000000</v>
      </c>
      <c r="H15" s="265">
        <v>0.1</v>
      </c>
      <c r="I15" s="258">
        <v>242200000</v>
      </c>
      <c r="J15" s="258">
        <v>2664200000</v>
      </c>
      <c r="K15" s="256" t="s">
        <v>1346</v>
      </c>
    </row>
    <row r="16" spans="1:11" x14ac:dyDescent="0.3">
      <c r="A16" s="256">
        <v>9</v>
      </c>
      <c r="B16" s="257" t="s">
        <v>1468</v>
      </c>
      <c r="C16" s="276">
        <v>44478</v>
      </c>
      <c r="D16" s="257" t="s">
        <v>1278</v>
      </c>
      <c r="E16" s="256" t="s">
        <v>1785</v>
      </c>
      <c r="F16" s="256" t="s">
        <v>1877</v>
      </c>
      <c r="G16" s="258">
        <v>5457000000</v>
      </c>
      <c r="H16" s="265">
        <v>0.1</v>
      </c>
      <c r="I16" s="258">
        <v>545700000</v>
      </c>
      <c r="J16" s="258">
        <v>6002700000</v>
      </c>
      <c r="K16" s="256" t="s">
        <v>1346</v>
      </c>
    </row>
    <row r="17" spans="1:11" x14ac:dyDescent="0.3">
      <c r="A17" s="256">
        <v>10</v>
      </c>
      <c r="B17" s="257" t="s">
        <v>1504</v>
      </c>
      <c r="C17" s="276">
        <v>44479</v>
      </c>
      <c r="D17" s="257" t="s">
        <v>1284</v>
      </c>
      <c r="E17" s="256" t="s">
        <v>1786</v>
      </c>
      <c r="F17" s="256" t="s">
        <v>1879</v>
      </c>
      <c r="G17" s="258">
        <v>6402000000</v>
      </c>
      <c r="H17" s="265">
        <v>0.1</v>
      </c>
      <c r="I17" s="258">
        <v>640200000</v>
      </c>
      <c r="J17" s="258">
        <v>7042200000</v>
      </c>
      <c r="K17" s="256" t="s">
        <v>1346</v>
      </c>
    </row>
    <row r="18" spans="1:11" x14ac:dyDescent="0.3">
      <c r="A18" s="256">
        <v>11</v>
      </c>
      <c r="B18" s="257" t="s">
        <v>1461</v>
      </c>
      <c r="C18" s="276">
        <v>44480</v>
      </c>
      <c r="D18" s="257" t="s">
        <v>1302</v>
      </c>
      <c r="E18" s="256" t="s">
        <v>1784</v>
      </c>
      <c r="F18" s="256" t="s">
        <v>1880</v>
      </c>
      <c r="G18" s="258">
        <v>5016000000</v>
      </c>
      <c r="H18" s="265">
        <v>0.1</v>
      </c>
      <c r="I18" s="258">
        <v>501600000</v>
      </c>
      <c r="J18" s="258">
        <v>5517600000</v>
      </c>
      <c r="K18" s="256" t="s">
        <v>1346</v>
      </c>
    </row>
    <row r="19" spans="1:11" x14ac:dyDescent="0.3">
      <c r="A19" s="256">
        <v>12</v>
      </c>
      <c r="B19" s="257" t="s">
        <v>1495</v>
      </c>
      <c r="C19" s="276">
        <v>44481</v>
      </c>
      <c r="D19" s="257" t="s">
        <v>1259</v>
      </c>
      <c r="E19" s="256" t="s">
        <v>1788</v>
      </c>
      <c r="F19" s="256" t="s">
        <v>1878</v>
      </c>
      <c r="G19" s="258">
        <v>3712000000</v>
      </c>
      <c r="H19" s="265">
        <v>0.1</v>
      </c>
      <c r="I19" s="258">
        <v>371200000</v>
      </c>
      <c r="J19" s="258">
        <v>4083200000</v>
      </c>
      <c r="K19" s="256" t="s">
        <v>1346</v>
      </c>
    </row>
    <row r="20" spans="1:11" x14ac:dyDescent="0.3">
      <c r="A20" s="256">
        <v>13</v>
      </c>
      <c r="B20" s="257" t="s">
        <v>1475</v>
      </c>
      <c r="C20" s="276">
        <v>44211</v>
      </c>
      <c r="D20" s="257" t="s">
        <v>1282</v>
      </c>
      <c r="E20" s="256" t="s">
        <v>1789</v>
      </c>
      <c r="F20" s="256" t="s">
        <v>1880</v>
      </c>
      <c r="G20" s="258">
        <v>6656000000</v>
      </c>
      <c r="H20" s="265">
        <v>0.1</v>
      </c>
      <c r="I20" s="258">
        <v>665600000</v>
      </c>
      <c r="J20" s="258">
        <v>7321600000</v>
      </c>
      <c r="K20" s="256" t="s">
        <v>1346</v>
      </c>
    </row>
    <row r="21" spans="1:11" x14ac:dyDescent="0.3">
      <c r="A21" s="256">
        <v>14</v>
      </c>
      <c r="B21" s="257" t="s">
        <v>1480</v>
      </c>
      <c r="C21" s="276">
        <v>44242</v>
      </c>
      <c r="D21" s="257" t="s">
        <v>1263</v>
      </c>
      <c r="E21" s="256" t="s">
        <v>1790</v>
      </c>
      <c r="F21" s="256" t="s">
        <v>1879</v>
      </c>
      <c r="G21" s="258">
        <v>2404000000</v>
      </c>
      <c r="H21" s="265">
        <v>0.1</v>
      </c>
      <c r="I21" s="258">
        <v>240400000</v>
      </c>
      <c r="J21" s="258">
        <v>2644400000</v>
      </c>
      <c r="K21" s="256" t="s">
        <v>1346</v>
      </c>
    </row>
    <row r="22" spans="1:11" x14ac:dyDescent="0.3">
      <c r="A22" s="256">
        <v>15</v>
      </c>
      <c r="B22" s="257" t="s">
        <v>1468</v>
      </c>
      <c r="C22" s="276">
        <v>44275</v>
      </c>
      <c r="D22" s="257" t="s">
        <v>1299</v>
      </c>
      <c r="E22" s="256" t="s">
        <v>1776</v>
      </c>
      <c r="F22" s="256" t="s">
        <v>1609</v>
      </c>
      <c r="G22" s="258">
        <v>6599000000</v>
      </c>
      <c r="H22" s="265">
        <v>0.1</v>
      </c>
      <c r="I22" s="258">
        <v>659900000</v>
      </c>
      <c r="J22" s="258">
        <v>7258900000</v>
      </c>
      <c r="K22" s="256" t="s">
        <v>1346</v>
      </c>
    </row>
    <row r="23" spans="1:11" x14ac:dyDescent="0.3">
      <c r="A23" s="256">
        <v>16</v>
      </c>
      <c r="B23" s="257" t="s">
        <v>1207</v>
      </c>
      <c r="C23" s="276">
        <v>44306</v>
      </c>
      <c r="D23" s="257" t="s">
        <v>1292</v>
      </c>
      <c r="E23" s="256" t="s">
        <v>1792</v>
      </c>
      <c r="F23" s="256" t="s">
        <v>1876</v>
      </c>
      <c r="G23" s="258">
        <v>5742000000</v>
      </c>
      <c r="H23" s="265">
        <v>0.1</v>
      </c>
      <c r="I23" s="258">
        <v>574200000</v>
      </c>
      <c r="J23" s="258">
        <v>6316200000</v>
      </c>
      <c r="K23" s="256" t="s">
        <v>1346</v>
      </c>
    </row>
    <row r="24" spans="1:11" x14ac:dyDescent="0.3">
      <c r="A24" s="256">
        <v>17</v>
      </c>
      <c r="B24" s="257" t="s">
        <v>1491</v>
      </c>
      <c r="C24" s="276">
        <v>44336</v>
      </c>
      <c r="D24" s="257" t="s">
        <v>1270</v>
      </c>
      <c r="E24" s="256" t="s">
        <v>1782</v>
      </c>
      <c r="F24" s="256" t="s">
        <v>1880</v>
      </c>
      <c r="G24" s="258">
        <v>3060000000</v>
      </c>
      <c r="H24" s="265">
        <v>0.1</v>
      </c>
      <c r="I24" s="258">
        <v>306000000</v>
      </c>
      <c r="J24" s="258">
        <v>3366000000</v>
      </c>
      <c r="K24" s="256" t="s">
        <v>1346</v>
      </c>
    </row>
    <row r="25" spans="1:11" x14ac:dyDescent="0.3">
      <c r="A25" s="256">
        <v>18</v>
      </c>
      <c r="B25" s="257" t="s">
        <v>1208</v>
      </c>
      <c r="C25" s="276">
        <v>44367</v>
      </c>
      <c r="D25" s="257" t="s">
        <v>1292</v>
      </c>
      <c r="E25" s="256" t="s">
        <v>1792</v>
      </c>
      <c r="F25" s="256" t="s">
        <v>1876</v>
      </c>
      <c r="G25" s="258">
        <v>4267000000</v>
      </c>
      <c r="H25" s="265">
        <v>0.1</v>
      </c>
      <c r="I25" s="258">
        <v>426700000</v>
      </c>
      <c r="J25" s="258">
        <v>4693700000</v>
      </c>
      <c r="K25" s="256" t="s">
        <v>1346</v>
      </c>
    </row>
    <row r="26" spans="1:11" x14ac:dyDescent="0.3">
      <c r="A26" s="256">
        <v>19</v>
      </c>
      <c r="B26" s="257" t="s">
        <v>1470</v>
      </c>
      <c r="C26" s="276">
        <v>44397</v>
      </c>
      <c r="D26" s="257" t="s">
        <v>1285</v>
      </c>
      <c r="E26" s="256" t="s">
        <v>1793</v>
      </c>
      <c r="F26" s="256" t="s">
        <v>1880</v>
      </c>
      <c r="G26" s="258">
        <v>2107000000</v>
      </c>
      <c r="H26" s="265">
        <v>0.1</v>
      </c>
      <c r="I26" s="258">
        <v>210700000</v>
      </c>
      <c r="J26" s="258">
        <v>2317700000</v>
      </c>
      <c r="K26" s="256" t="s">
        <v>1346</v>
      </c>
    </row>
    <row r="27" spans="1:11" x14ac:dyDescent="0.3">
      <c r="A27" s="256">
        <v>20</v>
      </c>
      <c r="B27" s="257" t="s">
        <v>1476</v>
      </c>
      <c r="C27" s="276">
        <v>44428</v>
      </c>
      <c r="D27" s="257" t="s">
        <v>1282</v>
      </c>
      <c r="E27" s="256" t="s">
        <v>1789</v>
      </c>
      <c r="F27" s="256" t="s">
        <v>1877</v>
      </c>
      <c r="G27" s="258">
        <v>3576000000</v>
      </c>
      <c r="H27" s="265">
        <v>0.1</v>
      </c>
      <c r="I27" s="258">
        <v>357600000</v>
      </c>
      <c r="J27" s="258">
        <v>3933600000</v>
      </c>
      <c r="K27" s="256" t="s">
        <v>1348</v>
      </c>
    </row>
    <row r="28" spans="1:11" x14ac:dyDescent="0.3">
      <c r="A28" s="256">
        <v>21</v>
      </c>
      <c r="B28" s="257" t="s">
        <v>1490</v>
      </c>
      <c r="C28" s="276">
        <v>44459</v>
      </c>
      <c r="D28" s="257" t="s">
        <v>1274</v>
      </c>
      <c r="E28" s="256" t="s">
        <v>1794</v>
      </c>
      <c r="F28" s="256" t="s">
        <v>1876</v>
      </c>
      <c r="G28" s="258">
        <v>3909000000</v>
      </c>
      <c r="H28" s="265">
        <v>0</v>
      </c>
      <c r="I28" s="258">
        <v>0</v>
      </c>
      <c r="J28" s="258">
        <v>3909000000</v>
      </c>
      <c r="K28" s="256" t="s">
        <v>1348</v>
      </c>
    </row>
    <row r="29" spans="1:11" x14ac:dyDescent="0.3">
      <c r="A29" s="256">
        <v>22</v>
      </c>
      <c r="B29" s="257" t="s">
        <v>1404</v>
      </c>
      <c r="C29" s="276">
        <v>44489</v>
      </c>
      <c r="D29" s="257" t="s">
        <v>1294</v>
      </c>
      <c r="E29" s="256" t="s">
        <v>1795</v>
      </c>
      <c r="F29" s="256" t="s">
        <v>1879</v>
      </c>
      <c r="G29" s="258">
        <v>1718000000</v>
      </c>
      <c r="H29" s="265">
        <v>0</v>
      </c>
      <c r="I29" s="258">
        <v>0</v>
      </c>
      <c r="J29" s="258">
        <v>1718000000</v>
      </c>
      <c r="K29" s="256" t="s">
        <v>1346</v>
      </c>
    </row>
    <row r="30" spans="1:11" x14ac:dyDescent="0.3">
      <c r="A30" s="256">
        <v>23</v>
      </c>
      <c r="B30" s="257" t="s">
        <v>1462</v>
      </c>
      <c r="C30" s="276">
        <v>44520</v>
      </c>
      <c r="D30" s="257" t="s">
        <v>1290</v>
      </c>
      <c r="E30" s="256" t="s">
        <v>1796</v>
      </c>
      <c r="F30" s="256" t="s">
        <v>1609</v>
      </c>
      <c r="G30" s="258">
        <v>4988000000</v>
      </c>
      <c r="H30" s="265">
        <v>0.1</v>
      </c>
      <c r="I30" s="258">
        <v>498800000</v>
      </c>
      <c r="J30" s="258">
        <v>5486800000</v>
      </c>
      <c r="K30" s="256" t="s">
        <v>1348</v>
      </c>
    </row>
    <row r="31" spans="1:11" x14ac:dyDescent="0.3">
      <c r="A31" s="256">
        <v>24</v>
      </c>
      <c r="B31" s="257" t="s">
        <v>1477</v>
      </c>
      <c r="C31" s="276">
        <v>44550</v>
      </c>
      <c r="D31" s="257" t="s">
        <v>1288</v>
      </c>
      <c r="E31" s="256" t="s">
        <v>1797</v>
      </c>
      <c r="F31" s="256" t="s">
        <v>1878</v>
      </c>
      <c r="G31" s="258">
        <v>2209000000</v>
      </c>
      <c r="H31" s="265">
        <v>0.1</v>
      </c>
      <c r="I31" s="258">
        <v>220900000</v>
      </c>
      <c r="J31" s="258">
        <v>2429900000</v>
      </c>
      <c r="K31" s="256" t="s">
        <v>1348</v>
      </c>
    </row>
    <row r="32" spans="1:11" x14ac:dyDescent="0.3">
      <c r="A32" s="256">
        <v>25</v>
      </c>
      <c r="B32" s="257" t="s">
        <v>1474</v>
      </c>
      <c r="C32" s="276">
        <v>44221</v>
      </c>
      <c r="D32" s="257" t="s">
        <v>1283</v>
      </c>
      <c r="E32" s="256" t="s">
        <v>1798</v>
      </c>
      <c r="F32" s="256" t="s">
        <v>1609</v>
      </c>
      <c r="G32" s="258">
        <v>2308000000</v>
      </c>
      <c r="H32" s="265">
        <v>0.1</v>
      </c>
      <c r="I32" s="258">
        <v>230800000</v>
      </c>
      <c r="J32" s="258">
        <v>2538800000</v>
      </c>
      <c r="K32" s="256" t="s">
        <v>1346</v>
      </c>
    </row>
    <row r="33" spans="1:11" x14ac:dyDescent="0.3">
      <c r="A33" s="256">
        <v>26</v>
      </c>
      <c r="B33" s="257" t="s">
        <v>1477</v>
      </c>
      <c r="C33" s="276">
        <v>44255</v>
      </c>
      <c r="D33" s="257" t="s">
        <v>1282</v>
      </c>
      <c r="E33" s="256" t="s">
        <v>1789</v>
      </c>
      <c r="F33" s="256" t="s">
        <v>1876</v>
      </c>
      <c r="G33" s="258">
        <v>3756000000</v>
      </c>
      <c r="H33" s="265">
        <v>0.1</v>
      </c>
      <c r="I33" s="258">
        <v>375600000</v>
      </c>
      <c r="J33" s="258">
        <v>4131600000</v>
      </c>
      <c r="K33" s="256" t="s">
        <v>1346</v>
      </c>
    </row>
    <row r="34" spans="1:11" x14ac:dyDescent="0.3">
      <c r="A34" s="256">
        <v>27</v>
      </c>
      <c r="B34" s="257" t="s">
        <v>1486</v>
      </c>
      <c r="C34" s="276">
        <v>44316</v>
      </c>
      <c r="D34" s="257" t="s">
        <v>1271</v>
      </c>
      <c r="E34" s="256" t="s">
        <v>1799</v>
      </c>
      <c r="F34" s="256" t="s">
        <v>1877</v>
      </c>
      <c r="G34" s="258">
        <v>2457000000</v>
      </c>
      <c r="H34" s="265">
        <v>0.1</v>
      </c>
      <c r="I34" s="258">
        <v>245700000</v>
      </c>
      <c r="J34" s="258">
        <v>2702700000</v>
      </c>
      <c r="K34" s="256" t="s">
        <v>1346</v>
      </c>
    </row>
    <row r="35" spans="1:11" x14ac:dyDescent="0.3">
      <c r="A35" s="256">
        <v>28</v>
      </c>
      <c r="B35" s="257" t="s">
        <v>1472</v>
      </c>
      <c r="C35" s="276">
        <v>44377</v>
      </c>
      <c r="D35" s="257" t="s">
        <v>1280</v>
      </c>
      <c r="E35" s="256" t="s">
        <v>1777</v>
      </c>
      <c r="F35" s="256" t="s">
        <v>1609</v>
      </c>
      <c r="G35" s="258">
        <v>5284000000</v>
      </c>
      <c r="H35" s="265">
        <v>0.1</v>
      </c>
      <c r="I35" s="258">
        <v>528400000</v>
      </c>
      <c r="J35" s="258">
        <v>5812400000</v>
      </c>
      <c r="K35" s="256" t="s">
        <v>1346</v>
      </c>
    </row>
    <row r="36" spans="1:11" x14ac:dyDescent="0.3">
      <c r="A36" s="256">
        <v>29</v>
      </c>
      <c r="B36" s="257" t="s">
        <v>1487</v>
      </c>
      <c r="C36" s="276">
        <v>44469</v>
      </c>
      <c r="D36" s="257" t="s">
        <v>1271</v>
      </c>
      <c r="E36" s="256" t="s">
        <v>1799</v>
      </c>
      <c r="F36" s="256" t="s">
        <v>1879</v>
      </c>
      <c r="G36" s="258">
        <v>4686000000</v>
      </c>
      <c r="H36" s="265">
        <v>0.1</v>
      </c>
      <c r="I36" s="258">
        <v>468600000</v>
      </c>
      <c r="J36" s="258">
        <v>5154600000</v>
      </c>
      <c r="K36" s="256" t="s">
        <v>1346</v>
      </c>
    </row>
    <row r="37" spans="1:11" x14ac:dyDescent="0.3">
      <c r="A37" s="256">
        <v>30</v>
      </c>
      <c r="B37" s="257" t="s">
        <v>1406</v>
      </c>
      <c r="C37" s="276">
        <v>44530</v>
      </c>
      <c r="D37" s="257" t="s">
        <v>1291</v>
      </c>
      <c r="E37" s="256" t="s">
        <v>1800</v>
      </c>
      <c r="F37" s="256" t="s">
        <v>1879</v>
      </c>
      <c r="G37" s="258">
        <v>6387000000</v>
      </c>
      <c r="H37" s="265">
        <v>0.1</v>
      </c>
      <c r="I37" s="258">
        <v>638700000</v>
      </c>
      <c r="J37" s="258">
        <v>7025700000</v>
      </c>
      <c r="K37" s="256" t="s">
        <v>1346</v>
      </c>
    </row>
    <row r="38" spans="1:11" x14ac:dyDescent="0.3">
      <c r="A38" s="256">
        <v>31</v>
      </c>
      <c r="B38" s="257" t="s">
        <v>1415</v>
      </c>
      <c r="C38" s="276">
        <v>44286</v>
      </c>
      <c r="D38" s="257" t="s">
        <v>1287</v>
      </c>
      <c r="E38" s="256" t="s">
        <v>1801</v>
      </c>
      <c r="F38" s="256" t="s">
        <v>1609</v>
      </c>
      <c r="G38" s="258">
        <v>6632000000</v>
      </c>
      <c r="H38" s="265">
        <v>0.1</v>
      </c>
      <c r="I38" s="258">
        <v>663200000</v>
      </c>
      <c r="J38" s="258">
        <v>7295200000</v>
      </c>
      <c r="K38" s="256" t="s">
        <v>1346</v>
      </c>
    </row>
    <row r="39" spans="1:11" x14ac:dyDescent="0.3">
      <c r="A39" s="256">
        <v>32</v>
      </c>
      <c r="B39" s="257" t="s">
        <v>1478</v>
      </c>
      <c r="C39" s="276">
        <v>44347</v>
      </c>
      <c r="D39" s="257" t="s">
        <v>1256</v>
      </c>
      <c r="E39" s="256" t="s">
        <v>1802</v>
      </c>
      <c r="F39" s="256" t="s">
        <v>1878</v>
      </c>
      <c r="G39" s="258">
        <v>6293000000</v>
      </c>
      <c r="H39" s="265">
        <v>0.1</v>
      </c>
      <c r="I39" s="258">
        <v>629300000</v>
      </c>
      <c r="J39" s="258">
        <v>6922300000</v>
      </c>
      <c r="K39" s="256" t="s">
        <v>1346</v>
      </c>
    </row>
    <row r="40" spans="1:11" x14ac:dyDescent="0.3">
      <c r="A40" s="256">
        <v>33</v>
      </c>
      <c r="B40" s="257" t="s">
        <v>1491</v>
      </c>
      <c r="C40" s="276">
        <v>44408</v>
      </c>
      <c r="D40" s="257" t="s">
        <v>1274</v>
      </c>
      <c r="E40" s="256" t="s">
        <v>1794</v>
      </c>
      <c r="F40" s="256" t="s">
        <v>1879</v>
      </c>
      <c r="G40" s="258">
        <v>6171000000</v>
      </c>
      <c r="H40" s="265">
        <v>0.1</v>
      </c>
      <c r="I40" s="258">
        <v>617100000</v>
      </c>
      <c r="J40" s="258">
        <v>6788100000</v>
      </c>
      <c r="K40" s="256" t="s">
        <v>1346</v>
      </c>
    </row>
    <row r="41" spans="1:11" x14ac:dyDescent="0.3">
      <c r="A41" s="256">
        <v>34</v>
      </c>
      <c r="B41" s="257" t="s">
        <v>1492</v>
      </c>
      <c r="C41" s="276">
        <v>44439</v>
      </c>
      <c r="D41" s="257" t="s">
        <v>1274</v>
      </c>
      <c r="E41" s="256" t="s">
        <v>1794</v>
      </c>
      <c r="F41" s="256" t="s">
        <v>1878</v>
      </c>
      <c r="G41" s="258">
        <v>4745000000</v>
      </c>
      <c r="H41" s="265">
        <v>0.1</v>
      </c>
      <c r="I41" s="258">
        <v>474500000</v>
      </c>
      <c r="J41" s="258">
        <v>5219500000</v>
      </c>
      <c r="K41" s="256" t="s">
        <v>1346</v>
      </c>
    </row>
    <row r="42" spans="1:11" x14ac:dyDescent="0.3">
      <c r="A42" s="256">
        <v>35</v>
      </c>
      <c r="B42" s="257" t="s">
        <v>1469</v>
      </c>
      <c r="C42" s="276">
        <v>44500</v>
      </c>
      <c r="D42" s="257" t="s">
        <v>1299</v>
      </c>
      <c r="E42" s="256" t="s">
        <v>1776</v>
      </c>
      <c r="F42" s="256" t="s">
        <v>1877</v>
      </c>
      <c r="G42" s="258">
        <v>3222000000</v>
      </c>
      <c r="H42" s="265">
        <v>0.1</v>
      </c>
      <c r="I42" s="258">
        <v>322200000</v>
      </c>
      <c r="J42" s="258">
        <v>3544200000</v>
      </c>
      <c r="K42" s="256" t="s">
        <v>1346</v>
      </c>
    </row>
    <row r="43" spans="1:11" x14ac:dyDescent="0.3">
      <c r="A43" s="256">
        <v>36</v>
      </c>
      <c r="B43" s="257" t="s">
        <v>1478</v>
      </c>
      <c r="C43" s="276">
        <v>44561</v>
      </c>
      <c r="D43" s="257" t="s">
        <v>1282</v>
      </c>
      <c r="E43" s="256" t="s">
        <v>1789</v>
      </c>
      <c r="F43" s="256" t="s">
        <v>1879</v>
      </c>
      <c r="G43" s="258">
        <v>1895000000</v>
      </c>
      <c r="H43" s="265">
        <v>0.1</v>
      </c>
      <c r="I43" s="258">
        <v>189500000</v>
      </c>
      <c r="J43" s="258">
        <v>2084500000</v>
      </c>
      <c r="K43" s="256" t="s">
        <v>1346</v>
      </c>
    </row>
    <row r="44" spans="1:11" x14ac:dyDescent="0.3">
      <c r="A44" s="256">
        <v>37</v>
      </c>
      <c r="B44" s="257" t="s">
        <v>1496</v>
      </c>
      <c r="C44" s="276">
        <v>44561</v>
      </c>
      <c r="D44" s="257" t="s">
        <v>1259</v>
      </c>
      <c r="E44" s="256" t="s">
        <v>1788</v>
      </c>
      <c r="F44" s="256" t="s">
        <v>1877</v>
      </c>
      <c r="G44" s="258">
        <v>2328000000</v>
      </c>
      <c r="H44" s="265">
        <v>0.1</v>
      </c>
      <c r="I44" s="258">
        <v>232800000</v>
      </c>
      <c r="J44" s="258">
        <v>2560800000</v>
      </c>
      <c r="K44" s="256" t="s">
        <v>1346</v>
      </c>
    </row>
    <row r="45" spans="1:11" x14ac:dyDescent="0.3">
      <c r="A45" s="256">
        <v>38</v>
      </c>
      <c r="B45" s="257" t="s">
        <v>1479</v>
      </c>
      <c r="C45" s="276">
        <v>44561</v>
      </c>
      <c r="D45" s="257" t="s">
        <v>1282</v>
      </c>
      <c r="E45" s="256" t="s">
        <v>1789</v>
      </c>
      <c r="F45" s="256" t="s">
        <v>1877</v>
      </c>
      <c r="G45" s="258">
        <v>1905000000</v>
      </c>
      <c r="H45" s="265">
        <v>0.1</v>
      </c>
      <c r="I45" s="258">
        <v>190500000</v>
      </c>
      <c r="J45" s="258">
        <v>2095500000</v>
      </c>
      <c r="K45" s="256" t="s">
        <v>1346</v>
      </c>
    </row>
    <row r="46" spans="1:11" x14ac:dyDescent="0.3">
      <c r="A46" s="256">
        <v>39</v>
      </c>
      <c r="B46" s="257" t="s">
        <v>1466</v>
      </c>
      <c r="C46" s="276">
        <v>44561</v>
      </c>
      <c r="D46" s="257" t="s">
        <v>1289</v>
      </c>
      <c r="E46" s="256" t="s">
        <v>1803</v>
      </c>
      <c r="F46" s="256" t="s">
        <v>1609</v>
      </c>
      <c r="G46" s="258">
        <v>3944000000</v>
      </c>
      <c r="H46" s="265">
        <v>0</v>
      </c>
      <c r="I46" s="258">
        <v>0</v>
      </c>
      <c r="J46" s="258">
        <v>3944000000</v>
      </c>
      <c r="K46" s="256" t="s">
        <v>1346</v>
      </c>
    </row>
    <row r="47" spans="1:11" x14ac:dyDescent="0.3">
      <c r="A47" s="256">
        <v>40</v>
      </c>
      <c r="B47" s="257" t="s">
        <v>1491</v>
      </c>
      <c r="C47" s="276">
        <v>44561</v>
      </c>
      <c r="D47" s="257" t="s">
        <v>1260</v>
      </c>
      <c r="E47" s="256" t="s">
        <v>1804</v>
      </c>
      <c r="F47" s="256" t="s">
        <v>1609</v>
      </c>
      <c r="G47" s="258">
        <v>2844000000</v>
      </c>
      <c r="H47" s="265">
        <v>0.1</v>
      </c>
      <c r="I47" s="258">
        <v>284400000</v>
      </c>
      <c r="J47" s="258">
        <v>3128400000</v>
      </c>
      <c r="K47" s="256" t="s">
        <v>1348</v>
      </c>
    </row>
    <row r="48" spans="1:11" x14ac:dyDescent="0.3">
      <c r="A48" s="256">
        <v>41</v>
      </c>
      <c r="B48" s="257" t="s">
        <v>1487</v>
      </c>
      <c r="C48" s="276">
        <v>44561</v>
      </c>
      <c r="D48" s="257" t="s">
        <v>1277</v>
      </c>
      <c r="E48" s="256" t="s">
        <v>1783</v>
      </c>
      <c r="F48" s="256" t="s">
        <v>1609</v>
      </c>
      <c r="G48" s="258">
        <v>4892000000</v>
      </c>
      <c r="H48" s="265">
        <v>0.1</v>
      </c>
      <c r="I48" s="258">
        <v>489200000</v>
      </c>
      <c r="J48" s="258">
        <v>5381200000</v>
      </c>
      <c r="K48" s="256" t="s">
        <v>1346</v>
      </c>
    </row>
    <row r="49" spans="1:11" x14ac:dyDescent="0.3">
      <c r="A49" s="256">
        <v>42</v>
      </c>
      <c r="B49" s="257" t="s">
        <v>1486</v>
      </c>
      <c r="C49" s="276">
        <v>44561</v>
      </c>
      <c r="D49" s="257" t="s">
        <v>1272</v>
      </c>
      <c r="E49" s="256" t="s">
        <v>1805</v>
      </c>
      <c r="F49" s="256" t="s">
        <v>1876</v>
      </c>
      <c r="G49" s="258">
        <v>3118000000</v>
      </c>
      <c r="H49" s="265">
        <v>0.1</v>
      </c>
      <c r="I49" s="258">
        <v>311800000</v>
      </c>
      <c r="J49" s="258">
        <v>3429800000</v>
      </c>
      <c r="K49" s="256" t="s">
        <v>1346</v>
      </c>
    </row>
    <row r="50" spans="1:11" x14ac:dyDescent="0.3">
      <c r="A50" s="256">
        <v>43</v>
      </c>
      <c r="B50" s="257" t="s">
        <v>1481</v>
      </c>
      <c r="C50" s="276">
        <v>44561</v>
      </c>
      <c r="D50" s="257" t="s">
        <v>1263</v>
      </c>
      <c r="E50" s="256" t="s">
        <v>1790</v>
      </c>
      <c r="F50" s="256" t="s">
        <v>1879</v>
      </c>
      <c r="G50" s="258">
        <v>2532000000</v>
      </c>
      <c r="H50" s="265">
        <v>0.1</v>
      </c>
      <c r="I50" s="258">
        <v>253200000</v>
      </c>
      <c r="J50" s="258">
        <v>2785200000</v>
      </c>
      <c r="K50" s="256" t="s">
        <v>1348</v>
      </c>
    </row>
    <row r="51" spans="1:11" x14ac:dyDescent="0.3">
      <c r="A51" s="256">
        <v>44</v>
      </c>
      <c r="B51" s="257" t="s">
        <v>1486</v>
      </c>
      <c r="C51" s="276">
        <v>44561</v>
      </c>
      <c r="D51" s="257" t="s">
        <v>1281</v>
      </c>
      <c r="E51" s="256" t="s">
        <v>1806</v>
      </c>
      <c r="F51" s="256" t="s">
        <v>1876</v>
      </c>
      <c r="G51" s="258">
        <v>1785000000</v>
      </c>
      <c r="H51" s="265">
        <v>0</v>
      </c>
      <c r="I51" s="258">
        <v>0</v>
      </c>
      <c r="J51" s="258">
        <v>1785000000</v>
      </c>
      <c r="K51" s="256" t="s">
        <v>1346</v>
      </c>
    </row>
    <row r="52" spans="1:11" x14ac:dyDescent="0.3">
      <c r="A52" s="256">
        <v>45</v>
      </c>
      <c r="B52" s="257" t="s">
        <v>1475</v>
      </c>
      <c r="C52" s="276">
        <v>44561</v>
      </c>
      <c r="D52" s="257" t="s">
        <v>1283</v>
      </c>
      <c r="E52" s="256" t="s">
        <v>1798</v>
      </c>
      <c r="F52" s="256" t="s">
        <v>1878</v>
      </c>
      <c r="G52" s="258">
        <v>3021000000</v>
      </c>
      <c r="H52" s="265">
        <v>0.1</v>
      </c>
      <c r="I52" s="258">
        <v>302100000</v>
      </c>
      <c r="J52" s="258">
        <v>3323100000</v>
      </c>
      <c r="K52" s="256" t="s">
        <v>1346</v>
      </c>
    </row>
    <row r="53" spans="1:11" x14ac:dyDescent="0.3">
      <c r="A53" s="256">
        <v>46</v>
      </c>
      <c r="B53" s="257" t="s">
        <v>1473</v>
      </c>
      <c r="C53" s="276">
        <v>44561</v>
      </c>
      <c r="D53" s="257" t="s">
        <v>1280</v>
      </c>
      <c r="E53" s="256" t="s">
        <v>1777</v>
      </c>
      <c r="F53" s="256" t="s">
        <v>1880</v>
      </c>
      <c r="G53" s="258">
        <v>3044000000</v>
      </c>
      <c r="H53" s="265">
        <v>0.1</v>
      </c>
      <c r="I53" s="258">
        <v>304400000</v>
      </c>
      <c r="J53" s="258">
        <v>3348400000</v>
      </c>
      <c r="K53" s="256" t="s">
        <v>1346</v>
      </c>
    </row>
    <row r="54" spans="1:11" x14ac:dyDescent="0.3">
      <c r="A54" s="256">
        <v>47</v>
      </c>
      <c r="B54" s="257" t="s">
        <v>1403</v>
      </c>
      <c r="C54" s="276">
        <v>44561</v>
      </c>
      <c r="D54" s="257" t="s">
        <v>1296</v>
      </c>
      <c r="E54" s="256" t="s">
        <v>1807</v>
      </c>
      <c r="F54" s="256" t="s">
        <v>1880</v>
      </c>
      <c r="G54" s="258">
        <v>3778000000</v>
      </c>
      <c r="H54" s="265">
        <v>0.1</v>
      </c>
      <c r="I54" s="258">
        <v>377800000</v>
      </c>
      <c r="J54" s="258">
        <v>4155800000</v>
      </c>
      <c r="K54" s="256" t="s">
        <v>1346</v>
      </c>
    </row>
    <row r="55" spans="1:11" x14ac:dyDescent="0.3">
      <c r="A55" s="256">
        <v>48</v>
      </c>
      <c r="B55" s="257" t="s">
        <v>1479</v>
      </c>
      <c r="C55" s="276">
        <v>44561</v>
      </c>
      <c r="D55" s="257" t="s">
        <v>1275</v>
      </c>
      <c r="E55" s="256" t="s">
        <v>1808</v>
      </c>
      <c r="F55" s="256" t="s">
        <v>1880</v>
      </c>
      <c r="G55" s="258">
        <v>3363000000</v>
      </c>
      <c r="H55" s="265">
        <v>0.1</v>
      </c>
      <c r="I55" s="258">
        <v>336300000</v>
      </c>
      <c r="J55" s="258">
        <v>3699300000</v>
      </c>
      <c r="K55" s="256" t="s">
        <v>1346</v>
      </c>
    </row>
    <row r="56" spans="1:11" x14ac:dyDescent="0.3">
      <c r="A56" s="256">
        <v>49</v>
      </c>
      <c r="B56" s="257" t="s">
        <v>1492</v>
      </c>
      <c r="C56" s="276">
        <v>44561</v>
      </c>
      <c r="D56" s="257" t="s">
        <v>1260</v>
      </c>
      <c r="E56" s="256" t="s">
        <v>1804</v>
      </c>
      <c r="F56" s="256" t="s">
        <v>1880</v>
      </c>
      <c r="G56" s="258">
        <v>3407000000</v>
      </c>
      <c r="H56" s="265">
        <v>0.1</v>
      </c>
      <c r="I56" s="258">
        <v>340700000</v>
      </c>
      <c r="J56" s="258">
        <v>3747700000</v>
      </c>
      <c r="K56" s="256" t="s">
        <v>1348</v>
      </c>
    </row>
    <row r="57" spans="1:11" x14ac:dyDescent="0.3">
      <c r="A57" s="256">
        <v>50</v>
      </c>
      <c r="B57" s="257" t="s">
        <v>1493</v>
      </c>
      <c r="C57" s="276">
        <v>44561</v>
      </c>
      <c r="D57" s="257" t="s">
        <v>1260</v>
      </c>
      <c r="E57" s="256" t="s">
        <v>1804</v>
      </c>
      <c r="F57" s="256" t="s">
        <v>1877</v>
      </c>
      <c r="G57" s="258">
        <v>5134000000</v>
      </c>
      <c r="H57" s="265">
        <v>0</v>
      </c>
      <c r="I57" s="258">
        <v>0</v>
      </c>
      <c r="J57" s="258">
        <v>5134000000</v>
      </c>
      <c r="K57" s="256" t="s">
        <v>1346</v>
      </c>
    </row>
    <row r="58" spans="1:11" x14ac:dyDescent="0.3">
      <c r="A58" s="266" t="s">
        <v>1351</v>
      </c>
      <c r="B58" s="266"/>
      <c r="C58" s="266"/>
      <c r="D58" s="266"/>
      <c r="E58" s="266"/>
      <c r="F58" s="266"/>
      <c r="G58" s="267">
        <f>SUM(G8:G57)</f>
        <v>195351000000</v>
      </c>
      <c r="H58" s="266"/>
      <c r="I58" s="267">
        <f>SUM(I8:I57)</f>
        <v>16983000000</v>
      </c>
      <c r="J58" s="267">
        <f>SUM(J8:J57)</f>
        <v>212334000000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1285</v>
      </c>
      <c r="E62" s="256" t="s">
        <v>1793</v>
      </c>
      <c r="F62" s="256" t="s">
        <v>1883</v>
      </c>
      <c r="G62" s="258">
        <v>6585000000</v>
      </c>
      <c r="H62" s="265">
        <v>0.1</v>
      </c>
      <c r="I62" s="258">
        <v>658500000</v>
      </c>
      <c r="J62" s="258">
        <v>7243500000</v>
      </c>
      <c r="K62" s="256" t="s">
        <v>1346</v>
      </c>
    </row>
    <row r="63" spans="1:11" x14ac:dyDescent="0.3">
      <c r="A63" s="256">
        <v>2</v>
      </c>
      <c r="B63" s="257" t="s">
        <v>1201</v>
      </c>
      <c r="C63" s="276">
        <v>44318</v>
      </c>
      <c r="D63" s="257" t="s">
        <v>1267</v>
      </c>
      <c r="E63" s="256" t="s">
        <v>1810</v>
      </c>
      <c r="F63" s="256" t="s">
        <v>1881</v>
      </c>
      <c r="G63" s="258">
        <v>4861000000</v>
      </c>
      <c r="H63" s="265">
        <v>0.1</v>
      </c>
      <c r="I63" s="258">
        <v>486100000</v>
      </c>
      <c r="J63" s="258">
        <v>5347100000</v>
      </c>
      <c r="K63" s="256" t="s">
        <v>1348</v>
      </c>
    </row>
    <row r="64" spans="1:11" x14ac:dyDescent="0.3">
      <c r="A64" s="256">
        <v>3</v>
      </c>
      <c r="B64" s="257" t="s">
        <v>1202</v>
      </c>
      <c r="C64" s="276">
        <v>44472</v>
      </c>
      <c r="D64" s="257" t="s">
        <v>1302</v>
      </c>
      <c r="E64" s="256" t="s">
        <v>1784</v>
      </c>
      <c r="F64" s="256" t="s">
        <v>1884</v>
      </c>
      <c r="G64" s="258">
        <v>5132000000</v>
      </c>
      <c r="H64" s="265">
        <v>0.1</v>
      </c>
      <c r="I64" s="258">
        <v>513200000</v>
      </c>
      <c r="J64" s="258">
        <v>5645200000</v>
      </c>
      <c r="K64" s="256" t="s">
        <v>1346</v>
      </c>
    </row>
    <row r="65" spans="1:11" x14ac:dyDescent="0.3">
      <c r="A65" s="256">
        <v>4</v>
      </c>
      <c r="B65" s="257" t="s">
        <v>1355</v>
      </c>
      <c r="C65" s="276">
        <v>44473</v>
      </c>
      <c r="D65" s="257" t="s">
        <v>1290</v>
      </c>
      <c r="E65" s="256" t="s">
        <v>1796</v>
      </c>
      <c r="F65" s="256" t="s">
        <v>1881</v>
      </c>
      <c r="G65" s="258">
        <v>3372000000</v>
      </c>
      <c r="H65" s="265">
        <v>0</v>
      </c>
      <c r="I65" s="258">
        <v>0</v>
      </c>
      <c r="J65" s="258">
        <v>3372000000</v>
      </c>
      <c r="K65" s="256" t="s">
        <v>1346</v>
      </c>
    </row>
    <row r="66" spans="1:11" x14ac:dyDescent="0.3">
      <c r="A66" s="256">
        <v>5</v>
      </c>
      <c r="B66" s="257" t="s">
        <v>1356</v>
      </c>
      <c r="C66" s="276">
        <v>44474</v>
      </c>
      <c r="D66" s="257" t="s">
        <v>1261</v>
      </c>
      <c r="E66" s="256" t="s">
        <v>1813</v>
      </c>
      <c r="F66" s="256" t="s">
        <v>1882</v>
      </c>
      <c r="G66" s="258">
        <v>5063000000</v>
      </c>
      <c r="H66" s="265">
        <v>0.1</v>
      </c>
      <c r="I66" s="258">
        <v>506300000</v>
      </c>
      <c r="J66" s="258">
        <v>5569300000</v>
      </c>
      <c r="K66" s="256" t="s">
        <v>1346</v>
      </c>
    </row>
    <row r="67" spans="1:11" x14ac:dyDescent="0.3">
      <c r="A67" s="256">
        <v>6</v>
      </c>
      <c r="B67" s="257" t="s">
        <v>1358</v>
      </c>
      <c r="C67" s="276">
        <v>44475</v>
      </c>
      <c r="D67" s="257" t="s">
        <v>1257</v>
      </c>
      <c r="E67" s="256" t="s">
        <v>1815</v>
      </c>
      <c r="F67" s="256" t="s">
        <v>1883</v>
      </c>
      <c r="G67" s="258">
        <v>5256000000</v>
      </c>
      <c r="H67" s="265">
        <v>0.1</v>
      </c>
      <c r="I67" s="258">
        <v>525600000</v>
      </c>
      <c r="J67" s="258">
        <v>5781600000</v>
      </c>
      <c r="K67" s="256" t="s">
        <v>1346</v>
      </c>
    </row>
    <row r="68" spans="1:11" x14ac:dyDescent="0.3">
      <c r="A68" s="256">
        <v>7</v>
      </c>
      <c r="B68" s="257" t="s">
        <v>1360</v>
      </c>
      <c r="C68" s="276">
        <v>44476</v>
      </c>
      <c r="D68" s="257" t="s">
        <v>1261</v>
      </c>
      <c r="E68" s="256" t="s">
        <v>1813</v>
      </c>
      <c r="F68" s="256" t="s">
        <v>1881</v>
      </c>
      <c r="G68" s="258">
        <v>2313000000</v>
      </c>
      <c r="H68" s="265">
        <v>0.1</v>
      </c>
      <c r="I68" s="258">
        <v>231300000</v>
      </c>
      <c r="J68" s="258">
        <v>2544300000</v>
      </c>
      <c r="K68" s="256" t="s">
        <v>1348</v>
      </c>
    </row>
    <row r="69" spans="1:11" x14ac:dyDescent="0.3">
      <c r="A69" s="256">
        <v>8</v>
      </c>
      <c r="B69" s="257" t="s">
        <v>1362</v>
      </c>
      <c r="C69" s="276">
        <v>44477</v>
      </c>
      <c r="D69" s="257" t="s">
        <v>1272</v>
      </c>
      <c r="E69" s="256" t="s">
        <v>1805</v>
      </c>
      <c r="F69" s="256" t="s">
        <v>1884</v>
      </c>
      <c r="G69" s="258">
        <v>4681000000</v>
      </c>
      <c r="H69" s="265">
        <v>0.1</v>
      </c>
      <c r="I69" s="258">
        <v>468100000</v>
      </c>
      <c r="J69" s="258">
        <v>5149100000</v>
      </c>
      <c r="K69" s="256" t="s">
        <v>1346</v>
      </c>
    </row>
    <row r="70" spans="1:11" x14ac:dyDescent="0.3">
      <c r="A70" s="256">
        <v>9</v>
      </c>
      <c r="B70" s="257" t="s">
        <v>1364</v>
      </c>
      <c r="C70" s="276">
        <v>44478</v>
      </c>
      <c r="D70" s="257" t="s">
        <v>1284</v>
      </c>
      <c r="E70" s="256" t="s">
        <v>1786</v>
      </c>
      <c r="F70" s="256" t="s">
        <v>1882</v>
      </c>
      <c r="G70" s="258">
        <v>6317000000</v>
      </c>
      <c r="H70" s="265">
        <v>0.1</v>
      </c>
      <c r="I70" s="258">
        <v>631700000</v>
      </c>
      <c r="J70" s="258">
        <v>6948700000</v>
      </c>
      <c r="K70" s="256" t="s">
        <v>1346</v>
      </c>
    </row>
    <row r="71" spans="1:11" x14ac:dyDescent="0.3">
      <c r="A71" s="256">
        <v>10</v>
      </c>
      <c r="B71" s="257" t="s">
        <v>1366</v>
      </c>
      <c r="C71" s="276">
        <v>44479</v>
      </c>
      <c r="D71" s="257" t="s">
        <v>1262</v>
      </c>
      <c r="E71" s="256" t="s">
        <v>1816</v>
      </c>
      <c r="F71" s="256" t="s">
        <v>1883</v>
      </c>
      <c r="G71" s="258">
        <v>6372000000</v>
      </c>
      <c r="H71" s="265">
        <v>0.1</v>
      </c>
      <c r="I71" s="258">
        <v>637200000</v>
      </c>
      <c r="J71" s="258">
        <v>7009200000</v>
      </c>
      <c r="K71" s="256" t="s">
        <v>1346</v>
      </c>
    </row>
    <row r="72" spans="1:11" x14ac:dyDescent="0.3">
      <c r="A72" s="256">
        <v>11</v>
      </c>
      <c r="B72" s="257" t="s">
        <v>1368</v>
      </c>
      <c r="C72" s="276">
        <v>44480</v>
      </c>
      <c r="D72" s="257" t="s">
        <v>1285</v>
      </c>
      <c r="E72" s="256" t="s">
        <v>1793</v>
      </c>
      <c r="F72" s="256" t="s">
        <v>1881</v>
      </c>
      <c r="G72" s="258">
        <v>8345000000</v>
      </c>
      <c r="H72" s="265">
        <v>0</v>
      </c>
      <c r="I72" s="258">
        <v>0</v>
      </c>
      <c r="J72" s="258">
        <v>8345000000</v>
      </c>
      <c r="K72" s="256" t="s">
        <v>1346</v>
      </c>
    </row>
    <row r="73" spans="1:11" x14ac:dyDescent="0.3">
      <c r="A73" s="256">
        <v>12</v>
      </c>
      <c r="B73" s="257" t="s">
        <v>1371</v>
      </c>
      <c r="C73" s="276">
        <v>44481</v>
      </c>
      <c r="D73" s="257" t="s">
        <v>1303</v>
      </c>
      <c r="E73" s="256" t="s">
        <v>1817</v>
      </c>
      <c r="F73" s="256" t="s">
        <v>1884</v>
      </c>
      <c r="G73" s="258">
        <v>8996000000</v>
      </c>
      <c r="H73" s="265">
        <v>0.1</v>
      </c>
      <c r="I73" s="258">
        <v>899600000</v>
      </c>
      <c r="J73" s="258">
        <v>9895600000</v>
      </c>
      <c r="K73" s="256" t="s">
        <v>1346</v>
      </c>
    </row>
    <row r="74" spans="1:11" x14ac:dyDescent="0.3">
      <c r="A74" s="256">
        <v>13</v>
      </c>
      <c r="B74" s="257" t="s">
        <v>1373</v>
      </c>
      <c r="C74" s="276">
        <v>44211</v>
      </c>
      <c r="D74" s="257" t="s">
        <v>1290</v>
      </c>
      <c r="E74" s="256" t="s">
        <v>1796</v>
      </c>
      <c r="F74" s="256" t="s">
        <v>1882</v>
      </c>
      <c r="G74" s="258">
        <v>8429000000</v>
      </c>
      <c r="H74" s="265">
        <v>0.1</v>
      </c>
      <c r="I74" s="258">
        <v>842900000</v>
      </c>
      <c r="J74" s="258">
        <v>9271900000</v>
      </c>
      <c r="K74" s="256" t="s">
        <v>1346</v>
      </c>
    </row>
    <row r="75" spans="1:11" x14ac:dyDescent="0.3">
      <c r="A75" s="256">
        <v>14</v>
      </c>
      <c r="B75" s="257" t="s">
        <v>1374</v>
      </c>
      <c r="C75" s="276">
        <v>44242</v>
      </c>
      <c r="D75" s="257" t="s">
        <v>1284</v>
      </c>
      <c r="E75" s="256" t="s">
        <v>1786</v>
      </c>
      <c r="F75" s="256" t="s">
        <v>1884</v>
      </c>
      <c r="G75" s="258">
        <v>4516000000</v>
      </c>
      <c r="H75" s="265">
        <v>0.1</v>
      </c>
      <c r="I75" s="258">
        <v>451600000</v>
      </c>
      <c r="J75" s="258">
        <v>4967600000</v>
      </c>
      <c r="K75" s="256" t="s">
        <v>1346</v>
      </c>
    </row>
    <row r="76" spans="1:11" x14ac:dyDescent="0.3">
      <c r="A76" s="256">
        <v>15</v>
      </c>
      <c r="B76" s="257" t="s">
        <v>1376</v>
      </c>
      <c r="C76" s="276">
        <v>44275</v>
      </c>
      <c r="D76" s="257" t="s">
        <v>1282</v>
      </c>
      <c r="E76" s="256" t="s">
        <v>1789</v>
      </c>
      <c r="F76" s="256" t="s">
        <v>1883</v>
      </c>
      <c r="G76" s="258">
        <v>4149000000</v>
      </c>
      <c r="H76" s="265">
        <v>0.1</v>
      </c>
      <c r="I76" s="258">
        <v>414900000</v>
      </c>
      <c r="J76" s="258">
        <v>4563900000</v>
      </c>
      <c r="K76" s="256" t="s">
        <v>1346</v>
      </c>
    </row>
    <row r="77" spans="1:11" x14ac:dyDescent="0.3">
      <c r="A77" s="256">
        <v>16</v>
      </c>
      <c r="B77" s="257" t="s">
        <v>1378</v>
      </c>
      <c r="C77" s="276">
        <v>44306</v>
      </c>
      <c r="D77" s="257" t="s">
        <v>1261</v>
      </c>
      <c r="E77" s="256" t="s">
        <v>1813</v>
      </c>
      <c r="F77" s="256" t="s">
        <v>1883</v>
      </c>
      <c r="G77" s="258">
        <v>7013000000</v>
      </c>
      <c r="H77" s="265">
        <v>0.1</v>
      </c>
      <c r="I77" s="258">
        <v>701300000</v>
      </c>
      <c r="J77" s="258">
        <v>7714300000</v>
      </c>
      <c r="K77" s="256" t="s">
        <v>1346</v>
      </c>
    </row>
    <row r="78" spans="1:11" x14ac:dyDescent="0.3">
      <c r="A78" s="256">
        <v>17</v>
      </c>
      <c r="B78" s="257" t="s">
        <v>1379</v>
      </c>
      <c r="C78" s="276">
        <v>44336</v>
      </c>
      <c r="D78" s="257" t="s">
        <v>1289</v>
      </c>
      <c r="E78" s="256" t="s">
        <v>1803</v>
      </c>
      <c r="F78" s="256" t="s">
        <v>1884</v>
      </c>
      <c r="G78" s="258">
        <v>3558000000</v>
      </c>
      <c r="H78" s="265">
        <v>0.1</v>
      </c>
      <c r="I78" s="258">
        <v>355800000</v>
      </c>
      <c r="J78" s="258">
        <v>3913800000</v>
      </c>
      <c r="K78" s="256" t="s">
        <v>1346</v>
      </c>
    </row>
    <row r="79" spans="1:11" x14ac:dyDescent="0.3">
      <c r="A79" s="256">
        <v>18</v>
      </c>
      <c r="B79" s="257" t="s">
        <v>1381</v>
      </c>
      <c r="C79" s="276">
        <v>44367</v>
      </c>
      <c r="D79" s="257" t="s">
        <v>1290</v>
      </c>
      <c r="E79" s="256" t="s">
        <v>1796</v>
      </c>
      <c r="F79" s="256" t="s">
        <v>1883</v>
      </c>
      <c r="G79" s="258">
        <v>8227000000</v>
      </c>
      <c r="H79" s="265">
        <v>0.1</v>
      </c>
      <c r="I79" s="258">
        <v>822700000</v>
      </c>
      <c r="J79" s="258">
        <v>9049700000</v>
      </c>
      <c r="K79" s="256" t="s">
        <v>1346</v>
      </c>
    </row>
    <row r="80" spans="1:11" x14ac:dyDescent="0.3">
      <c r="A80" s="256">
        <v>19</v>
      </c>
      <c r="B80" s="257" t="s">
        <v>1382</v>
      </c>
      <c r="C80" s="276">
        <v>44397</v>
      </c>
      <c r="D80" s="257" t="s">
        <v>1290</v>
      </c>
      <c r="E80" s="256" t="s">
        <v>1796</v>
      </c>
      <c r="F80" s="256" t="s">
        <v>1881</v>
      </c>
      <c r="G80" s="258">
        <v>8202000000</v>
      </c>
      <c r="H80" s="265">
        <v>0.1</v>
      </c>
      <c r="I80" s="258">
        <v>820200000</v>
      </c>
      <c r="J80" s="258">
        <v>9022200000</v>
      </c>
      <c r="K80" s="256" t="s">
        <v>1346</v>
      </c>
    </row>
    <row r="81" spans="1:11" x14ac:dyDescent="0.3">
      <c r="A81" s="256">
        <v>20</v>
      </c>
      <c r="B81" s="257" t="s">
        <v>1383</v>
      </c>
      <c r="C81" s="276">
        <v>44428</v>
      </c>
      <c r="D81" s="257" t="s">
        <v>1283</v>
      </c>
      <c r="E81" s="256" t="s">
        <v>1798</v>
      </c>
      <c r="F81" s="256" t="s">
        <v>1883</v>
      </c>
      <c r="G81" s="258">
        <v>4508000000</v>
      </c>
      <c r="H81" s="265">
        <v>0.1</v>
      </c>
      <c r="I81" s="258">
        <v>450800000</v>
      </c>
      <c r="J81" s="258">
        <v>4958800000</v>
      </c>
      <c r="K81" s="256" t="s">
        <v>1346</v>
      </c>
    </row>
    <row r="82" spans="1:11" x14ac:dyDescent="0.3">
      <c r="A82" s="256">
        <v>21</v>
      </c>
      <c r="B82" s="257" t="s">
        <v>1203</v>
      </c>
      <c r="C82" s="276">
        <v>44459</v>
      </c>
      <c r="D82" s="257" t="s">
        <v>1292</v>
      </c>
      <c r="E82" s="256" t="s">
        <v>1792</v>
      </c>
      <c r="F82" s="256" t="s">
        <v>1882</v>
      </c>
      <c r="G82" s="258">
        <v>4009000000</v>
      </c>
      <c r="H82" s="265">
        <v>0.1</v>
      </c>
      <c r="I82" s="258">
        <v>400900000</v>
      </c>
      <c r="J82" s="258">
        <v>4409900000</v>
      </c>
      <c r="K82" s="256" t="s">
        <v>1346</v>
      </c>
    </row>
    <row r="83" spans="1:11" x14ac:dyDescent="0.3">
      <c r="A83" s="256">
        <v>22</v>
      </c>
      <c r="B83" s="257" t="s">
        <v>1204</v>
      </c>
      <c r="C83" s="276">
        <v>44489</v>
      </c>
      <c r="D83" s="257" t="s">
        <v>1300</v>
      </c>
      <c r="E83" s="256" t="s">
        <v>1818</v>
      </c>
      <c r="F83" s="256" t="s">
        <v>1883</v>
      </c>
      <c r="G83" s="258">
        <v>4010000000</v>
      </c>
      <c r="H83" s="265">
        <v>0.1</v>
      </c>
      <c r="I83" s="258">
        <v>401000000</v>
      </c>
      <c r="J83" s="258">
        <v>4411000000</v>
      </c>
      <c r="K83" s="256" t="s">
        <v>1346</v>
      </c>
    </row>
    <row r="84" spans="1:11" x14ac:dyDescent="0.3">
      <c r="A84" s="256">
        <v>23</v>
      </c>
      <c r="B84" s="257" t="s">
        <v>1205</v>
      </c>
      <c r="C84" s="276">
        <v>44520</v>
      </c>
      <c r="D84" s="257" t="s">
        <v>1298</v>
      </c>
      <c r="E84" s="256" t="s">
        <v>1819</v>
      </c>
      <c r="F84" s="256" t="s">
        <v>1884</v>
      </c>
      <c r="G84" s="258">
        <v>8187000000</v>
      </c>
      <c r="H84" s="265">
        <v>0.1</v>
      </c>
      <c r="I84" s="258">
        <v>818700000</v>
      </c>
      <c r="J84" s="258">
        <v>9005700000</v>
      </c>
      <c r="K84" s="256" t="s">
        <v>1346</v>
      </c>
    </row>
    <row r="85" spans="1:11" x14ac:dyDescent="0.3">
      <c r="A85" s="256">
        <v>24</v>
      </c>
      <c r="B85" s="257" t="s">
        <v>1385</v>
      </c>
      <c r="C85" s="276">
        <v>44550</v>
      </c>
      <c r="D85" s="257" t="s">
        <v>1294</v>
      </c>
      <c r="E85" s="256" t="s">
        <v>1795</v>
      </c>
      <c r="F85" s="256" t="s">
        <v>1881</v>
      </c>
      <c r="G85" s="258">
        <v>5081000000</v>
      </c>
      <c r="H85" s="265">
        <v>0.1</v>
      </c>
      <c r="I85" s="258">
        <v>508100000</v>
      </c>
      <c r="J85" s="258">
        <v>5589100000</v>
      </c>
      <c r="K85" s="256" t="s">
        <v>1348</v>
      </c>
    </row>
    <row r="86" spans="1:11" x14ac:dyDescent="0.3">
      <c r="A86" s="256">
        <v>25</v>
      </c>
      <c r="B86" s="257" t="s">
        <v>1387</v>
      </c>
      <c r="C86" s="276">
        <v>44221</v>
      </c>
      <c r="D86" s="257" t="s">
        <v>1267</v>
      </c>
      <c r="E86" s="256" t="s">
        <v>1810</v>
      </c>
      <c r="F86" s="256" t="s">
        <v>1883</v>
      </c>
      <c r="G86" s="258">
        <v>7552000000</v>
      </c>
      <c r="H86" s="265">
        <v>0.1</v>
      </c>
      <c r="I86" s="258">
        <v>755200000</v>
      </c>
      <c r="J86" s="258">
        <v>8307200000</v>
      </c>
      <c r="K86" s="256" t="s">
        <v>1346</v>
      </c>
    </row>
    <row r="87" spans="1:11" x14ac:dyDescent="0.3">
      <c r="A87" s="256">
        <v>26</v>
      </c>
      <c r="B87" s="257" t="s">
        <v>1388</v>
      </c>
      <c r="C87" s="276">
        <v>44255</v>
      </c>
      <c r="D87" s="257" t="s">
        <v>1297</v>
      </c>
      <c r="E87" s="256" t="s">
        <v>1820</v>
      </c>
      <c r="F87" s="256" t="s">
        <v>1884</v>
      </c>
      <c r="G87" s="258">
        <v>3784000000</v>
      </c>
      <c r="H87" s="265">
        <v>0.1</v>
      </c>
      <c r="I87" s="258">
        <v>378400000</v>
      </c>
      <c r="J87" s="258">
        <v>4162400000</v>
      </c>
      <c r="K87" s="256" t="s">
        <v>1346</v>
      </c>
    </row>
    <row r="88" spans="1:11" x14ac:dyDescent="0.3">
      <c r="A88" s="256">
        <v>27</v>
      </c>
      <c r="B88" s="257" t="s">
        <v>1391</v>
      </c>
      <c r="C88" s="276">
        <v>44316</v>
      </c>
      <c r="D88" s="257" t="s">
        <v>1282</v>
      </c>
      <c r="E88" s="256" t="s">
        <v>1789</v>
      </c>
      <c r="F88" s="256" t="s">
        <v>1884</v>
      </c>
      <c r="G88" s="258">
        <v>8161000000</v>
      </c>
      <c r="H88" s="265">
        <v>0.1</v>
      </c>
      <c r="I88" s="258">
        <v>816100000</v>
      </c>
      <c r="J88" s="258">
        <v>8977100000</v>
      </c>
      <c r="K88" s="256" t="s">
        <v>1348</v>
      </c>
    </row>
    <row r="89" spans="1:11" x14ac:dyDescent="0.3">
      <c r="A89" s="256">
        <v>28</v>
      </c>
      <c r="B89" s="257" t="s">
        <v>1392</v>
      </c>
      <c r="C89" s="276">
        <v>44377</v>
      </c>
      <c r="D89" s="257" t="s">
        <v>1302</v>
      </c>
      <c r="E89" s="256" t="s">
        <v>1784</v>
      </c>
      <c r="F89" s="256" t="s">
        <v>1883</v>
      </c>
      <c r="G89" s="258">
        <v>4994000000</v>
      </c>
      <c r="H89" s="265">
        <v>0</v>
      </c>
      <c r="I89" s="258">
        <v>0</v>
      </c>
      <c r="J89" s="258">
        <v>4994000000</v>
      </c>
      <c r="K89" s="256" t="s">
        <v>1346</v>
      </c>
    </row>
    <row r="90" spans="1:11" x14ac:dyDescent="0.3">
      <c r="A90" s="256">
        <v>29</v>
      </c>
      <c r="B90" s="257" t="s">
        <v>1394</v>
      </c>
      <c r="C90" s="276">
        <v>44469</v>
      </c>
      <c r="D90" s="257" t="s">
        <v>1289</v>
      </c>
      <c r="E90" s="256" t="s">
        <v>1803</v>
      </c>
      <c r="F90" s="256" t="s">
        <v>1883</v>
      </c>
      <c r="G90" s="258">
        <v>2650000000</v>
      </c>
      <c r="H90" s="265">
        <v>0.1</v>
      </c>
      <c r="I90" s="258">
        <v>265000000</v>
      </c>
      <c r="J90" s="258">
        <v>2915000000</v>
      </c>
      <c r="K90" s="256" t="s">
        <v>1346</v>
      </c>
    </row>
    <row r="91" spans="1:11" x14ac:dyDescent="0.3">
      <c r="A91" s="256">
        <v>30</v>
      </c>
      <c r="B91" s="257" t="s">
        <v>1396</v>
      </c>
      <c r="C91" s="276">
        <v>44530</v>
      </c>
      <c r="D91" s="257" t="s">
        <v>1280</v>
      </c>
      <c r="E91" s="256" t="s">
        <v>1777</v>
      </c>
      <c r="F91" s="256" t="s">
        <v>1881</v>
      </c>
      <c r="G91" s="258">
        <v>8037000000</v>
      </c>
      <c r="H91" s="265">
        <v>0.1</v>
      </c>
      <c r="I91" s="258">
        <v>803700000</v>
      </c>
      <c r="J91" s="258">
        <v>8840700000</v>
      </c>
      <c r="K91" s="256" t="s">
        <v>1346</v>
      </c>
    </row>
    <row r="92" spans="1:11" x14ac:dyDescent="0.3">
      <c r="A92" s="256">
        <v>31</v>
      </c>
      <c r="B92" s="257" t="s">
        <v>1397</v>
      </c>
      <c r="C92" s="276">
        <v>44286</v>
      </c>
      <c r="D92" s="257" t="s">
        <v>1299</v>
      </c>
      <c r="E92" s="256" t="s">
        <v>1776</v>
      </c>
      <c r="F92" s="256" t="s">
        <v>1883</v>
      </c>
      <c r="G92" s="258">
        <v>2686000000</v>
      </c>
      <c r="H92" s="265">
        <v>0.1</v>
      </c>
      <c r="I92" s="258">
        <v>268600000</v>
      </c>
      <c r="J92" s="258">
        <v>2954600000</v>
      </c>
      <c r="K92" s="256" t="s">
        <v>1346</v>
      </c>
    </row>
    <row r="93" spans="1:11" x14ac:dyDescent="0.3">
      <c r="A93" s="256">
        <v>32</v>
      </c>
      <c r="B93" s="257" t="s">
        <v>1398</v>
      </c>
      <c r="C93" s="276">
        <v>44347</v>
      </c>
      <c r="D93" s="257" t="s">
        <v>1268</v>
      </c>
      <c r="E93" s="256" t="s">
        <v>1821</v>
      </c>
      <c r="F93" s="256" t="s">
        <v>1884</v>
      </c>
      <c r="G93" s="258">
        <v>6612000000</v>
      </c>
      <c r="H93" s="265">
        <v>0.1</v>
      </c>
      <c r="I93" s="258">
        <v>661200000</v>
      </c>
      <c r="J93" s="258">
        <v>7273200000</v>
      </c>
      <c r="K93" s="256" t="s">
        <v>1348</v>
      </c>
    </row>
    <row r="94" spans="1:11" x14ac:dyDescent="0.3">
      <c r="A94" s="256">
        <v>33</v>
      </c>
      <c r="B94" s="257" t="s">
        <v>1399</v>
      </c>
      <c r="C94" s="276">
        <v>44408</v>
      </c>
      <c r="D94" s="257" t="s">
        <v>1276</v>
      </c>
      <c r="E94" s="256" t="s">
        <v>1822</v>
      </c>
      <c r="F94" s="256" t="s">
        <v>1884</v>
      </c>
      <c r="G94" s="258">
        <v>8789000000</v>
      </c>
      <c r="H94" s="265">
        <v>0</v>
      </c>
      <c r="I94" s="258">
        <v>0</v>
      </c>
      <c r="J94" s="258">
        <v>8789000000</v>
      </c>
      <c r="K94" s="256" t="s">
        <v>1346</v>
      </c>
    </row>
    <row r="95" spans="1:11" x14ac:dyDescent="0.3">
      <c r="A95" s="256">
        <v>34</v>
      </c>
      <c r="B95" s="257" t="s">
        <v>1401</v>
      </c>
      <c r="C95" s="276">
        <v>44439</v>
      </c>
      <c r="D95" s="257" t="s">
        <v>1263</v>
      </c>
      <c r="E95" s="256" t="s">
        <v>1790</v>
      </c>
      <c r="F95" s="256" t="s">
        <v>1882</v>
      </c>
      <c r="G95" s="258">
        <v>3264000000</v>
      </c>
      <c r="H95" s="265">
        <v>0.1</v>
      </c>
      <c r="I95" s="258">
        <v>326400000</v>
      </c>
      <c r="J95" s="258">
        <v>3590400000</v>
      </c>
      <c r="K95" s="256" t="s">
        <v>1346</v>
      </c>
    </row>
    <row r="96" spans="1:11" x14ac:dyDescent="0.3">
      <c r="A96" s="256">
        <v>35</v>
      </c>
      <c r="B96" s="257" t="s">
        <v>1402</v>
      </c>
      <c r="C96" s="276">
        <v>44500</v>
      </c>
      <c r="D96" s="257" t="s">
        <v>1288</v>
      </c>
      <c r="E96" s="256" t="s">
        <v>1797</v>
      </c>
      <c r="F96" s="256" t="s">
        <v>1882</v>
      </c>
      <c r="G96" s="258">
        <v>4111000000</v>
      </c>
      <c r="H96" s="265">
        <v>0.1</v>
      </c>
      <c r="I96" s="258">
        <v>411100000</v>
      </c>
      <c r="J96" s="258">
        <v>4522100000</v>
      </c>
      <c r="K96" s="256" t="s">
        <v>1346</v>
      </c>
    </row>
    <row r="97" spans="1:11" x14ac:dyDescent="0.3">
      <c r="A97" s="256">
        <v>36</v>
      </c>
      <c r="B97" s="257" t="s">
        <v>1403</v>
      </c>
      <c r="C97" s="276">
        <v>44561</v>
      </c>
      <c r="D97" s="257" t="s">
        <v>1268</v>
      </c>
      <c r="E97" s="256" t="s">
        <v>1821</v>
      </c>
      <c r="F97" s="256" t="s">
        <v>1883</v>
      </c>
      <c r="G97" s="258">
        <v>6352000000</v>
      </c>
      <c r="H97" s="265">
        <v>0.1</v>
      </c>
      <c r="I97" s="258">
        <v>635200000</v>
      </c>
      <c r="J97" s="258">
        <v>6987200000</v>
      </c>
      <c r="K97" s="256" t="s">
        <v>1346</v>
      </c>
    </row>
    <row r="98" spans="1:11" x14ac:dyDescent="0.3">
      <c r="A98" s="256">
        <v>37</v>
      </c>
      <c r="B98" s="257" t="s">
        <v>1404</v>
      </c>
      <c r="C98" s="276">
        <v>44561</v>
      </c>
      <c r="D98" s="257" t="s">
        <v>1267</v>
      </c>
      <c r="E98" s="256" t="s">
        <v>1810</v>
      </c>
      <c r="F98" s="256" t="s">
        <v>1884</v>
      </c>
      <c r="G98" s="258">
        <v>2685000000</v>
      </c>
      <c r="H98" s="265">
        <v>0.1</v>
      </c>
      <c r="I98" s="258">
        <v>268500000</v>
      </c>
      <c r="J98" s="258">
        <v>2953500000</v>
      </c>
      <c r="K98" s="256" t="s">
        <v>1346</v>
      </c>
    </row>
    <row r="99" spans="1:11" x14ac:dyDescent="0.3">
      <c r="A99" s="256">
        <v>38</v>
      </c>
      <c r="B99" s="257" t="s">
        <v>1405</v>
      </c>
      <c r="C99" s="276">
        <v>44561</v>
      </c>
      <c r="D99" s="257" t="s">
        <v>1287</v>
      </c>
      <c r="E99" s="256" t="s">
        <v>1801</v>
      </c>
      <c r="F99" s="256" t="s">
        <v>1884</v>
      </c>
      <c r="G99" s="258">
        <v>8723000000</v>
      </c>
      <c r="H99" s="265">
        <v>0</v>
      </c>
      <c r="I99" s="258">
        <v>0</v>
      </c>
      <c r="J99" s="258">
        <v>8723000000</v>
      </c>
      <c r="K99" s="256" t="s">
        <v>1346</v>
      </c>
    </row>
    <row r="100" spans="1:11" x14ac:dyDescent="0.3">
      <c r="A100" s="256">
        <v>39</v>
      </c>
      <c r="B100" s="257" t="s">
        <v>1406</v>
      </c>
      <c r="C100" s="276">
        <v>44561</v>
      </c>
      <c r="D100" s="257" t="s">
        <v>1281</v>
      </c>
      <c r="E100" s="256" t="s">
        <v>1806</v>
      </c>
      <c r="F100" s="256" t="s">
        <v>1881</v>
      </c>
      <c r="G100" s="258">
        <v>2492000000</v>
      </c>
      <c r="H100" s="265">
        <v>0</v>
      </c>
      <c r="I100" s="258">
        <v>0</v>
      </c>
      <c r="J100" s="258">
        <v>2492000000</v>
      </c>
      <c r="K100" s="256" t="s">
        <v>1348</v>
      </c>
    </row>
    <row r="101" spans="1:11" x14ac:dyDescent="0.3">
      <c r="A101" s="256">
        <v>40</v>
      </c>
      <c r="B101" s="257" t="s">
        <v>1408</v>
      </c>
      <c r="C101" s="276">
        <v>44561</v>
      </c>
      <c r="D101" s="257" t="s">
        <v>1278</v>
      </c>
      <c r="E101" s="256" t="s">
        <v>1785</v>
      </c>
      <c r="F101" s="256" t="s">
        <v>1883</v>
      </c>
      <c r="G101" s="258">
        <v>7802000000</v>
      </c>
      <c r="H101" s="265">
        <v>0.1</v>
      </c>
      <c r="I101" s="258">
        <v>780200000</v>
      </c>
      <c r="J101" s="258">
        <v>8582200000</v>
      </c>
      <c r="K101" s="256" t="s">
        <v>1346</v>
      </c>
    </row>
    <row r="102" spans="1:11" x14ac:dyDescent="0.3">
      <c r="A102" s="256">
        <v>41</v>
      </c>
      <c r="B102" s="257" t="s">
        <v>1409</v>
      </c>
      <c r="C102" s="276">
        <v>44561</v>
      </c>
      <c r="D102" s="257" t="s">
        <v>1281</v>
      </c>
      <c r="E102" s="256" t="s">
        <v>1806</v>
      </c>
      <c r="F102" s="256" t="s">
        <v>1883</v>
      </c>
      <c r="G102" s="258">
        <v>7017000000</v>
      </c>
      <c r="H102" s="265">
        <v>0.1</v>
      </c>
      <c r="I102" s="258">
        <v>701700000</v>
      </c>
      <c r="J102" s="258">
        <v>7718700000</v>
      </c>
      <c r="K102" s="256" t="s">
        <v>1346</v>
      </c>
    </row>
    <row r="103" spans="1:11" x14ac:dyDescent="0.3">
      <c r="A103" s="256">
        <v>42</v>
      </c>
      <c r="B103" s="257" t="s">
        <v>1411</v>
      </c>
      <c r="C103" s="276">
        <v>44561</v>
      </c>
      <c r="D103" s="257" t="s">
        <v>1271</v>
      </c>
      <c r="E103" s="256" t="s">
        <v>1799</v>
      </c>
      <c r="F103" s="256" t="s">
        <v>1883</v>
      </c>
      <c r="G103" s="258">
        <v>6096000000</v>
      </c>
      <c r="H103" s="265">
        <v>0.1</v>
      </c>
      <c r="I103" s="258">
        <v>609600000</v>
      </c>
      <c r="J103" s="258">
        <v>6705600000</v>
      </c>
      <c r="K103" s="256" t="s">
        <v>1346</v>
      </c>
    </row>
    <row r="104" spans="1:11" x14ac:dyDescent="0.3">
      <c r="A104" s="256">
        <v>43</v>
      </c>
      <c r="B104" s="257" t="s">
        <v>1414</v>
      </c>
      <c r="C104" s="276">
        <v>44561</v>
      </c>
      <c r="D104" s="257" t="s">
        <v>1289</v>
      </c>
      <c r="E104" s="256" t="s">
        <v>1803</v>
      </c>
      <c r="F104" s="256" t="s">
        <v>1884</v>
      </c>
      <c r="G104" s="258">
        <v>7306000000</v>
      </c>
      <c r="H104" s="265">
        <v>0.1</v>
      </c>
      <c r="I104" s="258">
        <v>730600000</v>
      </c>
      <c r="J104" s="258">
        <v>8036600000</v>
      </c>
      <c r="K104" s="256" t="s">
        <v>1346</v>
      </c>
    </row>
    <row r="105" spans="1:11" x14ac:dyDescent="0.3">
      <c r="A105" s="256">
        <v>44</v>
      </c>
      <c r="B105" s="257" t="s">
        <v>1415</v>
      </c>
      <c r="C105" s="276">
        <v>44561</v>
      </c>
      <c r="D105" s="257" t="s">
        <v>1269</v>
      </c>
      <c r="E105" s="256" t="s">
        <v>1823</v>
      </c>
      <c r="F105" s="256" t="s">
        <v>1883</v>
      </c>
      <c r="G105" s="258">
        <v>4162000000</v>
      </c>
      <c r="H105" s="265">
        <v>0.1</v>
      </c>
      <c r="I105" s="258">
        <v>416200000</v>
      </c>
      <c r="J105" s="258">
        <v>4578200000</v>
      </c>
      <c r="K105" s="256" t="s">
        <v>1348</v>
      </c>
    </row>
    <row r="106" spans="1:11" x14ac:dyDescent="0.3">
      <c r="A106" s="256">
        <v>45</v>
      </c>
      <c r="B106" s="257" t="s">
        <v>1206</v>
      </c>
      <c r="C106" s="276">
        <v>44561</v>
      </c>
      <c r="D106" s="257" t="s">
        <v>1267</v>
      </c>
      <c r="E106" s="256" t="s">
        <v>1810</v>
      </c>
      <c r="F106" s="256" t="s">
        <v>1882</v>
      </c>
      <c r="G106" s="258">
        <v>2852000000</v>
      </c>
      <c r="H106" s="265">
        <v>0.1</v>
      </c>
      <c r="I106" s="258">
        <v>285200000</v>
      </c>
      <c r="J106" s="258">
        <v>3137200000</v>
      </c>
      <c r="K106" s="256" t="s">
        <v>1346</v>
      </c>
    </row>
    <row r="107" spans="1:11" x14ac:dyDescent="0.3">
      <c r="A107" s="256">
        <v>46</v>
      </c>
      <c r="B107" s="257" t="s">
        <v>1207</v>
      </c>
      <c r="C107" s="276">
        <v>44561</v>
      </c>
      <c r="D107" s="257" t="s">
        <v>1291</v>
      </c>
      <c r="E107" s="256" t="s">
        <v>1800</v>
      </c>
      <c r="F107" s="256" t="s">
        <v>1883</v>
      </c>
      <c r="G107" s="258">
        <v>6494000000</v>
      </c>
      <c r="H107" s="265">
        <v>0.1</v>
      </c>
      <c r="I107" s="258">
        <v>649400000</v>
      </c>
      <c r="J107" s="258">
        <v>7143400000</v>
      </c>
      <c r="K107" s="256" t="s">
        <v>1348</v>
      </c>
    </row>
    <row r="108" spans="1:11" x14ac:dyDescent="0.3">
      <c r="A108" s="256">
        <v>47</v>
      </c>
      <c r="B108" s="257" t="s">
        <v>1208</v>
      </c>
      <c r="C108" s="276">
        <v>44561</v>
      </c>
      <c r="D108" s="257" t="s">
        <v>1263</v>
      </c>
      <c r="E108" s="256" t="s">
        <v>1790</v>
      </c>
      <c r="F108" s="256" t="s">
        <v>1883</v>
      </c>
      <c r="G108" s="258">
        <v>2411000000</v>
      </c>
      <c r="H108" s="265">
        <v>0.1</v>
      </c>
      <c r="I108" s="258">
        <v>241100000</v>
      </c>
      <c r="J108" s="258">
        <v>2652100000</v>
      </c>
      <c r="K108" s="256" t="s">
        <v>1346</v>
      </c>
    </row>
    <row r="109" spans="1:11" x14ac:dyDescent="0.3">
      <c r="A109" s="256">
        <v>48</v>
      </c>
      <c r="B109" s="257" t="s">
        <v>1209</v>
      </c>
      <c r="C109" s="276">
        <v>44561</v>
      </c>
      <c r="D109" s="257" t="s">
        <v>1270</v>
      </c>
      <c r="E109" s="256" t="s">
        <v>1782</v>
      </c>
      <c r="F109" s="256" t="s">
        <v>1883</v>
      </c>
      <c r="G109" s="258">
        <v>2942000000</v>
      </c>
      <c r="H109" s="265">
        <v>0.1</v>
      </c>
      <c r="I109" s="258">
        <v>294200000</v>
      </c>
      <c r="J109" s="258">
        <v>3236200000</v>
      </c>
      <c r="K109" s="256" t="s">
        <v>1346</v>
      </c>
    </row>
    <row r="110" spans="1:11" x14ac:dyDescent="0.3">
      <c r="A110" s="256">
        <v>49</v>
      </c>
      <c r="B110" s="257" t="s">
        <v>1418</v>
      </c>
      <c r="C110" s="276">
        <v>44561</v>
      </c>
      <c r="D110" s="257" t="s">
        <v>1283</v>
      </c>
      <c r="E110" s="256" t="s">
        <v>1798</v>
      </c>
      <c r="F110" s="256" t="s">
        <v>1881</v>
      </c>
      <c r="G110" s="258">
        <v>3332000000</v>
      </c>
      <c r="H110" s="265">
        <v>0.1</v>
      </c>
      <c r="I110" s="258">
        <v>333200000</v>
      </c>
      <c r="J110" s="258">
        <v>3665200000</v>
      </c>
      <c r="K110" s="256" t="s">
        <v>1346</v>
      </c>
    </row>
    <row r="111" spans="1:11" x14ac:dyDescent="0.3">
      <c r="A111" s="256">
        <v>50</v>
      </c>
      <c r="B111" s="257" t="s">
        <v>1419</v>
      </c>
      <c r="C111" s="276">
        <v>44561</v>
      </c>
      <c r="D111" s="257" t="s">
        <v>1266</v>
      </c>
      <c r="E111" s="256" t="s">
        <v>1824</v>
      </c>
      <c r="F111" s="256" t="s">
        <v>1882</v>
      </c>
      <c r="G111" s="258">
        <v>2409000000</v>
      </c>
      <c r="H111" s="265">
        <v>0.1</v>
      </c>
      <c r="I111" s="258">
        <v>240900000</v>
      </c>
      <c r="J111" s="258">
        <v>2649900000</v>
      </c>
      <c r="K111" s="256" t="s">
        <v>1346</v>
      </c>
    </row>
    <row r="112" spans="1:11" x14ac:dyDescent="0.3">
      <c r="A112" s="266" t="s">
        <v>1351</v>
      </c>
      <c r="B112" s="266"/>
      <c r="C112" s="266"/>
      <c r="D112" s="266"/>
      <c r="E112" s="266"/>
      <c r="F112" s="266"/>
      <c r="G112" s="267">
        <f>SUM(G62:G111)</f>
        <v>270897000000</v>
      </c>
      <c r="H112" s="266"/>
      <c r="I112" s="267">
        <f>SUM(I62:I111)</f>
        <v>23418200000</v>
      </c>
      <c r="J112" s="267">
        <f>SUM(J62:J111)</f>
        <v>294315200000</v>
      </c>
      <c r="K112" s="266"/>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975</v>
      </c>
      <c r="C1" s="256"/>
      <c r="D1" s="256"/>
      <c r="E1" s="256"/>
      <c r="F1" s="256"/>
      <c r="G1" s="256"/>
      <c r="H1" s="256"/>
      <c r="I1" s="256"/>
      <c r="J1" s="256"/>
      <c r="K1" s="256"/>
    </row>
    <row r="2" spans="1:11" x14ac:dyDescent="0.3">
      <c r="A2" s="256" t="s">
        <v>1339</v>
      </c>
      <c r="B2" s="257">
        <v>108394624</v>
      </c>
      <c r="C2" s="256"/>
      <c r="D2" s="256"/>
      <c r="E2" s="256"/>
      <c r="F2" s="256"/>
      <c r="G2" s="256"/>
      <c r="H2" s="256"/>
      <c r="I2" s="256"/>
      <c r="J2" s="256"/>
      <c r="K2" s="256"/>
    </row>
    <row r="3" spans="1:11" x14ac:dyDescent="0.3">
      <c r="A3" s="256" t="s">
        <v>1343</v>
      </c>
      <c r="B3" s="258">
        <v>296529677550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1456</v>
      </c>
      <c r="C8" s="276">
        <v>44317</v>
      </c>
      <c r="D8" s="257" t="s">
        <v>1264</v>
      </c>
      <c r="E8" s="256" t="s">
        <v>1779</v>
      </c>
      <c r="F8" s="256" t="s">
        <v>1877</v>
      </c>
      <c r="G8" s="258">
        <v>1909000000</v>
      </c>
      <c r="H8" s="265">
        <v>0.1</v>
      </c>
      <c r="I8" s="258">
        <v>190900000</v>
      </c>
      <c r="J8" s="258">
        <v>2099900000</v>
      </c>
      <c r="K8" s="256" t="s">
        <v>1346</v>
      </c>
    </row>
    <row r="9" spans="1:11" x14ac:dyDescent="0.3">
      <c r="A9" s="256">
        <v>2</v>
      </c>
      <c r="B9" s="257" t="s">
        <v>1418</v>
      </c>
      <c r="C9" s="276">
        <v>44318</v>
      </c>
      <c r="D9" s="257" t="s">
        <v>1301</v>
      </c>
      <c r="E9" s="256" t="s">
        <v>1781</v>
      </c>
      <c r="F9" s="256" t="s">
        <v>1879</v>
      </c>
      <c r="G9" s="258">
        <v>5130000000</v>
      </c>
      <c r="H9" s="265">
        <v>0.1</v>
      </c>
      <c r="I9" s="258">
        <v>513000000</v>
      </c>
      <c r="J9" s="258">
        <v>5643000000</v>
      </c>
      <c r="K9" s="256" t="s">
        <v>1346</v>
      </c>
    </row>
    <row r="10" spans="1:11" x14ac:dyDescent="0.3">
      <c r="A10" s="256">
        <v>3</v>
      </c>
      <c r="B10" s="257" t="s">
        <v>1491</v>
      </c>
      <c r="C10" s="276">
        <v>44472</v>
      </c>
      <c r="D10" s="257" t="s">
        <v>1304</v>
      </c>
      <c r="E10" s="256" t="s">
        <v>1831</v>
      </c>
      <c r="F10" s="256" t="s">
        <v>1878</v>
      </c>
      <c r="G10" s="258">
        <v>2680000000</v>
      </c>
      <c r="H10" s="265">
        <v>0.1</v>
      </c>
      <c r="I10" s="258">
        <v>268000000</v>
      </c>
      <c r="J10" s="258">
        <v>2948000000</v>
      </c>
      <c r="K10" s="256" t="s">
        <v>1346</v>
      </c>
    </row>
    <row r="11" spans="1:11" x14ac:dyDescent="0.3">
      <c r="A11" s="256">
        <v>4</v>
      </c>
      <c r="B11" s="257" t="s">
        <v>1467</v>
      </c>
      <c r="C11" s="276">
        <v>44473</v>
      </c>
      <c r="D11" s="257" t="s">
        <v>1257</v>
      </c>
      <c r="E11" s="256" t="s">
        <v>1815</v>
      </c>
      <c r="F11" s="256" t="s">
        <v>1609</v>
      </c>
      <c r="G11" s="258">
        <v>6844000000</v>
      </c>
      <c r="H11" s="265">
        <v>0</v>
      </c>
      <c r="I11" s="258">
        <v>0</v>
      </c>
      <c r="J11" s="258">
        <v>6844000000</v>
      </c>
      <c r="K11" s="256" t="s">
        <v>1348</v>
      </c>
    </row>
    <row r="12" spans="1:11" x14ac:dyDescent="0.3">
      <c r="A12" s="256">
        <v>5</v>
      </c>
      <c r="B12" s="257" t="s">
        <v>1456</v>
      </c>
      <c r="C12" s="276">
        <v>44474</v>
      </c>
      <c r="D12" s="257" t="s">
        <v>1269</v>
      </c>
      <c r="E12" s="256" t="s">
        <v>1823</v>
      </c>
      <c r="F12" s="256" t="s">
        <v>1880</v>
      </c>
      <c r="G12" s="258">
        <v>4531000000</v>
      </c>
      <c r="H12" s="265">
        <v>0.1</v>
      </c>
      <c r="I12" s="258">
        <v>453100000</v>
      </c>
      <c r="J12" s="258">
        <v>4984100000</v>
      </c>
      <c r="K12" s="256" t="s">
        <v>1348</v>
      </c>
    </row>
    <row r="13" spans="1:11" x14ac:dyDescent="0.3">
      <c r="A13" s="256">
        <v>6</v>
      </c>
      <c r="B13" s="257" t="s">
        <v>1468</v>
      </c>
      <c r="C13" s="276">
        <v>44475</v>
      </c>
      <c r="D13" s="257" t="s">
        <v>1257</v>
      </c>
      <c r="E13" s="256" t="s">
        <v>1815</v>
      </c>
      <c r="F13" s="256" t="s">
        <v>1880</v>
      </c>
      <c r="G13" s="258">
        <v>6267000000</v>
      </c>
      <c r="H13" s="265">
        <v>0.1</v>
      </c>
      <c r="I13" s="258">
        <v>626700000</v>
      </c>
      <c r="J13" s="258">
        <v>6893700000</v>
      </c>
      <c r="K13" s="256" t="s">
        <v>1346</v>
      </c>
    </row>
    <row r="14" spans="1:11" x14ac:dyDescent="0.3">
      <c r="A14" s="256">
        <v>7</v>
      </c>
      <c r="B14" s="257" t="s">
        <v>1462</v>
      </c>
      <c r="C14" s="276">
        <v>44476</v>
      </c>
      <c r="D14" s="257" t="s">
        <v>1302</v>
      </c>
      <c r="E14" s="256" t="s">
        <v>1784</v>
      </c>
      <c r="F14" s="256" t="s">
        <v>1877</v>
      </c>
      <c r="G14" s="258">
        <v>2427000000</v>
      </c>
      <c r="H14" s="265">
        <v>0.1</v>
      </c>
      <c r="I14" s="258">
        <v>242700000</v>
      </c>
      <c r="J14" s="258">
        <v>2669700000</v>
      </c>
      <c r="K14" s="256" t="s">
        <v>1346</v>
      </c>
    </row>
    <row r="15" spans="1:11" x14ac:dyDescent="0.3">
      <c r="A15" s="256">
        <v>8</v>
      </c>
      <c r="B15" s="257" t="s">
        <v>1404</v>
      </c>
      <c r="C15" s="276">
        <v>44477</v>
      </c>
      <c r="D15" s="257" t="s">
        <v>1296</v>
      </c>
      <c r="E15" s="256" t="s">
        <v>1807</v>
      </c>
      <c r="F15" s="256" t="s">
        <v>1876</v>
      </c>
      <c r="G15" s="258">
        <v>2846000000</v>
      </c>
      <c r="H15" s="265">
        <v>0.1</v>
      </c>
      <c r="I15" s="258">
        <v>284600000</v>
      </c>
      <c r="J15" s="258">
        <v>3130600000</v>
      </c>
      <c r="K15" s="256" t="s">
        <v>1346</v>
      </c>
    </row>
    <row r="16" spans="1:11" x14ac:dyDescent="0.3">
      <c r="A16" s="256">
        <v>9</v>
      </c>
      <c r="B16" s="257" t="s">
        <v>1457</v>
      </c>
      <c r="C16" s="276">
        <v>44478</v>
      </c>
      <c r="D16" s="257" t="s">
        <v>1264</v>
      </c>
      <c r="E16" s="256" t="s">
        <v>1779</v>
      </c>
      <c r="F16" s="256" t="s">
        <v>1879</v>
      </c>
      <c r="G16" s="258">
        <v>3948000000</v>
      </c>
      <c r="H16" s="265">
        <v>0</v>
      </c>
      <c r="I16" s="258">
        <v>0</v>
      </c>
      <c r="J16" s="258">
        <v>3948000000</v>
      </c>
      <c r="K16" s="256" t="s">
        <v>1346</v>
      </c>
    </row>
    <row r="17" spans="1:11" x14ac:dyDescent="0.3">
      <c r="A17" s="256">
        <v>10</v>
      </c>
      <c r="B17" s="257" t="s">
        <v>1405</v>
      </c>
      <c r="C17" s="276">
        <v>44479</v>
      </c>
      <c r="D17" s="257" t="s">
        <v>1286</v>
      </c>
      <c r="E17" s="256" t="s">
        <v>1828</v>
      </c>
      <c r="F17" s="256" t="s">
        <v>1609</v>
      </c>
      <c r="G17" s="258">
        <v>6108000000</v>
      </c>
      <c r="H17" s="265">
        <v>0.1</v>
      </c>
      <c r="I17" s="258">
        <v>610800000</v>
      </c>
      <c r="J17" s="258">
        <v>6718800000</v>
      </c>
      <c r="K17" s="256" t="s">
        <v>1346</v>
      </c>
    </row>
    <row r="18" spans="1:11" x14ac:dyDescent="0.3">
      <c r="A18" s="256">
        <v>11</v>
      </c>
      <c r="B18" s="257" t="s">
        <v>1482</v>
      </c>
      <c r="C18" s="276">
        <v>44480</v>
      </c>
      <c r="D18" s="257" t="s">
        <v>1263</v>
      </c>
      <c r="E18" s="256" t="s">
        <v>1790</v>
      </c>
      <c r="F18" s="256" t="s">
        <v>1877</v>
      </c>
      <c r="G18" s="258">
        <v>2193000000</v>
      </c>
      <c r="H18" s="265">
        <v>0.1</v>
      </c>
      <c r="I18" s="258">
        <v>219300000</v>
      </c>
      <c r="J18" s="258">
        <v>2412300000</v>
      </c>
      <c r="K18" s="256" t="s">
        <v>1348</v>
      </c>
    </row>
    <row r="19" spans="1:11" x14ac:dyDescent="0.3">
      <c r="A19" s="256">
        <v>12</v>
      </c>
      <c r="B19" s="257" t="s">
        <v>1474</v>
      </c>
      <c r="C19" s="276">
        <v>44481</v>
      </c>
      <c r="D19" s="257" t="s">
        <v>1280</v>
      </c>
      <c r="E19" s="256" t="s">
        <v>1777</v>
      </c>
      <c r="F19" s="256" t="s">
        <v>1879</v>
      </c>
      <c r="G19" s="258">
        <v>3508000000</v>
      </c>
      <c r="H19" s="265">
        <v>0.1</v>
      </c>
      <c r="I19" s="258">
        <v>350800000</v>
      </c>
      <c r="J19" s="258">
        <v>3858800000</v>
      </c>
      <c r="K19" s="256" t="s">
        <v>1346</v>
      </c>
    </row>
    <row r="20" spans="1:11" x14ac:dyDescent="0.3">
      <c r="A20" s="256">
        <v>13</v>
      </c>
      <c r="B20" s="257" t="s">
        <v>1487</v>
      </c>
      <c r="C20" s="276">
        <v>44211</v>
      </c>
      <c r="D20" s="257" t="s">
        <v>1272</v>
      </c>
      <c r="E20" s="256" t="s">
        <v>1805</v>
      </c>
      <c r="F20" s="256" t="s">
        <v>1876</v>
      </c>
      <c r="G20" s="258">
        <v>3686000000</v>
      </c>
      <c r="H20" s="265">
        <v>0.1</v>
      </c>
      <c r="I20" s="258">
        <v>368600000</v>
      </c>
      <c r="J20" s="258">
        <v>4054600000</v>
      </c>
      <c r="K20" s="256" t="s">
        <v>1346</v>
      </c>
    </row>
    <row r="21" spans="1:11" x14ac:dyDescent="0.3">
      <c r="A21" s="256">
        <v>14</v>
      </c>
      <c r="B21" s="257" t="s">
        <v>1458</v>
      </c>
      <c r="C21" s="276">
        <v>44242</v>
      </c>
      <c r="D21" s="257" t="s">
        <v>1264</v>
      </c>
      <c r="E21" s="256" t="s">
        <v>1779</v>
      </c>
      <c r="F21" s="256" t="s">
        <v>1877</v>
      </c>
      <c r="G21" s="258">
        <v>2953000000</v>
      </c>
      <c r="H21" s="265">
        <v>0.1</v>
      </c>
      <c r="I21" s="258">
        <v>295300000</v>
      </c>
      <c r="J21" s="258">
        <v>3248300000</v>
      </c>
      <c r="K21" s="256" t="s">
        <v>1346</v>
      </c>
    </row>
    <row r="22" spans="1:11" x14ac:dyDescent="0.3">
      <c r="A22" s="256">
        <v>15</v>
      </c>
      <c r="B22" s="257" t="s">
        <v>1398</v>
      </c>
      <c r="C22" s="276">
        <v>44275</v>
      </c>
      <c r="D22" s="257" t="s">
        <v>1298</v>
      </c>
      <c r="E22" s="256" t="s">
        <v>1819</v>
      </c>
      <c r="F22" s="256" t="s">
        <v>1880</v>
      </c>
      <c r="G22" s="258">
        <v>1850000000</v>
      </c>
      <c r="H22" s="265">
        <v>0.1</v>
      </c>
      <c r="I22" s="258">
        <v>185000000</v>
      </c>
      <c r="J22" s="258">
        <v>2035000000</v>
      </c>
      <c r="K22" s="256" t="s">
        <v>1346</v>
      </c>
    </row>
    <row r="23" spans="1:11" x14ac:dyDescent="0.3">
      <c r="A23" s="256">
        <v>16</v>
      </c>
      <c r="B23" s="257" t="s">
        <v>1480</v>
      </c>
      <c r="C23" s="276">
        <v>44306</v>
      </c>
      <c r="D23" s="257" t="s">
        <v>1282</v>
      </c>
      <c r="E23" s="256" t="s">
        <v>1789</v>
      </c>
      <c r="F23" s="256" t="s">
        <v>1876</v>
      </c>
      <c r="G23" s="258">
        <v>3969000000</v>
      </c>
      <c r="H23" s="265">
        <v>0.1</v>
      </c>
      <c r="I23" s="258">
        <v>396900000</v>
      </c>
      <c r="J23" s="258">
        <v>4365900000</v>
      </c>
      <c r="K23" s="256" t="s">
        <v>1346</v>
      </c>
    </row>
    <row r="24" spans="1:11" x14ac:dyDescent="0.3">
      <c r="A24" s="256">
        <v>17</v>
      </c>
      <c r="B24" s="257" t="s">
        <v>1492</v>
      </c>
      <c r="C24" s="276">
        <v>44336</v>
      </c>
      <c r="D24" s="257" t="s">
        <v>1304</v>
      </c>
      <c r="E24" s="256" t="s">
        <v>1831</v>
      </c>
      <c r="F24" s="256" t="s">
        <v>1878</v>
      </c>
      <c r="G24" s="258">
        <v>3502000000</v>
      </c>
      <c r="H24" s="265">
        <v>0.1</v>
      </c>
      <c r="I24" s="258">
        <v>350200000</v>
      </c>
      <c r="J24" s="258">
        <v>3852200000</v>
      </c>
      <c r="K24" s="256" t="s">
        <v>1348</v>
      </c>
    </row>
    <row r="25" spans="1:11" x14ac:dyDescent="0.3">
      <c r="A25" s="256">
        <v>18</v>
      </c>
      <c r="B25" s="257" t="s">
        <v>1408</v>
      </c>
      <c r="C25" s="276">
        <v>44367</v>
      </c>
      <c r="D25" s="257" t="s">
        <v>1291</v>
      </c>
      <c r="E25" s="256" t="s">
        <v>1800</v>
      </c>
      <c r="F25" s="256" t="s">
        <v>1877</v>
      </c>
      <c r="G25" s="258">
        <v>2977000000</v>
      </c>
      <c r="H25" s="265">
        <v>0.1</v>
      </c>
      <c r="I25" s="258">
        <v>297700000</v>
      </c>
      <c r="J25" s="258">
        <v>3274700000</v>
      </c>
      <c r="K25" s="256" t="s">
        <v>1346</v>
      </c>
    </row>
    <row r="26" spans="1:11" x14ac:dyDescent="0.3">
      <c r="A26" s="256">
        <v>19</v>
      </c>
      <c r="B26" s="257" t="s">
        <v>1408</v>
      </c>
      <c r="C26" s="276">
        <v>44397</v>
      </c>
      <c r="D26" s="257" t="s">
        <v>1297</v>
      </c>
      <c r="E26" s="256" t="s">
        <v>1820</v>
      </c>
      <c r="F26" s="256" t="s">
        <v>1880</v>
      </c>
      <c r="G26" s="258">
        <v>3422000000</v>
      </c>
      <c r="H26" s="265">
        <v>0.1</v>
      </c>
      <c r="I26" s="258">
        <v>342200000</v>
      </c>
      <c r="J26" s="258">
        <v>3764200000</v>
      </c>
      <c r="K26" s="256" t="s">
        <v>1346</v>
      </c>
    </row>
    <row r="27" spans="1:11" x14ac:dyDescent="0.3">
      <c r="A27" s="256">
        <v>20</v>
      </c>
      <c r="B27" s="257" t="s">
        <v>1478</v>
      </c>
      <c r="C27" s="276">
        <v>44428</v>
      </c>
      <c r="D27" s="257" t="s">
        <v>1288</v>
      </c>
      <c r="E27" s="256" t="s">
        <v>1797</v>
      </c>
      <c r="F27" s="256" t="s">
        <v>1880</v>
      </c>
      <c r="G27" s="258">
        <v>5707000000</v>
      </c>
      <c r="H27" s="265">
        <v>0.1</v>
      </c>
      <c r="I27" s="258">
        <v>570700000</v>
      </c>
      <c r="J27" s="258">
        <v>6277700000</v>
      </c>
      <c r="K27" s="256" t="s">
        <v>1346</v>
      </c>
    </row>
    <row r="28" spans="1:11" x14ac:dyDescent="0.3">
      <c r="A28" s="256">
        <v>21</v>
      </c>
      <c r="B28" s="257" t="s">
        <v>1406</v>
      </c>
      <c r="C28" s="276">
        <v>44459</v>
      </c>
      <c r="D28" s="257" t="s">
        <v>1286</v>
      </c>
      <c r="E28" s="256" t="s">
        <v>1828</v>
      </c>
      <c r="F28" s="256" t="s">
        <v>1879</v>
      </c>
      <c r="G28" s="258">
        <v>5553000000</v>
      </c>
      <c r="H28" s="265">
        <v>0</v>
      </c>
      <c r="I28" s="258">
        <v>0</v>
      </c>
      <c r="J28" s="258">
        <v>5553000000</v>
      </c>
      <c r="K28" s="256" t="s">
        <v>1348</v>
      </c>
    </row>
    <row r="29" spans="1:11" x14ac:dyDescent="0.3">
      <c r="A29" s="256">
        <v>22</v>
      </c>
      <c r="B29" s="257" t="s">
        <v>1463</v>
      </c>
      <c r="C29" s="276">
        <v>44489</v>
      </c>
      <c r="D29" s="257" t="s">
        <v>1302</v>
      </c>
      <c r="E29" s="256" t="s">
        <v>1784</v>
      </c>
      <c r="F29" s="256" t="s">
        <v>1878</v>
      </c>
      <c r="G29" s="258">
        <v>2975000000</v>
      </c>
      <c r="H29" s="265">
        <v>0.1</v>
      </c>
      <c r="I29" s="258">
        <v>297500000</v>
      </c>
      <c r="J29" s="258">
        <v>3272500000</v>
      </c>
      <c r="K29" s="256" t="s">
        <v>1346</v>
      </c>
    </row>
    <row r="30" spans="1:11" x14ac:dyDescent="0.3">
      <c r="A30" s="256">
        <v>23</v>
      </c>
      <c r="B30" s="257" t="s">
        <v>1463</v>
      </c>
      <c r="C30" s="276">
        <v>44520</v>
      </c>
      <c r="D30" s="257" t="s">
        <v>1265</v>
      </c>
      <c r="E30" s="256" t="s">
        <v>1830</v>
      </c>
      <c r="F30" s="256" t="s">
        <v>1876</v>
      </c>
      <c r="G30" s="258">
        <v>3103000000</v>
      </c>
      <c r="H30" s="265">
        <v>0.1</v>
      </c>
      <c r="I30" s="258">
        <v>310300000</v>
      </c>
      <c r="J30" s="258">
        <v>3413300000</v>
      </c>
      <c r="K30" s="256" t="s">
        <v>1346</v>
      </c>
    </row>
    <row r="31" spans="1:11" x14ac:dyDescent="0.3">
      <c r="A31" s="256">
        <v>24</v>
      </c>
      <c r="B31" s="257" t="s">
        <v>1469</v>
      </c>
      <c r="C31" s="276">
        <v>44550</v>
      </c>
      <c r="D31" s="257" t="s">
        <v>1278</v>
      </c>
      <c r="E31" s="256" t="s">
        <v>1785</v>
      </c>
      <c r="F31" s="256" t="s">
        <v>1880</v>
      </c>
      <c r="G31" s="258">
        <v>3888000000</v>
      </c>
      <c r="H31" s="265">
        <v>0.1</v>
      </c>
      <c r="I31" s="258">
        <v>388800000</v>
      </c>
      <c r="J31" s="258">
        <v>4276800000</v>
      </c>
      <c r="K31" s="256" t="s">
        <v>1346</v>
      </c>
    </row>
    <row r="32" spans="1:11" x14ac:dyDescent="0.3">
      <c r="A32" s="256">
        <v>25</v>
      </c>
      <c r="B32" s="257" t="s">
        <v>1409</v>
      </c>
      <c r="C32" s="276">
        <v>44221</v>
      </c>
      <c r="D32" s="257" t="s">
        <v>1297</v>
      </c>
      <c r="E32" s="256" t="s">
        <v>1820</v>
      </c>
      <c r="F32" s="256" t="s">
        <v>1877</v>
      </c>
      <c r="G32" s="258">
        <v>4591000000</v>
      </c>
      <c r="H32" s="265">
        <v>0.1</v>
      </c>
      <c r="I32" s="258">
        <v>459100000</v>
      </c>
      <c r="J32" s="258">
        <v>5050100000</v>
      </c>
      <c r="K32" s="256" t="s">
        <v>1346</v>
      </c>
    </row>
    <row r="33" spans="1:11" x14ac:dyDescent="0.3">
      <c r="A33" s="256">
        <v>26</v>
      </c>
      <c r="B33" s="257" t="s">
        <v>1457</v>
      </c>
      <c r="C33" s="276">
        <v>44255</v>
      </c>
      <c r="D33" s="257" t="s">
        <v>1269</v>
      </c>
      <c r="E33" s="256" t="s">
        <v>1823</v>
      </c>
      <c r="F33" s="256" t="s">
        <v>1609</v>
      </c>
      <c r="G33" s="258">
        <v>6626000000</v>
      </c>
      <c r="H33" s="265">
        <v>0.1</v>
      </c>
      <c r="I33" s="258">
        <v>662600000</v>
      </c>
      <c r="J33" s="258">
        <v>7288600000</v>
      </c>
      <c r="K33" s="256" t="s">
        <v>1348</v>
      </c>
    </row>
    <row r="34" spans="1:11" x14ac:dyDescent="0.3">
      <c r="A34" s="256">
        <v>27</v>
      </c>
      <c r="B34" s="257" t="s">
        <v>1467</v>
      </c>
      <c r="C34" s="276">
        <v>44316</v>
      </c>
      <c r="D34" s="257" t="s">
        <v>1289</v>
      </c>
      <c r="E34" s="256" t="s">
        <v>1803</v>
      </c>
      <c r="F34" s="256" t="s">
        <v>1879</v>
      </c>
      <c r="G34" s="258">
        <v>5268000000</v>
      </c>
      <c r="H34" s="265">
        <v>0.1</v>
      </c>
      <c r="I34" s="258">
        <v>526800000</v>
      </c>
      <c r="J34" s="258">
        <v>5794800000</v>
      </c>
      <c r="K34" s="256" t="s">
        <v>1346</v>
      </c>
    </row>
    <row r="35" spans="1:11" x14ac:dyDescent="0.3">
      <c r="A35" s="256">
        <v>28</v>
      </c>
      <c r="B35" s="257" t="s">
        <v>1479</v>
      </c>
      <c r="C35" s="276">
        <v>44377</v>
      </c>
      <c r="D35" s="257" t="s">
        <v>1288</v>
      </c>
      <c r="E35" s="256" t="s">
        <v>1797</v>
      </c>
      <c r="F35" s="256" t="s">
        <v>1879</v>
      </c>
      <c r="G35" s="258">
        <v>1878000000</v>
      </c>
      <c r="H35" s="265">
        <v>0.1</v>
      </c>
      <c r="I35" s="258">
        <v>187800000</v>
      </c>
      <c r="J35" s="258">
        <v>2065800000</v>
      </c>
      <c r="K35" s="256" t="s">
        <v>1346</v>
      </c>
    </row>
    <row r="36" spans="1:11" x14ac:dyDescent="0.3">
      <c r="A36" s="256">
        <v>29</v>
      </c>
      <c r="B36" s="257" t="s">
        <v>1459</v>
      </c>
      <c r="C36" s="276">
        <v>44469</v>
      </c>
      <c r="D36" s="257" t="s">
        <v>1264</v>
      </c>
      <c r="E36" s="256" t="s">
        <v>1779</v>
      </c>
      <c r="F36" s="256" t="s">
        <v>1877</v>
      </c>
      <c r="G36" s="258">
        <v>3417000000</v>
      </c>
      <c r="H36" s="265">
        <v>0</v>
      </c>
      <c r="I36" s="258">
        <v>0</v>
      </c>
      <c r="J36" s="258">
        <v>3417000000</v>
      </c>
      <c r="K36" s="256" t="s">
        <v>1348</v>
      </c>
    </row>
    <row r="37" spans="1:11" x14ac:dyDescent="0.3">
      <c r="A37" s="256">
        <v>30</v>
      </c>
      <c r="B37" s="257" t="s">
        <v>1494</v>
      </c>
      <c r="C37" s="276">
        <v>44530</v>
      </c>
      <c r="D37" s="257" t="s">
        <v>1260</v>
      </c>
      <c r="E37" s="256" t="s">
        <v>1804</v>
      </c>
      <c r="F37" s="256" t="s">
        <v>1876</v>
      </c>
      <c r="G37" s="258">
        <v>5749000000</v>
      </c>
      <c r="H37" s="265">
        <v>0.1</v>
      </c>
      <c r="I37" s="258">
        <v>574900000</v>
      </c>
      <c r="J37" s="258">
        <v>6323900000</v>
      </c>
      <c r="K37" s="256" t="s">
        <v>1346</v>
      </c>
    </row>
    <row r="38" spans="1:11" x14ac:dyDescent="0.3">
      <c r="A38" s="256">
        <v>31</v>
      </c>
      <c r="B38" s="257" t="s">
        <v>1405</v>
      </c>
      <c r="C38" s="276">
        <v>44286</v>
      </c>
      <c r="D38" s="257" t="s">
        <v>1294</v>
      </c>
      <c r="E38" s="256" t="s">
        <v>1795</v>
      </c>
      <c r="F38" s="256" t="s">
        <v>1879</v>
      </c>
      <c r="G38" s="258">
        <v>2175000000</v>
      </c>
      <c r="H38" s="265">
        <v>0.1</v>
      </c>
      <c r="I38" s="258">
        <v>217500000</v>
      </c>
      <c r="J38" s="258">
        <v>2392500000</v>
      </c>
      <c r="K38" s="256" t="s">
        <v>1348</v>
      </c>
    </row>
    <row r="39" spans="1:11" x14ac:dyDescent="0.3">
      <c r="A39" s="256">
        <v>32</v>
      </c>
      <c r="B39" s="257" t="s">
        <v>1488</v>
      </c>
      <c r="C39" s="276">
        <v>44347</v>
      </c>
      <c r="D39" s="257" t="s">
        <v>1271</v>
      </c>
      <c r="E39" s="256" t="s">
        <v>1799</v>
      </c>
      <c r="F39" s="256" t="s">
        <v>1880</v>
      </c>
      <c r="G39" s="258">
        <v>6597000000</v>
      </c>
      <c r="H39" s="265">
        <v>0</v>
      </c>
      <c r="I39" s="258">
        <v>0</v>
      </c>
      <c r="J39" s="258">
        <v>6597000000</v>
      </c>
      <c r="K39" s="256" t="s">
        <v>1346</v>
      </c>
    </row>
    <row r="40" spans="1:11" x14ac:dyDescent="0.3">
      <c r="A40" s="256">
        <v>33</v>
      </c>
      <c r="B40" s="257" t="s">
        <v>1468</v>
      </c>
      <c r="C40" s="276">
        <v>44408</v>
      </c>
      <c r="D40" s="257" t="s">
        <v>1289</v>
      </c>
      <c r="E40" s="256" t="s">
        <v>1803</v>
      </c>
      <c r="F40" s="256" t="s">
        <v>1878</v>
      </c>
      <c r="G40" s="258">
        <v>6697000000</v>
      </c>
      <c r="H40" s="265">
        <v>0.1</v>
      </c>
      <c r="I40" s="258">
        <v>669700000</v>
      </c>
      <c r="J40" s="258">
        <v>7366700000</v>
      </c>
      <c r="K40" s="256" t="s">
        <v>1346</v>
      </c>
    </row>
    <row r="41" spans="1:11" x14ac:dyDescent="0.3">
      <c r="A41" s="256">
        <v>34</v>
      </c>
      <c r="B41" s="257" t="s">
        <v>1406</v>
      </c>
      <c r="C41" s="276">
        <v>44439</v>
      </c>
      <c r="D41" s="257" t="s">
        <v>1295</v>
      </c>
      <c r="E41" s="256" t="s">
        <v>1825</v>
      </c>
      <c r="F41" s="256" t="s">
        <v>1880</v>
      </c>
      <c r="G41" s="258">
        <v>2949000000</v>
      </c>
      <c r="H41" s="265">
        <v>0.1</v>
      </c>
      <c r="I41" s="258">
        <v>294900000</v>
      </c>
      <c r="J41" s="258">
        <v>3243900000</v>
      </c>
      <c r="K41" s="256" t="s">
        <v>1346</v>
      </c>
    </row>
    <row r="42" spans="1:11" x14ac:dyDescent="0.3">
      <c r="A42" s="256">
        <v>35</v>
      </c>
      <c r="B42" s="257" t="s">
        <v>1394</v>
      </c>
      <c r="C42" s="276">
        <v>44500</v>
      </c>
      <c r="D42" s="257" t="s">
        <v>1303</v>
      </c>
      <c r="E42" s="256" t="s">
        <v>1817</v>
      </c>
      <c r="F42" s="256" t="s">
        <v>1879</v>
      </c>
      <c r="G42" s="258">
        <v>6283000000</v>
      </c>
      <c r="H42" s="265">
        <v>0</v>
      </c>
      <c r="I42" s="258">
        <v>0</v>
      </c>
      <c r="J42" s="258">
        <v>6283000000</v>
      </c>
      <c r="K42" s="256" t="s">
        <v>1348</v>
      </c>
    </row>
    <row r="43" spans="1:11" x14ac:dyDescent="0.3">
      <c r="A43" s="256">
        <v>36</v>
      </c>
      <c r="B43" s="257" t="s">
        <v>1396</v>
      </c>
      <c r="C43" s="276">
        <v>44561</v>
      </c>
      <c r="D43" s="257" t="s">
        <v>1303</v>
      </c>
      <c r="E43" s="256" t="s">
        <v>1817</v>
      </c>
      <c r="F43" s="256" t="s">
        <v>1609</v>
      </c>
      <c r="G43" s="258">
        <v>5794000000</v>
      </c>
      <c r="H43" s="265">
        <v>0.1</v>
      </c>
      <c r="I43" s="258">
        <v>579400000</v>
      </c>
      <c r="J43" s="258">
        <v>6373400000</v>
      </c>
      <c r="K43" s="256" t="s">
        <v>1346</v>
      </c>
    </row>
    <row r="44" spans="1:11" x14ac:dyDescent="0.3">
      <c r="A44" s="256">
        <v>37</v>
      </c>
      <c r="B44" s="257" t="s">
        <v>1471</v>
      </c>
      <c r="C44" s="276">
        <v>44561</v>
      </c>
      <c r="D44" s="257" t="s">
        <v>1285</v>
      </c>
      <c r="E44" s="256" t="s">
        <v>1793</v>
      </c>
      <c r="F44" s="256" t="s">
        <v>1877</v>
      </c>
      <c r="G44" s="258">
        <v>2059000000</v>
      </c>
      <c r="H44" s="265">
        <v>0.1</v>
      </c>
      <c r="I44" s="258">
        <v>205900000</v>
      </c>
      <c r="J44" s="258">
        <v>2264900000</v>
      </c>
      <c r="K44" s="256" t="s">
        <v>1346</v>
      </c>
    </row>
    <row r="45" spans="1:11" x14ac:dyDescent="0.3">
      <c r="A45" s="256">
        <v>38</v>
      </c>
      <c r="B45" s="257" t="s">
        <v>1480</v>
      </c>
      <c r="C45" s="276">
        <v>44561</v>
      </c>
      <c r="D45" s="257" t="s">
        <v>1276</v>
      </c>
      <c r="E45" s="256" t="s">
        <v>1822</v>
      </c>
      <c r="F45" s="256" t="s">
        <v>1880</v>
      </c>
      <c r="G45" s="258">
        <v>4313000000</v>
      </c>
      <c r="H45" s="265">
        <v>0.1</v>
      </c>
      <c r="I45" s="258">
        <v>431300000</v>
      </c>
      <c r="J45" s="258">
        <v>4744300000</v>
      </c>
      <c r="K45" s="256" t="s">
        <v>1346</v>
      </c>
    </row>
    <row r="46" spans="1:11" x14ac:dyDescent="0.3">
      <c r="A46" s="256">
        <v>39</v>
      </c>
      <c r="B46" s="257" t="s">
        <v>1458</v>
      </c>
      <c r="C46" s="276">
        <v>44561</v>
      </c>
      <c r="D46" s="257" t="s">
        <v>1293</v>
      </c>
      <c r="E46" s="256" t="s">
        <v>1826</v>
      </c>
      <c r="F46" s="256" t="s">
        <v>1876</v>
      </c>
      <c r="G46" s="258">
        <v>5487000000</v>
      </c>
      <c r="H46" s="265">
        <v>0.1</v>
      </c>
      <c r="I46" s="258">
        <v>548700000</v>
      </c>
      <c r="J46" s="258">
        <v>6035700000</v>
      </c>
      <c r="K46" s="256" t="s">
        <v>1346</v>
      </c>
    </row>
    <row r="47" spans="1:11" x14ac:dyDescent="0.3">
      <c r="A47" s="256">
        <v>40</v>
      </c>
      <c r="B47" s="257" t="s">
        <v>1487</v>
      </c>
      <c r="C47" s="276">
        <v>44561</v>
      </c>
      <c r="D47" s="257" t="s">
        <v>1281</v>
      </c>
      <c r="E47" s="256" t="s">
        <v>1806</v>
      </c>
      <c r="F47" s="256" t="s">
        <v>1609</v>
      </c>
      <c r="G47" s="258">
        <v>5152000000</v>
      </c>
      <c r="H47" s="265">
        <v>0.1</v>
      </c>
      <c r="I47" s="258">
        <v>515200000</v>
      </c>
      <c r="J47" s="258">
        <v>5667200000</v>
      </c>
      <c r="K47" s="256" t="s">
        <v>1346</v>
      </c>
    </row>
    <row r="48" spans="1:11" x14ac:dyDescent="0.3">
      <c r="A48" s="256">
        <v>41</v>
      </c>
      <c r="B48" s="257" t="s">
        <v>1476</v>
      </c>
      <c r="C48" s="276">
        <v>44561</v>
      </c>
      <c r="D48" s="257" t="s">
        <v>1283</v>
      </c>
      <c r="E48" s="256" t="s">
        <v>1798</v>
      </c>
      <c r="F48" s="256" t="s">
        <v>1877</v>
      </c>
      <c r="G48" s="258">
        <v>4178000000</v>
      </c>
      <c r="H48" s="265">
        <v>0.1</v>
      </c>
      <c r="I48" s="258">
        <v>417800000</v>
      </c>
      <c r="J48" s="258">
        <v>4595800000</v>
      </c>
      <c r="K48" s="256" t="s">
        <v>1346</v>
      </c>
    </row>
    <row r="49" spans="1:11" x14ac:dyDescent="0.3">
      <c r="A49" s="256">
        <v>42</v>
      </c>
      <c r="B49" s="257" t="s">
        <v>1406</v>
      </c>
      <c r="C49" s="276">
        <v>44561</v>
      </c>
      <c r="D49" s="257" t="s">
        <v>1294</v>
      </c>
      <c r="E49" s="256" t="s">
        <v>1795</v>
      </c>
      <c r="F49" s="256" t="s">
        <v>1878</v>
      </c>
      <c r="G49" s="258">
        <v>6906000000</v>
      </c>
      <c r="H49" s="265">
        <v>0</v>
      </c>
      <c r="I49" s="258">
        <v>0</v>
      </c>
      <c r="J49" s="258">
        <v>6906000000</v>
      </c>
      <c r="K49" s="256" t="s">
        <v>1346</v>
      </c>
    </row>
    <row r="50" spans="1:11" x14ac:dyDescent="0.3">
      <c r="A50" s="256">
        <v>43</v>
      </c>
      <c r="B50" s="257" t="s">
        <v>1472</v>
      </c>
      <c r="C50" s="276">
        <v>44561</v>
      </c>
      <c r="D50" s="257" t="s">
        <v>1285</v>
      </c>
      <c r="E50" s="256" t="s">
        <v>1793</v>
      </c>
      <c r="F50" s="256" t="s">
        <v>1880</v>
      </c>
      <c r="G50" s="258">
        <v>3466000000</v>
      </c>
      <c r="H50" s="265">
        <v>0.1</v>
      </c>
      <c r="I50" s="258">
        <v>346600000</v>
      </c>
      <c r="J50" s="258">
        <v>3812600000</v>
      </c>
      <c r="K50" s="256" t="s">
        <v>1348</v>
      </c>
    </row>
    <row r="51" spans="1:11" x14ac:dyDescent="0.3">
      <c r="A51" s="256">
        <v>44</v>
      </c>
      <c r="B51" s="257" t="s">
        <v>1419</v>
      </c>
      <c r="C51" s="276">
        <v>44561</v>
      </c>
      <c r="D51" s="257" t="s">
        <v>1301</v>
      </c>
      <c r="E51" s="256" t="s">
        <v>1781</v>
      </c>
      <c r="F51" s="256" t="s">
        <v>1878</v>
      </c>
      <c r="G51" s="258">
        <v>2939000000</v>
      </c>
      <c r="H51" s="265">
        <v>0.1</v>
      </c>
      <c r="I51" s="258">
        <v>293900000</v>
      </c>
      <c r="J51" s="258">
        <v>3232900000</v>
      </c>
      <c r="K51" s="256" t="s">
        <v>1346</v>
      </c>
    </row>
    <row r="52" spans="1:11" x14ac:dyDescent="0.3">
      <c r="A52" s="256">
        <v>45</v>
      </c>
      <c r="B52" s="257" t="s">
        <v>1493</v>
      </c>
      <c r="C52" s="276">
        <v>44561</v>
      </c>
      <c r="D52" s="257" t="s">
        <v>1274</v>
      </c>
      <c r="E52" s="256" t="s">
        <v>1794</v>
      </c>
      <c r="F52" s="256" t="s">
        <v>1876</v>
      </c>
      <c r="G52" s="258">
        <v>4751000000</v>
      </c>
      <c r="H52" s="265">
        <v>0.1</v>
      </c>
      <c r="I52" s="258">
        <v>475100000</v>
      </c>
      <c r="J52" s="258">
        <v>5226100000</v>
      </c>
      <c r="K52" s="256" t="s">
        <v>1346</v>
      </c>
    </row>
    <row r="53" spans="1:11" x14ac:dyDescent="0.3">
      <c r="A53" s="256">
        <v>46</v>
      </c>
      <c r="B53" s="257" t="s">
        <v>1477</v>
      </c>
      <c r="C53" s="276">
        <v>44561</v>
      </c>
      <c r="D53" s="257" t="s">
        <v>1283</v>
      </c>
      <c r="E53" s="256" t="s">
        <v>1798</v>
      </c>
      <c r="F53" s="256" t="s">
        <v>1880</v>
      </c>
      <c r="G53" s="258">
        <v>5692000000</v>
      </c>
      <c r="H53" s="265">
        <v>0.1</v>
      </c>
      <c r="I53" s="258">
        <v>569200000</v>
      </c>
      <c r="J53" s="258">
        <v>6261200000</v>
      </c>
      <c r="K53" s="256" t="s">
        <v>1346</v>
      </c>
    </row>
    <row r="54" spans="1:11" x14ac:dyDescent="0.3">
      <c r="A54" s="256">
        <v>47</v>
      </c>
      <c r="B54" s="257" t="s">
        <v>1481</v>
      </c>
      <c r="C54" s="276">
        <v>44561</v>
      </c>
      <c r="D54" s="257" t="s">
        <v>1276</v>
      </c>
      <c r="E54" s="256" t="s">
        <v>1822</v>
      </c>
      <c r="F54" s="256" t="s">
        <v>1879</v>
      </c>
      <c r="G54" s="258">
        <v>3489000000</v>
      </c>
      <c r="H54" s="265">
        <v>0.1</v>
      </c>
      <c r="I54" s="258">
        <v>348900000</v>
      </c>
      <c r="J54" s="258">
        <v>3837900000</v>
      </c>
      <c r="K54" s="256" t="s">
        <v>1346</v>
      </c>
    </row>
    <row r="55" spans="1:11" x14ac:dyDescent="0.3">
      <c r="A55" s="256">
        <v>48</v>
      </c>
      <c r="B55" s="257" t="s">
        <v>1209</v>
      </c>
      <c r="C55" s="276">
        <v>44561</v>
      </c>
      <c r="D55" s="257" t="s">
        <v>1255</v>
      </c>
      <c r="E55" s="273">
        <v>46152</v>
      </c>
      <c r="F55" s="256" t="s">
        <v>1609</v>
      </c>
      <c r="G55" s="258">
        <v>2705000000</v>
      </c>
      <c r="H55" s="265">
        <v>0.1</v>
      </c>
      <c r="I55" s="258">
        <v>270500000</v>
      </c>
      <c r="J55" s="258">
        <v>2975500000</v>
      </c>
      <c r="K55" s="256" t="s">
        <v>1346</v>
      </c>
    </row>
    <row r="56" spans="1:11" x14ac:dyDescent="0.3">
      <c r="A56" s="256">
        <v>49</v>
      </c>
      <c r="B56" s="257" t="s">
        <v>1469</v>
      </c>
      <c r="C56" s="276">
        <v>44561</v>
      </c>
      <c r="D56" s="257" t="s">
        <v>1257</v>
      </c>
      <c r="E56" s="256" t="s">
        <v>1815</v>
      </c>
      <c r="F56" s="256" t="s">
        <v>1878</v>
      </c>
      <c r="G56" s="258">
        <v>3844000000</v>
      </c>
      <c r="H56" s="265">
        <v>0.1</v>
      </c>
      <c r="I56" s="258">
        <v>384400000</v>
      </c>
      <c r="J56" s="258">
        <v>4228400000</v>
      </c>
      <c r="K56" s="256" t="s">
        <v>1346</v>
      </c>
    </row>
    <row r="57" spans="1:11" x14ac:dyDescent="0.3">
      <c r="A57" s="256">
        <v>50</v>
      </c>
      <c r="B57" s="257" t="s">
        <v>1456</v>
      </c>
      <c r="C57" s="276">
        <v>44561</v>
      </c>
      <c r="D57" s="257" t="s">
        <v>1301</v>
      </c>
      <c r="E57" s="256" t="s">
        <v>1781</v>
      </c>
      <c r="F57" s="256" t="s">
        <v>1878</v>
      </c>
      <c r="G57" s="258">
        <v>3939000000</v>
      </c>
      <c r="H57" s="265">
        <v>0.1</v>
      </c>
      <c r="I57" s="258">
        <v>393900000</v>
      </c>
      <c r="J57" s="258">
        <v>4332900000</v>
      </c>
      <c r="K57" s="256" t="s">
        <v>1346</v>
      </c>
    </row>
    <row r="58" spans="1:11" x14ac:dyDescent="0.3">
      <c r="A58" s="266" t="s">
        <v>1351</v>
      </c>
      <c r="B58" s="266"/>
      <c r="C58" s="266"/>
      <c r="D58" s="266"/>
      <c r="E58" s="266"/>
      <c r="F58" s="266"/>
      <c r="G58" s="267">
        <f>SUM(G8:G57)</f>
        <v>208920000000</v>
      </c>
      <c r="H58" s="266"/>
      <c r="I58" s="267">
        <f>SUM(I8:I57)</f>
        <v>16937200000</v>
      </c>
      <c r="J58" s="267">
        <f>SUM(J8:J57)</f>
        <v>225857200000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1286</v>
      </c>
      <c r="E62" s="256" t="s">
        <v>1828</v>
      </c>
      <c r="F62" s="256" t="s">
        <v>1881</v>
      </c>
      <c r="G62" s="258">
        <v>7191000000</v>
      </c>
      <c r="H62" s="265">
        <v>0.1</v>
      </c>
      <c r="I62" s="258">
        <v>719100000</v>
      </c>
      <c r="J62" s="258">
        <v>7910100000</v>
      </c>
      <c r="K62" s="256" t="s">
        <v>1348</v>
      </c>
    </row>
    <row r="63" spans="1:11" x14ac:dyDescent="0.3">
      <c r="A63" s="256">
        <v>2</v>
      </c>
      <c r="B63" s="257" t="s">
        <v>1201</v>
      </c>
      <c r="C63" s="276">
        <v>44318</v>
      </c>
      <c r="D63" s="257" t="s">
        <v>1273</v>
      </c>
      <c r="E63" s="256" t="s">
        <v>1829</v>
      </c>
      <c r="F63" s="256" t="s">
        <v>1881</v>
      </c>
      <c r="G63" s="258">
        <v>6742000000</v>
      </c>
      <c r="H63" s="265">
        <v>0</v>
      </c>
      <c r="I63" s="258">
        <v>0</v>
      </c>
      <c r="J63" s="258">
        <v>6742000000</v>
      </c>
      <c r="K63" s="256" t="s">
        <v>1346</v>
      </c>
    </row>
    <row r="64" spans="1:11" x14ac:dyDescent="0.3">
      <c r="A64" s="256">
        <v>3</v>
      </c>
      <c r="B64" s="257" t="s">
        <v>1202</v>
      </c>
      <c r="C64" s="276">
        <v>44472</v>
      </c>
      <c r="D64" s="257" t="s">
        <v>1275</v>
      </c>
      <c r="E64" s="256" t="s">
        <v>1808</v>
      </c>
      <c r="F64" s="256" t="s">
        <v>1882</v>
      </c>
      <c r="G64" s="258">
        <v>6879000000</v>
      </c>
      <c r="H64" s="265">
        <v>0.1</v>
      </c>
      <c r="I64" s="258">
        <v>687900000</v>
      </c>
      <c r="J64" s="258">
        <v>7566900000</v>
      </c>
      <c r="K64" s="256" t="s">
        <v>1348</v>
      </c>
    </row>
    <row r="65" spans="1:11" x14ac:dyDescent="0.3">
      <c r="A65" s="256">
        <v>4</v>
      </c>
      <c r="B65" s="257" t="s">
        <v>1355</v>
      </c>
      <c r="C65" s="276">
        <v>44473</v>
      </c>
      <c r="D65" s="257" t="s">
        <v>1262</v>
      </c>
      <c r="E65" s="256" t="s">
        <v>1816</v>
      </c>
      <c r="F65" s="256" t="s">
        <v>1882</v>
      </c>
      <c r="G65" s="258">
        <v>2524000000</v>
      </c>
      <c r="H65" s="265">
        <v>0.1</v>
      </c>
      <c r="I65" s="258">
        <v>252400000</v>
      </c>
      <c r="J65" s="258">
        <v>2776400000</v>
      </c>
      <c r="K65" s="256" t="s">
        <v>1346</v>
      </c>
    </row>
    <row r="66" spans="1:11" x14ac:dyDescent="0.3">
      <c r="A66" s="256">
        <v>5</v>
      </c>
      <c r="B66" s="257" t="s">
        <v>1356</v>
      </c>
      <c r="C66" s="276">
        <v>44474</v>
      </c>
      <c r="D66" s="257" t="s">
        <v>1274</v>
      </c>
      <c r="E66" s="256" t="s">
        <v>1794</v>
      </c>
      <c r="F66" s="256" t="s">
        <v>1881</v>
      </c>
      <c r="G66" s="258">
        <v>7258000000</v>
      </c>
      <c r="H66" s="265">
        <v>0.1</v>
      </c>
      <c r="I66" s="258">
        <v>725800000</v>
      </c>
      <c r="J66" s="258">
        <v>7983800000</v>
      </c>
      <c r="K66" s="256" t="s">
        <v>1346</v>
      </c>
    </row>
    <row r="67" spans="1:11" x14ac:dyDescent="0.3">
      <c r="A67" s="256">
        <v>6</v>
      </c>
      <c r="B67" s="257" t="s">
        <v>1358</v>
      </c>
      <c r="C67" s="276">
        <v>44475</v>
      </c>
      <c r="D67" s="257" t="s">
        <v>1276</v>
      </c>
      <c r="E67" s="256" t="s">
        <v>1822</v>
      </c>
      <c r="F67" s="256" t="s">
        <v>1882</v>
      </c>
      <c r="G67" s="258">
        <v>9040000000</v>
      </c>
      <c r="H67" s="265">
        <v>0.1</v>
      </c>
      <c r="I67" s="258">
        <v>904000000</v>
      </c>
      <c r="J67" s="258">
        <v>9944000000</v>
      </c>
      <c r="K67" s="256" t="s">
        <v>1346</v>
      </c>
    </row>
    <row r="68" spans="1:11" x14ac:dyDescent="0.3">
      <c r="A68" s="256">
        <v>7</v>
      </c>
      <c r="B68" s="257" t="s">
        <v>1360</v>
      </c>
      <c r="C68" s="276">
        <v>44476</v>
      </c>
      <c r="D68" s="257" t="s">
        <v>1255</v>
      </c>
      <c r="E68" s="273">
        <v>46152</v>
      </c>
      <c r="F68" s="256" t="s">
        <v>1883</v>
      </c>
      <c r="G68" s="258">
        <v>5460000000</v>
      </c>
      <c r="H68" s="265">
        <v>0</v>
      </c>
      <c r="I68" s="258">
        <v>0</v>
      </c>
      <c r="J68" s="258">
        <v>5460000000</v>
      </c>
      <c r="K68" s="256" t="s">
        <v>1346</v>
      </c>
    </row>
    <row r="69" spans="1:11" x14ac:dyDescent="0.3">
      <c r="A69" s="256">
        <v>8</v>
      </c>
      <c r="B69" s="257" t="s">
        <v>1362</v>
      </c>
      <c r="C69" s="276">
        <v>44477</v>
      </c>
      <c r="D69" s="257" t="s">
        <v>1272</v>
      </c>
      <c r="E69" s="256" t="s">
        <v>1805</v>
      </c>
      <c r="F69" s="256" t="s">
        <v>1882</v>
      </c>
      <c r="G69" s="258">
        <v>3629000000</v>
      </c>
      <c r="H69" s="265">
        <v>0.1</v>
      </c>
      <c r="I69" s="258">
        <v>362900000</v>
      </c>
      <c r="J69" s="258">
        <v>3991900000</v>
      </c>
      <c r="K69" s="256" t="s">
        <v>1348</v>
      </c>
    </row>
    <row r="70" spans="1:11" x14ac:dyDescent="0.3">
      <c r="A70" s="256">
        <v>9</v>
      </c>
      <c r="B70" s="257" t="s">
        <v>1364</v>
      </c>
      <c r="C70" s="276">
        <v>44478</v>
      </c>
      <c r="D70" s="257" t="s">
        <v>1284</v>
      </c>
      <c r="E70" s="256" t="s">
        <v>1786</v>
      </c>
      <c r="F70" s="256" t="s">
        <v>1882</v>
      </c>
      <c r="G70" s="258">
        <v>6539000000</v>
      </c>
      <c r="H70" s="265">
        <v>0.1</v>
      </c>
      <c r="I70" s="258">
        <v>653900000</v>
      </c>
      <c r="J70" s="258">
        <v>7192900000</v>
      </c>
      <c r="K70" s="256" t="s">
        <v>1346</v>
      </c>
    </row>
    <row r="71" spans="1:11" x14ac:dyDescent="0.3">
      <c r="A71" s="256">
        <v>10</v>
      </c>
      <c r="B71" s="257" t="s">
        <v>1366</v>
      </c>
      <c r="C71" s="276">
        <v>44479</v>
      </c>
      <c r="D71" s="257" t="s">
        <v>1284</v>
      </c>
      <c r="E71" s="256" t="s">
        <v>1786</v>
      </c>
      <c r="F71" s="256" t="s">
        <v>1881</v>
      </c>
      <c r="G71" s="258">
        <v>7558000000</v>
      </c>
      <c r="H71" s="265">
        <v>0.1</v>
      </c>
      <c r="I71" s="258">
        <v>755800000</v>
      </c>
      <c r="J71" s="258">
        <v>8313800000</v>
      </c>
      <c r="K71" s="256" t="s">
        <v>1346</v>
      </c>
    </row>
    <row r="72" spans="1:11" x14ac:dyDescent="0.3">
      <c r="A72" s="256">
        <v>11</v>
      </c>
      <c r="B72" s="257" t="s">
        <v>1368</v>
      </c>
      <c r="C72" s="276">
        <v>44480</v>
      </c>
      <c r="D72" s="257" t="s">
        <v>1298</v>
      </c>
      <c r="E72" s="256" t="s">
        <v>1819</v>
      </c>
      <c r="F72" s="256" t="s">
        <v>1881</v>
      </c>
      <c r="G72" s="258">
        <v>2487000000</v>
      </c>
      <c r="H72" s="265">
        <v>0.1</v>
      </c>
      <c r="I72" s="258">
        <v>248700000</v>
      </c>
      <c r="J72" s="258">
        <v>2735700000</v>
      </c>
      <c r="K72" s="256" t="s">
        <v>1346</v>
      </c>
    </row>
    <row r="73" spans="1:11" x14ac:dyDescent="0.3">
      <c r="A73" s="256">
        <v>12</v>
      </c>
      <c r="B73" s="257" t="s">
        <v>1371</v>
      </c>
      <c r="C73" s="276">
        <v>44481</v>
      </c>
      <c r="D73" s="257" t="s">
        <v>1303</v>
      </c>
      <c r="E73" s="256" t="s">
        <v>1817</v>
      </c>
      <c r="F73" s="256" t="s">
        <v>1884</v>
      </c>
      <c r="G73" s="258">
        <v>8262000000</v>
      </c>
      <c r="H73" s="265">
        <v>0.1</v>
      </c>
      <c r="I73" s="258">
        <v>826200000</v>
      </c>
      <c r="J73" s="258">
        <v>9088200000</v>
      </c>
      <c r="K73" s="256" t="s">
        <v>1346</v>
      </c>
    </row>
    <row r="74" spans="1:11" x14ac:dyDescent="0.3">
      <c r="A74" s="256">
        <v>13</v>
      </c>
      <c r="B74" s="257" t="s">
        <v>1373</v>
      </c>
      <c r="C74" s="276">
        <v>44211</v>
      </c>
      <c r="D74" s="257" t="s">
        <v>1299</v>
      </c>
      <c r="E74" s="256" t="s">
        <v>1776</v>
      </c>
      <c r="F74" s="256" t="s">
        <v>1883</v>
      </c>
      <c r="G74" s="258">
        <v>8624000000</v>
      </c>
      <c r="H74" s="265">
        <v>0.1</v>
      </c>
      <c r="I74" s="258">
        <v>862400000</v>
      </c>
      <c r="J74" s="258">
        <v>9486400000</v>
      </c>
      <c r="K74" s="256" t="s">
        <v>1346</v>
      </c>
    </row>
    <row r="75" spans="1:11" x14ac:dyDescent="0.3">
      <c r="A75" s="256">
        <v>14</v>
      </c>
      <c r="B75" s="257" t="s">
        <v>1374</v>
      </c>
      <c r="C75" s="276">
        <v>44242</v>
      </c>
      <c r="D75" s="257" t="s">
        <v>1271</v>
      </c>
      <c r="E75" s="256" t="s">
        <v>1799</v>
      </c>
      <c r="F75" s="256" t="s">
        <v>1883</v>
      </c>
      <c r="G75" s="258">
        <v>3252000000</v>
      </c>
      <c r="H75" s="265">
        <v>0.1</v>
      </c>
      <c r="I75" s="258">
        <v>325200000</v>
      </c>
      <c r="J75" s="258">
        <v>3577200000</v>
      </c>
      <c r="K75" s="256" t="s">
        <v>1346</v>
      </c>
    </row>
    <row r="76" spans="1:11" x14ac:dyDescent="0.3">
      <c r="A76" s="256">
        <v>15</v>
      </c>
      <c r="B76" s="257" t="s">
        <v>1376</v>
      </c>
      <c r="C76" s="276">
        <v>44275</v>
      </c>
      <c r="D76" s="257" t="s">
        <v>1268</v>
      </c>
      <c r="E76" s="256" t="s">
        <v>1821</v>
      </c>
      <c r="F76" s="256" t="s">
        <v>1881</v>
      </c>
      <c r="G76" s="258">
        <v>8637000000</v>
      </c>
      <c r="H76" s="265">
        <v>0.1</v>
      </c>
      <c r="I76" s="258">
        <v>863700000</v>
      </c>
      <c r="J76" s="258">
        <v>9500700000</v>
      </c>
      <c r="K76" s="256" t="s">
        <v>1346</v>
      </c>
    </row>
    <row r="77" spans="1:11" x14ac:dyDescent="0.3">
      <c r="A77" s="256">
        <v>16</v>
      </c>
      <c r="B77" s="257" t="s">
        <v>1378</v>
      </c>
      <c r="C77" s="276">
        <v>44306</v>
      </c>
      <c r="D77" s="257" t="s">
        <v>1289</v>
      </c>
      <c r="E77" s="256" t="s">
        <v>1803</v>
      </c>
      <c r="F77" s="256" t="s">
        <v>1884</v>
      </c>
      <c r="G77" s="258">
        <v>8809000000</v>
      </c>
      <c r="H77" s="265">
        <v>0.1</v>
      </c>
      <c r="I77" s="258">
        <v>880900000</v>
      </c>
      <c r="J77" s="258">
        <v>9689900000</v>
      </c>
      <c r="K77" s="256" t="s">
        <v>1346</v>
      </c>
    </row>
    <row r="78" spans="1:11" x14ac:dyDescent="0.3">
      <c r="A78" s="256">
        <v>17</v>
      </c>
      <c r="B78" s="257" t="s">
        <v>1379</v>
      </c>
      <c r="C78" s="276">
        <v>44336</v>
      </c>
      <c r="D78" s="257" t="s">
        <v>1264</v>
      </c>
      <c r="E78" s="256" t="s">
        <v>1779</v>
      </c>
      <c r="F78" s="256" t="s">
        <v>1881</v>
      </c>
      <c r="G78" s="258">
        <v>5224000000</v>
      </c>
      <c r="H78" s="265">
        <v>0.1</v>
      </c>
      <c r="I78" s="258">
        <v>522400000</v>
      </c>
      <c r="J78" s="258">
        <v>5746400000</v>
      </c>
      <c r="K78" s="256" t="s">
        <v>1346</v>
      </c>
    </row>
    <row r="79" spans="1:11" x14ac:dyDescent="0.3">
      <c r="A79" s="256">
        <v>18</v>
      </c>
      <c r="B79" s="257" t="s">
        <v>1381</v>
      </c>
      <c r="C79" s="276">
        <v>44367</v>
      </c>
      <c r="D79" s="257" t="s">
        <v>1297</v>
      </c>
      <c r="E79" s="256" t="s">
        <v>1820</v>
      </c>
      <c r="F79" s="256" t="s">
        <v>1882</v>
      </c>
      <c r="G79" s="258">
        <v>9029000000</v>
      </c>
      <c r="H79" s="265">
        <v>0.1</v>
      </c>
      <c r="I79" s="258">
        <v>902900000</v>
      </c>
      <c r="J79" s="258">
        <v>9931900000</v>
      </c>
      <c r="K79" s="256" t="s">
        <v>1346</v>
      </c>
    </row>
    <row r="80" spans="1:11" x14ac:dyDescent="0.3">
      <c r="A80" s="256">
        <v>19</v>
      </c>
      <c r="B80" s="257" t="s">
        <v>1382</v>
      </c>
      <c r="C80" s="276">
        <v>44397</v>
      </c>
      <c r="D80" s="257" t="s">
        <v>1297</v>
      </c>
      <c r="E80" s="256" t="s">
        <v>1820</v>
      </c>
      <c r="F80" s="256" t="s">
        <v>1882</v>
      </c>
      <c r="G80" s="258">
        <v>3914000000</v>
      </c>
      <c r="H80" s="265">
        <v>0.1</v>
      </c>
      <c r="I80" s="258">
        <v>391400000</v>
      </c>
      <c r="J80" s="258">
        <v>4305400000</v>
      </c>
      <c r="K80" s="256" t="s">
        <v>1346</v>
      </c>
    </row>
    <row r="81" spans="1:11" x14ac:dyDescent="0.3">
      <c r="A81" s="256">
        <v>20</v>
      </c>
      <c r="B81" s="257" t="s">
        <v>1383</v>
      </c>
      <c r="C81" s="276">
        <v>44428</v>
      </c>
      <c r="D81" s="257" t="s">
        <v>1270</v>
      </c>
      <c r="E81" s="256" t="s">
        <v>1782</v>
      </c>
      <c r="F81" s="256" t="s">
        <v>1882</v>
      </c>
      <c r="G81" s="258">
        <v>4943000000</v>
      </c>
      <c r="H81" s="265">
        <v>0.1</v>
      </c>
      <c r="I81" s="258">
        <v>494300000</v>
      </c>
      <c r="J81" s="258">
        <v>5437300000</v>
      </c>
      <c r="K81" s="256" t="s">
        <v>1346</v>
      </c>
    </row>
    <row r="82" spans="1:11" x14ac:dyDescent="0.3">
      <c r="A82" s="256">
        <v>21</v>
      </c>
      <c r="B82" s="257" t="s">
        <v>1203</v>
      </c>
      <c r="C82" s="276">
        <v>44459</v>
      </c>
      <c r="D82" s="257" t="s">
        <v>1267</v>
      </c>
      <c r="E82" s="256" t="s">
        <v>1810</v>
      </c>
      <c r="F82" s="256" t="s">
        <v>1883</v>
      </c>
      <c r="G82" s="258">
        <v>5815000000</v>
      </c>
      <c r="H82" s="265">
        <v>0.1</v>
      </c>
      <c r="I82" s="258">
        <v>581500000</v>
      </c>
      <c r="J82" s="258">
        <v>6396500000</v>
      </c>
      <c r="K82" s="256" t="s">
        <v>1346</v>
      </c>
    </row>
    <row r="83" spans="1:11" x14ac:dyDescent="0.3">
      <c r="A83" s="256">
        <v>22</v>
      </c>
      <c r="B83" s="257" t="s">
        <v>1204</v>
      </c>
      <c r="C83" s="276">
        <v>44489</v>
      </c>
      <c r="D83" s="257" t="s">
        <v>1267</v>
      </c>
      <c r="E83" s="256" t="s">
        <v>1810</v>
      </c>
      <c r="F83" s="256" t="s">
        <v>1882</v>
      </c>
      <c r="G83" s="258">
        <v>3557000000</v>
      </c>
      <c r="H83" s="265">
        <v>0.1</v>
      </c>
      <c r="I83" s="258">
        <v>355700000</v>
      </c>
      <c r="J83" s="258">
        <v>3912700000</v>
      </c>
      <c r="K83" s="256" t="s">
        <v>1346</v>
      </c>
    </row>
    <row r="84" spans="1:11" x14ac:dyDescent="0.3">
      <c r="A84" s="256">
        <v>23</v>
      </c>
      <c r="B84" s="257" t="s">
        <v>1205</v>
      </c>
      <c r="C84" s="276">
        <v>44520</v>
      </c>
      <c r="D84" s="257" t="s">
        <v>1297</v>
      </c>
      <c r="E84" s="256" t="s">
        <v>1820</v>
      </c>
      <c r="F84" s="256" t="s">
        <v>1882</v>
      </c>
      <c r="G84" s="258">
        <v>7204000000</v>
      </c>
      <c r="H84" s="265">
        <v>0.1</v>
      </c>
      <c r="I84" s="258">
        <v>720400000</v>
      </c>
      <c r="J84" s="258">
        <v>7924400000</v>
      </c>
      <c r="K84" s="256" t="s">
        <v>1346</v>
      </c>
    </row>
    <row r="85" spans="1:11" x14ac:dyDescent="0.3">
      <c r="A85" s="256">
        <v>24</v>
      </c>
      <c r="B85" s="257" t="s">
        <v>1385</v>
      </c>
      <c r="C85" s="276">
        <v>44550</v>
      </c>
      <c r="D85" s="257" t="s">
        <v>1275</v>
      </c>
      <c r="E85" s="256" t="s">
        <v>1808</v>
      </c>
      <c r="F85" s="256" t="s">
        <v>1881</v>
      </c>
      <c r="G85" s="258">
        <v>8530000000</v>
      </c>
      <c r="H85" s="265">
        <v>0</v>
      </c>
      <c r="I85" s="258">
        <v>0</v>
      </c>
      <c r="J85" s="258">
        <v>8530000000</v>
      </c>
      <c r="K85" s="256" t="s">
        <v>1346</v>
      </c>
    </row>
    <row r="86" spans="1:11" x14ac:dyDescent="0.3">
      <c r="A86" s="256">
        <v>25</v>
      </c>
      <c r="B86" s="257" t="s">
        <v>1387</v>
      </c>
      <c r="C86" s="276">
        <v>44221</v>
      </c>
      <c r="D86" s="257" t="s">
        <v>1293</v>
      </c>
      <c r="E86" s="256" t="s">
        <v>1826</v>
      </c>
      <c r="F86" s="256" t="s">
        <v>1884</v>
      </c>
      <c r="G86" s="258">
        <v>7702000000</v>
      </c>
      <c r="H86" s="265">
        <v>0.1</v>
      </c>
      <c r="I86" s="258">
        <v>770200000</v>
      </c>
      <c r="J86" s="258">
        <v>8472200000</v>
      </c>
      <c r="K86" s="256" t="s">
        <v>1346</v>
      </c>
    </row>
    <row r="87" spans="1:11" x14ac:dyDescent="0.3">
      <c r="A87" s="256">
        <v>26</v>
      </c>
      <c r="B87" s="257" t="s">
        <v>1388</v>
      </c>
      <c r="C87" s="276">
        <v>44255</v>
      </c>
      <c r="D87" s="257" t="s">
        <v>1265</v>
      </c>
      <c r="E87" s="256" t="s">
        <v>1830</v>
      </c>
      <c r="F87" s="256" t="s">
        <v>1882</v>
      </c>
      <c r="G87" s="258">
        <v>8156000000</v>
      </c>
      <c r="H87" s="265">
        <v>0.1</v>
      </c>
      <c r="I87" s="258">
        <v>815600000</v>
      </c>
      <c r="J87" s="258">
        <v>8971600000</v>
      </c>
      <c r="K87" s="256" t="s">
        <v>1346</v>
      </c>
    </row>
    <row r="88" spans="1:11" x14ac:dyDescent="0.3">
      <c r="A88" s="256">
        <v>27</v>
      </c>
      <c r="B88" s="257" t="s">
        <v>1391</v>
      </c>
      <c r="C88" s="276">
        <v>44316</v>
      </c>
      <c r="D88" s="257" t="s">
        <v>1297</v>
      </c>
      <c r="E88" s="256" t="s">
        <v>1820</v>
      </c>
      <c r="F88" s="256" t="s">
        <v>1883</v>
      </c>
      <c r="G88" s="258">
        <v>4439000000</v>
      </c>
      <c r="H88" s="265">
        <v>0.1</v>
      </c>
      <c r="I88" s="258">
        <v>443900000</v>
      </c>
      <c r="J88" s="258">
        <v>4882900000</v>
      </c>
      <c r="K88" s="256" t="s">
        <v>1346</v>
      </c>
    </row>
    <row r="89" spans="1:11" x14ac:dyDescent="0.3">
      <c r="A89" s="256">
        <v>28</v>
      </c>
      <c r="B89" s="257" t="s">
        <v>1392</v>
      </c>
      <c r="C89" s="276">
        <v>44377</v>
      </c>
      <c r="D89" s="257" t="s">
        <v>1274</v>
      </c>
      <c r="E89" s="256" t="s">
        <v>1794</v>
      </c>
      <c r="F89" s="256" t="s">
        <v>1882</v>
      </c>
      <c r="G89" s="258">
        <v>2611000000</v>
      </c>
      <c r="H89" s="265">
        <v>0.1</v>
      </c>
      <c r="I89" s="258">
        <v>261100000</v>
      </c>
      <c r="J89" s="258">
        <v>2872100000</v>
      </c>
      <c r="K89" s="256" t="s">
        <v>1348</v>
      </c>
    </row>
    <row r="90" spans="1:11" x14ac:dyDescent="0.3">
      <c r="A90" s="256">
        <v>29</v>
      </c>
      <c r="B90" s="257" t="s">
        <v>1394</v>
      </c>
      <c r="C90" s="276">
        <v>44469</v>
      </c>
      <c r="D90" s="257" t="s">
        <v>1257</v>
      </c>
      <c r="E90" s="256" t="s">
        <v>1815</v>
      </c>
      <c r="F90" s="256" t="s">
        <v>1882</v>
      </c>
      <c r="G90" s="258">
        <v>2965000000</v>
      </c>
      <c r="H90" s="265">
        <v>0.1</v>
      </c>
      <c r="I90" s="258">
        <v>296500000</v>
      </c>
      <c r="J90" s="258">
        <v>3261500000</v>
      </c>
      <c r="K90" s="256" t="s">
        <v>1346</v>
      </c>
    </row>
    <row r="91" spans="1:11" x14ac:dyDescent="0.3">
      <c r="A91" s="256">
        <v>30</v>
      </c>
      <c r="B91" s="257" t="s">
        <v>1396</v>
      </c>
      <c r="C91" s="276">
        <v>44530</v>
      </c>
      <c r="D91" s="257" t="s">
        <v>1296</v>
      </c>
      <c r="E91" s="256" t="s">
        <v>1807</v>
      </c>
      <c r="F91" s="256" t="s">
        <v>1883</v>
      </c>
      <c r="G91" s="258">
        <v>6548000000</v>
      </c>
      <c r="H91" s="265">
        <v>0.1</v>
      </c>
      <c r="I91" s="258">
        <v>654800000</v>
      </c>
      <c r="J91" s="258">
        <v>7202800000</v>
      </c>
      <c r="K91" s="256" t="s">
        <v>1346</v>
      </c>
    </row>
    <row r="92" spans="1:11" x14ac:dyDescent="0.3">
      <c r="A92" s="256">
        <v>31</v>
      </c>
      <c r="B92" s="257" t="s">
        <v>1397</v>
      </c>
      <c r="C92" s="276">
        <v>44286</v>
      </c>
      <c r="D92" s="257" t="s">
        <v>1257</v>
      </c>
      <c r="E92" s="256" t="s">
        <v>1815</v>
      </c>
      <c r="F92" s="256" t="s">
        <v>1883</v>
      </c>
      <c r="G92" s="258">
        <v>4018000000</v>
      </c>
      <c r="H92" s="265">
        <v>0.1</v>
      </c>
      <c r="I92" s="258">
        <v>401800000</v>
      </c>
      <c r="J92" s="258">
        <v>4419800000</v>
      </c>
      <c r="K92" s="256" t="s">
        <v>1346</v>
      </c>
    </row>
    <row r="93" spans="1:11" x14ac:dyDescent="0.3">
      <c r="A93" s="256">
        <v>32</v>
      </c>
      <c r="B93" s="257" t="s">
        <v>1398</v>
      </c>
      <c r="C93" s="276">
        <v>44347</v>
      </c>
      <c r="D93" s="257" t="s">
        <v>1286</v>
      </c>
      <c r="E93" s="256" t="s">
        <v>1828</v>
      </c>
      <c r="F93" s="256" t="s">
        <v>1883</v>
      </c>
      <c r="G93" s="258">
        <v>3132000000</v>
      </c>
      <c r="H93" s="265">
        <v>0</v>
      </c>
      <c r="I93" s="258">
        <v>0</v>
      </c>
      <c r="J93" s="258">
        <v>3132000000</v>
      </c>
      <c r="K93" s="256" t="s">
        <v>1346</v>
      </c>
    </row>
    <row r="94" spans="1:11" x14ac:dyDescent="0.3">
      <c r="A94" s="256">
        <v>33</v>
      </c>
      <c r="B94" s="257" t="s">
        <v>1399</v>
      </c>
      <c r="C94" s="276">
        <v>44408</v>
      </c>
      <c r="D94" s="257" t="s">
        <v>1301</v>
      </c>
      <c r="E94" s="256" t="s">
        <v>1781</v>
      </c>
      <c r="F94" s="256" t="s">
        <v>1883</v>
      </c>
      <c r="G94" s="258">
        <v>2791000000</v>
      </c>
      <c r="H94" s="265">
        <v>0.1</v>
      </c>
      <c r="I94" s="258">
        <v>279100000</v>
      </c>
      <c r="J94" s="258">
        <v>3070100000</v>
      </c>
      <c r="K94" s="256" t="s">
        <v>1348</v>
      </c>
    </row>
    <row r="95" spans="1:11" x14ac:dyDescent="0.3">
      <c r="A95" s="256">
        <v>34</v>
      </c>
      <c r="B95" s="257" t="s">
        <v>1401</v>
      </c>
      <c r="C95" s="276">
        <v>44439</v>
      </c>
      <c r="D95" s="257" t="s">
        <v>1261</v>
      </c>
      <c r="E95" s="256" t="s">
        <v>1813</v>
      </c>
      <c r="F95" s="256" t="s">
        <v>1883</v>
      </c>
      <c r="G95" s="258">
        <v>8088000000</v>
      </c>
      <c r="H95" s="265">
        <v>0.1</v>
      </c>
      <c r="I95" s="258">
        <v>808800000</v>
      </c>
      <c r="J95" s="258">
        <v>8896800000</v>
      </c>
      <c r="K95" s="256" t="s">
        <v>1346</v>
      </c>
    </row>
    <row r="96" spans="1:11" x14ac:dyDescent="0.3">
      <c r="A96" s="256">
        <v>35</v>
      </c>
      <c r="B96" s="257" t="s">
        <v>1402</v>
      </c>
      <c r="C96" s="276">
        <v>44500</v>
      </c>
      <c r="D96" s="257" t="s">
        <v>1268</v>
      </c>
      <c r="E96" s="256" t="s">
        <v>1821</v>
      </c>
      <c r="F96" s="256" t="s">
        <v>1884</v>
      </c>
      <c r="G96" s="258">
        <v>7673000000</v>
      </c>
      <c r="H96" s="265">
        <v>0.1</v>
      </c>
      <c r="I96" s="258">
        <v>767300000</v>
      </c>
      <c r="J96" s="258">
        <v>8440300000</v>
      </c>
      <c r="K96" s="256" t="s">
        <v>1346</v>
      </c>
    </row>
    <row r="97" spans="1:11" x14ac:dyDescent="0.3">
      <c r="A97" s="256">
        <v>36</v>
      </c>
      <c r="B97" s="257" t="s">
        <v>1403</v>
      </c>
      <c r="C97" s="276">
        <v>44561</v>
      </c>
      <c r="D97" s="257" t="s">
        <v>1284</v>
      </c>
      <c r="E97" s="256" t="s">
        <v>1786</v>
      </c>
      <c r="F97" s="256" t="s">
        <v>1882</v>
      </c>
      <c r="G97" s="258">
        <v>3528000000</v>
      </c>
      <c r="H97" s="265">
        <v>0.1</v>
      </c>
      <c r="I97" s="258">
        <v>352800000</v>
      </c>
      <c r="J97" s="258">
        <v>3880800000</v>
      </c>
      <c r="K97" s="256" t="s">
        <v>1346</v>
      </c>
    </row>
    <row r="98" spans="1:11" x14ac:dyDescent="0.3">
      <c r="A98" s="256">
        <v>37</v>
      </c>
      <c r="B98" s="257" t="s">
        <v>1404</v>
      </c>
      <c r="C98" s="276">
        <v>44561</v>
      </c>
      <c r="D98" s="257" t="s">
        <v>1257</v>
      </c>
      <c r="E98" s="256" t="s">
        <v>1815</v>
      </c>
      <c r="F98" s="256" t="s">
        <v>1882</v>
      </c>
      <c r="G98" s="258">
        <v>4341000000</v>
      </c>
      <c r="H98" s="265">
        <v>0.1</v>
      </c>
      <c r="I98" s="258">
        <v>434100000</v>
      </c>
      <c r="J98" s="258">
        <v>4775100000</v>
      </c>
      <c r="K98" s="256" t="s">
        <v>1346</v>
      </c>
    </row>
    <row r="99" spans="1:11" x14ac:dyDescent="0.3">
      <c r="A99" s="256">
        <v>38</v>
      </c>
      <c r="B99" s="257" t="s">
        <v>1405</v>
      </c>
      <c r="C99" s="276">
        <v>44561</v>
      </c>
      <c r="D99" s="257" t="s">
        <v>1301</v>
      </c>
      <c r="E99" s="256" t="s">
        <v>1781</v>
      </c>
      <c r="F99" s="256" t="s">
        <v>1884</v>
      </c>
      <c r="G99" s="258">
        <v>2894000000</v>
      </c>
      <c r="H99" s="265">
        <v>0.1</v>
      </c>
      <c r="I99" s="258">
        <v>289400000</v>
      </c>
      <c r="J99" s="258">
        <v>3183400000</v>
      </c>
      <c r="K99" s="256" t="s">
        <v>1346</v>
      </c>
    </row>
    <row r="100" spans="1:11" x14ac:dyDescent="0.3">
      <c r="A100" s="256">
        <v>39</v>
      </c>
      <c r="B100" s="257" t="s">
        <v>1406</v>
      </c>
      <c r="C100" s="276">
        <v>44561</v>
      </c>
      <c r="D100" s="257" t="s">
        <v>1256</v>
      </c>
      <c r="E100" s="256" t="s">
        <v>1802</v>
      </c>
      <c r="F100" s="256" t="s">
        <v>1883</v>
      </c>
      <c r="G100" s="258">
        <v>2770000000</v>
      </c>
      <c r="H100" s="265">
        <v>0</v>
      </c>
      <c r="I100" s="258">
        <v>0</v>
      </c>
      <c r="J100" s="258">
        <v>2770000000</v>
      </c>
      <c r="K100" s="256" t="s">
        <v>1348</v>
      </c>
    </row>
    <row r="101" spans="1:11" x14ac:dyDescent="0.3">
      <c r="A101" s="256">
        <v>40</v>
      </c>
      <c r="B101" s="257" t="s">
        <v>1408</v>
      </c>
      <c r="C101" s="276">
        <v>44561</v>
      </c>
      <c r="D101" s="257" t="s">
        <v>1294</v>
      </c>
      <c r="E101" s="256" t="s">
        <v>1795</v>
      </c>
      <c r="F101" s="256" t="s">
        <v>1884</v>
      </c>
      <c r="G101" s="258">
        <v>4815000000</v>
      </c>
      <c r="H101" s="265">
        <v>0.1</v>
      </c>
      <c r="I101" s="258">
        <v>481500000</v>
      </c>
      <c r="J101" s="258">
        <v>5296500000</v>
      </c>
      <c r="K101" s="256" t="s">
        <v>1346</v>
      </c>
    </row>
    <row r="102" spans="1:11" x14ac:dyDescent="0.3">
      <c r="A102" s="256">
        <v>41</v>
      </c>
      <c r="B102" s="257" t="s">
        <v>1409</v>
      </c>
      <c r="C102" s="276">
        <v>44561</v>
      </c>
      <c r="D102" s="257" t="s">
        <v>1289</v>
      </c>
      <c r="E102" s="256" t="s">
        <v>1803</v>
      </c>
      <c r="F102" s="256" t="s">
        <v>1882</v>
      </c>
      <c r="G102" s="258">
        <v>6613000000</v>
      </c>
      <c r="H102" s="265">
        <v>0.1</v>
      </c>
      <c r="I102" s="258">
        <v>661300000</v>
      </c>
      <c r="J102" s="258">
        <v>7274300000</v>
      </c>
      <c r="K102" s="256" t="s">
        <v>1346</v>
      </c>
    </row>
    <row r="103" spans="1:11" x14ac:dyDescent="0.3">
      <c r="A103" s="256">
        <v>42</v>
      </c>
      <c r="B103" s="257" t="s">
        <v>1411</v>
      </c>
      <c r="C103" s="276">
        <v>44561</v>
      </c>
      <c r="D103" s="257" t="s">
        <v>1282</v>
      </c>
      <c r="E103" s="256" t="s">
        <v>1789</v>
      </c>
      <c r="F103" s="256" t="s">
        <v>1884</v>
      </c>
      <c r="G103" s="258">
        <v>3776000000</v>
      </c>
      <c r="H103" s="265">
        <v>0.1</v>
      </c>
      <c r="I103" s="258">
        <v>377600000</v>
      </c>
      <c r="J103" s="258">
        <v>4153600000</v>
      </c>
      <c r="K103" s="256" t="s">
        <v>1348</v>
      </c>
    </row>
    <row r="104" spans="1:11" x14ac:dyDescent="0.3">
      <c r="A104" s="256">
        <v>43</v>
      </c>
      <c r="B104" s="257" t="s">
        <v>1414</v>
      </c>
      <c r="C104" s="276">
        <v>44561</v>
      </c>
      <c r="D104" s="257" t="s">
        <v>1291</v>
      </c>
      <c r="E104" s="256" t="s">
        <v>1800</v>
      </c>
      <c r="F104" s="256" t="s">
        <v>1884</v>
      </c>
      <c r="G104" s="258">
        <v>4881000000</v>
      </c>
      <c r="H104" s="265">
        <v>0.1</v>
      </c>
      <c r="I104" s="258">
        <v>488100000</v>
      </c>
      <c r="J104" s="258">
        <v>5369100000</v>
      </c>
      <c r="K104" s="256" t="s">
        <v>1346</v>
      </c>
    </row>
    <row r="105" spans="1:11" x14ac:dyDescent="0.3">
      <c r="A105" s="256">
        <v>44</v>
      </c>
      <c r="B105" s="257" t="s">
        <v>1415</v>
      </c>
      <c r="C105" s="276">
        <v>44561</v>
      </c>
      <c r="D105" s="257" t="s">
        <v>1268</v>
      </c>
      <c r="E105" s="256" t="s">
        <v>1821</v>
      </c>
      <c r="F105" s="256" t="s">
        <v>1881</v>
      </c>
      <c r="G105" s="258">
        <v>6289000000</v>
      </c>
      <c r="H105" s="265">
        <v>0</v>
      </c>
      <c r="I105" s="258">
        <v>0</v>
      </c>
      <c r="J105" s="258">
        <v>6289000000</v>
      </c>
      <c r="K105" s="256" t="s">
        <v>1346</v>
      </c>
    </row>
    <row r="106" spans="1:11" x14ac:dyDescent="0.3">
      <c r="A106" s="256">
        <v>45</v>
      </c>
      <c r="B106" s="257" t="s">
        <v>1206</v>
      </c>
      <c r="C106" s="276">
        <v>44561</v>
      </c>
      <c r="D106" s="257" t="s">
        <v>1258</v>
      </c>
      <c r="E106" s="256" t="s">
        <v>1833</v>
      </c>
      <c r="F106" s="256" t="s">
        <v>1884</v>
      </c>
      <c r="G106" s="258">
        <v>7648000000</v>
      </c>
      <c r="H106" s="265">
        <v>0.1</v>
      </c>
      <c r="I106" s="258">
        <v>764800000</v>
      </c>
      <c r="J106" s="258">
        <v>8412800000</v>
      </c>
      <c r="K106" s="256" t="s">
        <v>1346</v>
      </c>
    </row>
    <row r="107" spans="1:11" x14ac:dyDescent="0.3">
      <c r="A107" s="256">
        <v>46</v>
      </c>
      <c r="B107" s="257" t="s">
        <v>1207</v>
      </c>
      <c r="C107" s="276">
        <v>44561</v>
      </c>
      <c r="D107" s="257" t="s">
        <v>1285</v>
      </c>
      <c r="E107" s="256" t="s">
        <v>1793</v>
      </c>
      <c r="F107" s="256" t="s">
        <v>1883</v>
      </c>
      <c r="G107" s="258">
        <v>5102000000</v>
      </c>
      <c r="H107" s="265">
        <v>0</v>
      </c>
      <c r="I107" s="258">
        <v>0</v>
      </c>
      <c r="J107" s="258">
        <v>5102000000</v>
      </c>
      <c r="K107" s="256" t="s">
        <v>1346</v>
      </c>
    </row>
    <row r="108" spans="1:11" x14ac:dyDescent="0.3">
      <c r="A108" s="256">
        <v>47</v>
      </c>
      <c r="B108" s="257" t="s">
        <v>1208</v>
      </c>
      <c r="C108" s="276">
        <v>44561</v>
      </c>
      <c r="D108" s="257" t="s">
        <v>1255</v>
      </c>
      <c r="E108" s="273">
        <v>46152</v>
      </c>
      <c r="F108" s="256" t="s">
        <v>1882</v>
      </c>
      <c r="G108" s="258">
        <v>7979000000</v>
      </c>
      <c r="H108" s="265">
        <v>0.1</v>
      </c>
      <c r="I108" s="258">
        <v>797900000</v>
      </c>
      <c r="J108" s="258">
        <v>8776900000</v>
      </c>
      <c r="K108" s="256" t="s">
        <v>1348</v>
      </c>
    </row>
    <row r="109" spans="1:11" x14ac:dyDescent="0.3">
      <c r="A109" s="256">
        <v>48</v>
      </c>
      <c r="B109" s="257" t="s">
        <v>1209</v>
      </c>
      <c r="C109" s="276">
        <v>44561</v>
      </c>
      <c r="D109" s="257" t="s">
        <v>1259</v>
      </c>
      <c r="E109" s="256" t="s">
        <v>1788</v>
      </c>
      <c r="F109" s="256" t="s">
        <v>1884</v>
      </c>
      <c r="G109" s="258">
        <v>2943000000</v>
      </c>
      <c r="H109" s="265">
        <v>0.1</v>
      </c>
      <c r="I109" s="258">
        <v>294300000</v>
      </c>
      <c r="J109" s="258">
        <v>3237300000</v>
      </c>
      <c r="K109" s="256" t="s">
        <v>1346</v>
      </c>
    </row>
    <row r="110" spans="1:11" x14ac:dyDescent="0.3">
      <c r="A110" s="256">
        <v>49</v>
      </c>
      <c r="B110" s="257" t="s">
        <v>1418</v>
      </c>
      <c r="C110" s="276">
        <v>44561</v>
      </c>
      <c r="D110" s="257" t="s">
        <v>1262</v>
      </c>
      <c r="E110" s="256" t="s">
        <v>1816</v>
      </c>
      <c r="F110" s="256" t="s">
        <v>1882</v>
      </c>
      <c r="G110" s="258">
        <v>3418000000</v>
      </c>
      <c r="H110" s="265">
        <v>0.1</v>
      </c>
      <c r="I110" s="258">
        <v>341800000</v>
      </c>
      <c r="J110" s="258">
        <v>3759800000</v>
      </c>
      <c r="K110" s="256" t="s">
        <v>1346</v>
      </c>
    </row>
    <row r="111" spans="1:11" x14ac:dyDescent="0.3">
      <c r="A111" s="256">
        <v>50</v>
      </c>
      <c r="B111" s="257" t="s">
        <v>1419</v>
      </c>
      <c r="C111" s="276">
        <v>44561</v>
      </c>
      <c r="D111" s="257" t="s">
        <v>1255</v>
      </c>
      <c r="E111" s="273">
        <v>46152</v>
      </c>
      <c r="F111" s="256" t="s">
        <v>1883</v>
      </c>
      <c r="G111" s="258">
        <v>8580000000</v>
      </c>
      <c r="H111" s="265">
        <v>0.1</v>
      </c>
      <c r="I111" s="258">
        <v>858000000</v>
      </c>
      <c r="J111" s="258">
        <v>9438000000</v>
      </c>
      <c r="K111" s="256" t="s">
        <v>1346</v>
      </c>
    </row>
    <row r="112" spans="1:11" x14ac:dyDescent="0.3">
      <c r="A112" s="266" t="s">
        <v>1351</v>
      </c>
      <c r="B112" s="266"/>
      <c r="C112" s="266"/>
      <c r="D112" s="266"/>
      <c r="E112" s="266"/>
      <c r="F112" s="266"/>
      <c r="G112" s="267">
        <f>SUM(G62:G111)</f>
        <v>284807000000</v>
      </c>
      <c r="H112" s="266"/>
      <c r="I112" s="267">
        <f>SUM(I62:I111)</f>
        <v>24678200000</v>
      </c>
      <c r="J112" s="267">
        <f>SUM(J62:J111)</f>
        <v>309485200000</v>
      </c>
      <c r="K112" s="266"/>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982</v>
      </c>
      <c r="C1" s="256"/>
      <c r="D1" s="256"/>
      <c r="E1" s="256"/>
      <c r="F1" s="256"/>
      <c r="G1" s="256"/>
      <c r="H1" s="256"/>
      <c r="I1" s="256"/>
      <c r="J1" s="256"/>
      <c r="K1" s="256"/>
    </row>
    <row r="2" spans="1:11" x14ac:dyDescent="0.3">
      <c r="A2" s="256" t="s">
        <v>1339</v>
      </c>
      <c r="B2" s="257">
        <v>108568493</v>
      </c>
      <c r="C2" s="256"/>
      <c r="D2" s="256"/>
      <c r="E2" s="256"/>
      <c r="F2" s="256"/>
      <c r="G2" s="256"/>
      <c r="H2" s="256"/>
      <c r="I2" s="256"/>
      <c r="J2" s="256"/>
      <c r="K2" s="256"/>
    </row>
    <row r="3" spans="1:11" x14ac:dyDescent="0.3">
      <c r="A3" s="256" t="s">
        <v>1343</v>
      </c>
      <c r="B3" s="258">
        <v>661846737272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1493</v>
      </c>
      <c r="C8" s="276">
        <v>44317</v>
      </c>
      <c r="D8" s="257" t="s">
        <v>1304</v>
      </c>
      <c r="E8" s="256" t="s">
        <v>1831</v>
      </c>
      <c r="F8" s="256" t="s">
        <v>1889</v>
      </c>
      <c r="G8" s="258">
        <v>4757000000</v>
      </c>
      <c r="H8" s="265">
        <v>0.1</v>
      </c>
      <c r="I8" s="258">
        <v>475700000</v>
      </c>
      <c r="J8" s="258">
        <v>5232700000</v>
      </c>
      <c r="K8" s="256" t="s">
        <v>1346</v>
      </c>
    </row>
    <row r="9" spans="1:11" x14ac:dyDescent="0.3">
      <c r="A9" s="256">
        <v>2</v>
      </c>
      <c r="B9" s="257" t="s">
        <v>1488</v>
      </c>
      <c r="C9" s="276">
        <v>44318</v>
      </c>
      <c r="D9" s="257" t="s">
        <v>1281</v>
      </c>
      <c r="E9" s="256" t="s">
        <v>1806</v>
      </c>
      <c r="F9" s="256" t="s">
        <v>1888</v>
      </c>
      <c r="G9" s="258">
        <v>14764000000</v>
      </c>
      <c r="H9" s="265">
        <v>0</v>
      </c>
      <c r="I9" s="258">
        <v>0</v>
      </c>
      <c r="J9" s="258">
        <v>14764000000</v>
      </c>
      <c r="K9" s="256" t="s">
        <v>1346</v>
      </c>
    </row>
    <row r="10" spans="1:11" x14ac:dyDescent="0.3">
      <c r="A10" s="256">
        <v>3</v>
      </c>
      <c r="B10" s="257" t="s">
        <v>1399</v>
      </c>
      <c r="C10" s="276">
        <v>44472</v>
      </c>
      <c r="D10" s="257" t="s">
        <v>1298</v>
      </c>
      <c r="E10" s="256" t="s">
        <v>1819</v>
      </c>
      <c r="F10" s="256" t="s">
        <v>1890</v>
      </c>
      <c r="G10" s="258">
        <v>5256000000</v>
      </c>
      <c r="H10" s="265">
        <v>0.1</v>
      </c>
      <c r="I10" s="258">
        <v>525600000</v>
      </c>
      <c r="J10" s="258">
        <v>5781600000</v>
      </c>
      <c r="K10" s="256" t="s">
        <v>1348</v>
      </c>
    </row>
    <row r="11" spans="1:11" x14ac:dyDescent="0.3">
      <c r="A11" s="256">
        <v>4</v>
      </c>
      <c r="B11" s="257" t="s">
        <v>1403</v>
      </c>
      <c r="C11" s="276">
        <v>44473</v>
      </c>
      <c r="D11" s="257" t="s">
        <v>1261</v>
      </c>
      <c r="E11" s="256" t="s">
        <v>1813</v>
      </c>
      <c r="F11" s="256" t="s">
        <v>1741</v>
      </c>
      <c r="G11" s="258">
        <v>7103000000</v>
      </c>
      <c r="H11" s="265">
        <v>0.1</v>
      </c>
      <c r="I11" s="258">
        <v>710300000</v>
      </c>
      <c r="J11" s="258">
        <v>7813300000</v>
      </c>
      <c r="K11" s="256" t="s">
        <v>1346</v>
      </c>
    </row>
    <row r="12" spans="1:11" x14ac:dyDescent="0.3">
      <c r="A12" s="256">
        <v>5</v>
      </c>
      <c r="B12" s="257" t="s">
        <v>1464</v>
      </c>
      <c r="C12" s="276">
        <v>44474</v>
      </c>
      <c r="D12" s="257" t="s">
        <v>1265</v>
      </c>
      <c r="E12" s="256" t="s">
        <v>1830</v>
      </c>
      <c r="F12" s="256" t="s">
        <v>1890</v>
      </c>
      <c r="G12" s="258">
        <v>10917000000</v>
      </c>
      <c r="H12" s="265">
        <v>0.1</v>
      </c>
      <c r="I12" s="258">
        <v>1091700000</v>
      </c>
      <c r="J12" s="258">
        <v>12008700000</v>
      </c>
      <c r="K12" s="256" t="s">
        <v>1346</v>
      </c>
    </row>
    <row r="13" spans="1:11" x14ac:dyDescent="0.3">
      <c r="A13" s="256">
        <v>6</v>
      </c>
      <c r="B13" s="257" t="s">
        <v>1482</v>
      </c>
      <c r="C13" s="276">
        <v>44475</v>
      </c>
      <c r="D13" s="257" t="s">
        <v>1276</v>
      </c>
      <c r="E13" s="256" t="s">
        <v>1822</v>
      </c>
      <c r="F13" s="256" t="s">
        <v>1888</v>
      </c>
      <c r="G13" s="258">
        <v>3934000000</v>
      </c>
      <c r="H13" s="265">
        <v>0.1</v>
      </c>
      <c r="I13" s="258">
        <v>393400000</v>
      </c>
      <c r="J13" s="258">
        <v>4327400000</v>
      </c>
      <c r="K13" s="256" t="s">
        <v>1348</v>
      </c>
    </row>
    <row r="14" spans="1:11" x14ac:dyDescent="0.3">
      <c r="A14" s="256">
        <v>7</v>
      </c>
      <c r="B14" s="257" t="s">
        <v>1411</v>
      </c>
      <c r="C14" s="276">
        <v>44476</v>
      </c>
      <c r="D14" s="257" t="s">
        <v>1297</v>
      </c>
      <c r="E14" s="256" t="s">
        <v>1820</v>
      </c>
      <c r="F14" s="256" t="s">
        <v>1741</v>
      </c>
      <c r="G14" s="258">
        <v>9512000000</v>
      </c>
      <c r="H14" s="265">
        <v>0.1</v>
      </c>
      <c r="I14" s="258">
        <v>951200000</v>
      </c>
      <c r="J14" s="258">
        <v>10463200000</v>
      </c>
      <c r="K14" s="256" t="s">
        <v>1346</v>
      </c>
    </row>
    <row r="15" spans="1:11" x14ac:dyDescent="0.3">
      <c r="A15" s="256">
        <v>8</v>
      </c>
      <c r="B15" s="257" t="s">
        <v>1497</v>
      </c>
      <c r="C15" s="276">
        <v>44477</v>
      </c>
      <c r="D15" s="257" t="s">
        <v>1259</v>
      </c>
      <c r="E15" s="256" t="s">
        <v>1788</v>
      </c>
      <c r="F15" s="256" t="s">
        <v>1891</v>
      </c>
      <c r="G15" s="258">
        <v>7540000000</v>
      </c>
      <c r="H15" s="265">
        <v>0</v>
      </c>
      <c r="I15" s="258">
        <v>0</v>
      </c>
      <c r="J15" s="258">
        <v>7540000000</v>
      </c>
      <c r="K15" s="256" t="s">
        <v>1346</v>
      </c>
    </row>
    <row r="16" spans="1:11" x14ac:dyDescent="0.3">
      <c r="A16" s="256">
        <v>9</v>
      </c>
      <c r="B16" s="257" t="s">
        <v>1488</v>
      </c>
      <c r="C16" s="276">
        <v>44478</v>
      </c>
      <c r="D16" s="257" t="s">
        <v>1272</v>
      </c>
      <c r="E16" s="256" t="s">
        <v>1805</v>
      </c>
      <c r="F16" s="256" t="s">
        <v>1888</v>
      </c>
      <c r="G16" s="258">
        <v>9630000000</v>
      </c>
      <c r="H16" s="265">
        <v>0.1</v>
      </c>
      <c r="I16" s="258">
        <v>963000000</v>
      </c>
      <c r="J16" s="258">
        <v>10593000000</v>
      </c>
      <c r="K16" s="256" t="s">
        <v>1346</v>
      </c>
    </row>
    <row r="17" spans="1:11" x14ac:dyDescent="0.3">
      <c r="A17" s="256">
        <v>10</v>
      </c>
      <c r="B17" s="257" t="s">
        <v>1479</v>
      </c>
      <c r="C17" s="276">
        <v>44479</v>
      </c>
      <c r="D17" s="257" t="s">
        <v>1273</v>
      </c>
      <c r="E17" s="256" t="s">
        <v>1829</v>
      </c>
      <c r="F17" s="256" t="s">
        <v>1889</v>
      </c>
      <c r="G17" s="258">
        <v>5610000000</v>
      </c>
      <c r="H17" s="265">
        <v>0.1</v>
      </c>
      <c r="I17" s="258">
        <v>561000000</v>
      </c>
      <c r="J17" s="258">
        <v>6171000000</v>
      </c>
      <c r="K17" s="256" t="s">
        <v>1346</v>
      </c>
    </row>
    <row r="18" spans="1:11" x14ac:dyDescent="0.3">
      <c r="A18" s="256">
        <v>11</v>
      </c>
      <c r="B18" s="257" t="s">
        <v>1465</v>
      </c>
      <c r="C18" s="276">
        <v>44480</v>
      </c>
      <c r="D18" s="257" t="s">
        <v>1266</v>
      </c>
      <c r="E18" s="256" t="s">
        <v>1824</v>
      </c>
      <c r="F18" s="256" t="s">
        <v>1741</v>
      </c>
      <c r="G18" s="258">
        <v>11870000000</v>
      </c>
      <c r="H18" s="265">
        <v>0.1</v>
      </c>
      <c r="I18" s="258">
        <v>1187000000</v>
      </c>
      <c r="J18" s="258">
        <v>13057000000</v>
      </c>
      <c r="K18" s="256" t="s">
        <v>1346</v>
      </c>
    </row>
    <row r="19" spans="1:11" x14ac:dyDescent="0.3">
      <c r="A19" s="256">
        <v>12</v>
      </c>
      <c r="B19" s="257" t="s">
        <v>1479</v>
      </c>
      <c r="C19" s="276">
        <v>44481</v>
      </c>
      <c r="D19" s="257" t="s">
        <v>1256</v>
      </c>
      <c r="E19" s="256" t="s">
        <v>1802</v>
      </c>
      <c r="F19" s="256" t="s">
        <v>1734</v>
      </c>
      <c r="G19" s="258">
        <v>14267000000</v>
      </c>
      <c r="H19" s="265">
        <v>0.1</v>
      </c>
      <c r="I19" s="258">
        <v>1426700000</v>
      </c>
      <c r="J19" s="258">
        <v>15693700000</v>
      </c>
      <c r="K19" s="256" t="s">
        <v>1346</v>
      </c>
    </row>
    <row r="20" spans="1:11" x14ac:dyDescent="0.3">
      <c r="A20" s="256">
        <v>13</v>
      </c>
      <c r="B20" s="257" t="s">
        <v>1483</v>
      </c>
      <c r="C20" s="276">
        <v>44211</v>
      </c>
      <c r="D20" s="257" t="s">
        <v>1276</v>
      </c>
      <c r="E20" s="256" t="s">
        <v>1822</v>
      </c>
      <c r="F20" s="256" t="s">
        <v>1889</v>
      </c>
      <c r="G20" s="258">
        <v>9024000000</v>
      </c>
      <c r="H20" s="265">
        <v>0.1</v>
      </c>
      <c r="I20" s="258">
        <v>902400000</v>
      </c>
      <c r="J20" s="258">
        <v>9926400000</v>
      </c>
      <c r="K20" s="256" t="s">
        <v>1346</v>
      </c>
    </row>
    <row r="21" spans="1:11" x14ac:dyDescent="0.3">
      <c r="A21" s="256">
        <v>14</v>
      </c>
      <c r="B21" s="257" t="s">
        <v>1489</v>
      </c>
      <c r="C21" s="276">
        <v>44242</v>
      </c>
      <c r="D21" s="257" t="s">
        <v>1272</v>
      </c>
      <c r="E21" s="256" t="s">
        <v>1805</v>
      </c>
      <c r="F21" s="256" t="s">
        <v>1734</v>
      </c>
      <c r="G21" s="258">
        <v>14879000000</v>
      </c>
      <c r="H21" s="265">
        <v>0</v>
      </c>
      <c r="I21" s="258">
        <v>0</v>
      </c>
      <c r="J21" s="258">
        <v>14879000000</v>
      </c>
      <c r="K21" s="256" t="s">
        <v>1346</v>
      </c>
    </row>
    <row r="22" spans="1:11" x14ac:dyDescent="0.3">
      <c r="A22" s="256">
        <v>15</v>
      </c>
      <c r="B22" s="257" t="s">
        <v>1466</v>
      </c>
      <c r="C22" s="276">
        <v>44275</v>
      </c>
      <c r="D22" s="257" t="s">
        <v>1266</v>
      </c>
      <c r="E22" s="256" t="s">
        <v>1824</v>
      </c>
      <c r="F22" s="256" t="s">
        <v>1888</v>
      </c>
      <c r="G22" s="258">
        <v>9060000000</v>
      </c>
      <c r="H22" s="265">
        <v>0.1</v>
      </c>
      <c r="I22" s="258">
        <v>906000000</v>
      </c>
      <c r="J22" s="258">
        <v>9966000000</v>
      </c>
      <c r="K22" s="256" t="s">
        <v>1348</v>
      </c>
    </row>
    <row r="23" spans="1:11" x14ac:dyDescent="0.3">
      <c r="A23" s="256">
        <v>16</v>
      </c>
      <c r="B23" s="257" t="s">
        <v>1489</v>
      </c>
      <c r="C23" s="276">
        <v>44306</v>
      </c>
      <c r="D23" s="257" t="s">
        <v>1271</v>
      </c>
      <c r="E23" s="256" t="s">
        <v>1799</v>
      </c>
      <c r="F23" s="256" t="s">
        <v>1888</v>
      </c>
      <c r="G23" s="258">
        <v>10645000000</v>
      </c>
      <c r="H23" s="265">
        <v>0.1</v>
      </c>
      <c r="I23" s="258">
        <v>1064500000</v>
      </c>
      <c r="J23" s="258">
        <v>11709500000</v>
      </c>
      <c r="K23" s="256" t="s">
        <v>1346</v>
      </c>
    </row>
    <row r="24" spans="1:11" x14ac:dyDescent="0.3">
      <c r="A24" s="256">
        <v>17</v>
      </c>
      <c r="B24" s="257" t="s">
        <v>1459</v>
      </c>
      <c r="C24" s="276">
        <v>44336</v>
      </c>
      <c r="D24" s="257" t="s">
        <v>1293</v>
      </c>
      <c r="E24" s="256" t="s">
        <v>1826</v>
      </c>
      <c r="F24" s="256" t="s">
        <v>1890</v>
      </c>
      <c r="G24" s="258">
        <v>14662000000</v>
      </c>
      <c r="H24" s="265">
        <v>0.1</v>
      </c>
      <c r="I24" s="258">
        <v>1466200000</v>
      </c>
      <c r="J24" s="258">
        <v>16128200000</v>
      </c>
      <c r="K24" s="256" t="s">
        <v>1346</v>
      </c>
    </row>
    <row r="25" spans="1:11" x14ac:dyDescent="0.3">
      <c r="A25" s="256">
        <v>18</v>
      </c>
      <c r="B25" s="257" t="s">
        <v>1409</v>
      </c>
      <c r="C25" s="276">
        <v>44367</v>
      </c>
      <c r="D25" s="257" t="s">
        <v>1291</v>
      </c>
      <c r="E25" s="256" t="s">
        <v>1800</v>
      </c>
      <c r="F25" s="256" t="s">
        <v>1734</v>
      </c>
      <c r="G25" s="258">
        <v>3985000000</v>
      </c>
      <c r="H25" s="265">
        <v>0.1</v>
      </c>
      <c r="I25" s="258">
        <v>398500000</v>
      </c>
      <c r="J25" s="258">
        <v>4383500000</v>
      </c>
      <c r="K25" s="256" t="s">
        <v>1346</v>
      </c>
    </row>
    <row r="26" spans="1:11" x14ac:dyDescent="0.3">
      <c r="A26" s="256">
        <v>19</v>
      </c>
      <c r="B26" s="257" t="s">
        <v>1467</v>
      </c>
      <c r="C26" s="276">
        <v>44397</v>
      </c>
      <c r="D26" s="257" t="s">
        <v>1266</v>
      </c>
      <c r="E26" s="256" t="s">
        <v>1824</v>
      </c>
      <c r="F26" s="256" t="s">
        <v>1734</v>
      </c>
      <c r="G26" s="258">
        <v>13271000000</v>
      </c>
      <c r="H26" s="265">
        <v>0.1</v>
      </c>
      <c r="I26" s="258">
        <v>1327100000</v>
      </c>
      <c r="J26" s="258">
        <v>14598100000</v>
      </c>
      <c r="K26" s="256" t="s">
        <v>1346</v>
      </c>
    </row>
    <row r="27" spans="1:11" x14ac:dyDescent="0.3">
      <c r="A27" s="256">
        <v>20</v>
      </c>
      <c r="B27" s="257" t="s">
        <v>1474</v>
      </c>
      <c r="C27" s="276">
        <v>44428</v>
      </c>
      <c r="D27" s="257" t="s">
        <v>1268</v>
      </c>
      <c r="E27" s="256" t="s">
        <v>1821</v>
      </c>
      <c r="F27" s="256" t="s">
        <v>1888</v>
      </c>
      <c r="G27" s="258">
        <v>6638000000</v>
      </c>
      <c r="H27" s="265">
        <v>0.1</v>
      </c>
      <c r="I27" s="258">
        <v>663800000</v>
      </c>
      <c r="J27" s="258">
        <v>7301800000</v>
      </c>
      <c r="K27" s="256" t="s">
        <v>1346</v>
      </c>
    </row>
    <row r="28" spans="1:11" x14ac:dyDescent="0.3">
      <c r="A28" s="256">
        <v>21</v>
      </c>
      <c r="B28" s="257" t="s">
        <v>1480</v>
      </c>
      <c r="C28" s="276">
        <v>44459</v>
      </c>
      <c r="D28" s="257" t="s">
        <v>1275</v>
      </c>
      <c r="E28" s="256" t="s">
        <v>1808</v>
      </c>
      <c r="F28" s="256" t="s">
        <v>1888</v>
      </c>
      <c r="G28" s="258">
        <v>11605000000</v>
      </c>
      <c r="H28" s="265">
        <v>0.1</v>
      </c>
      <c r="I28" s="258">
        <v>1160500000</v>
      </c>
      <c r="J28" s="258">
        <v>12765500000</v>
      </c>
      <c r="K28" s="256" t="s">
        <v>1348</v>
      </c>
    </row>
    <row r="29" spans="1:11" x14ac:dyDescent="0.3">
      <c r="A29" s="256">
        <v>22</v>
      </c>
      <c r="B29" s="257" t="s">
        <v>1481</v>
      </c>
      <c r="C29" s="276">
        <v>44489</v>
      </c>
      <c r="D29" s="257" t="s">
        <v>1282</v>
      </c>
      <c r="E29" s="256" t="s">
        <v>1789</v>
      </c>
      <c r="F29" s="256" t="s">
        <v>1888</v>
      </c>
      <c r="G29" s="258">
        <v>14388000000</v>
      </c>
      <c r="H29" s="265">
        <v>0.1</v>
      </c>
      <c r="I29" s="258">
        <v>1438800000</v>
      </c>
      <c r="J29" s="258">
        <v>15826800000</v>
      </c>
      <c r="K29" s="256" t="s">
        <v>1346</v>
      </c>
    </row>
    <row r="30" spans="1:11" x14ac:dyDescent="0.3">
      <c r="A30" s="256">
        <v>23</v>
      </c>
      <c r="B30" s="257" t="s">
        <v>1464</v>
      </c>
      <c r="C30" s="276">
        <v>44520</v>
      </c>
      <c r="D30" s="257" t="s">
        <v>1302</v>
      </c>
      <c r="E30" s="256" t="s">
        <v>1784</v>
      </c>
      <c r="F30" s="256" t="s">
        <v>1889</v>
      </c>
      <c r="G30" s="258">
        <v>11476000000</v>
      </c>
      <c r="H30" s="265">
        <v>0.1</v>
      </c>
      <c r="I30" s="258">
        <v>1147600000</v>
      </c>
      <c r="J30" s="258">
        <v>12623600000</v>
      </c>
      <c r="K30" s="256" t="s">
        <v>1346</v>
      </c>
    </row>
    <row r="31" spans="1:11" x14ac:dyDescent="0.3">
      <c r="A31" s="256">
        <v>24</v>
      </c>
      <c r="B31" s="257" t="s">
        <v>1469</v>
      </c>
      <c r="C31" s="276">
        <v>44550</v>
      </c>
      <c r="D31" s="257" t="s">
        <v>1289</v>
      </c>
      <c r="E31" s="256" t="s">
        <v>1803</v>
      </c>
      <c r="F31" s="256" t="s">
        <v>1888</v>
      </c>
      <c r="G31" s="258">
        <v>12586000000</v>
      </c>
      <c r="H31" s="265">
        <v>0.1</v>
      </c>
      <c r="I31" s="258">
        <v>1258600000</v>
      </c>
      <c r="J31" s="258">
        <v>13844600000</v>
      </c>
      <c r="K31" s="256" t="s">
        <v>1346</v>
      </c>
    </row>
    <row r="32" spans="1:11" x14ac:dyDescent="0.3">
      <c r="A32" s="256">
        <v>25</v>
      </c>
      <c r="B32" s="257" t="s">
        <v>1480</v>
      </c>
      <c r="C32" s="276">
        <v>44221</v>
      </c>
      <c r="D32" s="257" t="s">
        <v>1256</v>
      </c>
      <c r="E32" s="256" t="s">
        <v>1802</v>
      </c>
      <c r="F32" s="256" t="s">
        <v>1889</v>
      </c>
      <c r="G32" s="258">
        <v>5273000000</v>
      </c>
      <c r="H32" s="265">
        <v>0.1</v>
      </c>
      <c r="I32" s="258">
        <v>527300000</v>
      </c>
      <c r="J32" s="258">
        <v>5800300000</v>
      </c>
      <c r="K32" s="256" t="s">
        <v>1346</v>
      </c>
    </row>
    <row r="33" spans="1:11" x14ac:dyDescent="0.3">
      <c r="A33" s="256">
        <v>26</v>
      </c>
      <c r="B33" s="257" t="s">
        <v>1490</v>
      </c>
      <c r="C33" s="276">
        <v>44255</v>
      </c>
      <c r="D33" s="257" t="s">
        <v>1271</v>
      </c>
      <c r="E33" s="256" t="s">
        <v>1799</v>
      </c>
      <c r="F33" s="256" t="s">
        <v>1734</v>
      </c>
      <c r="G33" s="258">
        <v>4404000000</v>
      </c>
      <c r="H33" s="265">
        <v>0</v>
      </c>
      <c r="I33" s="258">
        <v>0</v>
      </c>
      <c r="J33" s="258">
        <v>4404000000</v>
      </c>
      <c r="K33" s="256" t="s">
        <v>1348</v>
      </c>
    </row>
    <row r="34" spans="1:11" x14ac:dyDescent="0.3">
      <c r="A34" s="256">
        <v>27</v>
      </c>
      <c r="B34" s="257" t="s">
        <v>1460</v>
      </c>
      <c r="C34" s="276">
        <v>44316</v>
      </c>
      <c r="D34" s="257" t="s">
        <v>1293</v>
      </c>
      <c r="E34" s="256" t="s">
        <v>1826</v>
      </c>
      <c r="F34" s="256" t="s">
        <v>1888</v>
      </c>
      <c r="G34" s="258">
        <v>12421000000</v>
      </c>
      <c r="H34" s="265">
        <v>0.1</v>
      </c>
      <c r="I34" s="258">
        <v>1242100000</v>
      </c>
      <c r="J34" s="258">
        <v>13663100000</v>
      </c>
      <c r="K34" s="256" t="s">
        <v>1346</v>
      </c>
    </row>
    <row r="35" spans="1:11" x14ac:dyDescent="0.3">
      <c r="A35" s="256">
        <v>28</v>
      </c>
      <c r="B35" s="257" t="s">
        <v>1498</v>
      </c>
      <c r="C35" s="276">
        <v>44377</v>
      </c>
      <c r="D35" s="257" t="s">
        <v>1259</v>
      </c>
      <c r="E35" s="256" t="s">
        <v>1788</v>
      </c>
      <c r="F35" s="256" t="s">
        <v>1891</v>
      </c>
      <c r="G35" s="258">
        <v>6946000000</v>
      </c>
      <c r="H35" s="265">
        <v>0</v>
      </c>
      <c r="I35" s="258">
        <v>0</v>
      </c>
      <c r="J35" s="258">
        <v>6946000000</v>
      </c>
      <c r="K35" s="256" t="s">
        <v>1346</v>
      </c>
    </row>
    <row r="36" spans="1:11" x14ac:dyDescent="0.3">
      <c r="A36" s="256">
        <v>29</v>
      </c>
      <c r="B36" s="257" t="s">
        <v>1457</v>
      </c>
      <c r="C36" s="276">
        <v>44469</v>
      </c>
      <c r="D36" s="257" t="s">
        <v>1301</v>
      </c>
      <c r="E36" s="256" t="s">
        <v>1781</v>
      </c>
      <c r="F36" s="256" t="s">
        <v>1890</v>
      </c>
      <c r="G36" s="258">
        <v>4559000000</v>
      </c>
      <c r="H36" s="265">
        <v>0.1</v>
      </c>
      <c r="I36" s="258">
        <v>455900000</v>
      </c>
      <c r="J36" s="258">
        <v>5014900000</v>
      </c>
      <c r="K36" s="256" t="s">
        <v>1348</v>
      </c>
    </row>
    <row r="37" spans="1:11" x14ac:dyDescent="0.3">
      <c r="A37" s="256">
        <v>30</v>
      </c>
      <c r="B37" s="257" t="s">
        <v>1465</v>
      </c>
      <c r="C37" s="276">
        <v>44530</v>
      </c>
      <c r="D37" s="257" t="s">
        <v>1302</v>
      </c>
      <c r="E37" s="256" t="s">
        <v>1784</v>
      </c>
      <c r="F37" s="256" t="s">
        <v>1890</v>
      </c>
      <c r="G37" s="258">
        <v>6542000000</v>
      </c>
      <c r="H37" s="265">
        <v>0.1</v>
      </c>
      <c r="I37" s="258">
        <v>654200000</v>
      </c>
      <c r="J37" s="258">
        <v>7196200000</v>
      </c>
      <c r="K37" s="256" t="s">
        <v>1346</v>
      </c>
    </row>
    <row r="38" spans="1:11" x14ac:dyDescent="0.3">
      <c r="A38" s="256">
        <v>31</v>
      </c>
      <c r="B38" s="257" t="s">
        <v>1468</v>
      </c>
      <c r="C38" s="276">
        <v>44286</v>
      </c>
      <c r="D38" s="257" t="s">
        <v>1266</v>
      </c>
      <c r="E38" s="256" t="s">
        <v>1824</v>
      </c>
      <c r="F38" s="256" t="s">
        <v>1741</v>
      </c>
      <c r="G38" s="258">
        <v>10221000000</v>
      </c>
      <c r="H38" s="265">
        <v>0.1</v>
      </c>
      <c r="I38" s="258">
        <v>1022100000</v>
      </c>
      <c r="J38" s="258">
        <v>11243100000</v>
      </c>
      <c r="K38" s="256" t="s">
        <v>1346</v>
      </c>
    </row>
    <row r="39" spans="1:11" x14ac:dyDescent="0.3">
      <c r="A39" s="256">
        <v>32</v>
      </c>
      <c r="B39" s="257" t="s">
        <v>1401</v>
      </c>
      <c r="C39" s="276">
        <v>44347</v>
      </c>
      <c r="D39" s="257" t="s">
        <v>1298</v>
      </c>
      <c r="E39" s="256" t="s">
        <v>1819</v>
      </c>
      <c r="F39" s="256" t="s">
        <v>1888</v>
      </c>
      <c r="G39" s="258">
        <v>4309000000</v>
      </c>
      <c r="H39" s="265">
        <v>0</v>
      </c>
      <c r="I39" s="258">
        <v>0</v>
      </c>
      <c r="J39" s="258">
        <v>4309000000</v>
      </c>
      <c r="K39" s="256" t="s">
        <v>1346</v>
      </c>
    </row>
    <row r="40" spans="1:11" x14ac:dyDescent="0.3">
      <c r="A40" s="256">
        <v>33</v>
      </c>
      <c r="B40" s="257" t="s">
        <v>1408</v>
      </c>
      <c r="C40" s="276">
        <v>44408</v>
      </c>
      <c r="D40" s="257" t="s">
        <v>1294</v>
      </c>
      <c r="E40" s="256" t="s">
        <v>1795</v>
      </c>
      <c r="F40" s="256" t="s">
        <v>1891</v>
      </c>
      <c r="G40" s="258">
        <v>11385000000</v>
      </c>
      <c r="H40" s="265">
        <v>0.1</v>
      </c>
      <c r="I40" s="258">
        <v>1138500000</v>
      </c>
      <c r="J40" s="258">
        <v>12523500000</v>
      </c>
      <c r="K40" s="256" t="s">
        <v>1346</v>
      </c>
    </row>
    <row r="41" spans="1:11" x14ac:dyDescent="0.3">
      <c r="A41" s="256">
        <v>34</v>
      </c>
      <c r="B41" s="257" t="s">
        <v>1403</v>
      </c>
      <c r="C41" s="276">
        <v>44439</v>
      </c>
      <c r="D41" s="257" t="s">
        <v>1258</v>
      </c>
      <c r="E41" s="256" t="s">
        <v>1833</v>
      </c>
      <c r="F41" s="256" t="s">
        <v>1888</v>
      </c>
      <c r="G41" s="258">
        <v>11019000000</v>
      </c>
      <c r="H41" s="265">
        <v>0.1</v>
      </c>
      <c r="I41" s="258">
        <v>1101900000</v>
      </c>
      <c r="J41" s="258">
        <v>12120900000</v>
      </c>
      <c r="K41" s="256" t="s">
        <v>1346</v>
      </c>
    </row>
    <row r="42" spans="1:11" x14ac:dyDescent="0.3">
      <c r="A42" s="256">
        <v>35</v>
      </c>
      <c r="B42" s="257" t="s">
        <v>1478</v>
      </c>
      <c r="C42" s="276">
        <v>44500</v>
      </c>
      <c r="D42" s="257" t="s">
        <v>1279</v>
      </c>
      <c r="E42" s="256" t="s">
        <v>1827</v>
      </c>
      <c r="F42" s="256" t="s">
        <v>1734</v>
      </c>
      <c r="G42" s="258">
        <v>13108000000</v>
      </c>
      <c r="H42" s="265">
        <v>0.1</v>
      </c>
      <c r="I42" s="258">
        <v>1310800000</v>
      </c>
      <c r="J42" s="258">
        <v>14418800000</v>
      </c>
      <c r="K42" s="256" t="s">
        <v>1346</v>
      </c>
    </row>
    <row r="43" spans="1:11" x14ac:dyDescent="0.3">
      <c r="A43" s="256">
        <v>36</v>
      </c>
      <c r="B43" s="257" t="s">
        <v>1411</v>
      </c>
      <c r="C43" s="276">
        <v>44561</v>
      </c>
      <c r="D43" s="257" t="s">
        <v>1291</v>
      </c>
      <c r="E43" s="256" t="s">
        <v>1800</v>
      </c>
      <c r="F43" s="256" t="s">
        <v>1891</v>
      </c>
      <c r="G43" s="258">
        <v>12506000000</v>
      </c>
      <c r="H43" s="265">
        <v>0.1</v>
      </c>
      <c r="I43" s="258">
        <v>1250600000</v>
      </c>
      <c r="J43" s="258">
        <v>13756600000</v>
      </c>
      <c r="K43" s="256" t="s">
        <v>1346</v>
      </c>
    </row>
    <row r="44" spans="1:11" x14ac:dyDescent="0.3">
      <c r="A44" s="256">
        <v>37</v>
      </c>
      <c r="B44" s="257" t="s">
        <v>1206</v>
      </c>
      <c r="C44" s="276">
        <v>44561</v>
      </c>
      <c r="D44" s="257" t="s">
        <v>1287</v>
      </c>
      <c r="E44" s="256" t="s">
        <v>1801</v>
      </c>
      <c r="F44" s="256" t="s">
        <v>1890</v>
      </c>
      <c r="G44" s="258">
        <v>11983000000</v>
      </c>
      <c r="H44" s="265">
        <v>0.1</v>
      </c>
      <c r="I44" s="258">
        <v>1198300000</v>
      </c>
      <c r="J44" s="258">
        <v>13181300000</v>
      </c>
      <c r="K44" s="256" t="s">
        <v>1346</v>
      </c>
    </row>
    <row r="45" spans="1:11" x14ac:dyDescent="0.3">
      <c r="A45" s="256">
        <v>38</v>
      </c>
      <c r="B45" s="257" t="s">
        <v>1470</v>
      </c>
      <c r="C45" s="276">
        <v>44561</v>
      </c>
      <c r="D45" s="257" t="s">
        <v>1278</v>
      </c>
      <c r="E45" s="256" t="s">
        <v>1785</v>
      </c>
      <c r="F45" s="256" t="s">
        <v>1890</v>
      </c>
      <c r="G45" s="258">
        <v>13928000000</v>
      </c>
      <c r="H45" s="265">
        <v>0.1</v>
      </c>
      <c r="I45" s="258">
        <v>1392800000</v>
      </c>
      <c r="J45" s="258">
        <v>15320800000</v>
      </c>
      <c r="K45" s="256" t="s">
        <v>1346</v>
      </c>
    </row>
    <row r="46" spans="1:11" x14ac:dyDescent="0.3">
      <c r="A46" s="256">
        <v>39</v>
      </c>
      <c r="B46" s="257" t="s">
        <v>1494</v>
      </c>
      <c r="C46" s="276">
        <v>44561</v>
      </c>
      <c r="D46" s="257" t="s">
        <v>1304</v>
      </c>
      <c r="E46" s="256" t="s">
        <v>1831</v>
      </c>
      <c r="F46" s="256" t="s">
        <v>1889</v>
      </c>
      <c r="G46" s="258">
        <v>3921000000</v>
      </c>
      <c r="H46" s="265">
        <v>0.1</v>
      </c>
      <c r="I46" s="258">
        <v>392100000</v>
      </c>
      <c r="J46" s="258">
        <v>4313100000</v>
      </c>
      <c r="K46" s="256" t="s">
        <v>1346</v>
      </c>
    </row>
    <row r="47" spans="1:11" x14ac:dyDescent="0.3">
      <c r="A47" s="256">
        <v>40</v>
      </c>
      <c r="B47" s="257" t="s">
        <v>1491</v>
      </c>
      <c r="C47" s="276">
        <v>44561</v>
      </c>
      <c r="D47" s="257" t="s">
        <v>1271</v>
      </c>
      <c r="E47" s="256" t="s">
        <v>1799</v>
      </c>
      <c r="F47" s="256" t="s">
        <v>1888</v>
      </c>
      <c r="G47" s="258">
        <v>14094000000</v>
      </c>
      <c r="H47" s="265">
        <v>0</v>
      </c>
      <c r="I47" s="258">
        <v>0</v>
      </c>
      <c r="J47" s="258">
        <v>14094000000</v>
      </c>
      <c r="K47" s="256" t="s">
        <v>1346</v>
      </c>
    </row>
    <row r="48" spans="1:11" x14ac:dyDescent="0.3">
      <c r="A48" s="256">
        <v>41</v>
      </c>
      <c r="B48" s="257" t="s">
        <v>1469</v>
      </c>
      <c r="C48" s="276">
        <v>44561</v>
      </c>
      <c r="D48" s="257" t="s">
        <v>1266</v>
      </c>
      <c r="E48" s="256" t="s">
        <v>1824</v>
      </c>
      <c r="F48" s="256" t="s">
        <v>1888</v>
      </c>
      <c r="G48" s="258">
        <v>5829000000</v>
      </c>
      <c r="H48" s="265">
        <v>0.1</v>
      </c>
      <c r="I48" s="258">
        <v>582900000</v>
      </c>
      <c r="J48" s="258">
        <v>6411900000</v>
      </c>
      <c r="K48" s="256" t="s">
        <v>1346</v>
      </c>
    </row>
    <row r="49" spans="1:11" x14ac:dyDescent="0.3">
      <c r="A49" s="256">
        <v>42</v>
      </c>
      <c r="B49" s="257" t="s">
        <v>1210</v>
      </c>
      <c r="C49" s="276">
        <v>44561</v>
      </c>
      <c r="D49" s="257" t="s">
        <v>1284</v>
      </c>
      <c r="E49" s="256" t="s">
        <v>1786</v>
      </c>
      <c r="F49" s="256" t="s">
        <v>1888</v>
      </c>
      <c r="G49" s="258">
        <v>8362000000</v>
      </c>
      <c r="H49" s="265">
        <v>0.1</v>
      </c>
      <c r="I49" s="258">
        <v>836200000</v>
      </c>
      <c r="J49" s="258">
        <v>9198200000</v>
      </c>
      <c r="K49" s="256" t="s">
        <v>1346</v>
      </c>
    </row>
    <row r="50" spans="1:11" x14ac:dyDescent="0.3">
      <c r="A50" s="256">
        <v>43</v>
      </c>
      <c r="B50" s="257" t="s">
        <v>1461</v>
      </c>
      <c r="C50" s="276">
        <v>44561</v>
      </c>
      <c r="D50" s="257" t="s">
        <v>1293</v>
      </c>
      <c r="E50" s="256" t="s">
        <v>1826</v>
      </c>
      <c r="F50" s="256" t="s">
        <v>1734</v>
      </c>
      <c r="G50" s="258">
        <v>8353000000</v>
      </c>
      <c r="H50" s="265">
        <v>0.1</v>
      </c>
      <c r="I50" s="258">
        <v>835300000</v>
      </c>
      <c r="J50" s="258">
        <v>9188300000</v>
      </c>
      <c r="K50" s="256" t="s">
        <v>1346</v>
      </c>
    </row>
    <row r="51" spans="1:11" x14ac:dyDescent="0.3">
      <c r="A51" s="256">
        <v>44</v>
      </c>
      <c r="B51" s="257" t="s">
        <v>1492</v>
      </c>
      <c r="C51" s="276">
        <v>44561</v>
      </c>
      <c r="D51" s="257" t="s">
        <v>1271</v>
      </c>
      <c r="E51" s="256" t="s">
        <v>1799</v>
      </c>
      <c r="F51" s="256" t="s">
        <v>1890</v>
      </c>
      <c r="G51" s="258">
        <v>8673000000</v>
      </c>
      <c r="H51" s="265">
        <v>0.1</v>
      </c>
      <c r="I51" s="258">
        <v>867300000</v>
      </c>
      <c r="J51" s="258">
        <v>9540300000</v>
      </c>
      <c r="K51" s="256" t="s">
        <v>1346</v>
      </c>
    </row>
    <row r="52" spans="1:11" x14ac:dyDescent="0.3">
      <c r="A52" s="256">
        <v>45</v>
      </c>
      <c r="B52" s="257" t="s">
        <v>1460</v>
      </c>
      <c r="C52" s="276">
        <v>44561</v>
      </c>
      <c r="D52" s="257" t="s">
        <v>1264</v>
      </c>
      <c r="E52" s="256" t="s">
        <v>1779</v>
      </c>
      <c r="F52" s="256" t="s">
        <v>1891</v>
      </c>
      <c r="G52" s="258">
        <v>9046000000</v>
      </c>
      <c r="H52" s="265">
        <v>0.1</v>
      </c>
      <c r="I52" s="258">
        <v>904600000</v>
      </c>
      <c r="J52" s="258">
        <v>9950600000</v>
      </c>
      <c r="K52" s="256" t="s">
        <v>1346</v>
      </c>
    </row>
    <row r="53" spans="1:11" x14ac:dyDescent="0.3">
      <c r="A53" s="256">
        <v>46</v>
      </c>
      <c r="B53" s="257" t="s">
        <v>1481</v>
      </c>
      <c r="C53" s="276">
        <v>44561</v>
      </c>
      <c r="D53" s="257" t="s">
        <v>1275</v>
      </c>
      <c r="E53" s="256" t="s">
        <v>1808</v>
      </c>
      <c r="F53" s="256" t="s">
        <v>1891</v>
      </c>
      <c r="G53" s="258">
        <v>10270000000</v>
      </c>
      <c r="H53" s="265">
        <v>0.1</v>
      </c>
      <c r="I53" s="258">
        <v>1027000000</v>
      </c>
      <c r="J53" s="258">
        <v>11297000000</v>
      </c>
      <c r="K53" s="256" t="s">
        <v>1346</v>
      </c>
    </row>
    <row r="54" spans="1:11" x14ac:dyDescent="0.3">
      <c r="A54" s="256">
        <v>47</v>
      </c>
      <c r="B54" s="257" t="s">
        <v>1484</v>
      </c>
      <c r="C54" s="276">
        <v>44561</v>
      </c>
      <c r="D54" s="257" t="s">
        <v>1276</v>
      </c>
      <c r="E54" s="256" t="s">
        <v>1822</v>
      </c>
      <c r="F54" s="256" t="s">
        <v>1888</v>
      </c>
      <c r="G54" s="258">
        <v>14843000000</v>
      </c>
      <c r="H54" s="265">
        <v>0.1</v>
      </c>
      <c r="I54" s="258">
        <v>1484300000</v>
      </c>
      <c r="J54" s="258">
        <v>16327300000</v>
      </c>
      <c r="K54" s="256" t="s">
        <v>1346</v>
      </c>
    </row>
    <row r="55" spans="1:11" x14ac:dyDescent="0.3">
      <c r="A55" s="256">
        <v>48</v>
      </c>
      <c r="B55" s="257" t="s">
        <v>1470</v>
      </c>
      <c r="C55" s="276">
        <v>44561</v>
      </c>
      <c r="D55" s="257" t="s">
        <v>1257</v>
      </c>
      <c r="E55" s="256" t="s">
        <v>1815</v>
      </c>
      <c r="F55" s="256" t="s">
        <v>1741</v>
      </c>
      <c r="G55" s="258">
        <v>12805000000</v>
      </c>
      <c r="H55" s="265">
        <v>0.1</v>
      </c>
      <c r="I55" s="258">
        <v>1280500000</v>
      </c>
      <c r="J55" s="258">
        <v>14085500000</v>
      </c>
      <c r="K55" s="256" t="s">
        <v>1346</v>
      </c>
    </row>
    <row r="56" spans="1:11" x14ac:dyDescent="0.3">
      <c r="A56" s="256">
        <v>49</v>
      </c>
      <c r="B56" s="257" t="s">
        <v>1482</v>
      </c>
      <c r="C56" s="276">
        <v>44561</v>
      </c>
      <c r="D56" s="257" t="s">
        <v>1275</v>
      </c>
      <c r="E56" s="256" t="s">
        <v>1808</v>
      </c>
      <c r="F56" s="256" t="s">
        <v>1888</v>
      </c>
      <c r="G56" s="258">
        <v>14136000000</v>
      </c>
      <c r="H56" s="265">
        <v>0.1</v>
      </c>
      <c r="I56" s="258">
        <v>1413600000</v>
      </c>
      <c r="J56" s="258">
        <v>15549600000</v>
      </c>
      <c r="K56" s="256" t="s">
        <v>1346</v>
      </c>
    </row>
    <row r="57" spans="1:11" x14ac:dyDescent="0.3">
      <c r="A57" s="256">
        <v>50</v>
      </c>
      <c r="B57" s="257" t="s">
        <v>1468</v>
      </c>
      <c r="C57" s="276">
        <v>44561</v>
      </c>
      <c r="D57" s="257" t="s">
        <v>1262</v>
      </c>
      <c r="E57" s="256" t="s">
        <v>1816</v>
      </c>
      <c r="F57" s="256" t="s">
        <v>1891</v>
      </c>
      <c r="G57" s="258">
        <v>11939000000</v>
      </c>
      <c r="H57" s="265">
        <v>0.1</v>
      </c>
      <c r="I57" s="258">
        <v>1193900000</v>
      </c>
      <c r="J57" s="258">
        <v>13132900000</v>
      </c>
      <c r="K57" s="256" t="s">
        <v>1348</v>
      </c>
    </row>
    <row r="58" spans="1:11" x14ac:dyDescent="0.3">
      <c r="A58" s="266" t="s">
        <v>1351</v>
      </c>
      <c r="B58" s="266"/>
      <c r="C58" s="266"/>
      <c r="D58" s="266"/>
      <c r="E58" s="266"/>
      <c r="F58" s="266"/>
      <c r="G58" s="267">
        <f>SUM(G8:G57)</f>
        <v>488254000000</v>
      </c>
      <c r="H58" s="266"/>
      <c r="I58" s="267">
        <f>SUM(I8:I57)</f>
        <v>42131800000</v>
      </c>
      <c r="J58" s="267">
        <f>SUM(J8:J57)</f>
        <v>530385800000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1279</v>
      </c>
      <c r="E62" s="256" t="s">
        <v>1827</v>
      </c>
      <c r="F62" s="256" t="s">
        <v>1892</v>
      </c>
      <c r="G62" s="258">
        <v>15141000000</v>
      </c>
      <c r="H62" s="265">
        <v>0.1</v>
      </c>
      <c r="I62" s="258">
        <v>1514100000</v>
      </c>
      <c r="J62" s="258">
        <v>16655100000</v>
      </c>
      <c r="K62" s="256" t="s">
        <v>1346</v>
      </c>
    </row>
    <row r="63" spans="1:11" x14ac:dyDescent="0.3">
      <c r="A63" s="256">
        <v>2</v>
      </c>
      <c r="B63" s="257" t="s">
        <v>1201</v>
      </c>
      <c r="C63" s="276">
        <v>44318</v>
      </c>
      <c r="D63" s="257" t="s">
        <v>1285</v>
      </c>
      <c r="E63" s="256" t="s">
        <v>1793</v>
      </c>
      <c r="F63" s="256" t="s">
        <v>1893</v>
      </c>
      <c r="G63" s="258">
        <v>17292000000</v>
      </c>
      <c r="H63" s="265">
        <v>0.1</v>
      </c>
      <c r="I63" s="258">
        <v>1729200000</v>
      </c>
      <c r="J63" s="258">
        <v>19021200000</v>
      </c>
      <c r="K63" s="256" t="s">
        <v>1346</v>
      </c>
    </row>
    <row r="64" spans="1:11" x14ac:dyDescent="0.3">
      <c r="A64" s="256">
        <v>3</v>
      </c>
      <c r="B64" s="257" t="s">
        <v>1202</v>
      </c>
      <c r="C64" s="276">
        <v>44472</v>
      </c>
      <c r="D64" s="257" t="s">
        <v>1273</v>
      </c>
      <c r="E64" s="256" t="s">
        <v>1829</v>
      </c>
      <c r="F64" s="256" t="s">
        <v>1892</v>
      </c>
      <c r="G64" s="258">
        <v>20776000000</v>
      </c>
      <c r="H64" s="265">
        <v>0.1</v>
      </c>
      <c r="I64" s="258">
        <v>2077600000</v>
      </c>
      <c r="J64" s="258">
        <v>22853600000</v>
      </c>
      <c r="K64" s="256" t="s">
        <v>1346</v>
      </c>
    </row>
    <row r="65" spans="1:11" x14ac:dyDescent="0.3">
      <c r="A65" s="256">
        <v>4</v>
      </c>
      <c r="B65" s="257" t="s">
        <v>1355</v>
      </c>
      <c r="C65" s="276">
        <v>44473</v>
      </c>
      <c r="D65" s="257" t="s">
        <v>1289</v>
      </c>
      <c r="E65" s="256" t="s">
        <v>1803</v>
      </c>
      <c r="F65" s="256" t="s">
        <v>1892</v>
      </c>
      <c r="G65" s="258">
        <v>18407000000</v>
      </c>
      <c r="H65" s="265">
        <v>0.1</v>
      </c>
      <c r="I65" s="258">
        <v>1840700000</v>
      </c>
      <c r="J65" s="258">
        <v>20247700000</v>
      </c>
      <c r="K65" s="256" t="s">
        <v>1346</v>
      </c>
    </row>
    <row r="66" spans="1:11" x14ac:dyDescent="0.3">
      <c r="A66" s="256">
        <v>5</v>
      </c>
      <c r="B66" s="257" t="s">
        <v>1356</v>
      </c>
      <c r="C66" s="276">
        <v>44474</v>
      </c>
      <c r="D66" s="257" t="s">
        <v>1270</v>
      </c>
      <c r="E66" s="256" t="s">
        <v>1782</v>
      </c>
      <c r="F66" s="256" t="s">
        <v>1893</v>
      </c>
      <c r="G66" s="258">
        <v>7265000000</v>
      </c>
      <c r="H66" s="265">
        <v>0.1</v>
      </c>
      <c r="I66" s="258">
        <v>726500000</v>
      </c>
      <c r="J66" s="258">
        <v>7991500000</v>
      </c>
      <c r="K66" s="256" t="s">
        <v>1346</v>
      </c>
    </row>
    <row r="67" spans="1:11" x14ac:dyDescent="0.3">
      <c r="A67" s="256">
        <v>6</v>
      </c>
      <c r="B67" s="257" t="s">
        <v>1358</v>
      </c>
      <c r="C67" s="276">
        <v>44475</v>
      </c>
      <c r="D67" s="257" t="s">
        <v>1282</v>
      </c>
      <c r="E67" s="256" t="s">
        <v>1789</v>
      </c>
      <c r="F67" s="256" t="s">
        <v>1892</v>
      </c>
      <c r="G67" s="258">
        <v>10192000000</v>
      </c>
      <c r="H67" s="265">
        <v>0.1</v>
      </c>
      <c r="I67" s="258">
        <v>1019200000</v>
      </c>
      <c r="J67" s="258">
        <v>11211200000</v>
      </c>
      <c r="K67" s="256" t="s">
        <v>1346</v>
      </c>
    </row>
    <row r="68" spans="1:11" x14ac:dyDescent="0.3">
      <c r="A68" s="256">
        <v>7</v>
      </c>
      <c r="B68" s="257" t="s">
        <v>1360</v>
      </c>
      <c r="C68" s="276">
        <v>44476</v>
      </c>
      <c r="D68" s="257" t="s">
        <v>1292</v>
      </c>
      <c r="E68" s="256" t="s">
        <v>1792</v>
      </c>
      <c r="F68" s="256" t="s">
        <v>1676</v>
      </c>
      <c r="G68" s="258">
        <v>16069000000</v>
      </c>
      <c r="H68" s="265">
        <v>0</v>
      </c>
      <c r="I68" s="258">
        <v>0</v>
      </c>
      <c r="J68" s="258">
        <v>16069000000</v>
      </c>
      <c r="K68" s="256" t="s">
        <v>1346</v>
      </c>
    </row>
    <row r="69" spans="1:11" x14ac:dyDescent="0.3">
      <c r="A69" s="256">
        <v>8</v>
      </c>
      <c r="B69" s="257" t="s">
        <v>1362</v>
      </c>
      <c r="C69" s="276">
        <v>44477</v>
      </c>
      <c r="D69" s="257" t="s">
        <v>1277</v>
      </c>
      <c r="E69" s="256" t="s">
        <v>1783</v>
      </c>
      <c r="F69" s="256" t="s">
        <v>1892</v>
      </c>
      <c r="G69" s="258">
        <v>16384000000</v>
      </c>
      <c r="H69" s="265">
        <v>0.1</v>
      </c>
      <c r="I69" s="258">
        <v>1638400000</v>
      </c>
      <c r="J69" s="258">
        <v>18022400000</v>
      </c>
      <c r="K69" s="256" t="s">
        <v>1346</v>
      </c>
    </row>
    <row r="70" spans="1:11" x14ac:dyDescent="0.3">
      <c r="A70" s="256">
        <v>9</v>
      </c>
      <c r="B70" s="257" t="s">
        <v>1364</v>
      </c>
      <c r="C70" s="276">
        <v>44478</v>
      </c>
      <c r="D70" s="257" t="s">
        <v>1284</v>
      </c>
      <c r="E70" s="256" t="s">
        <v>1786</v>
      </c>
      <c r="F70" s="256" t="s">
        <v>1893</v>
      </c>
      <c r="G70" s="258">
        <v>18002000000</v>
      </c>
      <c r="H70" s="265">
        <v>0.1</v>
      </c>
      <c r="I70" s="258">
        <v>1800200000</v>
      </c>
      <c r="J70" s="258">
        <v>19802200000</v>
      </c>
      <c r="K70" s="256" t="s">
        <v>1346</v>
      </c>
    </row>
    <row r="71" spans="1:11" x14ac:dyDescent="0.3">
      <c r="A71" s="256">
        <v>10</v>
      </c>
      <c r="B71" s="257" t="s">
        <v>1366</v>
      </c>
      <c r="C71" s="276">
        <v>44479</v>
      </c>
      <c r="D71" s="257" t="s">
        <v>1262</v>
      </c>
      <c r="E71" s="256" t="s">
        <v>1816</v>
      </c>
      <c r="F71" s="256" t="s">
        <v>1893</v>
      </c>
      <c r="G71" s="258">
        <v>14061000000</v>
      </c>
      <c r="H71" s="265">
        <v>0.1</v>
      </c>
      <c r="I71" s="258">
        <v>1406100000</v>
      </c>
      <c r="J71" s="258">
        <v>15467100000</v>
      </c>
      <c r="K71" s="256" t="s">
        <v>1346</v>
      </c>
    </row>
    <row r="72" spans="1:11" x14ac:dyDescent="0.3">
      <c r="A72" s="256">
        <v>11</v>
      </c>
      <c r="B72" s="257" t="s">
        <v>1368</v>
      </c>
      <c r="C72" s="276">
        <v>44480</v>
      </c>
      <c r="D72" s="257" t="s">
        <v>1291</v>
      </c>
      <c r="E72" s="256" t="s">
        <v>1800</v>
      </c>
      <c r="F72" s="256" t="s">
        <v>1676</v>
      </c>
      <c r="G72" s="258">
        <v>9066000000</v>
      </c>
      <c r="H72" s="265">
        <v>0.1</v>
      </c>
      <c r="I72" s="258">
        <v>906600000</v>
      </c>
      <c r="J72" s="258">
        <v>9972600000</v>
      </c>
      <c r="K72" s="256" t="s">
        <v>1348</v>
      </c>
    </row>
    <row r="73" spans="1:11" x14ac:dyDescent="0.3">
      <c r="A73" s="256">
        <v>12</v>
      </c>
      <c r="B73" s="257" t="s">
        <v>1371</v>
      </c>
      <c r="C73" s="276">
        <v>44481</v>
      </c>
      <c r="D73" s="257" t="s">
        <v>1270</v>
      </c>
      <c r="E73" s="256" t="s">
        <v>1782</v>
      </c>
      <c r="F73" s="256" t="s">
        <v>1676</v>
      </c>
      <c r="G73" s="258">
        <v>12356000000</v>
      </c>
      <c r="H73" s="265">
        <v>0.1</v>
      </c>
      <c r="I73" s="258">
        <v>1235600000</v>
      </c>
      <c r="J73" s="258">
        <v>13591600000</v>
      </c>
      <c r="K73" s="256" t="s">
        <v>1346</v>
      </c>
    </row>
    <row r="74" spans="1:11" x14ac:dyDescent="0.3">
      <c r="A74" s="256">
        <v>13</v>
      </c>
      <c r="B74" s="257" t="s">
        <v>1373</v>
      </c>
      <c r="C74" s="276">
        <v>44211</v>
      </c>
      <c r="D74" s="257" t="s">
        <v>1296</v>
      </c>
      <c r="E74" s="256" t="s">
        <v>1807</v>
      </c>
      <c r="F74" s="256" t="s">
        <v>1893</v>
      </c>
      <c r="G74" s="258">
        <v>5488000000</v>
      </c>
      <c r="H74" s="265">
        <v>0.1</v>
      </c>
      <c r="I74" s="258">
        <v>548800000</v>
      </c>
      <c r="J74" s="258">
        <v>6036800000</v>
      </c>
      <c r="K74" s="256" t="s">
        <v>1346</v>
      </c>
    </row>
    <row r="75" spans="1:11" x14ac:dyDescent="0.3">
      <c r="A75" s="256">
        <v>14</v>
      </c>
      <c r="B75" s="257" t="s">
        <v>1374</v>
      </c>
      <c r="C75" s="276">
        <v>44242</v>
      </c>
      <c r="D75" s="257" t="s">
        <v>1273</v>
      </c>
      <c r="E75" s="256" t="s">
        <v>1829</v>
      </c>
      <c r="F75" s="256" t="s">
        <v>1676</v>
      </c>
      <c r="G75" s="258">
        <v>17023000000</v>
      </c>
      <c r="H75" s="265">
        <v>0.1</v>
      </c>
      <c r="I75" s="258">
        <v>1702300000</v>
      </c>
      <c r="J75" s="258">
        <v>18725300000</v>
      </c>
      <c r="K75" s="256" t="s">
        <v>1346</v>
      </c>
    </row>
    <row r="76" spans="1:11" x14ac:dyDescent="0.3">
      <c r="A76" s="256">
        <v>15</v>
      </c>
      <c r="B76" s="257" t="s">
        <v>1376</v>
      </c>
      <c r="C76" s="276">
        <v>44275</v>
      </c>
      <c r="D76" s="257" t="s">
        <v>1287</v>
      </c>
      <c r="E76" s="256" t="s">
        <v>1801</v>
      </c>
      <c r="F76" s="256" t="s">
        <v>1893</v>
      </c>
      <c r="G76" s="258">
        <v>20477000000</v>
      </c>
      <c r="H76" s="265">
        <v>0.1</v>
      </c>
      <c r="I76" s="258">
        <v>2047700000</v>
      </c>
      <c r="J76" s="258">
        <v>22524700000</v>
      </c>
      <c r="K76" s="256" t="s">
        <v>1346</v>
      </c>
    </row>
    <row r="77" spans="1:11" x14ac:dyDescent="0.3">
      <c r="A77" s="256">
        <v>16</v>
      </c>
      <c r="B77" s="257" t="s">
        <v>1378</v>
      </c>
      <c r="C77" s="276">
        <v>44306</v>
      </c>
      <c r="D77" s="257" t="s">
        <v>1266</v>
      </c>
      <c r="E77" s="256" t="s">
        <v>1824</v>
      </c>
      <c r="F77" s="256" t="s">
        <v>1893</v>
      </c>
      <c r="G77" s="258">
        <v>16591000000</v>
      </c>
      <c r="H77" s="265">
        <v>0.1</v>
      </c>
      <c r="I77" s="258">
        <v>1659100000</v>
      </c>
      <c r="J77" s="258">
        <v>18250100000</v>
      </c>
      <c r="K77" s="256" t="s">
        <v>1346</v>
      </c>
    </row>
    <row r="78" spans="1:11" x14ac:dyDescent="0.3">
      <c r="A78" s="256">
        <v>17</v>
      </c>
      <c r="B78" s="257" t="s">
        <v>1379</v>
      </c>
      <c r="C78" s="276">
        <v>44336</v>
      </c>
      <c r="D78" s="257" t="s">
        <v>1271</v>
      </c>
      <c r="E78" s="256" t="s">
        <v>1799</v>
      </c>
      <c r="F78" s="256" t="s">
        <v>1893</v>
      </c>
      <c r="G78" s="258">
        <v>11061000000</v>
      </c>
      <c r="H78" s="265">
        <v>0.1</v>
      </c>
      <c r="I78" s="258">
        <v>1106100000</v>
      </c>
      <c r="J78" s="258">
        <v>12167100000</v>
      </c>
      <c r="K78" s="256" t="s">
        <v>1346</v>
      </c>
    </row>
    <row r="79" spans="1:11" x14ac:dyDescent="0.3">
      <c r="A79" s="256">
        <v>18</v>
      </c>
      <c r="B79" s="257" t="s">
        <v>1381</v>
      </c>
      <c r="C79" s="276">
        <v>44367</v>
      </c>
      <c r="D79" s="257" t="s">
        <v>1271</v>
      </c>
      <c r="E79" s="256" t="s">
        <v>1799</v>
      </c>
      <c r="F79" s="256" t="s">
        <v>1892</v>
      </c>
      <c r="G79" s="258">
        <v>11883000000</v>
      </c>
      <c r="H79" s="265">
        <v>0.1</v>
      </c>
      <c r="I79" s="258">
        <v>1188300000</v>
      </c>
      <c r="J79" s="258">
        <v>13071300000</v>
      </c>
      <c r="K79" s="256" t="s">
        <v>1346</v>
      </c>
    </row>
    <row r="80" spans="1:11" x14ac:dyDescent="0.3">
      <c r="A80" s="256">
        <v>19</v>
      </c>
      <c r="B80" s="257" t="s">
        <v>1382</v>
      </c>
      <c r="C80" s="276">
        <v>44397</v>
      </c>
      <c r="D80" s="257" t="s">
        <v>1257</v>
      </c>
      <c r="E80" s="256" t="s">
        <v>1815</v>
      </c>
      <c r="F80" s="256" t="s">
        <v>1892</v>
      </c>
      <c r="G80" s="258">
        <v>20823000000</v>
      </c>
      <c r="H80" s="265">
        <v>0.1</v>
      </c>
      <c r="I80" s="258">
        <v>2082300000</v>
      </c>
      <c r="J80" s="258">
        <v>22905300000</v>
      </c>
      <c r="K80" s="256" t="s">
        <v>1346</v>
      </c>
    </row>
    <row r="81" spans="1:11" x14ac:dyDescent="0.3">
      <c r="A81" s="256">
        <v>20</v>
      </c>
      <c r="B81" s="257" t="s">
        <v>1383</v>
      </c>
      <c r="C81" s="276">
        <v>44428</v>
      </c>
      <c r="D81" s="257" t="s">
        <v>1259</v>
      </c>
      <c r="E81" s="256" t="s">
        <v>1788</v>
      </c>
      <c r="F81" s="256" t="s">
        <v>1893</v>
      </c>
      <c r="G81" s="258">
        <v>14491000000</v>
      </c>
      <c r="H81" s="265">
        <v>0.1</v>
      </c>
      <c r="I81" s="258">
        <v>1449100000</v>
      </c>
      <c r="J81" s="258">
        <v>15940100000</v>
      </c>
      <c r="K81" s="256" t="s">
        <v>1348</v>
      </c>
    </row>
    <row r="82" spans="1:11" x14ac:dyDescent="0.3">
      <c r="A82" s="256">
        <v>21</v>
      </c>
      <c r="B82" s="257" t="s">
        <v>1203</v>
      </c>
      <c r="C82" s="276">
        <v>44459</v>
      </c>
      <c r="D82" s="257" t="s">
        <v>1291</v>
      </c>
      <c r="E82" s="256" t="s">
        <v>1800</v>
      </c>
      <c r="F82" s="256" t="s">
        <v>1893</v>
      </c>
      <c r="G82" s="258">
        <v>19786000000</v>
      </c>
      <c r="H82" s="265">
        <v>0.1</v>
      </c>
      <c r="I82" s="258">
        <v>1978600000</v>
      </c>
      <c r="J82" s="258">
        <v>21764600000</v>
      </c>
      <c r="K82" s="256" t="s">
        <v>1346</v>
      </c>
    </row>
    <row r="83" spans="1:11" x14ac:dyDescent="0.3">
      <c r="A83" s="256">
        <v>22</v>
      </c>
      <c r="B83" s="257" t="s">
        <v>1204</v>
      </c>
      <c r="C83" s="276">
        <v>44489</v>
      </c>
      <c r="D83" s="257" t="s">
        <v>1299</v>
      </c>
      <c r="E83" s="256" t="s">
        <v>1776</v>
      </c>
      <c r="F83" s="256" t="s">
        <v>1892</v>
      </c>
      <c r="G83" s="258">
        <v>11476000000</v>
      </c>
      <c r="H83" s="265">
        <v>0.1</v>
      </c>
      <c r="I83" s="258">
        <v>1147600000</v>
      </c>
      <c r="J83" s="258">
        <v>12623600000</v>
      </c>
      <c r="K83" s="256" t="s">
        <v>1346</v>
      </c>
    </row>
    <row r="84" spans="1:11" x14ac:dyDescent="0.3">
      <c r="A84" s="256">
        <v>23</v>
      </c>
      <c r="B84" s="257" t="s">
        <v>1205</v>
      </c>
      <c r="C84" s="276">
        <v>44520</v>
      </c>
      <c r="D84" s="257" t="s">
        <v>1302</v>
      </c>
      <c r="E84" s="256" t="s">
        <v>1784</v>
      </c>
      <c r="F84" s="256" t="s">
        <v>1676</v>
      </c>
      <c r="G84" s="258">
        <v>12949000000</v>
      </c>
      <c r="H84" s="265">
        <v>0.1</v>
      </c>
      <c r="I84" s="258">
        <v>1294900000</v>
      </c>
      <c r="J84" s="258">
        <v>14243900000</v>
      </c>
      <c r="K84" s="256" t="s">
        <v>1346</v>
      </c>
    </row>
    <row r="85" spans="1:11" x14ac:dyDescent="0.3">
      <c r="A85" s="256">
        <v>24</v>
      </c>
      <c r="B85" s="257" t="s">
        <v>1385</v>
      </c>
      <c r="C85" s="276">
        <v>44550</v>
      </c>
      <c r="D85" s="257" t="s">
        <v>1278</v>
      </c>
      <c r="E85" s="256" t="s">
        <v>1785</v>
      </c>
      <c r="F85" s="256" t="s">
        <v>1892</v>
      </c>
      <c r="G85" s="258">
        <v>14980000000</v>
      </c>
      <c r="H85" s="265">
        <v>0.1</v>
      </c>
      <c r="I85" s="258">
        <v>1498000000</v>
      </c>
      <c r="J85" s="258">
        <v>16478000000</v>
      </c>
      <c r="K85" s="256" t="s">
        <v>1346</v>
      </c>
    </row>
    <row r="86" spans="1:11" x14ac:dyDescent="0.3">
      <c r="A86" s="256">
        <v>25</v>
      </c>
      <c r="B86" s="257" t="s">
        <v>1387</v>
      </c>
      <c r="C86" s="276">
        <v>44221</v>
      </c>
      <c r="D86" s="257" t="s">
        <v>1303</v>
      </c>
      <c r="E86" s="256" t="s">
        <v>1817</v>
      </c>
      <c r="F86" s="256" t="s">
        <v>1893</v>
      </c>
      <c r="G86" s="258">
        <v>11014000000</v>
      </c>
      <c r="H86" s="265">
        <v>0.1</v>
      </c>
      <c r="I86" s="258">
        <v>1101400000</v>
      </c>
      <c r="J86" s="258">
        <v>12115400000</v>
      </c>
      <c r="K86" s="256" t="s">
        <v>1346</v>
      </c>
    </row>
    <row r="87" spans="1:11" x14ac:dyDescent="0.3">
      <c r="A87" s="256">
        <v>26</v>
      </c>
      <c r="B87" s="257" t="s">
        <v>1388</v>
      </c>
      <c r="C87" s="276">
        <v>44255</v>
      </c>
      <c r="D87" s="257" t="s">
        <v>1261</v>
      </c>
      <c r="E87" s="256" t="s">
        <v>1813</v>
      </c>
      <c r="F87" s="256" t="s">
        <v>1893</v>
      </c>
      <c r="G87" s="258">
        <v>16800000000</v>
      </c>
      <c r="H87" s="265">
        <v>0.1</v>
      </c>
      <c r="I87" s="258">
        <v>1680000000</v>
      </c>
      <c r="J87" s="258">
        <v>18480000000</v>
      </c>
      <c r="K87" s="256" t="s">
        <v>1346</v>
      </c>
    </row>
    <row r="88" spans="1:11" x14ac:dyDescent="0.3">
      <c r="A88" s="256">
        <v>27</v>
      </c>
      <c r="B88" s="257" t="s">
        <v>1391</v>
      </c>
      <c r="C88" s="276">
        <v>44316</v>
      </c>
      <c r="D88" s="257" t="s">
        <v>1300</v>
      </c>
      <c r="E88" s="256" t="s">
        <v>1818</v>
      </c>
      <c r="F88" s="256" t="s">
        <v>1893</v>
      </c>
      <c r="G88" s="258">
        <v>6443000000</v>
      </c>
      <c r="H88" s="265">
        <v>0.1</v>
      </c>
      <c r="I88" s="258">
        <v>644300000</v>
      </c>
      <c r="J88" s="258">
        <v>7087300000</v>
      </c>
      <c r="K88" s="256" t="s">
        <v>1346</v>
      </c>
    </row>
    <row r="89" spans="1:11" x14ac:dyDescent="0.3">
      <c r="A89" s="256">
        <v>28</v>
      </c>
      <c r="B89" s="257" t="s">
        <v>1392</v>
      </c>
      <c r="C89" s="276">
        <v>44377</v>
      </c>
      <c r="D89" s="257" t="s">
        <v>1257</v>
      </c>
      <c r="E89" s="256" t="s">
        <v>1815</v>
      </c>
      <c r="F89" s="256" t="s">
        <v>1676</v>
      </c>
      <c r="G89" s="258">
        <v>17508000000</v>
      </c>
      <c r="H89" s="265">
        <v>0</v>
      </c>
      <c r="I89" s="258">
        <v>0</v>
      </c>
      <c r="J89" s="258">
        <v>17508000000</v>
      </c>
      <c r="K89" s="256" t="s">
        <v>1346</v>
      </c>
    </row>
    <row r="90" spans="1:11" x14ac:dyDescent="0.3">
      <c r="A90" s="256">
        <v>29</v>
      </c>
      <c r="B90" s="257" t="s">
        <v>1394</v>
      </c>
      <c r="C90" s="276">
        <v>44469</v>
      </c>
      <c r="D90" s="257" t="s">
        <v>1283</v>
      </c>
      <c r="E90" s="256" t="s">
        <v>1798</v>
      </c>
      <c r="F90" s="256" t="s">
        <v>1893</v>
      </c>
      <c r="G90" s="258">
        <v>17744000000</v>
      </c>
      <c r="H90" s="265">
        <v>0.1</v>
      </c>
      <c r="I90" s="258">
        <v>1774400000</v>
      </c>
      <c r="J90" s="258">
        <v>19518400000</v>
      </c>
      <c r="K90" s="256" t="s">
        <v>1346</v>
      </c>
    </row>
    <row r="91" spans="1:11" x14ac:dyDescent="0.3">
      <c r="A91" s="256">
        <v>30</v>
      </c>
      <c r="B91" s="257" t="s">
        <v>1396</v>
      </c>
      <c r="C91" s="276">
        <v>44530</v>
      </c>
      <c r="D91" s="257" t="s">
        <v>1283</v>
      </c>
      <c r="E91" s="256" t="s">
        <v>1798</v>
      </c>
      <c r="F91" s="256" t="s">
        <v>1676</v>
      </c>
      <c r="G91" s="258">
        <v>8082000000</v>
      </c>
      <c r="H91" s="265">
        <v>0.1</v>
      </c>
      <c r="I91" s="258">
        <v>808200000</v>
      </c>
      <c r="J91" s="258">
        <v>8890200000</v>
      </c>
      <c r="K91" s="256" t="s">
        <v>1348</v>
      </c>
    </row>
    <row r="92" spans="1:11" x14ac:dyDescent="0.3">
      <c r="A92" s="256">
        <v>31</v>
      </c>
      <c r="B92" s="257" t="s">
        <v>1397</v>
      </c>
      <c r="C92" s="276">
        <v>44286</v>
      </c>
      <c r="D92" s="257" t="s">
        <v>1285</v>
      </c>
      <c r="E92" s="256" t="s">
        <v>1793</v>
      </c>
      <c r="F92" s="256" t="s">
        <v>1676</v>
      </c>
      <c r="G92" s="258">
        <v>16393000000</v>
      </c>
      <c r="H92" s="265">
        <v>0.1</v>
      </c>
      <c r="I92" s="258">
        <v>1639300000</v>
      </c>
      <c r="J92" s="258">
        <v>18032300000</v>
      </c>
      <c r="K92" s="256" t="s">
        <v>1346</v>
      </c>
    </row>
    <row r="93" spans="1:11" x14ac:dyDescent="0.3">
      <c r="A93" s="256">
        <v>32</v>
      </c>
      <c r="B93" s="257" t="s">
        <v>1398</v>
      </c>
      <c r="C93" s="276">
        <v>44347</v>
      </c>
      <c r="D93" s="257" t="s">
        <v>1292</v>
      </c>
      <c r="E93" s="256" t="s">
        <v>1792</v>
      </c>
      <c r="F93" s="256" t="s">
        <v>1892</v>
      </c>
      <c r="G93" s="258">
        <v>20819000000</v>
      </c>
      <c r="H93" s="265">
        <v>0</v>
      </c>
      <c r="I93" s="258">
        <v>0</v>
      </c>
      <c r="J93" s="258">
        <v>20819000000</v>
      </c>
      <c r="K93" s="256" t="s">
        <v>1346</v>
      </c>
    </row>
    <row r="94" spans="1:11" x14ac:dyDescent="0.3">
      <c r="A94" s="256">
        <v>33</v>
      </c>
      <c r="B94" s="257" t="s">
        <v>1399</v>
      </c>
      <c r="C94" s="276">
        <v>44408</v>
      </c>
      <c r="D94" s="257" t="s">
        <v>1262</v>
      </c>
      <c r="E94" s="256" t="s">
        <v>1816</v>
      </c>
      <c r="F94" s="256" t="s">
        <v>1892</v>
      </c>
      <c r="G94" s="258">
        <v>13794000000</v>
      </c>
      <c r="H94" s="265">
        <v>0.1</v>
      </c>
      <c r="I94" s="258">
        <v>1379400000</v>
      </c>
      <c r="J94" s="258">
        <v>15173400000</v>
      </c>
      <c r="K94" s="256" t="s">
        <v>1346</v>
      </c>
    </row>
    <row r="95" spans="1:11" x14ac:dyDescent="0.3">
      <c r="A95" s="256">
        <v>34</v>
      </c>
      <c r="B95" s="257" t="s">
        <v>1401</v>
      </c>
      <c r="C95" s="276">
        <v>44439</v>
      </c>
      <c r="D95" s="257" t="s">
        <v>1293</v>
      </c>
      <c r="E95" s="256" t="s">
        <v>1826</v>
      </c>
      <c r="F95" s="256" t="s">
        <v>1893</v>
      </c>
      <c r="G95" s="258">
        <v>19405000000</v>
      </c>
      <c r="H95" s="265">
        <v>0.1</v>
      </c>
      <c r="I95" s="258">
        <v>1940500000</v>
      </c>
      <c r="J95" s="258">
        <v>21345500000</v>
      </c>
      <c r="K95" s="256" t="s">
        <v>1346</v>
      </c>
    </row>
    <row r="96" spans="1:11" x14ac:dyDescent="0.3">
      <c r="A96" s="256">
        <v>35</v>
      </c>
      <c r="B96" s="257" t="s">
        <v>1402</v>
      </c>
      <c r="C96" s="276">
        <v>44500</v>
      </c>
      <c r="D96" s="257" t="s">
        <v>1256</v>
      </c>
      <c r="E96" s="256" t="s">
        <v>1802</v>
      </c>
      <c r="F96" s="256" t="s">
        <v>1893</v>
      </c>
      <c r="G96" s="258">
        <v>8263000000</v>
      </c>
      <c r="H96" s="265">
        <v>0.1</v>
      </c>
      <c r="I96" s="258">
        <v>826300000</v>
      </c>
      <c r="J96" s="258">
        <v>9089300000</v>
      </c>
      <c r="K96" s="256" t="s">
        <v>1348</v>
      </c>
    </row>
    <row r="97" spans="1:11" x14ac:dyDescent="0.3">
      <c r="A97" s="256">
        <v>36</v>
      </c>
      <c r="B97" s="257" t="s">
        <v>1403</v>
      </c>
      <c r="C97" s="276">
        <v>44561</v>
      </c>
      <c r="D97" s="257" t="s">
        <v>1259</v>
      </c>
      <c r="E97" s="256" t="s">
        <v>1788</v>
      </c>
      <c r="F97" s="256" t="s">
        <v>1676</v>
      </c>
      <c r="G97" s="258">
        <v>10303000000</v>
      </c>
      <c r="H97" s="265">
        <v>0.1</v>
      </c>
      <c r="I97" s="258">
        <v>1030300000</v>
      </c>
      <c r="J97" s="258">
        <v>11333300000</v>
      </c>
      <c r="K97" s="256" t="s">
        <v>1346</v>
      </c>
    </row>
    <row r="98" spans="1:11" x14ac:dyDescent="0.3">
      <c r="A98" s="256">
        <v>37</v>
      </c>
      <c r="B98" s="257" t="s">
        <v>1404</v>
      </c>
      <c r="C98" s="276">
        <v>44561</v>
      </c>
      <c r="D98" s="257" t="s">
        <v>1276</v>
      </c>
      <c r="E98" s="256" t="s">
        <v>1822</v>
      </c>
      <c r="F98" s="256" t="s">
        <v>1893</v>
      </c>
      <c r="G98" s="258">
        <v>12848000000</v>
      </c>
      <c r="H98" s="265">
        <v>0.1</v>
      </c>
      <c r="I98" s="258">
        <v>1284800000</v>
      </c>
      <c r="J98" s="258">
        <v>14132800000</v>
      </c>
      <c r="K98" s="256" t="s">
        <v>1346</v>
      </c>
    </row>
    <row r="99" spans="1:11" x14ac:dyDescent="0.3">
      <c r="A99" s="256">
        <v>38</v>
      </c>
      <c r="B99" s="257" t="s">
        <v>1405</v>
      </c>
      <c r="C99" s="276">
        <v>44561</v>
      </c>
      <c r="D99" s="257" t="s">
        <v>1299</v>
      </c>
      <c r="E99" s="256" t="s">
        <v>1776</v>
      </c>
      <c r="F99" s="256" t="s">
        <v>1676</v>
      </c>
      <c r="G99" s="258">
        <v>14997000000</v>
      </c>
      <c r="H99" s="265">
        <v>0.1</v>
      </c>
      <c r="I99" s="258">
        <v>1499700000</v>
      </c>
      <c r="J99" s="258">
        <v>16496700000</v>
      </c>
      <c r="K99" s="256" t="s">
        <v>1346</v>
      </c>
    </row>
    <row r="100" spans="1:11" x14ac:dyDescent="0.3">
      <c r="A100" s="256">
        <v>39</v>
      </c>
      <c r="B100" s="257" t="s">
        <v>1406</v>
      </c>
      <c r="C100" s="276">
        <v>44561</v>
      </c>
      <c r="D100" s="257" t="s">
        <v>1301</v>
      </c>
      <c r="E100" s="256" t="s">
        <v>1781</v>
      </c>
      <c r="F100" s="256" t="s">
        <v>1893</v>
      </c>
      <c r="G100" s="258">
        <v>18637000000</v>
      </c>
      <c r="H100" s="265">
        <v>0.1</v>
      </c>
      <c r="I100" s="258">
        <v>1863700000</v>
      </c>
      <c r="J100" s="258">
        <v>20500700000</v>
      </c>
      <c r="K100" s="256" t="s">
        <v>1346</v>
      </c>
    </row>
    <row r="101" spans="1:11" x14ac:dyDescent="0.3">
      <c r="A101" s="256">
        <v>40</v>
      </c>
      <c r="B101" s="257" t="s">
        <v>1408</v>
      </c>
      <c r="C101" s="276">
        <v>44561</v>
      </c>
      <c r="D101" s="257" t="s">
        <v>1274</v>
      </c>
      <c r="E101" s="256" t="s">
        <v>1794</v>
      </c>
      <c r="F101" s="256" t="s">
        <v>1893</v>
      </c>
      <c r="G101" s="258">
        <v>6613000000</v>
      </c>
      <c r="H101" s="265">
        <v>0.1</v>
      </c>
      <c r="I101" s="258">
        <v>661300000</v>
      </c>
      <c r="J101" s="258">
        <v>7274300000</v>
      </c>
      <c r="K101" s="256" t="s">
        <v>1348</v>
      </c>
    </row>
    <row r="102" spans="1:11" x14ac:dyDescent="0.3">
      <c r="A102" s="256">
        <v>41</v>
      </c>
      <c r="B102" s="257" t="s">
        <v>1409</v>
      </c>
      <c r="C102" s="276">
        <v>44561</v>
      </c>
      <c r="D102" s="257" t="s">
        <v>1272</v>
      </c>
      <c r="E102" s="256" t="s">
        <v>1805</v>
      </c>
      <c r="F102" s="256" t="s">
        <v>1676</v>
      </c>
      <c r="G102" s="258">
        <v>20148000000</v>
      </c>
      <c r="H102" s="265">
        <v>0.1</v>
      </c>
      <c r="I102" s="258">
        <v>2014800000</v>
      </c>
      <c r="J102" s="258">
        <v>22162800000</v>
      </c>
      <c r="K102" s="256" t="s">
        <v>1346</v>
      </c>
    </row>
    <row r="103" spans="1:11" x14ac:dyDescent="0.3">
      <c r="A103" s="256">
        <v>42</v>
      </c>
      <c r="B103" s="257" t="s">
        <v>1411</v>
      </c>
      <c r="C103" s="276">
        <v>44561</v>
      </c>
      <c r="D103" s="257" t="s">
        <v>1269</v>
      </c>
      <c r="E103" s="256" t="s">
        <v>1823</v>
      </c>
      <c r="F103" s="256" t="s">
        <v>1892</v>
      </c>
      <c r="G103" s="258">
        <v>14599000000</v>
      </c>
      <c r="H103" s="265">
        <v>0.1</v>
      </c>
      <c r="I103" s="258">
        <v>1459900000</v>
      </c>
      <c r="J103" s="258">
        <v>16058900000</v>
      </c>
      <c r="K103" s="256" t="s">
        <v>1346</v>
      </c>
    </row>
    <row r="104" spans="1:11" x14ac:dyDescent="0.3">
      <c r="A104" s="256">
        <v>43</v>
      </c>
      <c r="B104" s="257" t="s">
        <v>1414</v>
      </c>
      <c r="C104" s="276">
        <v>44561</v>
      </c>
      <c r="D104" s="257" t="s">
        <v>1276</v>
      </c>
      <c r="E104" s="256" t="s">
        <v>1822</v>
      </c>
      <c r="F104" s="256" t="s">
        <v>1892</v>
      </c>
      <c r="G104" s="258">
        <v>8763000000</v>
      </c>
      <c r="H104" s="265">
        <v>0.1</v>
      </c>
      <c r="I104" s="258">
        <v>876300000</v>
      </c>
      <c r="J104" s="258">
        <v>9639300000</v>
      </c>
      <c r="K104" s="256" t="s">
        <v>1346</v>
      </c>
    </row>
    <row r="105" spans="1:11" x14ac:dyDescent="0.3">
      <c r="A105" s="256">
        <v>44</v>
      </c>
      <c r="B105" s="257" t="s">
        <v>1415</v>
      </c>
      <c r="C105" s="276">
        <v>44561</v>
      </c>
      <c r="D105" s="257" t="s">
        <v>1293</v>
      </c>
      <c r="E105" s="256" t="s">
        <v>1826</v>
      </c>
      <c r="F105" s="256" t="s">
        <v>1893</v>
      </c>
      <c r="G105" s="258">
        <v>8441000000</v>
      </c>
      <c r="H105" s="265">
        <v>0.1</v>
      </c>
      <c r="I105" s="258">
        <v>844100000</v>
      </c>
      <c r="J105" s="258">
        <v>9285100000</v>
      </c>
      <c r="K105" s="256" t="s">
        <v>1346</v>
      </c>
    </row>
    <row r="106" spans="1:11" x14ac:dyDescent="0.3">
      <c r="A106" s="256">
        <v>45</v>
      </c>
      <c r="B106" s="257" t="s">
        <v>1206</v>
      </c>
      <c r="C106" s="276">
        <v>44561</v>
      </c>
      <c r="D106" s="257" t="s">
        <v>1258</v>
      </c>
      <c r="E106" s="256" t="s">
        <v>1833</v>
      </c>
      <c r="F106" s="256" t="s">
        <v>1676</v>
      </c>
      <c r="G106" s="258">
        <v>10917000000</v>
      </c>
      <c r="H106" s="265">
        <v>0.1</v>
      </c>
      <c r="I106" s="258">
        <v>1091700000</v>
      </c>
      <c r="J106" s="258">
        <v>12008700000</v>
      </c>
      <c r="K106" s="256" t="s">
        <v>1346</v>
      </c>
    </row>
    <row r="107" spans="1:11" x14ac:dyDescent="0.3">
      <c r="A107" s="256">
        <v>46</v>
      </c>
      <c r="B107" s="257" t="s">
        <v>1207</v>
      </c>
      <c r="C107" s="276">
        <v>44561</v>
      </c>
      <c r="D107" s="257" t="s">
        <v>1285</v>
      </c>
      <c r="E107" s="256" t="s">
        <v>1793</v>
      </c>
      <c r="F107" s="256" t="s">
        <v>1892</v>
      </c>
      <c r="G107" s="258">
        <v>15695000000</v>
      </c>
      <c r="H107" s="265">
        <v>0.1</v>
      </c>
      <c r="I107" s="258">
        <v>1569500000</v>
      </c>
      <c r="J107" s="258">
        <v>17264500000</v>
      </c>
      <c r="K107" s="256" t="s">
        <v>1346</v>
      </c>
    </row>
    <row r="108" spans="1:11" x14ac:dyDescent="0.3">
      <c r="A108" s="256">
        <v>47</v>
      </c>
      <c r="B108" s="257" t="s">
        <v>1208</v>
      </c>
      <c r="C108" s="276">
        <v>44561</v>
      </c>
      <c r="D108" s="257" t="s">
        <v>1278</v>
      </c>
      <c r="E108" s="256" t="s">
        <v>1785</v>
      </c>
      <c r="F108" s="256" t="s">
        <v>1893</v>
      </c>
      <c r="G108" s="258">
        <v>5590000000</v>
      </c>
      <c r="H108" s="265">
        <v>0.1</v>
      </c>
      <c r="I108" s="258">
        <v>559000000</v>
      </c>
      <c r="J108" s="258">
        <v>6149000000</v>
      </c>
      <c r="K108" s="256" t="s">
        <v>1346</v>
      </c>
    </row>
    <row r="109" spans="1:11" x14ac:dyDescent="0.3">
      <c r="A109" s="256">
        <v>48</v>
      </c>
      <c r="B109" s="257" t="s">
        <v>1209</v>
      </c>
      <c r="C109" s="276">
        <v>44561</v>
      </c>
      <c r="D109" s="257" t="s">
        <v>1274</v>
      </c>
      <c r="E109" s="256" t="s">
        <v>1794</v>
      </c>
      <c r="F109" s="256" t="s">
        <v>1893</v>
      </c>
      <c r="G109" s="258">
        <v>20754000000</v>
      </c>
      <c r="H109" s="265">
        <v>0.1</v>
      </c>
      <c r="I109" s="258">
        <v>2075400000</v>
      </c>
      <c r="J109" s="258">
        <v>22829400000</v>
      </c>
      <c r="K109" s="256" t="s">
        <v>1346</v>
      </c>
    </row>
    <row r="110" spans="1:11" x14ac:dyDescent="0.3">
      <c r="A110" s="256">
        <v>49</v>
      </c>
      <c r="B110" s="257" t="s">
        <v>1418</v>
      </c>
      <c r="C110" s="276">
        <v>44561</v>
      </c>
      <c r="D110" s="257" t="s">
        <v>1279</v>
      </c>
      <c r="E110" s="256" t="s">
        <v>1827</v>
      </c>
      <c r="F110" s="256" t="s">
        <v>1892</v>
      </c>
      <c r="G110" s="258">
        <v>6407000000</v>
      </c>
      <c r="H110" s="265">
        <v>0.1</v>
      </c>
      <c r="I110" s="258">
        <v>640700000</v>
      </c>
      <c r="J110" s="258">
        <v>7047700000</v>
      </c>
      <c r="K110" s="256" t="s">
        <v>1346</v>
      </c>
    </row>
    <row r="111" spans="1:11" x14ac:dyDescent="0.3">
      <c r="A111" s="256">
        <v>50</v>
      </c>
      <c r="B111" s="257" t="s">
        <v>1419</v>
      </c>
      <c r="C111" s="276">
        <v>44561</v>
      </c>
      <c r="D111" s="257" t="s">
        <v>1287</v>
      </c>
      <c r="E111" s="256" t="s">
        <v>1801</v>
      </c>
      <c r="F111" s="256" t="s">
        <v>1892</v>
      </c>
      <c r="G111" s="258">
        <v>13687000000</v>
      </c>
      <c r="H111" s="265">
        <v>0.1</v>
      </c>
      <c r="I111" s="258">
        <v>1368700000</v>
      </c>
      <c r="J111" s="258">
        <v>15055700000</v>
      </c>
      <c r="K111" s="256" t="s">
        <v>1346</v>
      </c>
    </row>
    <row r="112" spans="1:11" x14ac:dyDescent="0.3">
      <c r="A112" s="266" t="s">
        <v>1351</v>
      </c>
      <c r="B112" s="266"/>
      <c r="C112" s="266"/>
      <c r="D112" s="266"/>
      <c r="E112" s="266"/>
      <c r="F112" s="266"/>
      <c r="G112" s="267">
        <f>SUM(G62:G111)</f>
        <v>696703000000</v>
      </c>
      <c r="H112" s="266"/>
      <c r="I112" s="267">
        <f>SUM(I62:I111)</f>
        <v>64230700000</v>
      </c>
      <c r="J112" s="267">
        <f>SUM(J62:J111)</f>
        <v>760933700000</v>
      </c>
      <c r="K112" s="266"/>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993</v>
      </c>
      <c r="C1" s="256"/>
      <c r="D1" s="256"/>
      <c r="E1" s="256"/>
      <c r="F1" s="256"/>
      <c r="G1" s="256"/>
      <c r="H1" s="256"/>
      <c r="I1" s="256"/>
      <c r="J1" s="256"/>
      <c r="K1" s="256"/>
    </row>
    <row r="2" spans="1:11" x14ac:dyDescent="0.3">
      <c r="A2" s="256" t="s">
        <v>1339</v>
      </c>
      <c r="B2" s="257">
        <v>108742656</v>
      </c>
      <c r="C2" s="256"/>
      <c r="D2" s="256"/>
      <c r="E2" s="256"/>
      <c r="F2" s="256"/>
      <c r="G2" s="256"/>
      <c r="H2" s="256"/>
      <c r="I2" s="256"/>
      <c r="J2" s="256"/>
      <c r="K2" s="256"/>
    </row>
    <row r="3" spans="1:11" x14ac:dyDescent="0.3">
      <c r="A3" s="256" t="s">
        <v>1343</v>
      </c>
      <c r="B3" s="258">
        <v>226525924032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1408</v>
      </c>
      <c r="C8" s="276">
        <v>44317</v>
      </c>
      <c r="D8" s="257" t="s">
        <v>1286</v>
      </c>
      <c r="E8" s="256" t="s">
        <v>1828</v>
      </c>
      <c r="F8" s="256" t="s">
        <v>1936</v>
      </c>
      <c r="G8" s="258">
        <v>1356000000</v>
      </c>
      <c r="H8" s="265">
        <v>0.1</v>
      </c>
      <c r="I8" s="258">
        <v>135600000</v>
      </c>
      <c r="J8" s="258">
        <v>1491600000</v>
      </c>
      <c r="K8" s="256" t="s">
        <v>1348</v>
      </c>
    </row>
    <row r="9" spans="1:11" x14ac:dyDescent="0.3">
      <c r="A9" s="256">
        <v>2</v>
      </c>
      <c r="B9" s="257" t="s">
        <v>1211</v>
      </c>
      <c r="C9" s="276">
        <v>44318</v>
      </c>
      <c r="D9" s="257" t="s">
        <v>1284</v>
      </c>
      <c r="E9" s="256" t="s">
        <v>1786</v>
      </c>
      <c r="F9" s="256" t="s">
        <v>1936</v>
      </c>
      <c r="G9" s="258">
        <v>2435000000</v>
      </c>
      <c r="H9" s="265">
        <v>0.1</v>
      </c>
      <c r="I9" s="258">
        <v>243500000</v>
      </c>
      <c r="J9" s="258">
        <v>2678500000</v>
      </c>
      <c r="K9" s="256" t="s">
        <v>1346</v>
      </c>
    </row>
    <row r="10" spans="1:11" x14ac:dyDescent="0.3">
      <c r="A10" s="256">
        <v>3</v>
      </c>
      <c r="B10" s="257" t="s">
        <v>1418</v>
      </c>
      <c r="C10" s="276">
        <v>44472</v>
      </c>
      <c r="D10" s="257" t="s">
        <v>1255</v>
      </c>
      <c r="E10" s="273">
        <v>46152</v>
      </c>
      <c r="F10" s="256" t="s">
        <v>1937</v>
      </c>
      <c r="G10" s="258">
        <v>3981000000</v>
      </c>
      <c r="H10" s="265">
        <v>0.1</v>
      </c>
      <c r="I10" s="258">
        <v>398100000</v>
      </c>
      <c r="J10" s="258">
        <v>4379100000</v>
      </c>
      <c r="K10" s="256" t="s">
        <v>1346</v>
      </c>
    </row>
    <row r="11" spans="1:11" x14ac:dyDescent="0.3">
      <c r="A11" s="256">
        <v>4</v>
      </c>
      <c r="B11" s="257" t="s">
        <v>1482</v>
      </c>
      <c r="C11" s="276">
        <v>44473</v>
      </c>
      <c r="D11" s="257" t="s">
        <v>1282</v>
      </c>
      <c r="E11" s="256" t="s">
        <v>1789</v>
      </c>
      <c r="F11" s="256" t="s">
        <v>1670</v>
      </c>
      <c r="G11" s="258">
        <v>3246000000</v>
      </c>
      <c r="H11" s="265">
        <v>0.1</v>
      </c>
      <c r="I11" s="258">
        <v>324600000</v>
      </c>
      <c r="J11" s="258">
        <v>3570600000</v>
      </c>
      <c r="K11" s="256" t="s">
        <v>1348</v>
      </c>
    </row>
    <row r="12" spans="1:11" x14ac:dyDescent="0.3">
      <c r="A12" s="256">
        <v>5</v>
      </c>
      <c r="B12" s="257" t="s">
        <v>1208</v>
      </c>
      <c r="C12" s="276">
        <v>44474</v>
      </c>
      <c r="D12" s="257" t="s">
        <v>1300</v>
      </c>
      <c r="E12" s="256" t="s">
        <v>1818</v>
      </c>
      <c r="F12" s="256" t="s">
        <v>1937</v>
      </c>
      <c r="G12" s="258">
        <v>2940000000</v>
      </c>
      <c r="H12" s="265">
        <v>0.1</v>
      </c>
      <c r="I12" s="258">
        <v>294000000</v>
      </c>
      <c r="J12" s="258">
        <v>3234000000</v>
      </c>
      <c r="K12" s="256" t="s">
        <v>1346</v>
      </c>
    </row>
    <row r="13" spans="1:11" x14ac:dyDescent="0.3">
      <c r="A13" s="256">
        <v>6</v>
      </c>
      <c r="B13" s="257" t="s">
        <v>1488</v>
      </c>
      <c r="C13" s="276">
        <v>44475</v>
      </c>
      <c r="D13" s="257" t="s">
        <v>1277</v>
      </c>
      <c r="E13" s="256" t="s">
        <v>1783</v>
      </c>
      <c r="F13" s="256" t="s">
        <v>1936</v>
      </c>
      <c r="G13" s="258">
        <v>3892000000</v>
      </c>
      <c r="H13" s="265">
        <v>0.1</v>
      </c>
      <c r="I13" s="258">
        <v>389200000</v>
      </c>
      <c r="J13" s="258">
        <v>4281200000</v>
      </c>
      <c r="K13" s="256" t="s">
        <v>1346</v>
      </c>
    </row>
    <row r="14" spans="1:11" x14ac:dyDescent="0.3">
      <c r="A14" s="256">
        <v>7</v>
      </c>
      <c r="B14" s="257" t="s">
        <v>1470</v>
      </c>
      <c r="C14" s="276">
        <v>44476</v>
      </c>
      <c r="D14" s="257" t="s">
        <v>1266</v>
      </c>
      <c r="E14" s="256" t="s">
        <v>1824</v>
      </c>
      <c r="F14" s="256" t="s">
        <v>1936</v>
      </c>
      <c r="G14" s="258">
        <v>5241000000</v>
      </c>
      <c r="H14" s="265">
        <v>0.1</v>
      </c>
      <c r="I14" s="258">
        <v>524100000</v>
      </c>
      <c r="J14" s="258">
        <v>5765100000</v>
      </c>
      <c r="K14" s="256" t="s">
        <v>1346</v>
      </c>
    </row>
    <row r="15" spans="1:11" x14ac:dyDescent="0.3">
      <c r="A15" s="256">
        <v>8</v>
      </c>
      <c r="B15" s="257" t="s">
        <v>1480</v>
      </c>
      <c r="C15" s="276">
        <v>44477</v>
      </c>
      <c r="D15" s="257" t="s">
        <v>1273</v>
      </c>
      <c r="E15" s="256" t="s">
        <v>1829</v>
      </c>
      <c r="F15" s="256" t="s">
        <v>1670</v>
      </c>
      <c r="G15" s="258">
        <v>1620000000</v>
      </c>
      <c r="H15" s="265">
        <v>0.1</v>
      </c>
      <c r="I15" s="258">
        <v>162000000</v>
      </c>
      <c r="J15" s="258">
        <v>1782000000</v>
      </c>
      <c r="K15" s="256" t="s">
        <v>1346</v>
      </c>
    </row>
    <row r="16" spans="1:11" x14ac:dyDescent="0.3">
      <c r="A16" s="256">
        <v>9</v>
      </c>
      <c r="B16" s="257" t="s">
        <v>1499</v>
      </c>
      <c r="C16" s="276">
        <v>44478</v>
      </c>
      <c r="D16" s="257" t="s">
        <v>1259</v>
      </c>
      <c r="E16" s="256" t="s">
        <v>1788</v>
      </c>
      <c r="F16" s="256" t="s">
        <v>1741</v>
      </c>
      <c r="G16" s="258">
        <v>4050000000</v>
      </c>
      <c r="H16" s="265">
        <v>0.1</v>
      </c>
      <c r="I16" s="258">
        <v>405000000</v>
      </c>
      <c r="J16" s="258">
        <v>4455000000</v>
      </c>
      <c r="K16" s="256" t="s">
        <v>1346</v>
      </c>
    </row>
    <row r="17" spans="1:11" x14ac:dyDescent="0.3">
      <c r="A17" s="256">
        <v>10</v>
      </c>
      <c r="B17" s="257" t="s">
        <v>1483</v>
      </c>
      <c r="C17" s="276">
        <v>44479</v>
      </c>
      <c r="D17" s="257" t="s">
        <v>1282</v>
      </c>
      <c r="E17" s="256" t="s">
        <v>1789</v>
      </c>
      <c r="F17" s="256" t="s">
        <v>1937</v>
      </c>
      <c r="G17" s="258">
        <v>3308000000</v>
      </c>
      <c r="H17" s="265">
        <v>0.1</v>
      </c>
      <c r="I17" s="258">
        <v>330800000</v>
      </c>
      <c r="J17" s="258">
        <v>3638800000</v>
      </c>
      <c r="K17" s="256" t="s">
        <v>1346</v>
      </c>
    </row>
    <row r="18" spans="1:11" x14ac:dyDescent="0.3">
      <c r="A18" s="256">
        <v>11</v>
      </c>
      <c r="B18" s="257" t="s">
        <v>1402</v>
      </c>
      <c r="C18" s="276">
        <v>44480</v>
      </c>
      <c r="D18" s="257" t="s">
        <v>1298</v>
      </c>
      <c r="E18" s="256" t="s">
        <v>1819</v>
      </c>
      <c r="F18" s="256" t="s">
        <v>1741</v>
      </c>
      <c r="G18" s="258">
        <v>1704000000</v>
      </c>
      <c r="H18" s="265">
        <v>0.1</v>
      </c>
      <c r="I18" s="258">
        <v>170400000</v>
      </c>
      <c r="J18" s="258">
        <v>1874400000</v>
      </c>
      <c r="K18" s="256" t="s">
        <v>1346</v>
      </c>
    </row>
    <row r="19" spans="1:11" x14ac:dyDescent="0.3">
      <c r="A19" s="256">
        <v>12</v>
      </c>
      <c r="B19" s="257" t="s">
        <v>1481</v>
      </c>
      <c r="C19" s="276">
        <v>44481</v>
      </c>
      <c r="D19" s="257" t="s">
        <v>1273</v>
      </c>
      <c r="E19" s="256" t="s">
        <v>1829</v>
      </c>
      <c r="F19" s="256" t="s">
        <v>1938</v>
      </c>
      <c r="G19" s="258">
        <v>5047000000</v>
      </c>
      <c r="H19" s="265">
        <v>0.1</v>
      </c>
      <c r="I19" s="258">
        <v>504700000</v>
      </c>
      <c r="J19" s="258">
        <v>5551700000</v>
      </c>
      <c r="K19" s="256" t="s">
        <v>1346</v>
      </c>
    </row>
    <row r="20" spans="1:11" x14ac:dyDescent="0.3">
      <c r="A20" s="256">
        <v>13</v>
      </c>
      <c r="B20" s="257" t="s">
        <v>1405</v>
      </c>
      <c r="C20" s="276">
        <v>44211</v>
      </c>
      <c r="D20" s="257" t="s">
        <v>1296</v>
      </c>
      <c r="E20" s="256" t="s">
        <v>1807</v>
      </c>
      <c r="F20" s="256" t="s">
        <v>1670</v>
      </c>
      <c r="G20" s="258">
        <v>3422000000</v>
      </c>
      <c r="H20" s="265">
        <v>0.1</v>
      </c>
      <c r="I20" s="258">
        <v>342200000</v>
      </c>
      <c r="J20" s="258">
        <v>3764200000</v>
      </c>
      <c r="K20" s="256" t="s">
        <v>1346</v>
      </c>
    </row>
    <row r="21" spans="1:11" x14ac:dyDescent="0.3">
      <c r="A21" s="256">
        <v>14</v>
      </c>
      <c r="B21" s="257" t="s">
        <v>1479</v>
      </c>
      <c r="C21" s="276">
        <v>44242</v>
      </c>
      <c r="D21" s="257" t="s">
        <v>1279</v>
      </c>
      <c r="E21" s="256" t="s">
        <v>1827</v>
      </c>
      <c r="F21" s="256" t="s">
        <v>1936</v>
      </c>
      <c r="G21" s="258">
        <v>2880000000</v>
      </c>
      <c r="H21" s="265">
        <v>0.1</v>
      </c>
      <c r="I21" s="258">
        <v>288000000</v>
      </c>
      <c r="J21" s="258">
        <v>3168000000</v>
      </c>
      <c r="K21" s="256" t="s">
        <v>1346</v>
      </c>
    </row>
    <row r="22" spans="1:11" x14ac:dyDescent="0.3">
      <c r="A22" s="256">
        <v>15</v>
      </c>
      <c r="B22" s="257" t="s">
        <v>1489</v>
      </c>
      <c r="C22" s="276">
        <v>44275</v>
      </c>
      <c r="D22" s="257" t="s">
        <v>1281</v>
      </c>
      <c r="E22" s="256" t="s">
        <v>1806</v>
      </c>
      <c r="F22" s="256" t="s">
        <v>1741</v>
      </c>
      <c r="G22" s="258">
        <v>4705000000</v>
      </c>
      <c r="H22" s="265">
        <v>0.1</v>
      </c>
      <c r="I22" s="258">
        <v>470500000</v>
      </c>
      <c r="J22" s="258">
        <v>5175500000</v>
      </c>
      <c r="K22" s="256" t="s">
        <v>1346</v>
      </c>
    </row>
    <row r="23" spans="1:11" x14ac:dyDescent="0.3">
      <c r="A23" s="256">
        <v>16</v>
      </c>
      <c r="B23" s="257" t="s">
        <v>1418</v>
      </c>
      <c r="C23" s="276">
        <v>44306</v>
      </c>
      <c r="D23" s="257" t="s">
        <v>1267</v>
      </c>
      <c r="E23" s="256" t="s">
        <v>1810</v>
      </c>
      <c r="F23" s="256" t="s">
        <v>1936</v>
      </c>
      <c r="G23" s="258">
        <v>2363000000</v>
      </c>
      <c r="H23" s="265">
        <v>0.1</v>
      </c>
      <c r="I23" s="258">
        <v>236300000</v>
      </c>
      <c r="J23" s="258">
        <v>2599300000</v>
      </c>
      <c r="K23" s="256" t="s">
        <v>1346</v>
      </c>
    </row>
    <row r="24" spans="1:11" x14ac:dyDescent="0.3">
      <c r="A24" s="256">
        <v>17</v>
      </c>
      <c r="B24" s="257" t="s">
        <v>1397</v>
      </c>
      <c r="C24" s="276">
        <v>44336</v>
      </c>
      <c r="D24" s="257" t="s">
        <v>1303</v>
      </c>
      <c r="E24" s="256" t="s">
        <v>1817</v>
      </c>
      <c r="F24" s="256" t="s">
        <v>1939</v>
      </c>
      <c r="G24" s="258">
        <v>3454000000</v>
      </c>
      <c r="H24" s="265">
        <v>0.1</v>
      </c>
      <c r="I24" s="258">
        <v>345400000</v>
      </c>
      <c r="J24" s="258">
        <v>3799400000</v>
      </c>
      <c r="K24" s="256" t="s">
        <v>1348</v>
      </c>
    </row>
    <row r="25" spans="1:11" x14ac:dyDescent="0.3">
      <c r="A25" s="256">
        <v>18</v>
      </c>
      <c r="B25" s="257" t="s">
        <v>1465</v>
      </c>
      <c r="C25" s="276">
        <v>44367</v>
      </c>
      <c r="D25" s="257" t="s">
        <v>1265</v>
      </c>
      <c r="E25" s="256" t="s">
        <v>1830</v>
      </c>
      <c r="F25" s="256" t="s">
        <v>1936</v>
      </c>
      <c r="G25" s="258">
        <v>2974000000</v>
      </c>
      <c r="H25" s="265">
        <v>0.1</v>
      </c>
      <c r="I25" s="258">
        <v>297400000</v>
      </c>
      <c r="J25" s="258">
        <v>3271400000</v>
      </c>
      <c r="K25" s="256" t="s">
        <v>1346</v>
      </c>
    </row>
    <row r="26" spans="1:11" x14ac:dyDescent="0.3">
      <c r="A26" s="256">
        <v>19</v>
      </c>
      <c r="B26" s="257" t="s">
        <v>1478</v>
      </c>
      <c r="C26" s="276">
        <v>44397</v>
      </c>
      <c r="D26" s="257" t="s">
        <v>1283</v>
      </c>
      <c r="E26" s="256" t="s">
        <v>1798</v>
      </c>
      <c r="F26" s="256" t="s">
        <v>1939</v>
      </c>
      <c r="G26" s="258">
        <v>3126000000</v>
      </c>
      <c r="H26" s="265">
        <v>0.1</v>
      </c>
      <c r="I26" s="258">
        <v>312600000</v>
      </c>
      <c r="J26" s="258">
        <v>3438600000</v>
      </c>
      <c r="K26" s="256" t="s">
        <v>1346</v>
      </c>
    </row>
    <row r="27" spans="1:11" x14ac:dyDescent="0.3">
      <c r="A27" s="256">
        <v>20</v>
      </c>
      <c r="B27" s="257" t="s">
        <v>1403</v>
      </c>
      <c r="C27" s="276">
        <v>44428</v>
      </c>
      <c r="D27" s="257" t="s">
        <v>1298</v>
      </c>
      <c r="E27" s="256" t="s">
        <v>1819</v>
      </c>
      <c r="F27" s="256" t="s">
        <v>1741</v>
      </c>
      <c r="G27" s="258">
        <v>1446000000</v>
      </c>
      <c r="H27" s="265">
        <v>0.1</v>
      </c>
      <c r="I27" s="258">
        <v>144600000</v>
      </c>
      <c r="J27" s="258">
        <v>1590600000</v>
      </c>
      <c r="K27" s="256" t="s">
        <v>1348</v>
      </c>
    </row>
    <row r="28" spans="1:11" x14ac:dyDescent="0.3">
      <c r="A28" s="256">
        <v>21</v>
      </c>
      <c r="B28" s="257" t="s">
        <v>1409</v>
      </c>
      <c r="C28" s="276">
        <v>44459</v>
      </c>
      <c r="D28" s="257" t="s">
        <v>1286</v>
      </c>
      <c r="E28" s="256" t="s">
        <v>1828</v>
      </c>
      <c r="F28" s="256" t="s">
        <v>1936</v>
      </c>
      <c r="G28" s="258">
        <v>2360000000</v>
      </c>
      <c r="H28" s="265">
        <v>0.1</v>
      </c>
      <c r="I28" s="258">
        <v>236000000</v>
      </c>
      <c r="J28" s="258">
        <v>2596000000</v>
      </c>
      <c r="K28" s="256" t="s">
        <v>1346</v>
      </c>
    </row>
    <row r="29" spans="1:11" x14ac:dyDescent="0.3">
      <c r="A29" s="256">
        <v>22</v>
      </c>
      <c r="B29" s="257" t="s">
        <v>1490</v>
      </c>
      <c r="C29" s="276">
        <v>44489</v>
      </c>
      <c r="D29" s="257" t="s">
        <v>1272</v>
      </c>
      <c r="E29" s="256" t="s">
        <v>1805</v>
      </c>
      <c r="F29" s="256" t="s">
        <v>1670</v>
      </c>
      <c r="G29" s="258">
        <v>5035000000</v>
      </c>
      <c r="H29" s="265">
        <v>0.1</v>
      </c>
      <c r="I29" s="258">
        <v>503500000</v>
      </c>
      <c r="J29" s="258">
        <v>5538500000</v>
      </c>
      <c r="K29" s="256" t="s">
        <v>1348</v>
      </c>
    </row>
    <row r="30" spans="1:11" x14ac:dyDescent="0.3">
      <c r="A30" s="256">
        <v>23</v>
      </c>
      <c r="B30" s="257" t="s">
        <v>1489</v>
      </c>
      <c r="C30" s="276">
        <v>44520</v>
      </c>
      <c r="D30" s="257" t="s">
        <v>1277</v>
      </c>
      <c r="E30" s="256" t="s">
        <v>1783</v>
      </c>
      <c r="F30" s="256" t="s">
        <v>1938</v>
      </c>
      <c r="G30" s="258">
        <v>2872000000</v>
      </c>
      <c r="H30" s="265">
        <v>0.1</v>
      </c>
      <c r="I30" s="258">
        <v>287200000</v>
      </c>
      <c r="J30" s="258">
        <v>3159200000</v>
      </c>
      <c r="K30" s="256" t="s">
        <v>1346</v>
      </c>
    </row>
    <row r="31" spans="1:11" x14ac:dyDescent="0.3">
      <c r="A31" s="256">
        <v>24</v>
      </c>
      <c r="B31" s="257" t="s">
        <v>1409</v>
      </c>
      <c r="C31" s="276">
        <v>44550</v>
      </c>
      <c r="D31" s="257" t="s">
        <v>1294</v>
      </c>
      <c r="E31" s="256" t="s">
        <v>1795</v>
      </c>
      <c r="F31" s="256" t="s">
        <v>1936</v>
      </c>
      <c r="G31" s="258">
        <v>3634000000</v>
      </c>
      <c r="H31" s="265">
        <v>0.1</v>
      </c>
      <c r="I31" s="258">
        <v>363400000</v>
      </c>
      <c r="J31" s="258">
        <v>3997400000</v>
      </c>
      <c r="K31" s="256" t="s">
        <v>1346</v>
      </c>
    </row>
    <row r="32" spans="1:11" x14ac:dyDescent="0.3">
      <c r="A32" s="256">
        <v>25</v>
      </c>
      <c r="B32" s="257" t="s">
        <v>1458</v>
      </c>
      <c r="C32" s="276">
        <v>44221</v>
      </c>
      <c r="D32" s="257" t="s">
        <v>1269</v>
      </c>
      <c r="E32" s="256" t="s">
        <v>1823</v>
      </c>
      <c r="F32" s="256" t="s">
        <v>1670</v>
      </c>
      <c r="G32" s="258">
        <v>4532000000</v>
      </c>
      <c r="H32" s="265">
        <v>0.1</v>
      </c>
      <c r="I32" s="258">
        <v>453200000</v>
      </c>
      <c r="J32" s="258">
        <v>4985200000</v>
      </c>
      <c r="K32" s="256" t="s">
        <v>1346</v>
      </c>
    </row>
    <row r="33" spans="1:11" x14ac:dyDescent="0.3">
      <c r="A33" s="256">
        <v>26</v>
      </c>
      <c r="B33" s="257" t="s">
        <v>1458</v>
      </c>
      <c r="C33" s="276">
        <v>44255</v>
      </c>
      <c r="D33" s="257" t="s">
        <v>1301</v>
      </c>
      <c r="E33" s="256" t="s">
        <v>1781</v>
      </c>
      <c r="F33" s="256" t="s">
        <v>1939</v>
      </c>
      <c r="G33" s="258">
        <v>1354000000</v>
      </c>
      <c r="H33" s="265">
        <v>0.1</v>
      </c>
      <c r="I33" s="258">
        <v>135400000</v>
      </c>
      <c r="J33" s="258">
        <v>1489400000</v>
      </c>
      <c r="K33" s="256" t="s">
        <v>1346</v>
      </c>
    </row>
    <row r="34" spans="1:11" x14ac:dyDescent="0.3">
      <c r="A34" s="256">
        <v>27</v>
      </c>
      <c r="B34" s="257" t="s">
        <v>1461</v>
      </c>
      <c r="C34" s="276">
        <v>44316</v>
      </c>
      <c r="D34" s="257" t="s">
        <v>1264</v>
      </c>
      <c r="E34" s="256" t="s">
        <v>1779</v>
      </c>
      <c r="F34" s="256" t="s">
        <v>1939</v>
      </c>
      <c r="G34" s="258">
        <v>1799000000</v>
      </c>
      <c r="H34" s="265">
        <v>0.1</v>
      </c>
      <c r="I34" s="258">
        <v>179900000</v>
      </c>
      <c r="J34" s="258">
        <v>1978900000</v>
      </c>
      <c r="K34" s="256" t="s">
        <v>1346</v>
      </c>
    </row>
    <row r="35" spans="1:11" x14ac:dyDescent="0.3">
      <c r="A35" s="256">
        <v>28</v>
      </c>
      <c r="B35" s="257" t="s">
        <v>1493</v>
      </c>
      <c r="C35" s="276">
        <v>44377</v>
      </c>
      <c r="D35" s="257" t="s">
        <v>1271</v>
      </c>
      <c r="E35" s="256" t="s">
        <v>1799</v>
      </c>
      <c r="F35" s="256" t="s">
        <v>1670</v>
      </c>
      <c r="G35" s="258">
        <v>3547000000</v>
      </c>
      <c r="H35" s="265">
        <v>0.1</v>
      </c>
      <c r="I35" s="258">
        <v>354700000</v>
      </c>
      <c r="J35" s="258">
        <v>3901700000</v>
      </c>
      <c r="K35" s="256" t="s">
        <v>1346</v>
      </c>
    </row>
    <row r="36" spans="1:11" x14ac:dyDescent="0.3">
      <c r="A36" s="256">
        <v>29</v>
      </c>
      <c r="B36" s="257" t="s">
        <v>1471</v>
      </c>
      <c r="C36" s="276">
        <v>44469</v>
      </c>
      <c r="D36" s="257" t="s">
        <v>1278</v>
      </c>
      <c r="E36" s="256" t="s">
        <v>1785</v>
      </c>
      <c r="F36" s="256" t="s">
        <v>1937</v>
      </c>
      <c r="G36" s="258">
        <v>4998000000</v>
      </c>
      <c r="H36" s="265">
        <v>0.1</v>
      </c>
      <c r="I36" s="258">
        <v>499800000</v>
      </c>
      <c r="J36" s="258">
        <v>5497800000</v>
      </c>
      <c r="K36" s="256" t="s">
        <v>1346</v>
      </c>
    </row>
    <row r="37" spans="1:11" x14ac:dyDescent="0.3">
      <c r="A37" s="256">
        <v>30</v>
      </c>
      <c r="B37" s="257" t="s">
        <v>1471</v>
      </c>
      <c r="C37" s="276">
        <v>44530</v>
      </c>
      <c r="D37" s="257" t="s">
        <v>1257</v>
      </c>
      <c r="E37" s="256" t="s">
        <v>1815</v>
      </c>
      <c r="F37" s="256" t="s">
        <v>1939</v>
      </c>
      <c r="G37" s="258">
        <v>1560000000</v>
      </c>
      <c r="H37" s="265">
        <v>0</v>
      </c>
      <c r="I37" s="258">
        <v>0</v>
      </c>
      <c r="J37" s="258">
        <v>1560000000</v>
      </c>
      <c r="K37" s="256" t="s">
        <v>1346</v>
      </c>
    </row>
    <row r="38" spans="1:11" x14ac:dyDescent="0.3">
      <c r="A38" s="256">
        <v>31</v>
      </c>
      <c r="B38" s="257" t="s">
        <v>1494</v>
      </c>
      <c r="C38" s="276">
        <v>44286</v>
      </c>
      <c r="D38" s="257" t="s">
        <v>1274</v>
      </c>
      <c r="E38" s="256" t="s">
        <v>1794</v>
      </c>
      <c r="F38" s="256" t="s">
        <v>1670</v>
      </c>
      <c r="G38" s="258">
        <v>3197000000</v>
      </c>
      <c r="H38" s="265">
        <v>0.1</v>
      </c>
      <c r="I38" s="258">
        <v>319700000</v>
      </c>
      <c r="J38" s="258">
        <v>3516700000</v>
      </c>
      <c r="K38" s="256" t="s">
        <v>1346</v>
      </c>
    </row>
    <row r="39" spans="1:11" x14ac:dyDescent="0.3">
      <c r="A39" s="256">
        <v>32</v>
      </c>
      <c r="B39" s="257" t="s">
        <v>1495</v>
      </c>
      <c r="C39" s="276">
        <v>44347</v>
      </c>
      <c r="D39" s="257" t="s">
        <v>1304</v>
      </c>
      <c r="E39" s="256" t="s">
        <v>1831</v>
      </c>
      <c r="F39" s="256" t="s">
        <v>1939</v>
      </c>
      <c r="G39" s="258">
        <v>2236000000</v>
      </c>
      <c r="H39" s="265">
        <v>0.1</v>
      </c>
      <c r="I39" s="258">
        <v>223600000</v>
      </c>
      <c r="J39" s="258">
        <v>2459600000</v>
      </c>
      <c r="K39" s="256" t="s">
        <v>1346</v>
      </c>
    </row>
    <row r="40" spans="1:11" x14ac:dyDescent="0.3">
      <c r="A40" s="256">
        <v>33</v>
      </c>
      <c r="B40" s="257" t="s">
        <v>1491</v>
      </c>
      <c r="C40" s="276">
        <v>44408</v>
      </c>
      <c r="D40" s="257" t="s">
        <v>1272</v>
      </c>
      <c r="E40" s="256" t="s">
        <v>1805</v>
      </c>
      <c r="F40" s="256" t="s">
        <v>1939</v>
      </c>
      <c r="G40" s="258">
        <v>2869000000</v>
      </c>
      <c r="H40" s="265">
        <v>0.1</v>
      </c>
      <c r="I40" s="258">
        <v>286900000</v>
      </c>
      <c r="J40" s="258">
        <v>3155900000</v>
      </c>
      <c r="K40" s="256" t="s">
        <v>1346</v>
      </c>
    </row>
    <row r="41" spans="1:11" x14ac:dyDescent="0.3">
      <c r="A41" s="256">
        <v>34</v>
      </c>
      <c r="B41" s="257" t="s">
        <v>1469</v>
      </c>
      <c r="C41" s="276">
        <v>44439</v>
      </c>
      <c r="D41" s="257" t="s">
        <v>1262</v>
      </c>
      <c r="E41" s="256" t="s">
        <v>1816</v>
      </c>
      <c r="F41" s="256" t="s">
        <v>1936</v>
      </c>
      <c r="G41" s="258">
        <v>1862000000</v>
      </c>
      <c r="H41" s="265">
        <v>0.1</v>
      </c>
      <c r="I41" s="258">
        <v>186200000</v>
      </c>
      <c r="J41" s="258">
        <v>2048200000</v>
      </c>
      <c r="K41" s="256" t="s">
        <v>1348</v>
      </c>
    </row>
    <row r="42" spans="1:11" x14ac:dyDescent="0.3">
      <c r="A42" s="256">
        <v>35</v>
      </c>
      <c r="B42" s="257" t="s">
        <v>1209</v>
      </c>
      <c r="C42" s="276">
        <v>44500</v>
      </c>
      <c r="D42" s="257" t="s">
        <v>1300</v>
      </c>
      <c r="E42" s="256" t="s">
        <v>1818</v>
      </c>
      <c r="F42" s="256" t="s">
        <v>1936</v>
      </c>
      <c r="G42" s="258">
        <v>4133000000</v>
      </c>
      <c r="H42" s="265">
        <v>0.1</v>
      </c>
      <c r="I42" s="258">
        <v>413300000</v>
      </c>
      <c r="J42" s="258">
        <v>4546300000</v>
      </c>
      <c r="K42" s="256" t="s">
        <v>1346</v>
      </c>
    </row>
    <row r="43" spans="1:11" x14ac:dyDescent="0.3">
      <c r="A43" s="256">
        <v>36</v>
      </c>
      <c r="B43" s="257" t="s">
        <v>1472</v>
      </c>
      <c r="C43" s="276">
        <v>44561</v>
      </c>
      <c r="D43" s="257" t="s">
        <v>1278</v>
      </c>
      <c r="E43" s="256" t="s">
        <v>1785</v>
      </c>
      <c r="F43" s="256" t="s">
        <v>1741</v>
      </c>
      <c r="G43" s="258">
        <v>3905000000</v>
      </c>
      <c r="H43" s="265">
        <v>0.1</v>
      </c>
      <c r="I43" s="258">
        <v>390500000</v>
      </c>
      <c r="J43" s="258">
        <v>4295500000</v>
      </c>
      <c r="K43" s="256" t="s">
        <v>1348</v>
      </c>
    </row>
    <row r="44" spans="1:11" x14ac:dyDescent="0.3">
      <c r="A44" s="256">
        <v>37</v>
      </c>
      <c r="B44" s="257" t="s">
        <v>1483</v>
      </c>
      <c r="C44" s="276">
        <v>44561</v>
      </c>
      <c r="D44" s="257" t="s">
        <v>1275</v>
      </c>
      <c r="E44" s="256" t="s">
        <v>1808</v>
      </c>
      <c r="F44" s="256" t="s">
        <v>1938</v>
      </c>
      <c r="G44" s="258">
        <v>3044000000</v>
      </c>
      <c r="H44" s="265">
        <v>0.1</v>
      </c>
      <c r="I44" s="258">
        <v>304400000</v>
      </c>
      <c r="J44" s="258">
        <v>3348400000</v>
      </c>
      <c r="K44" s="256" t="s">
        <v>1346</v>
      </c>
    </row>
    <row r="45" spans="1:11" x14ac:dyDescent="0.3">
      <c r="A45" s="256">
        <v>38</v>
      </c>
      <c r="B45" s="257" t="s">
        <v>1475</v>
      </c>
      <c r="C45" s="276">
        <v>44561</v>
      </c>
      <c r="D45" s="257" t="s">
        <v>1268</v>
      </c>
      <c r="E45" s="256" t="s">
        <v>1821</v>
      </c>
      <c r="F45" s="256" t="s">
        <v>1939</v>
      </c>
      <c r="G45" s="258">
        <v>5211000000</v>
      </c>
      <c r="H45" s="265">
        <v>0.1</v>
      </c>
      <c r="I45" s="258">
        <v>521100000</v>
      </c>
      <c r="J45" s="258">
        <v>5732100000</v>
      </c>
      <c r="K45" s="256" t="s">
        <v>1346</v>
      </c>
    </row>
    <row r="46" spans="1:11" x14ac:dyDescent="0.3">
      <c r="A46" s="256">
        <v>39</v>
      </c>
      <c r="B46" s="257" t="s">
        <v>1495</v>
      </c>
      <c r="C46" s="276">
        <v>44561</v>
      </c>
      <c r="D46" s="257" t="s">
        <v>1274</v>
      </c>
      <c r="E46" s="256" t="s">
        <v>1794</v>
      </c>
      <c r="F46" s="256" t="s">
        <v>1741</v>
      </c>
      <c r="G46" s="258">
        <v>4427000000</v>
      </c>
      <c r="H46" s="265">
        <v>0.1</v>
      </c>
      <c r="I46" s="258">
        <v>442700000</v>
      </c>
      <c r="J46" s="258">
        <v>4869700000</v>
      </c>
      <c r="K46" s="256" t="s">
        <v>1346</v>
      </c>
    </row>
    <row r="47" spans="1:11" x14ac:dyDescent="0.3">
      <c r="A47" s="256">
        <v>40</v>
      </c>
      <c r="B47" s="257" t="s">
        <v>1471</v>
      </c>
      <c r="C47" s="276">
        <v>44561</v>
      </c>
      <c r="D47" s="257" t="s">
        <v>1266</v>
      </c>
      <c r="E47" s="256" t="s">
        <v>1824</v>
      </c>
      <c r="F47" s="256" t="s">
        <v>1741</v>
      </c>
      <c r="G47" s="258">
        <v>3658000000</v>
      </c>
      <c r="H47" s="265">
        <v>0.1</v>
      </c>
      <c r="I47" s="258">
        <v>365800000</v>
      </c>
      <c r="J47" s="258">
        <v>4023800000</v>
      </c>
      <c r="K47" s="256" t="s">
        <v>1346</v>
      </c>
    </row>
    <row r="48" spans="1:11" x14ac:dyDescent="0.3">
      <c r="A48" s="256">
        <v>41</v>
      </c>
      <c r="B48" s="257" t="s">
        <v>1462</v>
      </c>
      <c r="C48" s="276">
        <v>44561</v>
      </c>
      <c r="D48" s="257" t="s">
        <v>1293</v>
      </c>
      <c r="E48" s="256" t="s">
        <v>1826</v>
      </c>
      <c r="F48" s="256" t="s">
        <v>1939</v>
      </c>
      <c r="G48" s="258">
        <v>2443000000</v>
      </c>
      <c r="H48" s="265">
        <v>0.1</v>
      </c>
      <c r="I48" s="258">
        <v>244300000</v>
      </c>
      <c r="J48" s="258">
        <v>2687300000</v>
      </c>
      <c r="K48" s="256" t="s">
        <v>1346</v>
      </c>
    </row>
    <row r="49" spans="1:11" x14ac:dyDescent="0.3">
      <c r="A49" s="256">
        <v>42</v>
      </c>
      <c r="B49" s="257" t="s">
        <v>1490</v>
      </c>
      <c r="C49" s="276">
        <v>44561</v>
      </c>
      <c r="D49" s="257" t="s">
        <v>1281</v>
      </c>
      <c r="E49" s="256" t="s">
        <v>1806</v>
      </c>
      <c r="F49" s="256" t="s">
        <v>1741</v>
      </c>
      <c r="G49" s="258">
        <v>2734000000</v>
      </c>
      <c r="H49" s="265">
        <v>0.1</v>
      </c>
      <c r="I49" s="258">
        <v>273400000</v>
      </c>
      <c r="J49" s="258">
        <v>3007400000</v>
      </c>
      <c r="K49" s="256" t="s">
        <v>1348</v>
      </c>
    </row>
    <row r="50" spans="1:11" x14ac:dyDescent="0.3">
      <c r="A50" s="256">
        <v>43</v>
      </c>
      <c r="B50" s="257" t="s">
        <v>1484</v>
      </c>
      <c r="C50" s="276">
        <v>44561</v>
      </c>
      <c r="D50" s="257" t="s">
        <v>1275</v>
      </c>
      <c r="E50" s="256" t="s">
        <v>1808</v>
      </c>
      <c r="F50" s="256" t="s">
        <v>1936</v>
      </c>
      <c r="G50" s="258">
        <v>2009000000</v>
      </c>
      <c r="H50" s="265">
        <v>0.1</v>
      </c>
      <c r="I50" s="258">
        <v>200900000</v>
      </c>
      <c r="J50" s="258">
        <v>2209900000</v>
      </c>
      <c r="K50" s="256" t="s">
        <v>1346</v>
      </c>
    </row>
    <row r="51" spans="1:11" x14ac:dyDescent="0.3">
      <c r="A51" s="256">
        <v>44</v>
      </c>
      <c r="B51" s="257" t="s">
        <v>1419</v>
      </c>
      <c r="C51" s="276">
        <v>44561</v>
      </c>
      <c r="D51" s="257" t="s">
        <v>1255</v>
      </c>
      <c r="E51" s="273">
        <v>46152</v>
      </c>
      <c r="F51" s="256" t="s">
        <v>1938</v>
      </c>
      <c r="G51" s="258">
        <v>4905000000</v>
      </c>
      <c r="H51" s="265">
        <v>0.1</v>
      </c>
      <c r="I51" s="258">
        <v>490500000</v>
      </c>
      <c r="J51" s="258">
        <v>5395500000</v>
      </c>
      <c r="K51" s="256" t="s">
        <v>1346</v>
      </c>
    </row>
    <row r="52" spans="1:11" x14ac:dyDescent="0.3">
      <c r="A52" s="256">
        <v>45</v>
      </c>
      <c r="B52" s="257" t="s">
        <v>1496</v>
      </c>
      <c r="C52" s="276">
        <v>44561</v>
      </c>
      <c r="D52" s="257" t="s">
        <v>1304</v>
      </c>
      <c r="E52" s="256" t="s">
        <v>1831</v>
      </c>
      <c r="F52" s="256" t="s">
        <v>1741</v>
      </c>
      <c r="G52" s="258">
        <v>3286000000</v>
      </c>
      <c r="H52" s="265">
        <v>0.1</v>
      </c>
      <c r="I52" s="258">
        <v>328600000</v>
      </c>
      <c r="J52" s="258">
        <v>3614600000</v>
      </c>
      <c r="K52" s="256" t="s">
        <v>1346</v>
      </c>
    </row>
    <row r="53" spans="1:11" x14ac:dyDescent="0.3">
      <c r="A53" s="256">
        <v>46</v>
      </c>
      <c r="B53" s="257" t="s">
        <v>1475</v>
      </c>
      <c r="C53" s="276">
        <v>44561</v>
      </c>
      <c r="D53" s="257" t="s">
        <v>1280</v>
      </c>
      <c r="E53" s="256" t="s">
        <v>1777</v>
      </c>
      <c r="F53" s="256" t="s">
        <v>1938</v>
      </c>
      <c r="G53" s="258">
        <v>1858000000</v>
      </c>
      <c r="H53" s="265">
        <v>0.1</v>
      </c>
      <c r="I53" s="258">
        <v>185800000</v>
      </c>
      <c r="J53" s="258">
        <v>2043800000</v>
      </c>
      <c r="K53" s="256" t="s">
        <v>1346</v>
      </c>
    </row>
    <row r="54" spans="1:11" x14ac:dyDescent="0.3">
      <c r="A54" s="256">
        <v>47</v>
      </c>
      <c r="B54" s="257" t="s">
        <v>1404</v>
      </c>
      <c r="C54" s="276">
        <v>44561</v>
      </c>
      <c r="D54" s="257" t="s">
        <v>1298</v>
      </c>
      <c r="E54" s="256" t="s">
        <v>1819</v>
      </c>
      <c r="F54" s="256" t="s">
        <v>1937</v>
      </c>
      <c r="G54" s="258">
        <v>4526000000</v>
      </c>
      <c r="H54" s="265">
        <v>0.1</v>
      </c>
      <c r="I54" s="258">
        <v>452600000</v>
      </c>
      <c r="J54" s="258">
        <v>4978600000</v>
      </c>
      <c r="K54" s="256" t="s">
        <v>1346</v>
      </c>
    </row>
    <row r="55" spans="1:11" x14ac:dyDescent="0.3">
      <c r="A55" s="256">
        <v>48</v>
      </c>
      <c r="B55" s="257" t="s">
        <v>1482</v>
      </c>
      <c r="C55" s="276">
        <v>44561</v>
      </c>
      <c r="D55" s="257" t="s">
        <v>1273</v>
      </c>
      <c r="E55" s="256" t="s">
        <v>1829</v>
      </c>
      <c r="F55" s="256" t="s">
        <v>1937</v>
      </c>
      <c r="G55" s="258">
        <v>2622000000</v>
      </c>
      <c r="H55" s="265">
        <v>0.1</v>
      </c>
      <c r="I55" s="258">
        <v>262200000</v>
      </c>
      <c r="J55" s="258">
        <v>2884200000</v>
      </c>
      <c r="K55" s="256" t="s">
        <v>1346</v>
      </c>
    </row>
    <row r="56" spans="1:11" x14ac:dyDescent="0.3">
      <c r="A56" s="256">
        <v>49</v>
      </c>
      <c r="B56" s="257" t="s">
        <v>1212</v>
      </c>
      <c r="C56" s="276">
        <v>44561</v>
      </c>
      <c r="D56" s="257" t="s">
        <v>1284</v>
      </c>
      <c r="E56" s="256" t="s">
        <v>1786</v>
      </c>
      <c r="F56" s="256" t="s">
        <v>1936</v>
      </c>
      <c r="G56" s="258">
        <v>2446000000</v>
      </c>
      <c r="H56" s="265">
        <v>0.1</v>
      </c>
      <c r="I56" s="258">
        <v>244600000</v>
      </c>
      <c r="J56" s="258">
        <v>2690600000</v>
      </c>
      <c r="K56" s="256" t="s">
        <v>1346</v>
      </c>
    </row>
    <row r="57" spans="1:11" x14ac:dyDescent="0.3">
      <c r="A57" s="256">
        <v>50</v>
      </c>
      <c r="B57" s="257" t="s">
        <v>1466</v>
      </c>
      <c r="C57" s="276">
        <v>44561</v>
      </c>
      <c r="D57" s="257" t="s">
        <v>1265</v>
      </c>
      <c r="E57" s="256" t="s">
        <v>1830</v>
      </c>
      <c r="F57" s="256" t="s">
        <v>1938</v>
      </c>
      <c r="G57" s="258">
        <v>2322000000</v>
      </c>
      <c r="H57" s="265">
        <v>0.1</v>
      </c>
      <c r="I57" s="258">
        <v>232200000</v>
      </c>
      <c r="J57" s="258">
        <v>2554200000</v>
      </c>
      <c r="K57" s="256" t="s">
        <v>1348</v>
      </c>
    </row>
    <row r="58" spans="1:11" x14ac:dyDescent="0.3">
      <c r="A58" s="266" t="s">
        <v>1351</v>
      </c>
      <c r="B58" s="266"/>
      <c r="C58" s="266"/>
      <c r="D58" s="266"/>
      <c r="E58" s="266"/>
      <c r="F58" s="266"/>
      <c r="G58" s="267">
        <f>SUM(G8:G57)</f>
        <v>158574000000</v>
      </c>
      <c r="H58" s="266"/>
      <c r="I58" s="267">
        <f>SUM(I8:I57)</f>
        <v>15701400000</v>
      </c>
      <c r="J58" s="267">
        <f>SUM(J8:J57)</f>
        <v>174275400000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1299</v>
      </c>
      <c r="E62" s="256" t="s">
        <v>1776</v>
      </c>
      <c r="F62" s="256" t="s">
        <v>1940</v>
      </c>
      <c r="G62" s="258">
        <v>4758000000</v>
      </c>
      <c r="H62" s="265">
        <v>0</v>
      </c>
      <c r="I62" s="258">
        <v>0</v>
      </c>
      <c r="J62" s="258">
        <v>4758000000</v>
      </c>
      <c r="K62" s="256" t="s">
        <v>1348</v>
      </c>
    </row>
    <row r="63" spans="1:11" x14ac:dyDescent="0.3">
      <c r="A63" s="256">
        <v>2</v>
      </c>
      <c r="B63" s="257" t="s">
        <v>1201</v>
      </c>
      <c r="C63" s="276">
        <v>44318</v>
      </c>
      <c r="D63" s="257" t="s">
        <v>1301</v>
      </c>
      <c r="E63" s="256" t="s">
        <v>1781</v>
      </c>
      <c r="F63" s="256" t="s">
        <v>1941</v>
      </c>
      <c r="G63" s="258">
        <v>5555000000</v>
      </c>
      <c r="H63" s="265">
        <v>0.1</v>
      </c>
      <c r="I63" s="258">
        <v>555500000</v>
      </c>
      <c r="J63" s="258">
        <v>6110500000</v>
      </c>
      <c r="K63" s="256" t="s">
        <v>1346</v>
      </c>
    </row>
    <row r="64" spans="1:11" x14ac:dyDescent="0.3">
      <c r="A64" s="256">
        <v>3</v>
      </c>
      <c r="B64" s="257" t="s">
        <v>1202</v>
      </c>
      <c r="C64" s="276">
        <v>44472</v>
      </c>
      <c r="D64" s="257" t="s">
        <v>1299</v>
      </c>
      <c r="E64" s="256" t="s">
        <v>1776</v>
      </c>
      <c r="F64" s="256" t="s">
        <v>1942</v>
      </c>
      <c r="G64" s="258">
        <v>5677000000</v>
      </c>
      <c r="H64" s="265">
        <v>0.1</v>
      </c>
      <c r="I64" s="258">
        <v>567700000</v>
      </c>
      <c r="J64" s="258">
        <v>6244700000</v>
      </c>
      <c r="K64" s="256" t="s">
        <v>1346</v>
      </c>
    </row>
    <row r="65" spans="1:11" x14ac:dyDescent="0.3">
      <c r="A65" s="256">
        <v>4</v>
      </c>
      <c r="B65" s="257" t="s">
        <v>1355</v>
      </c>
      <c r="C65" s="276">
        <v>44473</v>
      </c>
      <c r="D65" s="257" t="s">
        <v>1304</v>
      </c>
      <c r="E65" s="256" t="s">
        <v>1831</v>
      </c>
      <c r="F65" s="256" t="s">
        <v>1941</v>
      </c>
      <c r="G65" s="258">
        <v>2404000000</v>
      </c>
      <c r="H65" s="265">
        <v>0.1</v>
      </c>
      <c r="I65" s="258">
        <v>240400000</v>
      </c>
      <c r="J65" s="258">
        <v>2644400000</v>
      </c>
      <c r="K65" s="256" t="s">
        <v>1346</v>
      </c>
    </row>
    <row r="66" spans="1:11" x14ac:dyDescent="0.3">
      <c r="A66" s="256">
        <v>5</v>
      </c>
      <c r="B66" s="257" t="s">
        <v>1356</v>
      </c>
      <c r="C66" s="276">
        <v>44474</v>
      </c>
      <c r="D66" s="257" t="s">
        <v>1284</v>
      </c>
      <c r="E66" s="256" t="s">
        <v>1786</v>
      </c>
      <c r="F66" s="256" t="s">
        <v>1942</v>
      </c>
      <c r="G66" s="258">
        <v>7064000000</v>
      </c>
      <c r="H66" s="265">
        <v>0.1</v>
      </c>
      <c r="I66" s="258">
        <v>706400000</v>
      </c>
      <c r="J66" s="258">
        <v>7770400000</v>
      </c>
      <c r="K66" s="256" t="s">
        <v>1346</v>
      </c>
    </row>
    <row r="67" spans="1:11" x14ac:dyDescent="0.3">
      <c r="A67" s="256">
        <v>6</v>
      </c>
      <c r="B67" s="257" t="s">
        <v>1358</v>
      </c>
      <c r="C67" s="276">
        <v>44475</v>
      </c>
      <c r="D67" s="257" t="s">
        <v>1262</v>
      </c>
      <c r="E67" s="256" t="s">
        <v>1816</v>
      </c>
      <c r="F67" s="256" t="s">
        <v>1941</v>
      </c>
      <c r="G67" s="258">
        <v>5800000000</v>
      </c>
      <c r="H67" s="265">
        <v>0.1</v>
      </c>
      <c r="I67" s="258">
        <v>580000000</v>
      </c>
      <c r="J67" s="258">
        <v>6380000000</v>
      </c>
      <c r="K67" s="256" t="s">
        <v>1346</v>
      </c>
    </row>
    <row r="68" spans="1:11" x14ac:dyDescent="0.3">
      <c r="A68" s="256">
        <v>7</v>
      </c>
      <c r="B68" s="257" t="s">
        <v>1360</v>
      </c>
      <c r="C68" s="276">
        <v>44476</v>
      </c>
      <c r="D68" s="257" t="s">
        <v>1294</v>
      </c>
      <c r="E68" s="256" t="s">
        <v>1795</v>
      </c>
      <c r="F68" s="256" t="s">
        <v>1941</v>
      </c>
      <c r="G68" s="258">
        <v>3104000000</v>
      </c>
      <c r="H68" s="265">
        <v>0.1</v>
      </c>
      <c r="I68" s="258">
        <v>310400000</v>
      </c>
      <c r="J68" s="258">
        <v>3414400000</v>
      </c>
      <c r="K68" s="256" t="s">
        <v>1346</v>
      </c>
    </row>
    <row r="69" spans="1:11" x14ac:dyDescent="0.3">
      <c r="A69" s="256">
        <v>8</v>
      </c>
      <c r="B69" s="257" t="s">
        <v>1362</v>
      </c>
      <c r="C69" s="276">
        <v>44477</v>
      </c>
      <c r="D69" s="257" t="s">
        <v>1262</v>
      </c>
      <c r="E69" s="256" t="s">
        <v>1816</v>
      </c>
      <c r="F69" s="256" t="s">
        <v>1940</v>
      </c>
      <c r="G69" s="258">
        <v>3481000000</v>
      </c>
      <c r="H69" s="265">
        <v>0.1</v>
      </c>
      <c r="I69" s="258">
        <v>348100000</v>
      </c>
      <c r="J69" s="258">
        <v>3829100000</v>
      </c>
      <c r="K69" s="256" t="s">
        <v>1346</v>
      </c>
    </row>
    <row r="70" spans="1:11" x14ac:dyDescent="0.3">
      <c r="A70" s="256">
        <v>9</v>
      </c>
      <c r="B70" s="257" t="s">
        <v>1364</v>
      </c>
      <c r="C70" s="276">
        <v>44478</v>
      </c>
      <c r="D70" s="257" t="s">
        <v>1304</v>
      </c>
      <c r="E70" s="256" t="s">
        <v>1831</v>
      </c>
      <c r="F70" s="256" t="s">
        <v>1941</v>
      </c>
      <c r="G70" s="258">
        <v>5322000000</v>
      </c>
      <c r="H70" s="265">
        <v>0.1</v>
      </c>
      <c r="I70" s="258">
        <v>532200000</v>
      </c>
      <c r="J70" s="258">
        <v>5854200000</v>
      </c>
      <c r="K70" s="256" t="s">
        <v>1346</v>
      </c>
    </row>
    <row r="71" spans="1:11" x14ac:dyDescent="0.3">
      <c r="A71" s="256">
        <v>10</v>
      </c>
      <c r="B71" s="257" t="s">
        <v>1366</v>
      </c>
      <c r="C71" s="276">
        <v>44479</v>
      </c>
      <c r="D71" s="257" t="s">
        <v>1272</v>
      </c>
      <c r="E71" s="256" t="s">
        <v>1805</v>
      </c>
      <c r="F71" s="256" t="s">
        <v>1942</v>
      </c>
      <c r="G71" s="258">
        <v>2182000000</v>
      </c>
      <c r="H71" s="265">
        <v>0.1</v>
      </c>
      <c r="I71" s="258">
        <v>218200000</v>
      </c>
      <c r="J71" s="258">
        <v>2400200000</v>
      </c>
      <c r="K71" s="256" t="s">
        <v>1346</v>
      </c>
    </row>
    <row r="72" spans="1:11" x14ac:dyDescent="0.3">
      <c r="A72" s="256">
        <v>11</v>
      </c>
      <c r="B72" s="257" t="s">
        <v>1368</v>
      </c>
      <c r="C72" s="276">
        <v>44480</v>
      </c>
      <c r="D72" s="257" t="s">
        <v>1297</v>
      </c>
      <c r="E72" s="256" t="s">
        <v>1820</v>
      </c>
      <c r="F72" s="256" t="s">
        <v>1941</v>
      </c>
      <c r="G72" s="258">
        <v>5226000000</v>
      </c>
      <c r="H72" s="265">
        <v>0.1</v>
      </c>
      <c r="I72" s="258">
        <v>522600000</v>
      </c>
      <c r="J72" s="258">
        <v>5748600000</v>
      </c>
      <c r="K72" s="256" t="s">
        <v>1346</v>
      </c>
    </row>
    <row r="73" spans="1:11" x14ac:dyDescent="0.3">
      <c r="A73" s="256">
        <v>12</v>
      </c>
      <c r="B73" s="257" t="s">
        <v>1371</v>
      </c>
      <c r="C73" s="276">
        <v>44481</v>
      </c>
      <c r="D73" s="257" t="s">
        <v>1263</v>
      </c>
      <c r="E73" s="256" t="s">
        <v>1790</v>
      </c>
      <c r="F73" s="256" t="s">
        <v>1942</v>
      </c>
      <c r="G73" s="258">
        <v>5992000000</v>
      </c>
      <c r="H73" s="265">
        <v>0.1</v>
      </c>
      <c r="I73" s="258">
        <v>599200000</v>
      </c>
      <c r="J73" s="258">
        <v>6591200000</v>
      </c>
      <c r="K73" s="256" t="s">
        <v>1348</v>
      </c>
    </row>
    <row r="74" spans="1:11" x14ac:dyDescent="0.3">
      <c r="A74" s="256">
        <v>13</v>
      </c>
      <c r="B74" s="257" t="s">
        <v>1373</v>
      </c>
      <c r="C74" s="276">
        <v>44211</v>
      </c>
      <c r="D74" s="257" t="s">
        <v>1298</v>
      </c>
      <c r="E74" s="256" t="s">
        <v>1819</v>
      </c>
      <c r="F74" s="256" t="s">
        <v>1940</v>
      </c>
      <c r="G74" s="258">
        <v>6073000000</v>
      </c>
      <c r="H74" s="265">
        <v>0.1</v>
      </c>
      <c r="I74" s="258">
        <v>607300000</v>
      </c>
      <c r="J74" s="258">
        <v>6680300000</v>
      </c>
      <c r="K74" s="256" t="s">
        <v>1346</v>
      </c>
    </row>
    <row r="75" spans="1:11" x14ac:dyDescent="0.3">
      <c r="A75" s="256">
        <v>14</v>
      </c>
      <c r="B75" s="257" t="s">
        <v>1374</v>
      </c>
      <c r="C75" s="276">
        <v>44242</v>
      </c>
      <c r="D75" s="257" t="s">
        <v>1260</v>
      </c>
      <c r="E75" s="256" t="s">
        <v>1804</v>
      </c>
      <c r="F75" s="256" t="s">
        <v>1940</v>
      </c>
      <c r="G75" s="258">
        <v>5196000000</v>
      </c>
      <c r="H75" s="265">
        <v>0.1</v>
      </c>
      <c r="I75" s="258">
        <v>519600000</v>
      </c>
      <c r="J75" s="258">
        <v>5715600000</v>
      </c>
      <c r="K75" s="256" t="s">
        <v>1346</v>
      </c>
    </row>
    <row r="76" spans="1:11" x14ac:dyDescent="0.3">
      <c r="A76" s="256">
        <v>15</v>
      </c>
      <c r="B76" s="257" t="s">
        <v>1376</v>
      </c>
      <c r="C76" s="276">
        <v>44275</v>
      </c>
      <c r="D76" s="257" t="s">
        <v>1289</v>
      </c>
      <c r="E76" s="256" t="s">
        <v>1803</v>
      </c>
      <c r="F76" s="256" t="s">
        <v>1942</v>
      </c>
      <c r="G76" s="258">
        <v>5729000000</v>
      </c>
      <c r="H76" s="265">
        <v>0.1</v>
      </c>
      <c r="I76" s="258">
        <v>572900000</v>
      </c>
      <c r="J76" s="258">
        <v>6301900000</v>
      </c>
      <c r="K76" s="256" t="s">
        <v>1346</v>
      </c>
    </row>
    <row r="77" spans="1:11" x14ac:dyDescent="0.3">
      <c r="A77" s="256">
        <v>16</v>
      </c>
      <c r="B77" s="257" t="s">
        <v>1378</v>
      </c>
      <c r="C77" s="276">
        <v>44306</v>
      </c>
      <c r="D77" s="257" t="s">
        <v>1255</v>
      </c>
      <c r="E77" s="273">
        <v>46152</v>
      </c>
      <c r="F77" s="256" t="s">
        <v>1943</v>
      </c>
      <c r="G77" s="258">
        <v>3944000000</v>
      </c>
      <c r="H77" s="265">
        <v>0.1</v>
      </c>
      <c r="I77" s="258">
        <v>394400000</v>
      </c>
      <c r="J77" s="258">
        <v>4338400000</v>
      </c>
      <c r="K77" s="256" t="s">
        <v>1348</v>
      </c>
    </row>
    <row r="78" spans="1:11" x14ac:dyDescent="0.3">
      <c r="A78" s="256">
        <v>17</v>
      </c>
      <c r="B78" s="257" t="s">
        <v>1379</v>
      </c>
      <c r="C78" s="276">
        <v>44336</v>
      </c>
      <c r="D78" s="257" t="s">
        <v>1298</v>
      </c>
      <c r="E78" s="256" t="s">
        <v>1819</v>
      </c>
      <c r="F78" s="256" t="s">
        <v>1943</v>
      </c>
      <c r="G78" s="258">
        <v>5354000000</v>
      </c>
      <c r="H78" s="265">
        <v>0.1</v>
      </c>
      <c r="I78" s="258">
        <v>535400000</v>
      </c>
      <c r="J78" s="258">
        <v>5889400000</v>
      </c>
      <c r="K78" s="256" t="s">
        <v>1346</v>
      </c>
    </row>
    <row r="79" spans="1:11" x14ac:dyDescent="0.3">
      <c r="A79" s="256">
        <v>18</v>
      </c>
      <c r="B79" s="257" t="s">
        <v>1381</v>
      </c>
      <c r="C79" s="276">
        <v>44367</v>
      </c>
      <c r="D79" s="257" t="s">
        <v>1262</v>
      </c>
      <c r="E79" s="256" t="s">
        <v>1816</v>
      </c>
      <c r="F79" s="256" t="s">
        <v>1942</v>
      </c>
      <c r="G79" s="258">
        <v>4813000000</v>
      </c>
      <c r="H79" s="265">
        <v>0.1</v>
      </c>
      <c r="I79" s="258">
        <v>481300000</v>
      </c>
      <c r="J79" s="258">
        <v>5294300000</v>
      </c>
      <c r="K79" s="256" t="s">
        <v>1346</v>
      </c>
    </row>
    <row r="80" spans="1:11" x14ac:dyDescent="0.3">
      <c r="A80" s="256">
        <v>19</v>
      </c>
      <c r="B80" s="257" t="s">
        <v>1382</v>
      </c>
      <c r="C80" s="276">
        <v>44397</v>
      </c>
      <c r="D80" s="257" t="s">
        <v>1255</v>
      </c>
      <c r="E80" s="273">
        <v>46152</v>
      </c>
      <c r="F80" s="256" t="s">
        <v>1942</v>
      </c>
      <c r="G80" s="258">
        <v>2307000000</v>
      </c>
      <c r="H80" s="265">
        <v>0.1</v>
      </c>
      <c r="I80" s="258">
        <v>230700000</v>
      </c>
      <c r="J80" s="258">
        <v>2537700000</v>
      </c>
      <c r="K80" s="256" t="s">
        <v>1346</v>
      </c>
    </row>
    <row r="81" spans="1:11" x14ac:dyDescent="0.3">
      <c r="A81" s="256">
        <v>20</v>
      </c>
      <c r="B81" s="257" t="s">
        <v>1383</v>
      </c>
      <c r="C81" s="276">
        <v>44428</v>
      </c>
      <c r="D81" s="257" t="s">
        <v>1288</v>
      </c>
      <c r="E81" s="256" t="s">
        <v>1797</v>
      </c>
      <c r="F81" s="256" t="s">
        <v>1940</v>
      </c>
      <c r="G81" s="258">
        <v>5305000000</v>
      </c>
      <c r="H81" s="265">
        <v>0.1</v>
      </c>
      <c r="I81" s="258">
        <v>530500000</v>
      </c>
      <c r="J81" s="258">
        <v>5835500000</v>
      </c>
      <c r="K81" s="256" t="s">
        <v>1346</v>
      </c>
    </row>
    <row r="82" spans="1:11" x14ac:dyDescent="0.3">
      <c r="A82" s="256">
        <v>21</v>
      </c>
      <c r="B82" s="257" t="s">
        <v>1203</v>
      </c>
      <c r="C82" s="276">
        <v>44459</v>
      </c>
      <c r="D82" s="257" t="s">
        <v>1288</v>
      </c>
      <c r="E82" s="256" t="s">
        <v>1797</v>
      </c>
      <c r="F82" s="256" t="s">
        <v>1940</v>
      </c>
      <c r="G82" s="258">
        <v>5632000000</v>
      </c>
      <c r="H82" s="265">
        <v>0.1</v>
      </c>
      <c r="I82" s="258">
        <v>563200000</v>
      </c>
      <c r="J82" s="258">
        <v>6195200000</v>
      </c>
      <c r="K82" s="256" t="s">
        <v>1346</v>
      </c>
    </row>
    <row r="83" spans="1:11" x14ac:dyDescent="0.3">
      <c r="A83" s="256">
        <v>22</v>
      </c>
      <c r="B83" s="257" t="s">
        <v>1204</v>
      </c>
      <c r="C83" s="276">
        <v>44489</v>
      </c>
      <c r="D83" s="257" t="s">
        <v>1266</v>
      </c>
      <c r="E83" s="256" t="s">
        <v>1824</v>
      </c>
      <c r="F83" s="256" t="s">
        <v>1940</v>
      </c>
      <c r="G83" s="258">
        <v>2053000000</v>
      </c>
      <c r="H83" s="265">
        <v>0.1</v>
      </c>
      <c r="I83" s="258">
        <v>205300000</v>
      </c>
      <c r="J83" s="258">
        <v>2258300000</v>
      </c>
      <c r="K83" s="256" t="s">
        <v>1346</v>
      </c>
    </row>
    <row r="84" spans="1:11" x14ac:dyDescent="0.3">
      <c r="A84" s="256">
        <v>23</v>
      </c>
      <c r="B84" s="257" t="s">
        <v>1205</v>
      </c>
      <c r="C84" s="276">
        <v>44520</v>
      </c>
      <c r="D84" s="257" t="s">
        <v>1274</v>
      </c>
      <c r="E84" s="256" t="s">
        <v>1794</v>
      </c>
      <c r="F84" s="256" t="s">
        <v>1940</v>
      </c>
      <c r="G84" s="258">
        <v>3715000000</v>
      </c>
      <c r="H84" s="265">
        <v>0.1</v>
      </c>
      <c r="I84" s="258">
        <v>371500000</v>
      </c>
      <c r="J84" s="258">
        <v>4086500000</v>
      </c>
      <c r="K84" s="256" t="s">
        <v>1348</v>
      </c>
    </row>
    <row r="85" spans="1:11" x14ac:dyDescent="0.3">
      <c r="A85" s="256">
        <v>24</v>
      </c>
      <c r="B85" s="257" t="s">
        <v>1385</v>
      </c>
      <c r="C85" s="276">
        <v>44550</v>
      </c>
      <c r="D85" s="257" t="s">
        <v>1273</v>
      </c>
      <c r="E85" s="256" t="s">
        <v>1829</v>
      </c>
      <c r="F85" s="256" t="s">
        <v>1943</v>
      </c>
      <c r="G85" s="258">
        <v>3138000000</v>
      </c>
      <c r="H85" s="265">
        <v>0.1</v>
      </c>
      <c r="I85" s="258">
        <v>313800000</v>
      </c>
      <c r="J85" s="258">
        <v>3451800000</v>
      </c>
      <c r="K85" s="256" t="s">
        <v>1346</v>
      </c>
    </row>
    <row r="86" spans="1:11" x14ac:dyDescent="0.3">
      <c r="A86" s="256">
        <v>25</v>
      </c>
      <c r="B86" s="257" t="s">
        <v>1387</v>
      </c>
      <c r="C86" s="276">
        <v>44221</v>
      </c>
      <c r="D86" s="257" t="s">
        <v>1263</v>
      </c>
      <c r="E86" s="256" t="s">
        <v>1790</v>
      </c>
      <c r="F86" s="256" t="s">
        <v>1942</v>
      </c>
      <c r="G86" s="258">
        <v>3434000000</v>
      </c>
      <c r="H86" s="265">
        <v>0.1</v>
      </c>
      <c r="I86" s="258">
        <v>343400000</v>
      </c>
      <c r="J86" s="258">
        <v>3777400000</v>
      </c>
      <c r="K86" s="256" t="s">
        <v>1346</v>
      </c>
    </row>
    <row r="87" spans="1:11" x14ac:dyDescent="0.3">
      <c r="A87" s="256">
        <v>26</v>
      </c>
      <c r="B87" s="257" t="s">
        <v>1388</v>
      </c>
      <c r="C87" s="276">
        <v>44255</v>
      </c>
      <c r="D87" s="257" t="s">
        <v>1283</v>
      </c>
      <c r="E87" s="256" t="s">
        <v>1798</v>
      </c>
      <c r="F87" s="256" t="s">
        <v>1942</v>
      </c>
      <c r="G87" s="258">
        <v>3024000000</v>
      </c>
      <c r="H87" s="265">
        <v>0.1</v>
      </c>
      <c r="I87" s="258">
        <v>302400000</v>
      </c>
      <c r="J87" s="258">
        <v>3326400000</v>
      </c>
      <c r="K87" s="256" t="s">
        <v>1346</v>
      </c>
    </row>
    <row r="88" spans="1:11" x14ac:dyDescent="0.3">
      <c r="A88" s="256">
        <v>27</v>
      </c>
      <c r="B88" s="257" t="s">
        <v>1391</v>
      </c>
      <c r="C88" s="276">
        <v>44316</v>
      </c>
      <c r="D88" s="257" t="s">
        <v>1273</v>
      </c>
      <c r="E88" s="256" t="s">
        <v>1829</v>
      </c>
      <c r="F88" s="256" t="s">
        <v>1941</v>
      </c>
      <c r="G88" s="258">
        <v>4393000000</v>
      </c>
      <c r="H88" s="265">
        <v>0.1</v>
      </c>
      <c r="I88" s="258">
        <v>439300000</v>
      </c>
      <c r="J88" s="258">
        <v>4832300000</v>
      </c>
      <c r="K88" s="256" t="s">
        <v>1348</v>
      </c>
    </row>
    <row r="89" spans="1:11" x14ac:dyDescent="0.3">
      <c r="A89" s="256">
        <v>28</v>
      </c>
      <c r="B89" s="257" t="s">
        <v>1392</v>
      </c>
      <c r="C89" s="276">
        <v>44377</v>
      </c>
      <c r="D89" s="257" t="s">
        <v>1258</v>
      </c>
      <c r="E89" s="256" t="s">
        <v>1833</v>
      </c>
      <c r="F89" s="256" t="s">
        <v>1942</v>
      </c>
      <c r="G89" s="258">
        <v>5363000000</v>
      </c>
      <c r="H89" s="265">
        <v>0.1</v>
      </c>
      <c r="I89" s="258">
        <v>536300000</v>
      </c>
      <c r="J89" s="258">
        <v>5899300000</v>
      </c>
      <c r="K89" s="256" t="s">
        <v>1346</v>
      </c>
    </row>
    <row r="90" spans="1:11" x14ac:dyDescent="0.3">
      <c r="A90" s="256">
        <v>29</v>
      </c>
      <c r="B90" s="257" t="s">
        <v>1394</v>
      </c>
      <c r="C90" s="276">
        <v>44469</v>
      </c>
      <c r="D90" s="257" t="s">
        <v>1262</v>
      </c>
      <c r="E90" s="256" t="s">
        <v>1816</v>
      </c>
      <c r="F90" s="256" t="s">
        <v>1943</v>
      </c>
      <c r="G90" s="258">
        <v>4734000000</v>
      </c>
      <c r="H90" s="265">
        <v>0</v>
      </c>
      <c r="I90" s="258">
        <v>0</v>
      </c>
      <c r="J90" s="258">
        <v>4734000000</v>
      </c>
      <c r="K90" s="256" t="s">
        <v>1348</v>
      </c>
    </row>
    <row r="91" spans="1:11" x14ac:dyDescent="0.3">
      <c r="A91" s="256">
        <v>30</v>
      </c>
      <c r="B91" s="257" t="s">
        <v>1396</v>
      </c>
      <c r="C91" s="276">
        <v>44530</v>
      </c>
      <c r="D91" s="257" t="s">
        <v>1266</v>
      </c>
      <c r="E91" s="256" t="s">
        <v>1824</v>
      </c>
      <c r="F91" s="256" t="s">
        <v>1942</v>
      </c>
      <c r="G91" s="258">
        <v>4129000000</v>
      </c>
      <c r="H91" s="265">
        <v>0.1</v>
      </c>
      <c r="I91" s="258">
        <v>412900000</v>
      </c>
      <c r="J91" s="258">
        <v>4541900000</v>
      </c>
      <c r="K91" s="256" t="s">
        <v>1346</v>
      </c>
    </row>
    <row r="92" spans="1:11" x14ac:dyDescent="0.3">
      <c r="A92" s="256">
        <v>31</v>
      </c>
      <c r="B92" s="257" t="s">
        <v>1397</v>
      </c>
      <c r="C92" s="276">
        <v>44286</v>
      </c>
      <c r="D92" s="257" t="s">
        <v>1289</v>
      </c>
      <c r="E92" s="256" t="s">
        <v>1803</v>
      </c>
      <c r="F92" s="256" t="s">
        <v>1940</v>
      </c>
      <c r="G92" s="258">
        <v>6910000000</v>
      </c>
      <c r="H92" s="265">
        <v>0.1</v>
      </c>
      <c r="I92" s="258">
        <v>691000000</v>
      </c>
      <c r="J92" s="258">
        <v>7601000000</v>
      </c>
      <c r="K92" s="256" t="s">
        <v>1346</v>
      </c>
    </row>
    <row r="93" spans="1:11" x14ac:dyDescent="0.3">
      <c r="A93" s="256">
        <v>32</v>
      </c>
      <c r="B93" s="257" t="s">
        <v>1398</v>
      </c>
      <c r="C93" s="276">
        <v>44347</v>
      </c>
      <c r="D93" s="257" t="s">
        <v>1277</v>
      </c>
      <c r="E93" s="256" t="s">
        <v>1783</v>
      </c>
      <c r="F93" s="256" t="s">
        <v>1940</v>
      </c>
      <c r="G93" s="258">
        <v>6292000000</v>
      </c>
      <c r="H93" s="265">
        <v>0.1</v>
      </c>
      <c r="I93" s="258">
        <v>629200000</v>
      </c>
      <c r="J93" s="258">
        <v>6921200000</v>
      </c>
      <c r="K93" s="256" t="s">
        <v>1348</v>
      </c>
    </row>
    <row r="94" spans="1:11" x14ac:dyDescent="0.3">
      <c r="A94" s="256">
        <v>33</v>
      </c>
      <c r="B94" s="257" t="s">
        <v>1399</v>
      </c>
      <c r="C94" s="276">
        <v>44408</v>
      </c>
      <c r="D94" s="257" t="s">
        <v>1301</v>
      </c>
      <c r="E94" s="256" t="s">
        <v>1781</v>
      </c>
      <c r="F94" s="256" t="s">
        <v>1941</v>
      </c>
      <c r="G94" s="258">
        <v>4364000000</v>
      </c>
      <c r="H94" s="265">
        <v>0.1</v>
      </c>
      <c r="I94" s="258">
        <v>436400000</v>
      </c>
      <c r="J94" s="258">
        <v>4800400000</v>
      </c>
      <c r="K94" s="256" t="s">
        <v>1346</v>
      </c>
    </row>
    <row r="95" spans="1:11" x14ac:dyDescent="0.3">
      <c r="A95" s="256">
        <v>34</v>
      </c>
      <c r="B95" s="257" t="s">
        <v>1401</v>
      </c>
      <c r="C95" s="276">
        <v>44439</v>
      </c>
      <c r="D95" s="257" t="s">
        <v>1285</v>
      </c>
      <c r="E95" s="256" t="s">
        <v>1793</v>
      </c>
      <c r="F95" s="256" t="s">
        <v>1942</v>
      </c>
      <c r="G95" s="258">
        <v>7182000000</v>
      </c>
      <c r="H95" s="265">
        <v>0.1</v>
      </c>
      <c r="I95" s="258">
        <v>718200000</v>
      </c>
      <c r="J95" s="258">
        <v>7900200000</v>
      </c>
      <c r="K95" s="256" t="s">
        <v>1346</v>
      </c>
    </row>
    <row r="96" spans="1:11" x14ac:dyDescent="0.3">
      <c r="A96" s="256">
        <v>35</v>
      </c>
      <c r="B96" s="257" t="s">
        <v>1402</v>
      </c>
      <c r="C96" s="276">
        <v>44500</v>
      </c>
      <c r="D96" s="257" t="s">
        <v>1283</v>
      </c>
      <c r="E96" s="256" t="s">
        <v>1798</v>
      </c>
      <c r="F96" s="256" t="s">
        <v>1943</v>
      </c>
      <c r="G96" s="258">
        <v>7022000000</v>
      </c>
      <c r="H96" s="265">
        <v>0.1</v>
      </c>
      <c r="I96" s="258">
        <v>702200000</v>
      </c>
      <c r="J96" s="258">
        <v>7724200000</v>
      </c>
      <c r="K96" s="256" t="s">
        <v>1346</v>
      </c>
    </row>
    <row r="97" spans="1:11" x14ac:dyDescent="0.3">
      <c r="A97" s="256">
        <v>36</v>
      </c>
      <c r="B97" s="257" t="s">
        <v>1403</v>
      </c>
      <c r="C97" s="276">
        <v>44561</v>
      </c>
      <c r="D97" s="257" t="s">
        <v>1282</v>
      </c>
      <c r="E97" s="256" t="s">
        <v>1789</v>
      </c>
      <c r="F97" s="256" t="s">
        <v>1943</v>
      </c>
      <c r="G97" s="258">
        <v>4990000000</v>
      </c>
      <c r="H97" s="265">
        <v>0.1</v>
      </c>
      <c r="I97" s="258">
        <v>499000000</v>
      </c>
      <c r="J97" s="258">
        <v>5489000000</v>
      </c>
      <c r="K97" s="256" t="s">
        <v>1346</v>
      </c>
    </row>
    <row r="98" spans="1:11" x14ac:dyDescent="0.3">
      <c r="A98" s="256">
        <v>37</v>
      </c>
      <c r="B98" s="257" t="s">
        <v>1404</v>
      </c>
      <c r="C98" s="276">
        <v>44561</v>
      </c>
      <c r="D98" s="257" t="s">
        <v>1257</v>
      </c>
      <c r="E98" s="256" t="s">
        <v>1815</v>
      </c>
      <c r="F98" s="256" t="s">
        <v>1941</v>
      </c>
      <c r="G98" s="258">
        <v>4141000000</v>
      </c>
      <c r="H98" s="265">
        <v>0.1</v>
      </c>
      <c r="I98" s="258">
        <v>414100000</v>
      </c>
      <c r="J98" s="258">
        <v>4555100000</v>
      </c>
      <c r="K98" s="256" t="s">
        <v>1346</v>
      </c>
    </row>
    <row r="99" spans="1:11" x14ac:dyDescent="0.3">
      <c r="A99" s="256">
        <v>38</v>
      </c>
      <c r="B99" s="257" t="s">
        <v>1405</v>
      </c>
      <c r="C99" s="276">
        <v>44561</v>
      </c>
      <c r="D99" s="257" t="s">
        <v>1296</v>
      </c>
      <c r="E99" s="256" t="s">
        <v>1807</v>
      </c>
      <c r="F99" s="256" t="s">
        <v>1941</v>
      </c>
      <c r="G99" s="258">
        <v>2468000000</v>
      </c>
      <c r="H99" s="265">
        <v>0.1</v>
      </c>
      <c r="I99" s="258">
        <v>246800000</v>
      </c>
      <c r="J99" s="258">
        <v>2714800000</v>
      </c>
      <c r="K99" s="256" t="s">
        <v>1346</v>
      </c>
    </row>
    <row r="100" spans="1:11" x14ac:dyDescent="0.3">
      <c r="A100" s="256">
        <v>39</v>
      </c>
      <c r="B100" s="257" t="s">
        <v>1406</v>
      </c>
      <c r="C100" s="276">
        <v>44561</v>
      </c>
      <c r="D100" s="257" t="s">
        <v>1286</v>
      </c>
      <c r="E100" s="256" t="s">
        <v>1828</v>
      </c>
      <c r="F100" s="256" t="s">
        <v>1942</v>
      </c>
      <c r="G100" s="258">
        <v>3898000000</v>
      </c>
      <c r="H100" s="265">
        <v>0.1</v>
      </c>
      <c r="I100" s="258">
        <v>389800000</v>
      </c>
      <c r="J100" s="258">
        <v>4287800000</v>
      </c>
      <c r="K100" s="256" t="s">
        <v>1346</v>
      </c>
    </row>
    <row r="101" spans="1:11" x14ac:dyDescent="0.3">
      <c r="A101" s="256">
        <v>40</v>
      </c>
      <c r="B101" s="257" t="s">
        <v>1408</v>
      </c>
      <c r="C101" s="276">
        <v>44561</v>
      </c>
      <c r="D101" s="257" t="s">
        <v>1263</v>
      </c>
      <c r="E101" s="256" t="s">
        <v>1790</v>
      </c>
      <c r="F101" s="256" t="s">
        <v>1942</v>
      </c>
      <c r="G101" s="258">
        <v>6476000000</v>
      </c>
      <c r="H101" s="265">
        <v>0.1</v>
      </c>
      <c r="I101" s="258">
        <v>647600000</v>
      </c>
      <c r="J101" s="258">
        <v>7123600000</v>
      </c>
      <c r="K101" s="256" t="s">
        <v>1346</v>
      </c>
    </row>
    <row r="102" spans="1:11" x14ac:dyDescent="0.3">
      <c r="A102" s="256">
        <v>41</v>
      </c>
      <c r="B102" s="257" t="s">
        <v>1409</v>
      </c>
      <c r="C102" s="276">
        <v>44561</v>
      </c>
      <c r="D102" s="257" t="s">
        <v>1262</v>
      </c>
      <c r="E102" s="256" t="s">
        <v>1816</v>
      </c>
      <c r="F102" s="256" t="s">
        <v>1940</v>
      </c>
      <c r="G102" s="258">
        <v>4378000000</v>
      </c>
      <c r="H102" s="265">
        <v>0.1</v>
      </c>
      <c r="I102" s="258">
        <v>437800000</v>
      </c>
      <c r="J102" s="258">
        <v>4815800000</v>
      </c>
      <c r="K102" s="256" t="s">
        <v>1346</v>
      </c>
    </row>
    <row r="103" spans="1:11" x14ac:dyDescent="0.3">
      <c r="A103" s="256">
        <v>42</v>
      </c>
      <c r="B103" s="257" t="s">
        <v>1411</v>
      </c>
      <c r="C103" s="276">
        <v>44561</v>
      </c>
      <c r="D103" s="257" t="s">
        <v>1284</v>
      </c>
      <c r="E103" s="256" t="s">
        <v>1786</v>
      </c>
      <c r="F103" s="256" t="s">
        <v>1943</v>
      </c>
      <c r="G103" s="258">
        <v>3113000000</v>
      </c>
      <c r="H103" s="265">
        <v>0.1</v>
      </c>
      <c r="I103" s="258">
        <v>311300000</v>
      </c>
      <c r="J103" s="258">
        <v>3424300000</v>
      </c>
      <c r="K103" s="256" t="s">
        <v>1346</v>
      </c>
    </row>
    <row r="104" spans="1:11" x14ac:dyDescent="0.3">
      <c r="A104" s="256">
        <v>43</v>
      </c>
      <c r="B104" s="257" t="s">
        <v>1414</v>
      </c>
      <c r="C104" s="276">
        <v>44561</v>
      </c>
      <c r="D104" s="257" t="s">
        <v>1293</v>
      </c>
      <c r="E104" s="256" t="s">
        <v>1826</v>
      </c>
      <c r="F104" s="256" t="s">
        <v>1941</v>
      </c>
      <c r="G104" s="258">
        <v>6244000000</v>
      </c>
      <c r="H104" s="265">
        <v>0.1</v>
      </c>
      <c r="I104" s="258">
        <v>624400000</v>
      </c>
      <c r="J104" s="258">
        <v>6868400000</v>
      </c>
      <c r="K104" s="256" t="s">
        <v>1346</v>
      </c>
    </row>
    <row r="105" spans="1:11" x14ac:dyDescent="0.3">
      <c r="A105" s="256">
        <v>44</v>
      </c>
      <c r="B105" s="257" t="s">
        <v>1415</v>
      </c>
      <c r="C105" s="276">
        <v>44561</v>
      </c>
      <c r="D105" s="257" t="s">
        <v>1304</v>
      </c>
      <c r="E105" s="256" t="s">
        <v>1831</v>
      </c>
      <c r="F105" s="256" t="s">
        <v>1941</v>
      </c>
      <c r="G105" s="258">
        <v>3549000000</v>
      </c>
      <c r="H105" s="265">
        <v>0.1</v>
      </c>
      <c r="I105" s="258">
        <v>354900000</v>
      </c>
      <c r="J105" s="258">
        <v>3903900000</v>
      </c>
      <c r="K105" s="256" t="s">
        <v>1346</v>
      </c>
    </row>
    <row r="106" spans="1:11" x14ac:dyDescent="0.3">
      <c r="A106" s="256">
        <v>45</v>
      </c>
      <c r="B106" s="257" t="s">
        <v>1206</v>
      </c>
      <c r="C106" s="276">
        <v>44561</v>
      </c>
      <c r="D106" s="257" t="s">
        <v>1284</v>
      </c>
      <c r="E106" s="256" t="s">
        <v>1786</v>
      </c>
      <c r="F106" s="256" t="s">
        <v>1942</v>
      </c>
      <c r="G106" s="258">
        <v>6838000000</v>
      </c>
      <c r="H106" s="265">
        <v>0.1</v>
      </c>
      <c r="I106" s="258">
        <v>683800000</v>
      </c>
      <c r="J106" s="258">
        <v>7521800000</v>
      </c>
      <c r="K106" s="256" t="s">
        <v>1346</v>
      </c>
    </row>
    <row r="107" spans="1:11" x14ac:dyDescent="0.3">
      <c r="A107" s="256">
        <v>46</v>
      </c>
      <c r="B107" s="257" t="s">
        <v>1207</v>
      </c>
      <c r="C107" s="276">
        <v>44561</v>
      </c>
      <c r="D107" s="257" t="s">
        <v>1285</v>
      </c>
      <c r="E107" s="256" t="s">
        <v>1793</v>
      </c>
      <c r="F107" s="256" t="s">
        <v>1941</v>
      </c>
      <c r="G107" s="258">
        <v>5530000000</v>
      </c>
      <c r="H107" s="265">
        <v>0.1</v>
      </c>
      <c r="I107" s="258">
        <v>553000000</v>
      </c>
      <c r="J107" s="258">
        <v>6083000000</v>
      </c>
      <c r="K107" s="256" t="s">
        <v>1346</v>
      </c>
    </row>
    <row r="108" spans="1:11" x14ac:dyDescent="0.3">
      <c r="A108" s="256">
        <v>47</v>
      </c>
      <c r="B108" s="257" t="s">
        <v>1208</v>
      </c>
      <c r="C108" s="276">
        <v>44561</v>
      </c>
      <c r="D108" s="257" t="s">
        <v>1294</v>
      </c>
      <c r="E108" s="256" t="s">
        <v>1795</v>
      </c>
      <c r="F108" s="256" t="s">
        <v>1940</v>
      </c>
      <c r="G108" s="258">
        <v>5202000000</v>
      </c>
      <c r="H108" s="265">
        <v>0.1</v>
      </c>
      <c r="I108" s="258">
        <v>520200000</v>
      </c>
      <c r="J108" s="258">
        <v>5722200000</v>
      </c>
      <c r="K108" s="256" t="s">
        <v>1346</v>
      </c>
    </row>
    <row r="109" spans="1:11" x14ac:dyDescent="0.3">
      <c r="A109" s="256">
        <v>48</v>
      </c>
      <c r="B109" s="257" t="s">
        <v>1209</v>
      </c>
      <c r="C109" s="276">
        <v>44561</v>
      </c>
      <c r="D109" s="257" t="s">
        <v>1283</v>
      </c>
      <c r="E109" s="256" t="s">
        <v>1798</v>
      </c>
      <c r="F109" s="256" t="s">
        <v>1940</v>
      </c>
      <c r="G109" s="258">
        <v>4456000000</v>
      </c>
      <c r="H109" s="265">
        <v>0.1</v>
      </c>
      <c r="I109" s="258">
        <v>445600000</v>
      </c>
      <c r="J109" s="258">
        <v>4901600000</v>
      </c>
      <c r="K109" s="256" t="s">
        <v>1346</v>
      </c>
    </row>
    <row r="110" spans="1:11" x14ac:dyDescent="0.3">
      <c r="A110" s="256">
        <v>49</v>
      </c>
      <c r="B110" s="257" t="s">
        <v>1418</v>
      </c>
      <c r="C110" s="276">
        <v>44561</v>
      </c>
      <c r="D110" s="257" t="s">
        <v>1286</v>
      </c>
      <c r="E110" s="256" t="s">
        <v>1828</v>
      </c>
      <c r="F110" s="256" t="s">
        <v>1943</v>
      </c>
      <c r="G110" s="258">
        <v>6995000000</v>
      </c>
      <c r="H110" s="265">
        <v>0.1</v>
      </c>
      <c r="I110" s="258">
        <v>699500000</v>
      </c>
      <c r="J110" s="258">
        <v>7694500000</v>
      </c>
      <c r="K110" s="256" t="s">
        <v>1348</v>
      </c>
    </row>
    <row r="111" spans="1:11" x14ac:dyDescent="0.3">
      <c r="A111" s="256">
        <v>50</v>
      </c>
      <c r="B111" s="257" t="s">
        <v>1419</v>
      </c>
      <c r="C111" s="276">
        <v>44561</v>
      </c>
      <c r="D111" s="257" t="s">
        <v>1267</v>
      </c>
      <c r="E111" s="256" t="s">
        <v>1810</v>
      </c>
      <c r="F111" s="256" t="s">
        <v>1942</v>
      </c>
      <c r="G111" s="258">
        <v>5032000000</v>
      </c>
      <c r="H111" s="265">
        <v>0.1</v>
      </c>
      <c r="I111" s="258">
        <v>503200000</v>
      </c>
      <c r="J111" s="258">
        <v>5535200000</v>
      </c>
      <c r="K111" s="256" t="s">
        <v>1346</v>
      </c>
    </row>
    <row r="112" spans="1:11" x14ac:dyDescent="0.3">
      <c r="A112" s="266" t="s">
        <v>1351</v>
      </c>
      <c r="B112" s="266"/>
      <c r="C112" s="266"/>
      <c r="D112" s="266"/>
      <c r="E112" s="266"/>
      <c r="F112" s="266"/>
      <c r="G112" s="267">
        <f>SUM(G62:G111)</f>
        <v>239981000000</v>
      </c>
      <c r="H112" s="266"/>
      <c r="I112" s="267">
        <f>SUM(I62:I111)</f>
        <v>23048900000</v>
      </c>
      <c r="J112" s="267">
        <f>SUM(J62:J111)</f>
        <v>263029900000</v>
      </c>
      <c r="K112" s="266"/>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1001</v>
      </c>
      <c r="C1" s="256"/>
      <c r="D1" s="256"/>
      <c r="E1" s="256"/>
      <c r="F1" s="256"/>
      <c r="G1" s="256"/>
      <c r="H1" s="256"/>
      <c r="I1" s="256"/>
      <c r="J1" s="256"/>
      <c r="K1" s="256"/>
    </row>
    <row r="2" spans="1:11" x14ac:dyDescent="0.3">
      <c r="A2" s="256" t="s">
        <v>1339</v>
      </c>
      <c r="B2" s="257">
        <v>108831225</v>
      </c>
      <c r="C2" s="256"/>
      <c r="D2" s="256"/>
      <c r="E2" s="256"/>
      <c r="F2" s="256"/>
      <c r="G2" s="256"/>
      <c r="H2" s="256"/>
      <c r="I2" s="256"/>
      <c r="J2" s="256"/>
      <c r="K2" s="256"/>
    </row>
    <row r="3" spans="1:11" x14ac:dyDescent="0.3">
      <c r="A3" s="256" t="s">
        <v>1343</v>
      </c>
      <c r="B3" s="258">
        <v>766066839085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1485</v>
      </c>
      <c r="C8" s="276">
        <v>44317</v>
      </c>
      <c r="D8" s="257" t="s">
        <v>1275</v>
      </c>
      <c r="E8" s="256" t="s">
        <v>1808</v>
      </c>
      <c r="F8" s="256" t="s">
        <v>1746</v>
      </c>
      <c r="G8" s="258">
        <v>5203000000</v>
      </c>
      <c r="H8" s="265">
        <v>0.1</v>
      </c>
      <c r="I8" s="258">
        <v>520300000</v>
      </c>
      <c r="J8" s="258">
        <v>5723300000</v>
      </c>
      <c r="K8" s="256" t="s">
        <v>1346</v>
      </c>
    </row>
    <row r="9" spans="1:11" x14ac:dyDescent="0.3">
      <c r="A9" s="256">
        <v>2</v>
      </c>
      <c r="B9" s="257" t="s">
        <v>1476</v>
      </c>
      <c r="C9" s="276">
        <v>44318</v>
      </c>
      <c r="D9" s="257" t="s">
        <v>1280</v>
      </c>
      <c r="E9" s="256" t="s">
        <v>1777</v>
      </c>
      <c r="F9" s="256" t="s">
        <v>1944</v>
      </c>
      <c r="G9" s="258">
        <v>17140000000</v>
      </c>
      <c r="H9" s="265">
        <v>0.1</v>
      </c>
      <c r="I9" s="258">
        <v>1714000000</v>
      </c>
      <c r="J9" s="258">
        <v>18854000000</v>
      </c>
      <c r="K9" s="256" t="s">
        <v>1346</v>
      </c>
    </row>
    <row r="10" spans="1:11" x14ac:dyDescent="0.3">
      <c r="A10" s="256">
        <v>3</v>
      </c>
      <c r="B10" s="257" t="s">
        <v>1495</v>
      </c>
      <c r="C10" s="276">
        <v>44472</v>
      </c>
      <c r="D10" s="257" t="s">
        <v>1260</v>
      </c>
      <c r="E10" s="256" t="s">
        <v>1804</v>
      </c>
      <c r="F10" s="256" t="s">
        <v>1945</v>
      </c>
      <c r="G10" s="258">
        <v>6658000000</v>
      </c>
      <c r="H10" s="265">
        <v>0.1</v>
      </c>
      <c r="I10" s="258">
        <v>665800000</v>
      </c>
      <c r="J10" s="258">
        <v>7323800000</v>
      </c>
      <c r="K10" s="256" t="s">
        <v>1346</v>
      </c>
    </row>
    <row r="11" spans="1:11" x14ac:dyDescent="0.3">
      <c r="A11" s="256">
        <v>4</v>
      </c>
      <c r="B11" s="257" t="s">
        <v>1492</v>
      </c>
      <c r="C11" s="276">
        <v>44473</v>
      </c>
      <c r="D11" s="257" t="s">
        <v>1272</v>
      </c>
      <c r="E11" s="256" t="s">
        <v>1805</v>
      </c>
      <c r="F11" s="256" t="s">
        <v>1741</v>
      </c>
      <c r="G11" s="258">
        <v>16045000000</v>
      </c>
      <c r="H11" s="265">
        <v>0.1</v>
      </c>
      <c r="I11" s="258">
        <v>1604500000</v>
      </c>
      <c r="J11" s="258">
        <v>17649500000</v>
      </c>
      <c r="K11" s="256" t="s">
        <v>1346</v>
      </c>
    </row>
    <row r="12" spans="1:11" x14ac:dyDescent="0.3">
      <c r="A12" s="256">
        <v>5</v>
      </c>
      <c r="B12" s="257" t="s">
        <v>1414</v>
      </c>
      <c r="C12" s="276">
        <v>44474</v>
      </c>
      <c r="D12" s="257" t="s">
        <v>1297</v>
      </c>
      <c r="E12" s="256" t="s">
        <v>1820</v>
      </c>
      <c r="F12" s="256" t="s">
        <v>1741</v>
      </c>
      <c r="G12" s="258">
        <v>16916000000</v>
      </c>
      <c r="H12" s="265">
        <v>0.1</v>
      </c>
      <c r="I12" s="258">
        <v>1691600000</v>
      </c>
      <c r="J12" s="258">
        <v>18607600000</v>
      </c>
      <c r="K12" s="256" t="s">
        <v>1348</v>
      </c>
    </row>
    <row r="13" spans="1:11" x14ac:dyDescent="0.3">
      <c r="A13" s="256">
        <v>6</v>
      </c>
      <c r="B13" s="257" t="s">
        <v>1419</v>
      </c>
      <c r="C13" s="276">
        <v>44475</v>
      </c>
      <c r="D13" s="257" t="s">
        <v>1267</v>
      </c>
      <c r="E13" s="256" t="s">
        <v>1810</v>
      </c>
      <c r="F13" s="256" t="s">
        <v>1946</v>
      </c>
      <c r="G13" s="258">
        <v>5185000000</v>
      </c>
      <c r="H13" s="265">
        <v>0.1</v>
      </c>
      <c r="I13" s="258">
        <v>518500000</v>
      </c>
      <c r="J13" s="258">
        <v>5703500000</v>
      </c>
      <c r="K13" s="256" t="s">
        <v>1346</v>
      </c>
    </row>
    <row r="14" spans="1:11" x14ac:dyDescent="0.3">
      <c r="A14" s="256">
        <v>7</v>
      </c>
      <c r="B14" s="257" t="s">
        <v>1481</v>
      </c>
      <c r="C14" s="276">
        <v>44476</v>
      </c>
      <c r="D14" s="257" t="s">
        <v>1256</v>
      </c>
      <c r="E14" s="256" t="s">
        <v>1802</v>
      </c>
      <c r="F14" s="256" t="s">
        <v>1944</v>
      </c>
      <c r="G14" s="258">
        <v>6753000000</v>
      </c>
      <c r="H14" s="265">
        <v>0.1</v>
      </c>
      <c r="I14" s="258">
        <v>675300000</v>
      </c>
      <c r="J14" s="258">
        <v>7428300000</v>
      </c>
      <c r="K14" s="256" t="s">
        <v>1346</v>
      </c>
    </row>
    <row r="15" spans="1:11" x14ac:dyDescent="0.3">
      <c r="A15" s="256">
        <v>8</v>
      </c>
      <c r="B15" s="257" t="s">
        <v>1470</v>
      </c>
      <c r="C15" s="276">
        <v>44477</v>
      </c>
      <c r="D15" s="257" t="s">
        <v>1299</v>
      </c>
      <c r="E15" s="256" t="s">
        <v>1776</v>
      </c>
      <c r="F15" s="256" t="s">
        <v>1947</v>
      </c>
      <c r="G15" s="258">
        <v>4950000000</v>
      </c>
      <c r="H15" s="265">
        <v>0.1</v>
      </c>
      <c r="I15" s="258">
        <v>495000000</v>
      </c>
      <c r="J15" s="258">
        <v>5445000000</v>
      </c>
      <c r="K15" s="256" t="s">
        <v>1346</v>
      </c>
    </row>
    <row r="16" spans="1:11" x14ac:dyDescent="0.3">
      <c r="A16" s="256">
        <v>9</v>
      </c>
      <c r="B16" s="257" t="s">
        <v>1473</v>
      </c>
      <c r="C16" s="276">
        <v>44478</v>
      </c>
      <c r="D16" s="257" t="s">
        <v>1278</v>
      </c>
      <c r="E16" s="256" t="s">
        <v>1785</v>
      </c>
      <c r="F16" s="256" t="s">
        <v>1945</v>
      </c>
      <c r="G16" s="258">
        <v>14745000000</v>
      </c>
      <c r="H16" s="265">
        <v>0.1</v>
      </c>
      <c r="I16" s="258">
        <v>1474500000</v>
      </c>
      <c r="J16" s="258">
        <v>16219500000</v>
      </c>
      <c r="K16" s="256" t="s">
        <v>1346</v>
      </c>
    </row>
    <row r="17" spans="1:11" x14ac:dyDescent="0.3">
      <c r="A17" s="256">
        <v>10</v>
      </c>
      <c r="B17" s="257" t="s">
        <v>1456</v>
      </c>
      <c r="C17" s="276">
        <v>44479</v>
      </c>
      <c r="D17" s="257" t="s">
        <v>1255</v>
      </c>
      <c r="E17" s="273">
        <v>46152</v>
      </c>
      <c r="F17" s="256" t="s">
        <v>1945</v>
      </c>
      <c r="G17" s="258">
        <v>7405000000</v>
      </c>
      <c r="H17" s="265">
        <v>0.1</v>
      </c>
      <c r="I17" s="258">
        <v>740500000</v>
      </c>
      <c r="J17" s="258">
        <v>8145500000</v>
      </c>
      <c r="K17" s="256" t="s">
        <v>1346</v>
      </c>
    </row>
    <row r="18" spans="1:11" x14ac:dyDescent="0.3">
      <c r="A18" s="256">
        <v>11</v>
      </c>
      <c r="B18" s="257" t="s">
        <v>1496</v>
      </c>
      <c r="C18" s="276">
        <v>44480</v>
      </c>
      <c r="D18" s="257" t="s">
        <v>1274</v>
      </c>
      <c r="E18" s="256" t="s">
        <v>1794</v>
      </c>
      <c r="F18" s="256" t="s">
        <v>1947</v>
      </c>
      <c r="G18" s="258">
        <v>17233000000</v>
      </c>
      <c r="H18" s="265">
        <v>0.1</v>
      </c>
      <c r="I18" s="258">
        <v>1723300000</v>
      </c>
      <c r="J18" s="258">
        <v>18956300000</v>
      </c>
      <c r="K18" s="256" t="s">
        <v>1346</v>
      </c>
    </row>
    <row r="19" spans="1:11" x14ac:dyDescent="0.3">
      <c r="A19" s="256">
        <v>12</v>
      </c>
      <c r="B19" s="257" t="s">
        <v>1470</v>
      </c>
      <c r="C19" s="276">
        <v>44481</v>
      </c>
      <c r="D19" s="257" t="s">
        <v>1262</v>
      </c>
      <c r="E19" s="256" t="s">
        <v>1816</v>
      </c>
      <c r="F19" s="256" t="s">
        <v>1946</v>
      </c>
      <c r="G19" s="258">
        <v>7799000000</v>
      </c>
      <c r="H19" s="265">
        <v>0.1</v>
      </c>
      <c r="I19" s="258">
        <v>779900000</v>
      </c>
      <c r="J19" s="258">
        <v>8578900000</v>
      </c>
      <c r="K19" s="256" t="s">
        <v>1346</v>
      </c>
    </row>
    <row r="20" spans="1:11" x14ac:dyDescent="0.3">
      <c r="A20" s="256">
        <v>13</v>
      </c>
      <c r="B20" s="257" t="s">
        <v>1209</v>
      </c>
      <c r="C20" s="276">
        <v>44211</v>
      </c>
      <c r="D20" s="257" t="s">
        <v>1292</v>
      </c>
      <c r="E20" s="256" t="s">
        <v>1792</v>
      </c>
      <c r="F20" s="256" t="s">
        <v>1946</v>
      </c>
      <c r="G20" s="258">
        <v>6809000000</v>
      </c>
      <c r="H20" s="265">
        <v>0.1</v>
      </c>
      <c r="I20" s="258">
        <v>680900000</v>
      </c>
      <c r="J20" s="258">
        <v>7489900000</v>
      </c>
      <c r="K20" s="256" t="s">
        <v>1348</v>
      </c>
    </row>
    <row r="21" spans="1:11" x14ac:dyDescent="0.3">
      <c r="A21" s="256">
        <v>14</v>
      </c>
      <c r="B21" s="257" t="s">
        <v>1459</v>
      </c>
      <c r="C21" s="276">
        <v>44242</v>
      </c>
      <c r="D21" s="257" t="s">
        <v>1301</v>
      </c>
      <c r="E21" s="256" t="s">
        <v>1781</v>
      </c>
      <c r="F21" s="256" t="s">
        <v>1746</v>
      </c>
      <c r="G21" s="258">
        <v>6468000000</v>
      </c>
      <c r="H21" s="265">
        <v>0.1</v>
      </c>
      <c r="I21" s="258">
        <v>646800000</v>
      </c>
      <c r="J21" s="258">
        <v>7114800000</v>
      </c>
      <c r="K21" s="256" t="s">
        <v>1346</v>
      </c>
    </row>
    <row r="22" spans="1:11" x14ac:dyDescent="0.3">
      <c r="A22" s="256">
        <v>15</v>
      </c>
      <c r="B22" s="257" t="s">
        <v>1480</v>
      </c>
      <c r="C22" s="276">
        <v>44275</v>
      </c>
      <c r="D22" s="257" t="s">
        <v>1288</v>
      </c>
      <c r="E22" s="256" t="s">
        <v>1797</v>
      </c>
      <c r="F22" s="256" t="s">
        <v>1946</v>
      </c>
      <c r="G22" s="258">
        <v>13576000000</v>
      </c>
      <c r="H22" s="265">
        <v>0.1</v>
      </c>
      <c r="I22" s="258">
        <v>1357600000</v>
      </c>
      <c r="J22" s="258">
        <v>14933600000</v>
      </c>
      <c r="K22" s="256" t="s">
        <v>1346</v>
      </c>
    </row>
    <row r="23" spans="1:11" x14ac:dyDescent="0.3">
      <c r="A23" s="256">
        <v>16</v>
      </c>
      <c r="B23" s="257" t="s">
        <v>1486</v>
      </c>
      <c r="C23" s="276">
        <v>44306</v>
      </c>
      <c r="D23" s="257" t="s">
        <v>1275</v>
      </c>
      <c r="E23" s="256" t="s">
        <v>1808</v>
      </c>
      <c r="F23" s="256" t="s">
        <v>1945</v>
      </c>
      <c r="G23" s="258">
        <v>10993000000</v>
      </c>
      <c r="H23" s="265">
        <v>0.1</v>
      </c>
      <c r="I23" s="258">
        <v>1099300000</v>
      </c>
      <c r="J23" s="258">
        <v>12092300000</v>
      </c>
      <c r="K23" s="256" t="s">
        <v>1346</v>
      </c>
    </row>
    <row r="24" spans="1:11" x14ac:dyDescent="0.3">
      <c r="A24" s="256">
        <v>17</v>
      </c>
      <c r="B24" s="257" t="s">
        <v>1497</v>
      </c>
      <c r="C24" s="276">
        <v>44336</v>
      </c>
      <c r="D24" s="257" t="s">
        <v>1304</v>
      </c>
      <c r="E24" s="256" t="s">
        <v>1831</v>
      </c>
      <c r="F24" s="256" t="s">
        <v>1741</v>
      </c>
      <c r="G24" s="258">
        <v>17468000000</v>
      </c>
      <c r="H24" s="265">
        <v>0.1</v>
      </c>
      <c r="I24" s="258">
        <v>1746800000</v>
      </c>
      <c r="J24" s="258">
        <v>19214800000</v>
      </c>
      <c r="K24" s="256" t="s">
        <v>1346</v>
      </c>
    </row>
    <row r="25" spans="1:11" x14ac:dyDescent="0.3">
      <c r="A25" s="256">
        <v>18</v>
      </c>
      <c r="B25" s="257" t="s">
        <v>1471</v>
      </c>
      <c r="C25" s="276">
        <v>44367</v>
      </c>
      <c r="D25" s="257" t="s">
        <v>1262</v>
      </c>
      <c r="E25" s="256" t="s">
        <v>1816</v>
      </c>
      <c r="F25" s="256" t="s">
        <v>1741</v>
      </c>
      <c r="G25" s="258">
        <v>11664000000</v>
      </c>
      <c r="H25" s="265">
        <v>0.1</v>
      </c>
      <c r="I25" s="258">
        <v>1166400000</v>
      </c>
      <c r="J25" s="258">
        <v>12830400000</v>
      </c>
      <c r="K25" s="256" t="s">
        <v>1346</v>
      </c>
    </row>
    <row r="26" spans="1:11" x14ac:dyDescent="0.3">
      <c r="A26" s="256">
        <v>19</v>
      </c>
      <c r="B26" s="257" t="s">
        <v>1398</v>
      </c>
      <c r="C26" s="276">
        <v>44397</v>
      </c>
      <c r="D26" s="257" t="s">
        <v>1303</v>
      </c>
      <c r="E26" s="256" t="s">
        <v>1817</v>
      </c>
      <c r="F26" s="256" t="s">
        <v>1945</v>
      </c>
      <c r="G26" s="258">
        <v>9717000000</v>
      </c>
      <c r="H26" s="265">
        <v>0.1</v>
      </c>
      <c r="I26" s="258">
        <v>971700000</v>
      </c>
      <c r="J26" s="258">
        <v>10688700000</v>
      </c>
      <c r="K26" s="256" t="s">
        <v>1346</v>
      </c>
    </row>
    <row r="27" spans="1:11" x14ac:dyDescent="0.3">
      <c r="A27" s="256">
        <v>20</v>
      </c>
      <c r="B27" s="257" t="s">
        <v>1408</v>
      </c>
      <c r="C27" s="276">
        <v>44428</v>
      </c>
      <c r="D27" s="257" t="s">
        <v>1295</v>
      </c>
      <c r="E27" s="256" t="s">
        <v>1825</v>
      </c>
      <c r="F27" s="256" t="s">
        <v>1746</v>
      </c>
      <c r="G27" s="258">
        <v>17203000000</v>
      </c>
      <c r="H27" s="265">
        <v>0.1</v>
      </c>
      <c r="I27" s="258">
        <v>1720300000</v>
      </c>
      <c r="J27" s="258">
        <v>18923300000</v>
      </c>
      <c r="K27" s="256" t="s">
        <v>1346</v>
      </c>
    </row>
    <row r="28" spans="1:11" x14ac:dyDescent="0.3">
      <c r="A28" s="256">
        <v>21</v>
      </c>
      <c r="B28" s="257" t="s">
        <v>1476</v>
      </c>
      <c r="C28" s="276">
        <v>44459</v>
      </c>
      <c r="D28" s="257" t="s">
        <v>1268</v>
      </c>
      <c r="E28" s="256" t="s">
        <v>1821</v>
      </c>
      <c r="F28" s="256" t="s">
        <v>1946</v>
      </c>
      <c r="G28" s="258">
        <v>5569000000</v>
      </c>
      <c r="H28" s="265">
        <v>0.1</v>
      </c>
      <c r="I28" s="258">
        <v>556900000</v>
      </c>
      <c r="J28" s="258">
        <v>6125900000</v>
      </c>
      <c r="K28" s="256" t="s">
        <v>1346</v>
      </c>
    </row>
    <row r="29" spans="1:11" x14ac:dyDescent="0.3">
      <c r="A29" s="256">
        <v>22</v>
      </c>
      <c r="B29" s="257" t="s">
        <v>1477</v>
      </c>
      <c r="C29" s="276">
        <v>44489</v>
      </c>
      <c r="D29" s="257" t="s">
        <v>1280</v>
      </c>
      <c r="E29" s="256" t="s">
        <v>1777</v>
      </c>
      <c r="F29" s="256" t="s">
        <v>1945</v>
      </c>
      <c r="G29" s="258">
        <v>17706000000</v>
      </c>
      <c r="H29" s="265">
        <v>0.1</v>
      </c>
      <c r="I29" s="258">
        <v>1770600000</v>
      </c>
      <c r="J29" s="258">
        <v>19476600000</v>
      </c>
      <c r="K29" s="256" t="s">
        <v>1346</v>
      </c>
    </row>
    <row r="30" spans="1:11" x14ac:dyDescent="0.3">
      <c r="A30" s="256">
        <v>23</v>
      </c>
      <c r="B30" s="257" t="s">
        <v>1500</v>
      </c>
      <c r="C30" s="276">
        <v>44520</v>
      </c>
      <c r="D30" s="257" t="s">
        <v>1259</v>
      </c>
      <c r="E30" s="256" t="s">
        <v>1788</v>
      </c>
      <c r="F30" s="256" t="s">
        <v>1947</v>
      </c>
      <c r="G30" s="258">
        <v>15599000000</v>
      </c>
      <c r="H30" s="265">
        <v>0.1</v>
      </c>
      <c r="I30" s="258">
        <v>1559900000</v>
      </c>
      <c r="J30" s="258">
        <v>17158900000</v>
      </c>
      <c r="K30" s="256" t="s">
        <v>1346</v>
      </c>
    </row>
    <row r="31" spans="1:11" x14ac:dyDescent="0.3">
      <c r="A31" s="256">
        <v>24</v>
      </c>
      <c r="B31" s="257" t="s">
        <v>1483</v>
      </c>
      <c r="C31" s="276">
        <v>44550</v>
      </c>
      <c r="D31" s="257" t="s">
        <v>1273</v>
      </c>
      <c r="E31" s="256" t="s">
        <v>1829</v>
      </c>
      <c r="F31" s="256" t="s">
        <v>1946</v>
      </c>
      <c r="G31" s="258">
        <v>14432000000</v>
      </c>
      <c r="H31" s="265">
        <v>0</v>
      </c>
      <c r="I31" s="258">
        <v>0</v>
      </c>
      <c r="J31" s="258">
        <v>14432000000</v>
      </c>
      <c r="K31" s="256" t="s">
        <v>1348</v>
      </c>
    </row>
    <row r="32" spans="1:11" x14ac:dyDescent="0.3">
      <c r="A32" s="256">
        <v>25</v>
      </c>
      <c r="B32" s="257" t="s">
        <v>1490</v>
      </c>
      <c r="C32" s="276">
        <v>44221</v>
      </c>
      <c r="D32" s="257" t="s">
        <v>1277</v>
      </c>
      <c r="E32" s="256" t="s">
        <v>1783</v>
      </c>
      <c r="F32" s="256" t="s">
        <v>1947</v>
      </c>
      <c r="G32" s="258">
        <v>4488000000</v>
      </c>
      <c r="H32" s="265">
        <v>0.1</v>
      </c>
      <c r="I32" s="258">
        <v>448800000</v>
      </c>
      <c r="J32" s="258">
        <v>4936800000</v>
      </c>
      <c r="K32" s="256" t="s">
        <v>1346</v>
      </c>
    </row>
    <row r="33" spans="1:11" x14ac:dyDescent="0.3">
      <c r="A33" s="256">
        <v>26</v>
      </c>
      <c r="B33" s="257" t="s">
        <v>1457</v>
      </c>
      <c r="C33" s="276">
        <v>44255</v>
      </c>
      <c r="D33" s="257" t="s">
        <v>1255</v>
      </c>
      <c r="E33" s="273">
        <v>46152</v>
      </c>
      <c r="F33" s="256" t="s">
        <v>1945</v>
      </c>
      <c r="G33" s="258">
        <v>4510000000</v>
      </c>
      <c r="H33" s="265">
        <v>0.1</v>
      </c>
      <c r="I33" s="258">
        <v>451000000</v>
      </c>
      <c r="J33" s="258">
        <v>4961000000</v>
      </c>
      <c r="K33" s="256" t="s">
        <v>1346</v>
      </c>
    </row>
    <row r="34" spans="1:11" x14ac:dyDescent="0.3">
      <c r="A34" s="256">
        <v>27</v>
      </c>
      <c r="B34" s="257" t="s">
        <v>1207</v>
      </c>
      <c r="C34" s="276">
        <v>44316</v>
      </c>
      <c r="D34" s="257" t="s">
        <v>1287</v>
      </c>
      <c r="E34" s="256" t="s">
        <v>1801</v>
      </c>
      <c r="F34" s="256" t="s">
        <v>1946</v>
      </c>
      <c r="G34" s="258">
        <v>8495000000</v>
      </c>
      <c r="H34" s="265">
        <v>0.1</v>
      </c>
      <c r="I34" s="258">
        <v>849500000</v>
      </c>
      <c r="J34" s="258">
        <v>9344500000</v>
      </c>
      <c r="K34" s="256" t="s">
        <v>1346</v>
      </c>
    </row>
    <row r="35" spans="1:11" x14ac:dyDescent="0.3">
      <c r="A35" s="256">
        <v>28</v>
      </c>
      <c r="B35" s="257" t="s">
        <v>1496</v>
      </c>
      <c r="C35" s="276">
        <v>44377</v>
      </c>
      <c r="D35" s="257" t="s">
        <v>1260</v>
      </c>
      <c r="E35" s="256" t="s">
        <v>1804</v>
      </c>
      <c r="F35" s="256" t="s">
        <v>1947</v>
      </c>
      <c r="G35" s="258">
        <v>7295000000</v>
      </c>
      <c r="H35" s="265">
        <v>0</v>
      </c>
      <c r="I35" s="258">
        <v>0</v>
      </c>
      <c r="J35" s="258">
        <v>7295000000</v>
      </c>
      <c r="K35" s="256" t="s">
        <v>1346</v>
      </c>
    </row>
    <row r="36" spans="1:11" x14ac:dyDescent="0.3">
      <c r="A36" s="256">
        <v>29</v>
      </c>
      <c r="B36" s="257" t="s">
        <v>1404</v>
      </c>
      <c r="C36" s="276">
        <v>44469</v>
      </c>
      <c r="D36" s="257" t="s">
        <v>1261</v>
      </c>
      <c r="E36" s="256" t="s">
        <v>1813</v>
      </c>
      <c r="F36" s="256" t="s">
        <v>1947</v>
      </c>
      <c r="G36" s="258">
        <v>6701000000</v>
      </c>
      <c r="H36" s="265">
        <v>0.1</v>
      </c>
      <c r="I36" s="258">
        <v>670100000</v>
      </c>
      <c r="J36" s="258">
        <v>7371100000</v>
      </c>
      <c r="K36" s="256" t="s">
        <v>1346</v>
      </c>
    </row>
    <row r="37" spans="1:11" x14ac:dyDescent="0.3">
      <c r="A37" s="256">
        <v>30</v>
      </c>
      <c r="B37" s="257" t="s">
        <v>1487</v>
      </c>
      <c r="C37" s="276">
        <v>44530</v>
      </c>
      <c r="D37" s="257" t="s">
        <v>1275</v>
      </c>
      <c r="E37" s="256" t="s">
        <v>1808</v>
      </c>
      <c r="F37" s="256" t="s">
        <v>1944</v>
      </c>
      <c r="G37" s="258">
        <v>17217000000</v>
      </c>
      <c r="H37" s="265">
        <v>0.1</v>
      </c>
      <c r="I37" s="258">
        <v>1721700000</v>
      </c>
      <c r="J37" s="258">
        <v>18938700000</v>
      </c>
      <c r="K37" s="256" t="s">
        <v>1348</v>
      </c>
    </row>
    <row r="38" spans="1:11" x14ac:dyDescent="0.3">
      <c r="A38" s="256">
        <v>31</v>
      </c>
      <c r="B38" s="257" t="s">
        <v>1472</v>
      </c>
      <c r="C38" s="276">
        <v>44286</v>
      </c>
      <c r="D38" s="257" t="s">
        <v>1262</v>
      </c>
      <c r="E38" s="256" t="s">
        <v>1816</v>
      </c>
      <c r="F38" s="256" t="s">
        <v>1945</v>
      </c>
      <c r="G38" s="258">
        <v>9821000000</v>
      </c>
      <c r="H38" s="265">
        <v>0.1</v>
      </c>
      <c r="I38" s="258">
        <v>982100000</v>
      </c>
      <c r="J38" s="258">
        <v>10803100000</v>
      </c>
      <c r="K38" s="256" t="s">
        <v>1346</v>
      </c>
    </row>
    <row r="39" spans="1:11" x14ac:dyDescent="0.3">
      <c r="A39" s="256">
        <v>32</v>
      </c>
      <c r="B39" s="257" t="s">
        <v>1463</v>
      </c>
      <c r="C39" s="276">
        <v>44347</v>
      </c>
      <c r="D39" s="257" t="s">
        <v>1290</v>
      </c>
      <c r="E39" s="256" t="s">
        <v>1796</v>
      </c>
      <c r="F39" s="256" t="s">
        <v>1944</v>
      </c>
      <c r="G39" s="258">
        <v>9665000000</v>
      </c>
      <c r="H39" s="265">
        <v>0.1</v>
      </c>
      <c r="I39" s="258">
        <v>966500000</v>
      </c>
      <c r="J39" s="258">
        <v>10631500000</v>
      </c>
      <c r="K39" s="256" t="s">
        <v>1346</v>
      </c>
    </row>
    <row r="40" spans="1:11" x14ac:dyDescent="0.3">
      <c r="A40" s="256">
        <v>33</v>
      </c>
      <c r="B40" s="257" t="s">
        <v>1213</v>
      </c>
      <c r="C40" s="276">
        <v>44408</v>
      </c>
      <c r="D40" s="257" t="s">
        <v>1284</v>
      </c>
      <c r="E40" s="256" t="s">
        <v>1786</v>
      </c>
      <c r="F40" s="256" t="s">
        <v>1944</v>
      </c>
      <c r="G40" s="258">
        <v>12746000000</v>
      </c>
      <c r="H40" s="265">
        <v>0.1</v>
      </c>
      <c r="I40" s="258">
        <v>1274600000</v>
      </c>
      <c r="J40" s="258">
        <v>14020600000</v>
      </c>
      <c r="K40" s="256" t="s">
        <v>1346</v>
      </c>
    </row>
    <row r="41" spans="1:11" x14ac:dyDescent="0.3">
      <c r="A41" s="256">
        <v>34</v>
      </c>
      <c r="B41" s="257" t="s">
        <v>1460</v>
      </c>
      <c r="C41" s="276">
        <v>44439</v>
      </c>
      <c r="D41" s="257" t="s">
        <v>1301</v>
      </c>
      <c r="E41" s="256" t="s">
        <v>1781</v>
      </c>
      <c r="F41" s="256" t="s">
        <v>1945</v>
      </c>
      <c r="G41" s="258">
        <v>9362000000</v>
      </c>
      <c r="H41" s="265">
        <v>0.1</v>
      </c>
      <c r="I41" s="258">
        <v>936200000</v>
      </c>
      <c r="J41" s="258">
        <v>10298200000</v>
      </c>
      <c r="K41" s="256" t="s">
        <v>1346</v>
      </c>
    </row>
    <row r="42" spans="1:11" x14ac:dyDescent="0.3">
      <c r="A42" s="256">
        <v>35</v>
      </c>
      <c r="B42" s="257" t="s">
        <v>1498</v>
      </c>
      <c r="C42" s="276">
        <v>44500</v>
      </c>
      <c r="D42" s="257" t="s">
        <v>1304</v>
      </c>
      <c r="E42" s="256" t="s">
        <v>1831</v>
      </c>
      <c r="F42" s="256" t="s">
        <v>1947</v>
      </c>
      <c r="G42" s="258">
        <v>16761000000</v>
      </c>
      <c r="H42" s="265">
        <v>0.1</v>
      </c>
      <c r="I42" s="258">
        <v>1676100000</v>
      </c>
      <c r="J42" s="258">
        <v>18437100000</v>
      </c>
      <c r="K42" s="256" t="s">
        <v>1346</v>
      </c>
    </row>
    <row r="43" spans="1:11" x14ac:dyDescent="0.3">
      <c r="A43" s="256">
        <v>36</v>
      </c>
      <c r="B43" s="257" t="s">
        <v>1418</v>
      </c>
      <c r="C43" s="276">
        <v>44561</v>
      </c>
      <c r="D43" s="257" t="s">
        <v>1300</v>
      </c>
      <c r="E43" s="256" t="s">
        <v>1818</v>
      </c>
      <c r="F43" s="256" t="s">
        <v>1945</v>
      </c>
      <c r="G43" s="258">
        <v>16709000000</v>
      </c>
      <c r="H43" s="265">
        <v>0.1</v>
      </c>
      <c r="I43" s="258">
        <v>1670900000</v>
      </c>
      <c r="J43" s="258">
        <v>18379900000</v>
      </c>
      <c r="K43" s="256" t="s">
        <v>1346</v>
      </c>
    </row>
    <row r="44" spans="1:11" x14ac:dyDescent="0.3">
      <c r="A44" s="256">
        <v>37</v>
      </c>
      <c r="B44" s="257" t="s">
        <v>1471</v>
      </c>
      <c r="C44" s="276">
        <v>44561</v>
      </c>
      <c r="D44" s="257" t="s">
        <v>1299</v>
      </c>
      <c r="E44" s="256" t="s">
        <v>1776</v>
      </c>
      <c r="F44" s="256" t="s">
        <v>1944</v>
      </c>
      <c r="G44" s="258">
        <v>8201000000</v>
      </c>
      <c r="H44" s="265">
        <v>0.1</v>
      </c>
      <c r="I44" s="258">
        <v>820100000</v>
      </c>
      <c r="J44" s="258">
        <v>9021100000</v>
      </c>
      <c r="K44" s="256" t="s">
        <v>1346</v>
      </c>
    </row>
    <row r="45" spans="1:11" x14ac:dyDescent="0.3">
      <c r="A45" s="256">
        <v>38</v>
      </c>
      <c r="B45" s="257" t="s">
        <v>1473</v>
      </c>
      <c r="C45" s="276">
        <v>44561</v>
      </c>
      <c r="D45" s="257" t="s">
        <v>1285</v>
      </c>
      <c r="E45" s="256" t="s">
        <v>1793</v>
      </c>
      <c r="F45" s="256" t="s">
        <v>1946</v>
      </c>
      <c r="G45" s="258">
        <v>10531000000</v>
      </c>
      <c r="H45" s="265">
        <v>0.1</v>
      </c>
      <c r="I45" s="258">
        <v>1053100000</v>
      </c>
      <c r="J45" s="258">
        <v>11584100000</v>
      </c>
      <c r="K45" s="256" t="s">
        <v>1348</v>
      </c>
    </row>
    <row r="46" spans="1:11" x14ac:dyDescent="0.3">
      <c r="A46" s="256">
        <v>39</v>
      </c>
      <c r="B46" s="257" t="s">
        <v>1492</v>
      </c>
      <c r="C46" s="276">
        <v>44561</v>
      </c>
      <c r="D46" s="257" t="s">
        <v>1270</v>
      </c>
      <c r="E46" s="256" t="s">
        <v>1782</v>
      </c>
      <c r="F46" s="256" t="s">
        <v>1946</v>
      </c>
      <c r="G46" s="258">
        <v>17778000000</v>
      </c>
      <c r="H46" s="265">
        <v>0.1</v>
      </c>
      <c r="I46" s="258">
        <v>1777800000</v>
      </c>
      <c r="J46" s="258">
        <v>19555800000</v>
      </c>
      <c r="K46" s="256" t="s">
        <v>1346</v>
      </c>
    </row>
    <row r="47" spans="1:11" x14ac:dyDescent="0.3">
      <c r="A47" s="256">
        <v>40</v>
      </c>
      <c r="B47" s="257" t="s">
        <v>1472</v>
      </c>
      <c r="C47" s="276">
        <v>44561</v>
      </c>
      <c r="D47" s="257" t="s">
        <v>1257</v>
      </c>
      <c r="E47" s="256" t="s">
        <v>1815</v>
      </c>
      <c r="F47" s="256" t="s">
        <v>1945</v>
      </c>
      <c r="G47" s="258">
        <v>14261000000</v>
      </c>
      <c r="H47" s="265">
        <v>0.1</v>
      </c>
      <c r="I47" s="258">
        <v>1426100000</v>
      </c>
      <c r="J47" s="258">
        <v>15687100000</v>
      </c>
      <c r="K47" s="256" t="s">
        <v>1346</v>
      </c>
    </row>
    <row r="48" spans="1:11" x14ac:dyDescent="0.3">
      <c r="A48" s="256">
        <v>41</v>
      </c>
      <c r="B48" s="257" t="s">
        <v>1405</v>
      </c>
      <c r="C48" s="276">
        <v>44561</v>
      </c>
      <c r="D48" s="257" t="s">
        <v>1261</v>
      </c>
      <c r="E48" s="256" t="s">
        <v>1813</v>
      </c>
      <c r="F48" s="256" t="s">
        <v>1944</v>
      </c>
      <c r="G48" s="258">
        <v>9808000000</v>
      </c>
      <c r="H48" s="265">
        <v>0.1</v>
      </c>
      <c r="I48" s="258">
        <v>980800000</v>
      </c>
      <c r="J48" s="258">
        <v>10788800000</v>
      </c>
      <c r="K48" s="256" t="s">
        <v>1346</v>
      </c>
    </row>
    <row r="49" spans="1:11" x14ac:dyDescent="0.3">
      <c r="A49" s="256">
        <v>42</v>
      </c>
      <c r="B49" s="257" t="s">
        <v>1473</v>
      </c>
      <c r="C49" s="276">
        <v>44561</v>
      </c>
      <c r="D49" s="257" t="s">
        <v>1257</v>
      </c>
      <c r="E49" s="256" t="s">
        <v>1815</v>
      </c>
      <c r="F49" s="256" t="s">
        <v>1944</v>
      </c>
      <c r="G49" s="258">
        <v>14025000000</v>
      </c>
      <c r="H49" s="265">
        <v>0.1</v>
      </c>
      <c r="I49" s="258">
        <v>1402500000</v>
      </c>
      <c r="J49" s="258">
        <v>15427500000</v>
      </c>
      <c r="K49" s="256" t="s">
        <v>1346</v>
      </c>
    </row>
    <row r="50" spans="1:11" x14ac:dyDescent="0.3">
      <c r="A50" s="256">
        <v>43</v>
      </c>
      <c r="B50" s="257" t="s">
        <v>1491</v>
      </c>
      <c r="C50" s="276">
        <v>44561</v>
      </c>
      <c r="D50" s="257" t="s">
        <v>1277</v>
      </c>
      <c r="E50" s="256" t="s">
        <v>1783</v>
      </c>
      <c r="F50" s="256" t="s">
        <v>1746</v>
      </c>
      <c r="G50" s="258">
        <v>4869000000</v>
      </c>
      <c r="H50" s="265">
        <v>0.1</v>
      </c>
      <c r="I50" s="258">
        <v>486900000</v>
      </c>
      <c r="J50" s="258">
        <v>5355900000</v>
      </c>
      <c r="K50" s="256" t="s">
        <v>1346</v>
      </c>
    </row>
    <row r="51" spans="1:11" x14ac:dyDescent="0.3">
      <c r="A51" s="256">
        <v>44</v>
      </c>
      <c r="B51" s="257" t="s">
        <v>1472</v>
      </c>
      <c r="C51" s="276">
        <v>44561</v>
      </c>
      <c r="D51" s="257" t="s">
        <v>1266</v>
      </c>
      <c r="E51" s="256" t="s">
        <v>1824</v>
      </c>
      <c r="F51" s="256" t="s">
        <v>1746</v>
      </c>
      <c r="G51" s="258">
        <v>12982000000</v>
      </c>
      <c r="H51" s="265">
        <v>0.1</v>
      </c>
      <c r="I51" s="258">
        <v>1298200000</v>
      </c>
      <c r="J51" s="258">
        <v>14280200000</v>
      </c>
      <c r="K51" s="256" t="s">
        <v>1346</v>
      </c>
    </row>
    <row r="52" spans="1:11" x14ac:dyDescent="0.3">
      <c r="A52" s="256">
        <v>45</v>
      </c>
      <c r="B52" s="257" t="s">
        <v>1411</v>
      </c>
      <c r="C52" s="276">
        <v>44561</v>
      </c>
      <c r="D52" s="257" t="s">
        <v>1286</v>
      </c>
      <c r="E52" s="256" t="s">
        <v>1828</v>
      </c>
      <c r="F52" s="256" t="s">
        <v>1944</v>
      </c>
      <c r="G52" s="258">
        <v>11565000000</v>
      </c>
      <c r="H52" s="265">
        <v>0.1</v>
      </c>
      <c r="I52" s="258">
        <v>1156500000</v>
      </c>
      <c r="J52" s="258">
        <v>12721500000</v>
      </c>
      <c r="K52" s="256" t="s">
        <v>1346</v>
      </c>
    </row>
    <row r="53" spans="1:11" x14ac:dyDescent="0.3">
      <c r="A53" s="256">
        <v>46</v>
      </c>
      <c r="B53" s="257" t="s">
        <v>1459</v>
      </c>
      <c r="C53" s="276">
        <v>44561</v>
      </c>
      <c r="D53" s="257" t="s">
        <v>1269</v>
      </c>
      <c r="E53" s="256" t="s">
        <v>1823</v>
      </c>
      <c r="F53" s="256" t="s">
        <v>1746</v>
      </c>
      <c r="G53" s="258">
        <v>17530000000</v>
      </c>
      <c r="H53" s="265">
        <v>0.1</v>
      </c>
      <c r="I53" s="258">
        <v>1753000000</v>
      </c>
      <c r="J53" s="258">
        <v>19283000000</v>
      </c>
      <c r="K53" s="256" t="s">
        <v>1346</v>
      </c>
    </row>
    <row r="54" spans="1:11" x14ac:dyDescent="0.3">
      <c r="A54" s="256">
        <v>47</v>
      </c>
      <c r="B54" s="257" t="s">
        <v>1483</v>
      </c>
      <c r="C54" s="276">
        <v>44561</v>
      </c>
      <c r="D54" s="257" t="s">
        <v>1263</v>
      </c>
      <c r="E54" s="256" t="s">
        <v>1790</v>
      </c>
      <c r="F54" s="256" t="s">
        <v>1741</v>
      </c>
      <c r="G54" s="258">
        <v>10362000000</v>
      </c>
      <c r="H54" s="265">
        <v>0.1</v>
      </c>
      <c r="I54" s="258">
        <v>1036200000</v>
      </c>
      <c r="J54" s="258">
        <v>11398200000</v>
      </c>
      <c r="K54" s="256" t="s">
        <v>1348</v>
      </c>
    </row>
    <row r="55" spans="1:11" x14ac:dyDescent="0.3">
      <c r="A55" s="256">
        <v>48</v>
      </c>
      <c r="B55" s="257" t="s">
        <v>1482</v>
      </c>
      <c r="C55" s="276">
        <v>44561</v>
      </c>
      <c r="D55" s="257" t="s">
        <v>1256</v>
      </c>
      <c r="E55" s="256" t="s">
        <v>1802</v>
      </c>
      <c r="F55" s="256" t="s">
        <v>1945</v>
      </c>
      <c r="G55" s="258">
        <v>5308000000</v>
      </c>
      <c r="H55" s="265">
        <v>0.1</v>
      </c>
      <c r="I55" s="258">
        <v>530800000</v>
      </c>
      <c r="J55" s="258">
        <v>5838800000</v>
      </c>
      <c r="K55" s="256" t="s">
        <v>1346</v>
      </c>
    </row>
    <row r="56" spans="1:11" x14ac:dyDescent="0.3">
      <c r="A56" s="256">
        <v>49</v>
      </c>
      <c r="B56" s="257" t="s">
        <v>1477</v>
      </c>
      <c r="C56" s="276">
        <v>44561</v>
      </c>
      <c r="D56" s="257" t="s">
        <v>1268</v>
      </c>
      <c r="E56" s="256" t="s">
        <v>1821</v>
      </c>
      <c r="F56" s="256" t="s">
        <v>1944</v>
      </c>
      <c r="G56" s="258">
        <v>14312000000</v>
      </c>
      <c r="H56" s="265">
        <v>0.1</v>
      </c>
      <c r="I56" s="258">
        <v>1431200000</v>
      </c>
      <c r="J56" s="258">
        <v>15743200000</v>
      </c>
      <c r="K56" s="256" t="s">
        <v>1346</v>
      </c>
    </row>
    <row r="57" spans="1:11" x14ac:dyDescent="0.3">
      <c r="A57" s="256">
        <v>50</v>
      </c>
      <c r="B57" s="257" t="s">
        <v>1478</v>
      </c>
      <c r="C57" s="276">
        <v>44561</v>
      </c>
      <c r="D57" s="257" t="s">
        <v>1268</v>
      </c>
      <c r="E57" s="256" t="s">
        <v>1821</v>
      </c>
      <c r="F57" s="256" t="s">
        <v>1944</v>
      </c>
      <c r="G57" s="258">
        <v>9601000000</v>
      </c>
      <c r="H57" s="265">
        <v>0.1</v>
      </c>
      <c r="I57" s="258">
        <v>960100000</v>
      </c>
      <c r="J57" s="258">
        <v>10561100000</v>
      </c>
      <c r="K57" s="256" t="s">
        <v>1346</v>
      </c>
    </row>
    <row r="58" spans="1:11" x14ac:dyDescent="0.3">
      <c r="A58" s="266" t="s">
        <v>1351</v>
      </c>
      <c r="B58" s="266"/>
      <c r="C58" s="266"/>
      <c r="D58" s="266"/>
      <c r="E58" s="266"/>
      <c r="F58" s="266"/>
      <c r="G58" s="267">
        <f>SUM(G8:G57)</f>
        <v>558139000000</v>
      </c>
      <c r="H58" s="266"/>
      <c r="I58" s="267">
        <f>SUM(I8:I57)</f>
        <v>53641200000</v>
      </c>
      <c r="J58" s="267">
        <f>SUM(J8:J57)</f>
        <v>611780200000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1271</v>
      </c>
      <c r="E62" s="256" t="s">
        <v>1799</v>
      </c>
      <c r="F62" s="256" t="s">
        <v>1948</v>
      </c>
      <c r="G62" s="258">
        <v>23946000000</v>
      </c>
      <c r="H62" s="265">
        <v>0.1</v>
      </c>
      <c r="I62" s="258">
        <v>2394600000</v>
      </c>
      <c r="J62" s="258">
        <v>26340600000</v>
      </c>
      <c r="K62" s="256" t="s">
        <v>1346</v>
      </c>
    </row>
    <row r="63" spans="1:11" x14ac:dyDescent="0.3">
      <c r="A63" s="256">
        <v>2</v>
      </c>
      <c r="B63" s="257" t="s">
        <v>1201</v>
      </c>
      <c r="C63" s="276">
        <v>44318</v>
      </c>
      <c r="D63" s="257" t="s">
        <v>1267</v>
      </c>
      <c r="E63" s="256" t="s">
        <v>1810</v>
      </c>
      <c r="F63" s="256" t="s">
        <v>1949</v>
      </c>
      <c r="G63" s="258">
        <v>21408000000</v>
      </c>
      <c r="H63" s="265">
        <v>0.1</v>
      </c>
      <c r="I63" s="258">
        <v>2140800000</v>
      </c>
      <c r="J63" s="258">
        <v>23548800000</v>
      </c>
      <c r="K63" s="256" t="s">
        <v>1346</v>
      </c>
    </row>
    <row r="64" spans="1:11" x14ac:dyDescent="0.3">
      <c r="A64" s="256">
        <v>3</v>
      </c>
      <c r="B64" s="257" t="s">
        <v>1202</v>
      </c>
      <c r="C64" s="276">
        <v>44472</v>
      </c>
      <c r="D64" s="257" t="s">
        <v>1287</v>
      </c>
      <c r="E64" s="256" t="s">
        <v>1801</v>
      </c>
      <c r="F64" s="256" t="s">
        <v>1948</v>
      </c>
      <c r="G64" s="258">
        <v>7861000000</v>
      </c>
      <c r="H64" s="265">
        <v>0.1</v>
      </c>
      <c r="I64" s="258">
        <v>786100000</v>
      </c>
      <c r="J64" s="258">
        <v>8647100000</v>
      </c>
      <c r="K64" s="256" t="s">
        <v>1346</v>
      </c>
    </row>
    <row r="65" spans="1:11" x14ac:dyDescent="0.3">
      <c r="A65" s="256">
        <v>4</v>
      </c>
      <c r="B65" s="257" t="s">
        <v>1355</v>
      </c>
      <c r="C65" s="276">
        <v>44473</v>
      </c>
      <c r="D65" s="257" t="s">
        <v>1267</v>
      </c>
      <c r="E65" s="256" t="s">
        <v>1810</v>
      </c>
      <c r="F65" s="256" t="s">
        <v>1949</v>
      </c>
      <c r="G65" s="258">
        <v>22075000000</v>
      </c>
      <c r="H65" s="265">
        <v>0.1</v>
      </c>
      <c r="I65" s="258">
        <v>2207500000</v>
      </c>
      <c r="J65" s="258">
        <v>24282500000</v>
      </c>
      <c r="K65" s="256" t="s">
        <v>1348</v>
      </c>
    </row>
    <row r="66" spans="1:11" x14ac:dyDescent="0.3">
      <c r="A66" s="256">
        <v>5</v>
      </c>
      <c r="B66" s="257" t="s">
        <v>1356</v>
      </c>
      <c r="C66" s="276">
        <v>44474</v>
      </c>
      <c r="D66" s="257" t="s">
        <v>1286</v>
      </c>
      <c r="E66" s="256" t="s">
        <v>1828</v>
      </c>
      <c r="F66" s="256" t="s">
        <v>1948</v>
      </c>
      <c r="G66" s="258">
        <v>18575000000</v>
      </c>
      <c r="H66" s="265">
        <v>0.1</v>
      </c>
      <c r="I66" s="258">
        <v>1857500000</v>
      </c>
      <c r="J66" s="258">
        <v>20432500000</v>
      </c>
      <c r="K66" s="256" t="s">
        <v>1348</v>
      </c>
    </row>
    <row r="67" spans="1:11" x14ac:dyDescent="0.3">
      <c r="A67" s="256">
        <v>6</v>
      </c>
      <c r="B67" s="257" t="s">
        <v>1358</v>
      </c>
      <c r="C67" s="276">
        <v>44475</v>
      </c>
      <c r="D67" s="257" t="s">
        <v>1273</v>
      </c>
      <c r="E67" s="256" t="s">
        <v>1829</v>
      </c>
      <c r="F67" s="256" t="s">
        <v>1948</v>
      </c>
      <c r="G67" s="258">
        <v>17417000000</v>
      </c>
      <c r="H67" s="265">
        <v>0</v>
      </c>
      <c r="I67" s="258">
        <v>0</v>
      </c>
      <c r="J67" s="258">
        <v>17417000000</v>
      </c>
      <c r="K67" s="256" t="s">
        <v>1346</v>
      </c>
    </row>
    <row r="68" spans="1:11" x14ac:dyDescent="0.3">
      <c r="A68" s="256">
        <v>7</v>
      </c>
      <c r="B68" s="257" t="s">
        <v>1360</v>
      </c>
      <c r="C68" s="276">
        <v>44476</v>
      </c>
      <c r="D68" s="257" t="s">
        <v>1275</v>
      </c>
      <c r="E68" s="256" t="s">
        <v>1808</v>
      </c>
      <c r="F68" s="256" t="s">
        <v>1949</v>
      </c>
      <c r="G68" s="258">
        <v>17770000000</v>
      </c>
      <c r="H68" s="265">
        <v>0.1</v>
      </c>
      <c r="I68" s="258">
        <v>1777000000</v>
      </c>
      <c r="J68" s="258">
        <v>19547000000</v>
      </c>
      <c r="K68" s="256" t="s">
        <v>1348</v>
      </c>
    </row>
    <row r="69" spans="1:11" x14ac:dyDescent="0.3">
      <c r="A69" s="256">
        <v>8</v>
      </c>
      <c r="B69" s="257" t="s">
        <v>1362</v>
      </c>
      <c r="C69" s="276">
        <v>44477</v>
      </c>
      <c r="D69" s="257" t="s">
        <v>1262</v>
      </c>
      <c r="E69" s="256" t="s">
        <v>1816</v>
      </c>
      <c r="F69" s="256" t="s">
        <v>1949</v>
      </c>
      <c r="G69" s="258">
        <v>6520000000</v>
      </c>
      <c r="H69" s="265">
        <v>0.1</v>
      </c>
      <c r="I69" s="258">
        <v>652000000</v>
      </c>
      <c r="J69" s="258">
        <v>7172000000</v>
      </c>
      <c r="K69" s="256" t="s">
        <v>1346</v>
      </c>
    </row>
    <row r="70" spans="1:11" x14ac:dyDescent="0.3">
      <c r="A70" s="256">
        <v>9</v>
      </c>
      <c r="B70" s="257" t="s">
        <v>1364</v>
      </c>
      <c r="C70" s="276">
        <v>44478</v>
      </c>
      <c r="D70" s="257" t="s">
        <v>1274</v>
      </c>
      <c r="E70" s="256" t="s">
        <v>1794</v>
      </c>
      <c r="F70" s="256" t="s">
        <v>1948</v>
      </c>
      <c r="G70" s="258">
        <v>18749000000</v>
      </c>
      <c r="H70" s="265">
        <v>0.1</v>
      </c>
      <c r="I70" s="258">
        <v>1874900000</v>
      </c>
      <c r="J70" s="258">
        <v>20623900000</v>
      </c>
      <c r="K70" s="256" t="s">
        <v>1346</v>
      </c>
    </row>
    <row r="71" spans="1:11" x14ac:dyDescent="0.3">
      <c r="A71" s="256">
        <v>10</v>
      </c>
      <c r="B71" s="257" t="s">
        <v>1366</v>
      </c>
      <c r="C71" s="276">
        <v>44479</v>
      </c>
      <c r="D71" s="257" t="s">
        <v>1276</v>
      </c>
      <c r="E71" s="256" t="s">
        <v>1822</v>
      </c>
      <c r="F71" s="256" t="s">
        <v>1949</v>
      </c>
      <c r="G71" s="258">
        <v>23353000000</v>
      </c>
      <c r="H71" s="265">
        <v>0.1</v>
      </c>
      <c r="I71" s="258">
        <v>2335300000</v>
      </c>
      <c r="J71" s="258">
        <v>25688300000</v>
      </c>
      <c r="K71" s="256" t="s">
        <v>1346</v>
      </c>
    </row>
    <row r="72" spans="1:11" x14ac:dyDescent="0.3">
      <c r="A72" s="256">
        <v>11</v>
      </c>
      <c r="B72" s="257" t="s">
        <v>1368</v>
      </c>
      <c r="C72" s="276">
        <v>44480</v>
      </c>
      <c r="D72" s="257" t="s">
        <v>1255</v>
      </c>
      <c r="E72" s="273">
        <v>46152</v>
      </c>
      <c r="F72" s="256" t="s">
        <v>1950</v>
      </c>
      <c r="G72" s="258">
        <v>14105000000</v>
      </c>
      <c r="H72" s="265">
        <v>0</v>
      </c>
      <c r="I72" s="258">
        <v>0</v>
      </c>
      <c r="J72" s="258">
        <v>14105000000</v>
      </c>
      <c r="K72" s="256" t="s">
        <v>1346</v>
      </c>
    </row>
    <row r="73" spans="1:11" x14ac:dyDescent="0.3">
      <c r="A73" s="256">
        <v>12</v>
      </c>
      <c r="B73" s="257" t="s">
        <v>1371</v>
      </c>
      <c r="C73" s="276">
        <v>44481</v>
      </c>
      <c r="D73" s="257" t="s">
        <v>1272</v>
      </c>
      <c r="E73" s="256" t="s">
        <v>1805</v>
      </c>
      <c r="F73" s="256" t="s">
        <v>1949</v>
      </c>
      <c r="G73" s="258">
        <v>9375000000</v>
      </c>
      <c r="H73" s="265">
        <v>0.1</v>
      </c>
      <c r="I73" s="258">
        <v>937500000</v>
      </c>
      <c r="J73" s="258">
        <v>10312500000</v>
      </c>
      <c r="K73" s="256" t="s">
        <v>1348</v>
      </c>
    </row>
    <row r="74" spans="1:11" x14ac:dyDescent="0.3">
      <c r="A74" s="256">
        <v>13</v>
      </c>
      <c r="B74" s="257" t="s">
        <v>1373</v>
      </c>
      <c r="C74" s="276">
        <v>44211</v>
      </c>
      <c r="D74" s="257" t="s">
        <v>1284</v>
      </c>
      <c r="E74" s="256" t="s">
        <v>1786</v>
      </c>
      <c r="F74" s="256" t="s">
        <v>1949</v>
      </c>
      <c r="G74" s="258">
        <v>16893000000</v>
      </c>
      <c r="H74" s="265">
        <v>0.1</v>
      </c>
      <c r="I74" s="258">
        <v>1689300000</v>
      </c>
      <c r="J74" s="258">
        <v>18582300000</v>
      </c>
      <c r="K74" s="256" t="s">
        <v>1346</v>
      </c>
    </row>
    <row r="75" spans="1:11" x14ac:dyDescent="0.3">
      <c r="A75" s="256">
        <v>14</v>
      </c>
      <c r="B75" s="257" t="s">
        <v>1374</v>
      </c>
      <c r="C75" s="276">
        <v>44242</v>
      </c>
      <c r="D75" s="257" t="s">
        <v>1284</v>
      </c>
      <c r="E75" s="256" t="s">
        <v>1786</v>
      </c>
      <c r="F75" s="256" t="s">
        <v>1948</v>
      </c>
      <c r="G75" s="258">
        <v>19523000000</v>
      </c>
      <c r="H75" s="265">
        <v>0.1</v>
      </c>
      <c r="I75" s="258">
        <v>1952300000</v>
      </c>
      <c r="J75" s="258">
        <v>21475300000</v>
      </c>
      <c r="K75" s="256" t="s">
        <v>1346</v>
      </c>
    </row>
    <row r="76" spans="1:11" x14ac:dyDescent="0.3">
      <c r="A76" s="256">
        <v>15</v>
      </c>
      <c r="B76" s="257" t="s">
        <v>1376</v>
      </c>
      <c r="C76" s="276">
        <v>44275</v>
      </c>
      <c r="D76" s="257" t="s">
        <v>1298</v>
      </c>
      <c r="E76" s="256" t="s">
        <v>1819</v>
      </c>
      <c r="F76" s="256" t="s">
        <v>1948</v>
      </c>
      <c r="G76" s="258">
        <v>6426000000</v>
      </c>
      <c r="H76" s="265">
        <v>0.1</v>
      </c>
      <c r="I76" s="258">
        <v>642600000</v>
      </c>
      <c r="J76" s="258">
        <v>7068600000</v>
      </c>
      <c r="K76" s="256" t="s">
        <v>1346</v>
      </c>
    </row>
    <row r="77" spans="1:11" x14ac:dyDescent="0.3">
      <c r="A77" s="256">
        <v>16</v>
      </c>
      <c r="B77" s="257" t="s">
        <v>1378</v>
      </c>
      <c r="C77" s="276">
        <v>44306</v>
      </c>
      <c r="D77" s="257" t="s">
        <v>1303</v>
      </c>
      <c r="E77" s="256" t="s">
        <v>1817</v>
      </c>
      <c r="F77" s="256" t="s">
        <v>1916</v>
      </c>
      <c r="G77" s="258">
        <v>21343000000</v>
      </c>
      <c r="H77" s="265">
        <v>0.1</v>
      </c>
      <c r="I77" s="258">
        <v>2134300000</v>
      </c>
      <c r="J77" s="258">
        <v>23477300000</v>
      </c>
      <c r="K77" s="256" t="s">
        <v>1346</v>
      </c>
    </row>
    <row r="78" spans="1:11" x14ac:dyDescent="0.3">
      <c r="A78" s="256">
        <v>17</v>
      </c>
      <c r="B78" s="257" t="s">
        <v>1379</v>
      </c>
      <c r="C78" s="276">
        <v>44336</v>
      </c>
      <c r="D78" s="257" t="s">
        <v>1299</v>
      </c>
      <c r="E78" s="256" t="s">
        <v>1776</v>
      </c>
      <c r="F78" s="256" t="s">
        <v>1950</v>
      </c>
      <c r="G78" s="258">
        <v>22279000000</v>
      </c>
      <c r="H78" s="265">
        <v>0.1</v>
      </c>
      <c r="I78" s="258">
        <v>2227900000</v>
      </c>
      <c r="J78" s="258">
        <v>24506900000</v>
      </c>
      <c r="K78" s="256" t="s">
        <v>1346</v>
      </c>
    </row>
    <row r="79" spans="1:11" x14ac:dyDescent="0.3">
      <c r="A79" s="256">
        <v>18</v>
      </c>
      <c r="B79" s="257" t="s">
        <v>1381</v>
      </c>
      <c r="C79" s="276">
        <v>44367</v>
      </c>
      <c r="D79" s="257" t="s">
        <v>1271</v>
      </c>
      <c r="E79" s="256" t="s">
        <v>1799</v>
      </c>
      <c r="F79" s="256" t="s">
        <v>1950</v>
      </c>
      <c r="G79" s="258">
        <v>8401000000</v>
      </c>
      <c r="H79" s="265">
        <v>0.1</v>
      </c>
      <c r="I79" s="258">
        <v>840100000</v>
      </c>
      <c r="J79" s="258">
        <v>9241100000</v>
      </c>
      <c r="K79" s="256" t="s">
        <v>1346</v>
      </c>
    </row>
    <row r="80" spans="1:11" x14ac:dyDescent="0.3">
      <c r="A80" s="256">
        <v>19</v>
      </c>
      <c r="B80" s="257" t="s">
        <v>1382</v>
      </c>
      <c r="C80" s="276">
        <v>44397</v>
      </c>
      <c r="D80" s="257" t="s">
        <v>1268</v>
      </c>
      <c r="E80" s="256" t="s">
        <v>1821</v>
      </c>
      <c r="F80" s="256" t="s">
        <v>1948</v>
      </c>
      <c r="G80" s="258">
        <v>22312000000</v>
      </c>
      <c r="H80" s="265">
        <v>0.1</v>
      </c>
      <c r="I80" s="258">
        <v>2231200000</v>
      </c>
      <c r="J80" s="258">
        <v>24543200000</v>
      </c>
      <c r="K80" s="256" t="s">
        <v>1346</v>
      </c>
    </row>
    <row r="81" spans="1:11" x14ac:dyDescent="0.3">
      <c r="A81" s="256">
        <v>20</v>
      </c>
      <c r="B81" s="257" t="s">
        <v>1383</v>
      </c>
      <c r="C81" s="276">
        <v>44428</v>
      </c>
      <c r="D81" s="257" t="s">
        <v>1289</v>
      </c>
      <c r="E81" s="256" t="s">
        <v>1803</v>
      </c>
      <c r="F81" s="256" t="s">
        <v>1916</v>
      </c>
      <c r="G81" s="258">
        <v>22755000000</v>
      </c>
      <c r="H81" s="265">
        <v>0.1</v>
      </c>
      <c r="I81" s="258">
        <v>2275500000</v>
      </c>
      <c r="J81" s="258">
        <v>25030500000</v>
      </c>
      <c r="K81" s="256" t="s">
        <v>1346</v>
      </c>
    </row>
    <row r="82" spans="1:11" x14ac:dyDescent="0.3">
      <c r="A82" s="256">
        <v>21</v>
      </c>
      <c r="B82" s="257" t="s">
        <v>1203</v>
      </c>
      <c r="C82" s="276">
        <v>44459</v>
      </c>
      <c r="D82" s="257" t="s">
        <v>1264</v>
      </c>
      <c r="E82" s="256" t="s">
        <v>1779</v>
      </c>
      <c r="F82" s="256" t="s">
        <v>1948</v>
      </c>
      <c r="G82" s="258">
        <v>13495000000</v>
      </c>
      <c r="H82" s="265">
        <v>0.1</v>
      </c>
      <c r="I82" s="258">
        <v>1349500000</v>
      </c>
      <c r="J82" s="258">
        <v>14844500000</v>
      </c>
      <c r="K82" s="256" t="s">
        <v>1346</v>
      </c>
    </row>
    <row r="83" spans="1:11" x14ac:dyDescent="0.3">
      <c r="A83" s="256">
        <v>22</v>
      </c>
      <c r="B83" s="257" t="s">
        <v>1204</v>
      </c>
      <c r="C83" s="276">
        <v>44489</v>
      </c>
      <c r="D83" s="257" t="s">
        <v>1297</v>
      </c>
      <c r="E83" s="256" t="s">
        <v>1820</v>
      </c>
      <c r="F83" s="256" t="s">
        <v>1949</v>
      </c>
      <c r="G83" s="258">
        <v>23323000000</v>
      </c>
      <c r="H83" s="265">
        <v>0.1</v>
      </c>
      <c r="I83" s="258">
        <v>2332300000</v>
      </c>
      <c r="J83" s="258">
        <v>25655300000</v>
      </c>
      <c r="K83" s="256" t="s">
        <v>1346</v>
      </c>
    </row>
    <row r="84" spans="1:11" x14ac:dyDescent="0.3">
      <c r="A84" s="256">
        <v>23</v>
      </c>
      <c r="B84" s="257" t="s">
        <v>1205</v>
      </c>
      <c r="C84" s="276">
        <v>44520</v>
      </c>
      <c r="D84" s="257" t="s">
        <v>1297</v>
      </c>
      <c r="E84" s="256" t="s">
        <v>1820</v>
      </c>
      <c r="F84" s="256" t="s">
        <v>1949</v>
      </c>
      <c r="G84" s="258">
        <v>10110000000</v>
      </c>
      <c r="H84" s="265">
        <v>0.1</v>
      </c>
      <c r="I84" s="258">
        <v>1011000000</v>
      </c>
      <c r="J84" s="258">
        <v>11121000000</v>
      </c>
      <c r="K84" s="256" t="s">
        <v>1346</v>
      </c>
    </row>
    <row r="85" spans="1:11" x14ac:dyDescent="0.3">
      <c r="A85" s="256">
        <v>24</v>
      </c>
      <c r="B85" s="257" t="s">
        <v>1385</v>
      </c>
      <c r="C85" s="276">
        <v>44550</v>
      </c>
      <c r="D85" s="257" t="s">
        <v>1270</v>
      </c>
      <c r="E85" s="256" t="s">
        <v>1782</v>
      </c>
      <c r="F85" s="256" t="s">
        <v>1949</v>
      </c>
      <c r="G85" s="258">
        <v>12769000000</v>
      </c>
      <c r="H85" s="265">
        <v>0.1</v>
      </c>
      <c r="I85" s="258">
        <v>1276900000</v>
      </c>
      <c r="J85" s="258">
        <v>14045900000</v>
      </c>
      <c r="K85" s="256" t="s">
        <v>1346</v>
      </c>
    </row>
    <row r="86" spans="1:11" x14ac:dyDescent="0.3">
      <c r="A86" s="256">
        <v>25</v>
      </c>
      <c r="B86" s="257" t="s">
        <v>1387</v>
      </c>
      <c r="C86" s="276">
        <v>44221</v>
      </c>
      <c r="D86" s="257" t="s">
        <v>1267</v>
      </c>
      <c r="E86" s="256" t="s">
        <v>1810</v>
      </c>
      <c r="F86" s="256" t="s">
        <v>1950</v>
      </c>
      <c r="G86" s="258">
        <v>15021000000</v>
      </c>
      <c r="H86" s="265">
        <v>0.1</v>
      </c>
      <c r="I86" s="258">
        <v>1502100000</v>
      </c>
      <c r="J86" s="258">
        <v>16523100000</v>
      </c>
      <c r="K86" s="256" t="s">
        <v>1346</v>
      </c>
    </row>
    <row r="87" spans="1:11" x14ac:dyDescent="0.3">
      <c r="A87" s="256">
        <v>26</v>
      </c>
      <c r="B87" s="257" t="s">
        <v>1388</v>
      </c>
      <c r="C87" s="276">
        <v>44255</v>
      </c>
      <c r="D87" s="257" t="s">
        <v>1267</v>
      </c>
      <c r="E87" s="256" t="s">
        <v>1810</v>
      </c>
      <c r="F87" s="256" t="s">
        <v>1949</v>
      </c>
      <c r="G87" s="258">
        <v>9188000000</v>
      </c>
      <c r="H87" s="265">
        <v>0.1</v>
      </c>
      <c r="I87" s="258">
        <v>918800000</v>
      </c>
      <c r="J87" s="258">
        <v>10106800000</v>
      </c>
      <c r="K87" s="256" t="s">
        <v>1346</v>
      </c>
    </row>
    <row r="88" spans="1:11" x14ac:dyDescent="0.3">
      <c r="A88" s="256">
        <v>27</v>
      </c>
      <c r="B88" s="257" t="s">
        <v>1391</v>
      </c>
      <c r="C88" s="276">
        <v>44316</v>
      </c>
      <c r="D88" s="257" t="s">
        <v>1297</v>
      </c>
      <c r="E88" s="256" t="s">
        <v>1820</v>
      </c>
      <c r="F88" s="256" t="s">
        <v>1949</v>
      </c>
      <c r="G88" s="258">
        <v>18609000000</v>
      </c>
      <c r="H88" s="265">
        <v>0.1</v>
      </c>
      <c r="I88" s="258">
        <v>1860900000</v>
      </c>
      <c r="J88" s="258">
        <v>20469900000</v>
      </c>
      <c r="K88" s="256" t="s">
        <v>1346</v>
      </c>
    </row>
    <row r="89" spans="1:11" x14ac:dyDescent="0.3">
      <c r="A89" s="256">
        <v>28</v>
      </c>
      <c r="B89" s="257" t="s">
        <v>1392</v>
      </c>
      <c r="C89" s="276">
        <v>44377</v>
      </c>
      <c r="D89" s="257" t="s">
        <v>1275</v>
      </c>
      <c r="E89" s="256" t="s">
        <v>1808</v>
      </c>
      <c r="F89" s="256" t="s">
        <v>1948</v>
      </c>
      <c r="G89" s="258">
        <v>22035000000</v>
      </c>
      <c r="H89" s="265">
        <v>0</v>
      </c>
      <c r="I89" s="258">
        <v>0</v>
      </c>
      <c r="J89" s="258">
        <v>22035000000</v>
      </c>
      <c r="K89" s="256" t="s">
        <v>1346</v>
      </c>
    </row>
    <row r="90" spans="1:11" x14ac:dyDescent="0.3">
      <c r="A90" s="256">
        <v>29</v>
      </c>
      <c r="B90" s="257" t="s">
        <v>1394</v>
      </c>
      <c r="C90" s="276">
        <v>44469</v>
      </c>
      <c r="D90" s="257" t="s">
        <v>1293</v>
      </c>
      <c r="E90" s="256" t="s">
        <v>1826</v>
      </c>
      <c r="F90" s="256" t="s">
        <v>1916</v>
      </c>
      <c r="G90" s="258">
        <v>19896000000</v>
      </c>
      <c r="H90" s="265">
        <v>0.1</v>
      </c>
      <c r="I90" s="258">
        <v>1989600000</v>
      </c>
      <c r="J90" s="258">
        <v>21885600000</v>
      </c>
      <c r="K90" s="256" t="s">
        <v>1346</v>
      </c>
    </row>
    <row r="91" spans="1:11" x14ac:dyDescent="0.3">
      <c r="A91" s="256">
        <v>30</v>
      </c>
      <c r="B91" s="257" t="s">
        <v>1396</v>
      </c>
      <c r="C91" s="276">
        <v>44530</v>
      </c>
      <c r="D91" s="257" t="s">
        <v>1265</v>
      </c>
      <c r="E91" s="256" t="s">
        <v>1830</v>
      </c>
      <c r="F91" s="256" t="s">
        <v>1949</v>
      </c>
      <c r="G91" s="258">
        <v>21069000000</v>
      </c>
      <c r="H91" s="265">
        <v>0.1</v>
      </c>
      <c r="I91" s="258">
        <v>2106900000</v>
      </c>
      <c r="J91" s="258">
        <v>23175900000</v>
      </c>
      <c r="K91" s="256" t="s">
        <v>1346</v>
      </c>
    </row>
    <row r="92" spans="1:11" x14ac:dyDescent="0.3">
      <c r="A92" s="256">
        <v>31</v>
      </c>
      <c r="B92" s="257" t="s">
        <v>1397</v>
      </c>
      <c r="C92" s="276">
        <v>44286</v>
      </c>
      <c r="D92" s="257" t="s">
        <v>1297</v>
      </c>
      <c r="E92" s="256" t="s">
        <v>1820</v>
      </c>
      <c r="F92" s="256" t="s">
        <v>1950</v>
      </c>
      <c r="G92" s="258">
        <v>11467000000</v>
      </c>
      <c r="H92" s="265">
        <v>0.1</v>
      </c>
      <c r="I92" s="258">
        <v>1146700000</v>
      </c>
      <c r="J92" s="258">
        <v>12613700000</v>
      </c>
      <c r="K92" s="256" t="s">
        <v>1346</v>
      </c>
    </row>
    <row r="93" spans="1:11" x14ac:dyDescent="0.3">
      <c r="A93" s="256">
        <v>32</v>
      </c>
      <c r="B93" s="257" t="s">
        <v>1398</v>
      </c>
      <c r="C93" s="276">
        <v>44347</v>
      </c>
      <c r="D93" s="257" t="s">
        <v>1274</v>
      </c>
      <c r="E93" s="256" t="s">
        <v>1794</v>
      </c>
      <c r="F93" s="256" t="s">
        <v>1949</v>
      </c>
      <c r="G93" s="258">
        <v>6745000000</v>
      </c>
      <c r="H93" s="265">
        <v>0.1</v>
      </c>
      <c r="I93" s="258">
        <v>674500000</v>
      </c>
      <c r="J93" s="258">
        <v>7419500000</v>
      </c>
      <c r="K93" s="256" t="s">
        <v>1348</v>
      </c>
    </row>
    <row r="94" spans="1:11" x14ac:dyDescent="0.3">
      <c r="A94" s="256">
        <v>33</v>
      </c>
      <c r="B94" s="257" t="s">
        <v>1399</v>
      </c>
      <c r="C94" s="276">
        <v>44408</v>
      </c>
      <c r="D94" s="257" t="s">
        <v>1257</v>
      </c>
      <c r="E94" s="256" t="s">
        <v>1815</v>
      </c>
      <c r="F94" s="256" t="s">
        <v>1949</v>
      </c>
      <c r="G94" s="258">
        <v>7658000000</v>
      </c>
      <c r="H94" s="265">
        <v>0.1</v>
      </c>
      <c r="I94" s="258">
        <v>765800000</v>
      </c>
      <c r="J94" s="258">
        <v>8423800000</v>
      </c>
      <c r="K94" s="256" t="s">
        <v>1346</v>
      </c>
    </row>
    <row r="95" spans="1:11" x14ac:dyDescent="0.3">
      <c r="A95" s="256">
        <v>34</v>
      </c>
      <c r="B95" s="257" t="s">
        <v>1401</v>
      </c>
      <c r="C95" s="276">
        <v>44439</v>
      </c>
      <c r="D95" s="257" t="s">
        <v>1296</v>
      </c>
      <c r="E95" s="256" t="s">
        <v>1807</v>
      </c>
      <c r="F95" s="256" t="s">
        <v>1950</v>
      </c>
      <c r="G95" s="258">
        <v>16914000000</v>
      </c>
      <c r="H95" s="265">
        <v>0.1</v>
      </c>
      <c r="I95" s="258">
        <v>1691400000</v>
      </c>
      <c r="J95" s="258">
        <v>18605400000</v>
      </c>
      <c r="K95" s="256" t="s">
        <v>1346</v>
      </c>
    </row>
    <row r="96" spans="1:11" x14ac:dyDescent="0.3">
      <c r="A96" s="256">
        <v>35</v>
      </c>
      <c r="B96" s="257" t="s">
        <v>1402</v>
      </c>
      <c r="C96" s="276">
        <v>44500</v>
      </c>
      <c r="D96" s="257" t="s">
        <v>1257</v>
      </c>
      <c r="E96" s="256" t="s">
        <v>1815</v>
      </c>
      <c r="F96" s="256" t="s">
        <v>1950</v>
      </c>
      <c r="G96" s="258">
        <v>10378000000</v>
      </c>
      <c r="H96" s="265">
        <v>0.1</v>
      </c>
      <c r="I96" s="258">
        <v>1037800000</v>
      </c>
      <c r="J96" s="258">
        <v>11415800000</v>
      </c>
      <c r="K96" s="256" t="s">
        <v>1346</v>
      </c>
    </row>
    <row r="97" spans="1:11" x14ac:dyDescent="0.3">
      <c r="A97" s="256">
        <v>36</v>
      </c>
      <c r="B97" s="257" t="s">
        <v>1403</v>
      </c>
      <c r="C97" s="276">
        <v>44561</v>
      </c>
      <c r="D97" s="257" t="s">
        <v>1286</v>
      </c>
      <c r="E97" s="256" t="s">
        <v>1828</v>
      </c>
      <c r="F97" s="256" t="s">
        <v>1950</v>
      </c>
      <c r="G97" s="258">
        <v>8089000000</v>
      </c>
      <c r="H97" s="265">
        <v>0</v>
      </c>
      <c r="I97" s="258">
        <v>0</v>
      </c>
      <c r="J97" s="258">
        <v>8089000000</v>
      </c>
      <c r="K97" s="256" t="s">
        <v>1346</v>
      </c>
    </row>
    <row r="98" spans="1:11" x14ac:dyDescent="0.3">
      <c r="A98" s="256">
        <v>37</v>
      </c>
      <c r="B98" s="257" t="s">
        <v>1404</v>
      </c>
      <c r="C98" s="276">
        <v>44561</v>
      </c>
      <c r="D98" s="257" t="s">
        <v>1301</v>
      </c>
      <c r="E98" s="256" t="s">
        <v>1781</v>
      </c>
      <c r="F98" s="256" t="s">
        <v>1950</v>
      </c>
      <c r="G98" s="258">
        <v>7209000000</v>
      </c>
      <c r="H98" s="265">
        <v>0.1</v>
      </c>
      <c r="I98" s="258">
        <v>720900000</v>
      </c>
      <c r="J98" s="258">
        <v>7929900000</v>
      </c>
      <c r="K98" s="256" t="s">
        <v>1348</v>
      </c>
    </row>
    <row r="99" spans="1:11" x14ac:dyDescent="0.3">
      <c r="A99" s="256">
        <v>38</v>
      </c>
      <c r="B99" s="257" t="s">
        <v>1405</v>
      </c>
      <c r="C99" s="276">
        <v>44561</v>
      </c>
      <c r="D99" s="257" t="s">
        <v>1261</v>
      </c>
      <c r="E99" s="256" t="s">
        <v>1813</v>
      </c>
      <c r="F99" s="256" t="s">
        <v>1950</v>
      </c>
      <c r="G99" s="258">
        <v>20894000000</v>
      </c>
      <c r="H99" s="265">
        <v>0.1</v>
      </c>
      <c r="I99" s="258">
        <v>2089400000</v>
      </c>
      <c r="J99" s="258">
        <v>22983400000</v>
      </c>
      <c r="K99" s="256" t="s">
        <v>1346</v>
      </c>
    </row>
    <row r="100" spans="1:11" x14ac:dyDescent="0.3">
      <c r="A100" s="256">
        <v>39</v>
      </c>
      <c r="B100" s="257" t="s">
        <v>1406</v>
      </c>
      <c r="C100" s="276">
        <v>44561</v>
      </c>
      <c r="D100" s="257" t="s">
        <v>1268</v>
      </c>
      <c r="E100" s="256" t="s">
        <v>1821</v>
      </c>
      <c r="F100" s="256" t="s">
        <v>1916</v>
      </c>
      <c r="G100" s="258">
        <v>19820000000</v>
      </c>
      <c r="H100" s="265">
        <v>0.1</v>
      </c>
      <c r="I100" s="258">
        <v>1982000000</v>
      </c>
      <c r="J100" s="258">
        <v>21802000000</v>
      </c>
      <c r="K100" s="256" t="s">
        <v>1346</v>
      </c>
    </row>
    <row r="101" spans="1:11" x14ac:dyDescent="0.3">
      <c r="A101" s="256">
        <v>40</v>
      </c>
      <c r="B101" s="257" t="s">
        <v>1408</v>
      </c>
      <c r="C101" s="276">
        <v>44561</v>
      </c>
      <c r="D101" s="257" t="s">
        <v>1284</v>
      </c>
      <c r="E101" s="256" t="s">
        <v>1786</v>
      </c>
      <c r="F101" s="256" t="s">
        <v>1949</v>
      </c>
      <c r="G101" s="258">
        <v>9114000000</v>
      </c>
      <c r="H101" s="265">
        <v>0.1</v>
      </c>
      <c r="I101" s="258">
        <v>911400000</v>
      </c>
      <c r="J101" s="258">
        <v>10025400000</v>
      </c>
      <c r="K101" s="256" t="s">
        <v>1346</v>
      </c>
    </row>
    <row r="102" spans="1:11" x14ac:dyDescent="0.3">
      <c r="A102" s="256">
        <v>41</v>
      </c>
      <c r="B102" s="257" t="s">
        <v>1409</v>
      </c>
      <c r="C102" s="276">
        <v>44561</v>
      </c>
      <c r="D102" s="257" t="s">
        <v>1257</v>
      </c>
      <c r="E102" s="256" t="s">
        <v>1815</v>
      </c>
      <c r="F102" s="256" t="s">
        <v>1949</v>
      </c>
      <c r="G102" s="258">
        <v>11213000000</v>
      </c>
      <c r="H102" s="265">
        <v>0.1</v>
      </c>
      <c r="I102" s="258">
        <v>1121300000</v>
      </c>
      <c r="J102" s="258">
        <v>12334300000</v>
      </c>
      <c r="K102" s="256" t="s">
        <v>1346</v>
      </c>
    </row>
    <row r="103" spans="1:11" x14ac:dyDescent="0.3">
      <c r="A103" s="256">
        <v>42</v>
      </c>
      <c r="B103" s="257" t="s">
        <v>1411</v>
      </c>
      <c r="C103" s="276">
        <v>44561</v>
      </c>
      <c r="D103" s="257" t="s">
        <v>1301</v>
      </c>
      <c r="E103" s="256" t="s">
        <v>1781</v>
      </c>
      <c r="F103" s="256" t="s">
        <v>1916</v>
      </c>
      <c r="G103" s="258">
        <v>7476000000</v>
      </c>
      <c r="H103" s="265">
        <v>0.1</v>
      </c>
      <c r="I103" s="258">
        <v>747600000</v>
      </c>
      <c r="J103" s="258">
        <v>8223600000</v>
      </c>
      <c r="K103" s="256" t="s">
        <v>1346</v>
      </c>
    </row>
    <row r="104" spans="1:11" x14ac:dyDescent="0.3">
      <c r="A104" s="256">
        <v>43</v>
      </c>
      <c r="B104" s="257" t="s">
        <v>1414</v>
      </c>
      <c r="C104" s="276">
        <v>44561</v>
      </c>
      <c r="D104" s="257" t="s">
        <v>1256</v>
      </c>
      <c r="E104" s="256" t="s">
        <v>1802</v>
      </c>
      <c r="F104" s="256" t="s">
        <v>1950</v>
      </c>
      <c r="G104" s="258">
        <v>7155000000</v>
      </c>
      <c r="H104" s="265">
        <v>0</v>
      </c>
      <c r="I104" s="258">
        <v>0</v>
      </c>
      <c r="J104" s="258">
        <v>7155000000</v>
      </c>
      <c r="K104" s="256" t="s">
        <v>1348</v>
      </c>
    </row>
    <row r="105" spans="1:11" x14ac:dyDescent="0.3">
      <c r="A105" s="256">
        <v>44</v>
      </c>
      <c r="B105" s="257" t="s">
        <v>1415</v>
      </c>
      <c r="C105" s="276">
        <v>44561</v>
      </c>
      <c r="D105" s="257" t="s">
        <v>1294</v>
      </c>
      <c r="E105" s="256" t="s">
        <v>1795</v>
      </c>
      <c r="F105" s="256" t="s">
        <v>1916</v>
      </c>
      <c r="G105" s="258">
        <v>12437000000</v>
      </c>
      <c r="H105" s="265">
        <v>0.1</v>
      </c>
      <c r="I105" s="258">
        <v>1243700000</v>
      </c>
      <c r="J105" s="258">
        <v>13680700000</v>
      </c>
      <c r="K105" s="256" t="s">
        <v>1346</v>
      </c>
    </row>
    <row r="106" spans="1:11" x14ac:dyDescent="0.3">
      <c r="A106" s="256">
        <v>45</v>
      </c>
      <c r="B106" s="257" t="s">
        <v>1206</v>
      </c>
      <c r="C106" s="276">
        <v>44561</v>
      </c>
      <c r="D106" s="257" t="s">
        <v>1289</v>
      </c>
      <c r="E106" s="256" t="s">
        <v>1803</v>
      </c>
      <c r="F106" s="256" t="s">
        <v>1949</v>
      </c>
      <c r="G106" s="258">
        <v>17082000000</v>
      </c>
      <c r="H106" s="265">
        <v>0.1</v>
      </c>
      <c r="I106" s="258">
        <v>1708200000</v>
      </c>
      <c r="J106" s="258">
        <v>18790200000</v>
      </c>
      <c r="K106" s="256" t="s">
        <v>1346</v>
      </c>
    </row>
    <row r="107" spans="1:11" x14ac:dyDescent="0.3">
      <c r="A107" s="256">
        <v>46</v>
      </c>
      <c r="B107" s="257" t="s">
        <v>1207</v>
      </c>
      <c r="C107" s="276">
        <v>44561</v>
      </c>
      <c r="D107" s="257" t="s">
        <v>1282</v>
      </c>
      <c r="E107" s="256" t="s">
        <v>1789</v>
      </c>
      <c r="F107" s="256" t="s">
        <v>1916</v>
      </c>
      <c r="G107" s="258">
        <v>9754000000</v>
      </c>
      <c r="H107" s="265">
        <v>0.1</v>
      </c>
      <c r="I107" s="258">
        <v>975400000</v>
      </c>
      <c r="J107" s="258">
        <v>10729400000</v>
      </c>
      <c r="K107" s="256" t="s">
        <v>1348</v>
      </c>
    </row>
    <row r="108" spans="1:11" x14ac:dyDescent="0.3">
      <c r="A108" s="256">
        <v>47</v>
      </c>
      <c r="B108" s="257" t="s">
        <v>1208</v>
      </c>
      <c r="C108" s="276">
        <v>44561</v>
      </c>
      <c r="D108" s="257" t="s">
        <v>1291</v>
      </c>
      <c r="E108" s="256" t="s">
        <v>1800</v>
      </c>
      <c r="F108" s="256" t="s">
        <v>1916</v>
      </c>
      <c r="G108" s="258">
        <v>12609000000</v>
      </c>
      <c r="H108" s="265">
        <v>0.1</v>
      </c>
      <c r="I108" s="258">
        <v>1260900000</v>
      </c>
      <c r="J108" s="258">
        <v>13869900000</v>
      </c>
      <c r="K108" s="256" t="s">
        <v>1346</v>
      </c>
    </row>
    <row r="109" spans="1:11" x14ac:dyDescent="0.3">
      <c r="A109" s="256">
        <v>48</v>
      </c>
      <c r="B109" s="257" t="s">
        <v>1209</v>
      </c>
      <c r="C109" s="276">
        <v>44561</v>
      </c>
      <c r="D109" s="257" t="s">
        <v>1268</v>
      </c>
      <c r="E109" s="256" t="s">
        <v>1821</v>
      </c>
      <c r="F109" s="256" t="s">
        <v>1948</v>
      </c>
      <c r="G109" s="258">
        <v>16246000000</v>
      </c>
      <c r="H109" s="265">
        <v>0</v>
      </c>
      <c r="I109" s="258">
        <v>0</v>
      </c>
      <c r="J109" s="258">
        <v>16246000000</v>
      </c>
      <c r="K109" s="256" t="s">
        <v>1346</v>
      </c>
    </row>
    <row r="110" spans="1:11" x14ac:dyDescent="0.3">
      <c r="A110" s="256">
        <v>49</v>
      </c>
      <c r="B110" s="257" t="s">
        <v>1418</v>
      </c>
      <c r="C110" s="276">
        <v>44561</v>
      </c>
      <c r="D110" s="257" t="s">
        <v>1258</v>
      </c>
      <c r="E110" s="256" t="s">
        <v>1833</v>
      </c>
      <c r="F110" s="256" t="s">
        <v>1916</v>
      </c>
      <c r="G110" s="258">
        <v>19757000000</v>
      </c>
      <c r="H110" s="265">
        <v>0.1</v>
      </c>
      <c r="I110" s="258">
        <v>1975700000</v>
      </c>
      <c r="J110" s="258">
        <v>21732700000</v>
      </c>
      <c r="K110" s="256" t="s">
        <v>1346</v>
      </c>
    </row>
    <row r="111" spans="1:11" x14ac:dyDescent="0.3">
      <c r="A111" s="256">
        <v>50</v>
      </c>
      <c r="B111" s="257" t="s">
        <v>1419</v>
      </c>
      <c r="C111" s="276">
        <v>44561</v>
      </c>
      <c r="D111" s="257" t="s">
        <v>1285</v>
      </c>
      <c r="E111" s="256" t="s">
        <v>1793</v>
      </c>
      <c r="F111" s="256" t="s">
        <v>1950</v>
      </c>
      <c r="G111" s="258">
        <v>13181000000</v>
      </c>
      <c r="H111" s="265">
        <v>0</v>
      </c>
      <c r="I111" s="258">
        <v>0</v>
      </c>
      <c r="J111" s="258">
        <v>13181000000</v>
      </c>
      <c r="K111" s="256" t="s">
        <v>1346</v>
      </c>
    </row>
    <row r="112" spans="1:11" x14ac:dyDescent="0.3">
      <c r="A112" s="266" t="s">
        <v>1351</v>
      </c>
      <c r="B112" s="266"/>
      <c r="C112" s="266"/>
      <c r="D112" s="266"/>
      <c r="E112" s="266"/>
      <c r="F112" s="266"/>
      <c r="G112" s="267">
        <f>SUM(G62:G111)</f>
        <v>751799000000</v>
      </c>
      <c r="H112" s="266"/>
      <c r="I112" s="267">
        <f>SUM(I62:I111)</f>
        <v>65357100000</v>
      </c>
      <c r="J112" s="267">
        <f>SUM(J62:J111)</f>
        <v>817156100000</v>
      </c>
      <c r="K112" s="266"/>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1009</v>
      </c>
      <c r="C1" s="256"/>
      <c r="D1" s="256"/>
      <c r="E1" s="256"/>
      <c r="F1" s="256"/>
      <c r="G1" s="256"/>
      <c r="H1" s="256"/>
      <c r="I1" s="256"/>
      <c r="J1" s="256"/>
      <c r="K1" s="256"/>
    </row>
    <row r="2" spans="1:11" x14ac:dyDescent="0.3">
      <c r="A2" s="256" t="s">
        <v>1339</v>
      </c>
      <c r="B2" s="257">
        <v>109009554</v>
      </c>
      <c r="C2" s="256"/>
      <c r="D2" s="256"/>
      <c r="E2" s="256"/>
      <c r="F2" s="256"/>
      <c r="G2" s="256"/>
      <c r="H2" s="256"/>
      <c r="I2" s="256"/>
      <c r="J2" s="256"/>
      <c r="K2" s="256"/>
    </row>
    <row r="3" spans="1:11" x14ac:dyDescent="0.3">
      <c r="A3" s="256" t="s">
        <v>1343</v>
      </c>
      <c r="B3" s="258">
        <v>222864112243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1479</v>
      </c>
      <c r="C8" s="276">
        <v>44317</v>
      </c>
      <c r="D8" s="257" t="s">
        <v>1283</v>
      </c>
      <c r="E8" s="256" t="s">
        <v>1798</v>
      </c>
      <c r="F8" s="256" t="s">
        <v>1741</v>
      </c>
      <c r="G8" s="258">
        <v>4309000000</v>
      </c>
      <c r="H8" s="265">
        <v>0</v>
      </c>
      <c r="I8" s="258">
        <v>0</v>
      </c>
      <c r="J8" s="258">
        <v>4309000000</v>
      </c>
      <c r="K8" s="256" t="s">
        <v>1346</v>
      </c>
    </row>
    <row r="9" spans="1:11" x14ac:dyDescent="0.3">
      <c r="A9" s="256">
        <v>2</v>
      </c>
      <c r="B9" s="257" t="s">
        <v>1493</v>
      </c>
      <c r="C9" s="276">
        <v>44318</v>
      </c>
      <c r="D9" s="257" t="s">
        <v>1272</v>
      </c>
      <c r="E9" s="256" t="s">
        <v>1805</v>
      </c>
      <c r="F9" s="256" t="s">
        <v>1869</v>
      </c>
      <c r="G9" s="258">
        <v>2816000000</v>
      </c>
      <c r="H9" s="265">
        <v>0.1</v>
      </c>
      <c r="I9" s="258">
        <v>281600000</v>
      </c>
      <c r="J9" s="258">
        <v>3097600000</v>
      </c>
      <c r="K9" s="256" t="s">
        <v>1348</v>
      </c>
    </row>
    <row r="10" spans="1:11" x14ac:dyDescent="0.3">
      <c r="A10" s="256">
        <v>3</v>
      </c>
      <c r="B10" s="257" t="s">
        <v>1494</v>
      </c>
      <c r="C10" s="276">
        <v>44472</v>
      </c>
      <c r="D10" s="257" t="s">
        <v>1271</v>
      </c>
      <c r="E10" s="256" t="s">
        <v>1799</v>
      </c>
      <c r="F10" s="256" t="s">
        <v>1734</v>
      </c>
      <c r="G10" s="258">
        <v>2962000000</v>
      </c>
      <c r="H10" s="265">
        <v>0.1</v>
      </c>
      <c r="I10" s="258">
        <v>296200000</v>
      </c>
      <c r="J10" s="258">
        <v>3258200000</v>
      </c>
      <c r="K10" s="256" t="s">
        <v>1346</v>
      </c>
    </row>
    <row r="11" spans="1:11" x14ac:dyDescent="0.3">
      <c r="A11" s="256">
        <v>4</v>
      </c>
      <c r="B11" s="257" t="s">
        <v>1474</v>
      </c>
      <c r="C11" s="276">
        <v>44473</v>
      </c>
      <c r="D11" s="257" t="s">
        <v>1285</v>
      </c>
      <c r="E11" s="256" t="s">
        <v>1793</v>
      </c>
      <c r="F11" s="256" t="s">
        <v>1871</v>
      </c>
      <c r="G11" s="258">
        <v>4526000000</v>
      </c>
      <c r="H11" s="265">
        <v>0</v>
      </c>
      <c r="I11" s="258">
        <v>0</v>
      </c>
      <c r="J11" s="258">
        <v>4526000000</v>
      </c>
      <c r="K11" s="256" t="s">
        <v>1346</v>
      </c>
    </row>
    <row r="12" spans="1:11" x14ac:dyDescent="0.3">
      <c r="A12" s="256">
        <v>5</v>
      </c>
      <c r="B12" s="257" t="s">
        <v>1411</v>
      </c>
      <c r="C12" s="276">
        <v>44474</v>
      </c>
      <c r="D12" s="257" t="s">
        <v>1294</v>
      </c>
      <c r="E12" s="256" t="s">
        <v>1795</v>
      </c>
      <c r="F12" s="256" t="s">
        <v>1741</v>
      </c>
      <c r="G12" s="258">
        <v>3885000000</v>
      </c>
      <c r="H12" s="265">
        <v>0.1</v>
      </c>
      <c r="I12" s="258">
        <v>388500000</v>
      </c>
      <c r="J12" s="258">
        <v>4273500000</v>
      </c>
      <c r="K12" s="256" t="s">
        <v>1346</v>
      </c>
    </row>
    <row r="13" spans="1:11" x14ac:dyDescent="0.3">
      <c r="A13" s="256">
        <v>6</v>
      </c>
      <c r="B13" s="257" t="s">
        <v>1481</v>
      </c>
      <c r="C13" s="276">
        <v>44475</v>
      </c>
      <c r="D13" s="257" t="s">
        <v>1288</v>
      </c>
      <c r="E13" s="256" t="s">
        <v>1797</v>
      </c>
      <c r="F13" s="256" t="s">
        <v>1870</v>
      </c>
      <c r="G13" s="258">
        <v>2282000000</v>
      </c>
      <c r="H13" s="265">
        <v>0.1</v>
      </c>
      <c r="I13" s="258">
        <v>228200000</v>
      </c>
      <c r="J13" s="258">
        <v>2510200000</v>
      </c>
      <c r="K13" s="256" t="s">
        <v>1346</v>
      </c>
    </row>
    <row r="14" spans="1:11" x14ac:dyDescent="0.3">
      <c r="A14" s="256">
        <v>7</v>
      </c>
      <c r="B14" s="257" t="s">
        <v>1505</v>
      </c>
      <c r="C14" s="276">
        <v>44476</v>
      </c>
      <c r="D14" s="257" t="s">
        <v>1284</v>
      </c>
      <c r="E14" s="256" t="s">
        <v>1786</v>
      </c>
      <c r="F14" s="256" t="s">
        <v>1871</v>
      </c>
      <c r="G14" s="258">
        <v>2116000000</v>
      </c>
      <c r="H14" s="265">
        <v>0.1</v>
      </c>
      <c r="I14" s="258">
        <v>211600000</v>
      </c>
      <c r="J14" s="258">
        <v>2327600000</v>
      </c>
      <c r="K14" s="256" t="s">
        <v>1346</v>
      </c>
    </row>
    <row r="15" spans="1:11" x14ac:dyDescent="0.3">
      <c r="A15" s="256">
        <v>8</v>
      </c>
      <c r="B15" s="257" t="s">
        <v>1495</v>
      </c>
      <c r="C15" s="276">
        <v>44477</v>
      </c>
      <c r="D15" s="257" t="s">
        <v>1271</v>
      </c>
      <c r="E15" s="256" t="s">
        <v>1799</v>
      </c>
      <c r="F15" s="256" t="s">
        <v>1731</v>
      </c>
      <c r="G15" s="258">
        <v>3286000000</v>
      </c>
      <c r="H15" s="265">
        <v>0.1</v>
      </c>
      <c r="I15" s="258">
        <v>328600000</v>
      </c>
      <c r="J15" s="258">
        <v>3614600000</v>
      </c>
      <c r="K15" s="256" t="s">
        <v>1346</v>
      </c>
    </row>
    <row r="16" spans="1:11" x14ac:dyDescent="0.3">
      <c r="A16" s="256">
        <v>9</v>
      </c>
      <c r="B16" s="257" t="s">
        <v>1499</v>
      </c>
      <c r="C16" s="276">
        <v>44478</v>
      </c>
      <c r="D16" s="257" t="s">
        <v>1304</v>
      </c>
      <c r="E16" s="256" t="s">
        <v>1831</v>
      </c>
      <c r="F16" s="256" t="s">
        <v>1741</v>
      </c>
      <c r="G16" s="258">
        <v>2164000000</v>
      </c>
      <c r="H16" s="265">
        <v>0.1</v>
      </c>
      <c r="I16" s="258">
        <v>216400000</v>
      </c>
      <c r="J16" s="258">
        <v>2380400000</v>
      </c>
      <c r="K16" s="256" t="s">
        <v>1348</v>
      </c>
    </row>
    <row r="17" spans="1:11" x14ac:dyDescent="0.3">
      <c r="A17" s="256">
        <v>10</v>
      </c>
      <c r="B17" s="257" t="s">
        <v>1467</v>
      </c>
      <c r="C17" s="276">
        <v>44479</v>
      </c>
      <c r="D17" s="257" t="s">
        <v>1265</v>
      </c>
      <c r="E17" s="256" t="s">
        <v>1830</v>
      </c>
      <c r="F17" s="256" t="s">
        <v>1871</v>
      </c>
      <c r="G17" s="258">
        <v>2004000000</v>
      </c>
      <c r="H17" s="265">
        <v>0.1</v>
      </c>
      <c r="I17" s="258">
        <v>200400000</v>
      </c>
      <c r="J17" s="258">
        <v>2204400000</v>
      </c>
      <c r="K17" s="256" t="s">
        <v>1346</v>
      </c>
    </row>
    <row r="18" spans="1:11" x14ac:dyDescent="0.3">
      <c r="A18" s="256">
        <v>11</v>
      </c>
      <c r="B18" s="257" t="s">
        <v>1472</v>
      </c>
      <c r="C18" s="276">
        <v>44480</v>
      </c>
      <c r="D18" s="257" t="s">
        <v>1299</v>
      </c>
      <c r="E18" s="256" t="s">
        <v>1776</v>
      </c>
      <c r="F18" s="256" t="s">
        <v>1870</v>
      </c>
      <c r="G18" s="258">
        <v>2062000000</v>
      </c>
      <c r="H18" s="265">
        <v>0.1</v>
      </c>
      <c r="I18" s="258">
        <v>206200000</v>
      </c>
      <c r="J18" s="258">
        <v>2268200000</v>
      </c>
      <c r="K18" s="256" t="s">
        <v>1346</v>
      </c>
    </row>
    <row r="19" spans="1:11" x14ac:dyDescent="0.3">
      <c r="A19" s="256">
        <v>12</v>
      </c>
      <c r="B19" s="257" t="s">
        <v>1497</v>
      </c>
      <c r="C19" s="276">
        <v>44481</v>
      </c>
      <c r="D19" s="257" t="s">
        <v>1274</v>
      </c>
      <c r="E19" s="256" t="s">
        <v>1794</v>
      </c>
      <c r="F19" s="256" t="s">
        <v>1734</v>
      </c>
      <c r="G19" s="258">
        <v>3186000000</v>
      </c>
      <c r="H19" s="265">
        <v>0.1</v>
      </c>
      <c r="I19" s="258">
        <v>318600000</v>
      </c>
      <c r="J19" s="258">
        <v>3504600000</v>
      </c>
      <c r="K19" s="256" t="s">
        <v>1348</v>
      </c>
    </row>
    <row r="20" spans="1:11" x14ac:dyDescent="0.3">
      <c r="A20" s="256">
        <v>13</v>
      </c>
      <c r="B20" s="257" t="s">
        <v>1473</v>
      </c>
      <c r="C20" s="276">
        <v>44211</v>
      </c>
      <c r="D20" s="257" t="s">
        <v>1266</v>
      </c>
      <c r="E20" s="256" t="s">
        <v>1824</v>
      </c>
      <c r="F20" s="256" t="s">
        <v>1741</v>
      </c>
      <c r="G20" s="258">
        <v>4319000000</v>
      </c>
      <c r="H20" s="265">
        <v>0.1</v>
      </c>
      <c r="I20" s="258">
        <v>431900000</v>
      </c>
      <c r="J20" s="258">
        <v>4750900000</v>
      </c>
      <c r="K20" s="256" t="s">
        <v>1346</v>
      </c>
    </row>
    <row r="21" spans="1:11" x14ac:dyDescent="0.3">
      <c r="A21" s="256">
        <v>14</v>
      </c>
      <c r="B21" s="257" t="s">
        <v>1500</v>
      </c>
      <c r="C21" s="276">
        <v>44242</v>
      </c>
      <c r="D21" s="257" t="s">
        <v>1304</v>
      </c>
      <c r="E21" s="256" t="s">
        <v>1831</v>
      </c>
      <c r="F21" s="256" t="s">
        <v>1741</v>
      </c>
      <c r="G21" s="258">
        <v>3433000000</v>
      </c>
      <c r="H21" s="265">
        <v>0.1</v>
      </c>
      <c r="I21" s="258">
        <v>343300000</v>
      </c>
      <c r="J21" s="258">
        <v>3776300000</v>
      </c>
      <c r="K21" s="256" t="s">
        <v>1346</v>
      </c>
    </row>
    <row r="22" spans="1:11" x14ac:dyDescent="0.3">
      <c r="A22" s="256">
        <v>15</v>
      </c>
      <c r="B22" s="257" t="s">
        <v>1491</v>
      </c>
      <c r="C22" s="276">
        <v>44275</v>
      </c>
      <c r="D22" s="257" t="s">
        <v>1281</v>
      </c>
      <c r="E22" s="256" t="s">
        <v>1806</v>
      </c>
      <c r="F22" s="256" t="s">
        <v>1731</v>
      </c>
      <c r="G22" s="258">
        <v>4357000000</v>
      </c>
      <c r="H22" s="265">
        <v>0.1</v>
      </c>
      <c r="I22" s="258">
        <v>435700000</v>
      </c>
      <c r="J22" s="258">
        <v>4792700000</v>
      </c>
      <c r="K22" s="256" t="s">
        <v>1346</v>
      </c>
    </row>
    <row r="23" spans="1:11" x14ac:dyDescent="0.3">
      <c r="A23" s="256">
        <v>16</v>
      </c>
      <c r="B23" s="257" t="s">
        <v>1492</v>
      </c>
      <c r="C23" s="276">
        <v>44306</v>
      </c>
      <c r="D23" s="257" t="s">
        <v>1281</v>
      </c>
      <c r="E23" s="256" t="s">
        <v>1806</v>
      </c>
      <c r="F23" s="256" t="s">
        <v>1871</v>
      </c>
      <c r="G23" s="258">
        <v>1970000000</v>
      </c>
      <c r="H23" s="265">
        <v>0.1</v>
      </c>
      <c r="I23" s="258">
        <v>197000000</v>
      </c>
      <c r="J23" s="258">
        <v>2167000000</v>
      </c>
      <c r="K23" s="256" t="s">
        <v>1346</v>
      </c>
    </row>
    <row r="24" spans="1:11" x14ac:dyDescent="0.3">
      <c r="A24" s="256">
        <v>17</v>
      </c>
      <c r="B24" s="257" t="s">
        <v>1484</v>
      </c>
      <c r="C24" s="276">
        <v>44336</v>
      </c>
      <c r="D24" s="257" t="s">
        <v>1273</v>
      </c>
      <c r="E24" s="256" t="s">
        <v>1829</v>
      </c>
      <c r="F24" s="256" t="s">
        <v>1730</v>
      </c>
      <c r="G24" s="258">
        <v>3169000000</v>
      </c>
      <c r="H24" s="265">
        <v>0.1</v>
      </c>
      <c r="I24" s="258">
        <v>316900000</v>
      </c>
      <c r="J24" s="258">
        <v>3485900000</v>
      </c>
      <c r="K24" s="256" t="s">
        <v>1346</v>
      </c>
    </row>
    <row r="25" spans="1:11" x14ac:dyDescent="0.3">
      <c r="A25" s="256">
        <v>18</v>
      </c>
      <c r="B25" s="257" t="s">
        <v>1506</v>
      </c>
      <c r="C25" s="276">
        <v>44367</v>
      </c>
      <c r="D25" s="257" t="s">
        <v>1284</v>
      </c>
      <c r="E25" s="256" t="s">
        <v>1786</v>
      </c>
      <c r="F25" s="256" t="s">
        <v>1741</v>
      </c>
      <c r="G25" s="258">
        <v>1810000000</v>
      </c>
      <c r="H25" s="265">
        <v>0.1</v>
      </c>
      <c r="I25" s="258">
        <v>181000000</v>
      </c>
      <c r="J25" s="258">
        <v>1991000000</v>
      </c>
      <c r="K25" s="256" t="s">
        <v>1346</v>
      </c>
    </row>
    <row r="26" spans="1:11" x14ac:dyDescent="0.3">
      <c r="A26" s="256">
        <v>19</v>
      </c>
      <c r="B26" s="257" t="s">
        <v>1507</v>
      </c>
      <c r="C26" s="276">
        <v>44397</v>
      </c>
      <c r="D26" s="257" t="s">
        <v>1284</v>
      </c>
      <c r="E26" s="256" t="s">
        <v>1786</v>
      </c>
      <c r="F26" s="256" t="s">
        <v>1870</v>
      </c>
      <c r="G26" s="258">
        <v>4116000000</v>
      </c>
      <c r="H26" s="265">
        <v>0.1</v>
      </c>
      <c r="I26" s="258">
        <v>411600000</v>
      </c>
      <c r="J26" s="258">
        <v>4527600000</v>
      </c>
      <c r="K26" s="256" t="s">
        <v>1346</v>
      </c>
    </row>
    <row r="27" spans="1:11" x14ac:dyDescent="0.3">
      <c r="A27" s="256">
        <v>20</v>
      </c>
      <c r="B27" s="257" t="s">
        <v>1464</v>
      </c>
      <c r="C27" s="276">
        <v>44428</v>
      </c>
      <c r="D27" s="257" t="s">
        <v>1290</v>
      </c>
      <c r="E27" s="256" t="s">
        <v>1796</v>
      </c>
      <c r="F27" s="256" t="s">
        <v>1741</v>
      </c>
      <c r="G27" s="258">
        <v>3575000000</v>
      </c>
      <c r="H27" s="265">
        <v>0.1</v>
      </c>
      <c r="I27" s="258">
        <v>357500000</v>
      </c>
      <c r="J27" s="258">
        <v>3932500000</v>
      </c>
      <c r="K27" s="256" t="s">
        <v>1346</v>
      </c>
    </row>
    <row r="28" spans="1:11" x14ac:dyDescent="0.3">
      <c r="A28" s="256">
        <v>21</v>
      </c>
      <c r="B28" s="257" t="s">
        <v>1419</v>
      </c>
      <c r="C28" s="276">
        <v>44459</v>
      </c>
      <c r="D28" s="257" t="s">
        <v>1300</v>
      </c>
      <c r="E28" s="256" t="s">
        <v>1818</v>
      </c>
      <c r="F28" s="256" t="s">
        <v>1869</v>
      </c>
      <c r="G28" s="258">
        <v>4584000000</v>
      </c>
      <c r="H28" s="265">
        <v>0.1</v>
      </c>
      <c r="I28" s="258">
        <v>458400000</v>
      </c>
      <c r="J28" s="258">
        <v>5042400000</v>
      </c>
      <c r="K28" s="256" t="s">
        <v>1348</v>
      </c>
    </row>
    <row r="29" spans="1:11" x14ac:dyDescent="0.3">
      <c r="A29" s="256">
        <v>22</v>
      </c>
      <c r="B29" s="257" t="s">
        <v>1460</v>
      </c>
      <c r="C29" s="276">
        <v>44489</v>
      </c>
      <c r="D29" s="257" t="s">
        <v>1269</v>
      </c>
      <c r="E29" s="256" t="s">
        <v>1823</v>
      </c>
      <c r="F29" s="256" t="s">
        <v>1741</v>
      </c>
      <c r="G29" s="258">
        <v>4474000000</v>
      </c>
      <c r="H29" s="265">
        <v>0.1</v>
      </c>
      <c r="I29" s="258">
        <v>447400000</v>
      </c>
      <c r="J29" s="258">
        <v>4921400000</v>
      </c>
      <c r="K29" s="256" t="s">
        <v>1346</v>
      </c>
    </row>
    <row r="30" spans="1:11" x14ac:dyDescent="0.3">
      <c r="A30" s="256">
        <v>23</v>
      </c>
      <c r="B30" s="257" t="s">
        <v>1468</v>
      </c>
      <c r="C30" s="276">
        <v>44520</v>
      </c>
      <c r="D30" s="257" t="s">
        <v>1265</v>
      </c>
      <c r="E30" s="256" t="s">
        <v>1830</v>
      </c>
      <c r="F30" s="256" t="s">
        <v>1869</v>
      </c>
      <c r="G30" s="258">
        <v>1605000000</v>
      </c>
      <c r="H30" s="265">
        <v>0.1</v>
      </c>
      <c r="I30" s="258">
        <v>160500000</v>
      </c>
      <c r="J30" s="258">
        <v>1765500000</v>
      </c>
      <c r="K30" s="256" t="s">
        <v>1346</v>
      </c>
    </row>
    <row r="31" spans="1:11" x14ac:dyDescent="0.3">
      <c r="A31" s="256">
        <v>24</v>
      </c>
      <c r="B31" s="257" t="s">
        <v>1501</v>
      </c>
      <c r="C31" s="276">
        <v>44550</v>
      </c>
      <c r="D31" s="257" t="s">
        <v>1304</v>
      </c>
      <c r="E31" s="256" t="s">
        <v>1831</v>
      </c>
      <c r="F31" s="256" t="s">
        <v>1871</v>
      </c>
      <c r="G31" s="258">
        <v>4352000000</v>
      </c>
      <c r="H31" s="265">
        <v>0.1</v>
      </c>
      <c r="I31" s="258">
        <v>435200000</v>
      </c>
      <c r="J31" s="258">
        <v>4787200000</v>
      </c>
      <c r="K31" s="256" t="s">
        <v>1346</v>
      </c>
    </row>
    <row r="32" spans="1:11" x14ac:dyDescent="0.3">
      <c r="A32" s="256">
        <v>25</v>
      </c>
      <c r="B32" s="257" t="s">
        <v>1463</v>
      </c>
      <c r="C32" s="276">
        <v>44221</v>
      </c>
      <c r="D32" s="257" t="s">
        <v>1293</v>
      </c>
      <c r="E32" s="256" t="s">
        <v>1826</v>
      </c>
      <c r="F32" s="256" t="s">
        <v>1870</v>
      </c>
      <c r="G32" s="258">
        <v>4332000000</v>
      </c>
      <c r="H32" s="265">
        <v>0.1</v>
      </c>
      <c r="I32" s="258">
        <v>433200000</v>
      </c>
      <c r="J32" s="258">
        <v>4765200000</v>
      </c>
      <c r="K32" s="256" t="s">
        <v>1346</v>
      </c>
    </row>
    <row r="33" spans="1:11" x14ac:dyDescent="0.3">
      <c r="A33" s="256">
        <v>26</v>
      </c>
      <c r="B33" s="257" t="s">
        <v>1473</v>
      </c>
      <c r="C33" s="276">
        <v>44255</v>
      </c>
      <c r="D33" s="257" t="s">
        <v>1262</v>
      </c>
      <c r="E33" s="256" t="s">
        <v>1816</v>
      </c>
      <c r="F33" s="256" t="s">
        <v>1741</v>
      </c>
      <c r="G33" s="258">
        <v>4719000000</v>
      </c>
      <c r="H33" s="265">
        <v>0.1</v>
      </c>
      <c r="I33" s="258">
        <v>471900000</v>
      </c>
      <c r="J33" s="258">
        <v>5190900000</v>
      </c>
      <c r="K33" s="256" t="s">
        <v>1346</v>
      </c>
    </row>
    <row r="34" spans="1:11" x14ac:dyDescent="0.3">
      <c r="A34" s="256">
        <v>27</v>
      </c>
      <c r="B34" s="257" t="s">
        <v>1414</v>
      </c>
      <c r="C34" s="276">
        <v>44316</v>
      </c>
      <c r="D34" s="257" t="s">
        <v>1286</v>
      </c>
      <c r="E34" s="256" t="s">
        <v>1828</v>
      </c>
      <c r="F34" s="256" t="s">
        <v>1741</v>
      </c>
      <c r="G34" s="258">
        <v>1372000000</v>
      </c>
      <c r="H34" s="265">
        <v>0.1</v>
      </c>
      <c r="I34" s="258">
        <v>137200000</v>
      </c>
      <c r="J34" s="258">
        <v>1509200000</v>
      </c>
      <c r="K34" s="256" t="s">
        <v>1348</v>
      </c>
    </row>
    <row r="35" spans="1:11" x14ac:dyDescent="0.3">
      <c r="A35" s="256">
        <v>28</v>
      </c>
      <c r="B35" s="257" t="s">
        <v>1502</v>
      </c>
      <c r="C35" s="276">
        <v>44377</v>
      </c>
      <c r="D35" s="257" t="s">
        <v>1304</v>
      </c>
      <c r="E35" s="256" t="s">
        <v>1831</v>
      </c>
      <c r="F35" s="256" t="s">
        <v>1871</v>
      </c>
      <c r="G35" s="258">
        <v>4330000000</v>
      </c>
      <c r="H35" s="265">
        <v>0.1</v>
      </c>
      <c r="I35" s="258">
        <v>433000000</v>
      </c>
      <c r="J35" s="258">
        <v>4763000000</v>
      </c>
      <c r="K35" s="256" t="s">
        <v>1346</v>
      </c>
    </row>
    <row r="36" spans="1:11" x14ac:dyDescent="0.3">
      <c r="A36" s="256">
        <v>29</v>
      </c>
      <c r="B36" s="257" t="s">
        <v>1470</v>
      </c>
      <c r="C36" s="276">
        <v>44469</v>
      </c>
      <c r="D36" s="257" t="s">
        <v>1289</v>
      </c>
      <c r="E36" s="256" t="s">
        <v>1803</v>
      </c>
      <c r="F36" s="256" t="s">
        <v>1741</v>
      </c>
      <c r="G36" s="258">
        <v>2379000000</v>
      </c>
      <c r="H36" s="265">
        <v>0.1</v>
      </c>
      <c r="I36" s="258">
        <v>237900000</v>
      </c>
      <c r="J36" s="258">
        <v>2616900000</v>
      </c>
      <c r="K36" s="256" t="s">
        <v>1346</v>
      </c>
    </row>
    <row r="37" spans="1:11" x14ac:dyDescent="0.3">
      <c r="A37" s="256">
        <v>30</v>
      </c>
      <c r="B37" s="257" t="s">
        <v>1471</v>
      </c>
      <c r="C37" s="276">
        <v>44530</v>
      </c>
      <c r="D37" s="257" t="s">
        <v>1289</v>
      </c>
      <c r="E37" s="256" t="s">
        <v>1803</v>
      </c>
      <c r="F37" s="256" t="s">
        <v>1868</v>
      </c>
      <c r="G37" s="258">
        <v>4799000000</v>
      </c>
      <c r="H37" s="265">
        <v>0.1</v>
      </c>
      <c r="I37" s="258">
        <v>479900000</v>
      </c>
      <c r="J37" s="258">
        <v>5278900000</v>
      </c>
      <c r="K37" s="256" t="s">
        <v>1346</v>
      </c>
    </row>
    <row r="38" spans="1:11" x14ac:dyDescent="0.3">
      <c r="A38" s="256">
        <v>31</v>
      </c>
      <c r="B38" s="257" t="s">
        <v>1464</v>
      </c>
      <c r="C38" s="276">
        <v>44286</v>
      </c>
      <c r="D38" s="257" t="s">
        <v>1293</v>
      </c>
      <c r="E38" s="256" t="s">
        <v>1826</v>
      </c>
      <c r="F38" s="256" t="s">
        <v>1870</v>
      </c>
      <c r="G38" s="258">
        <v>3305000000</v>
      </c>
      <c r="H38" s="265">
        <v>0</v>
      </c>
      <c r="I38" s="258">
        <v>0</v>
      </c>
      <c r="J38" s="258">
        <v>3305000000</v>
      </c>
      <c r="K38" s="256" t="s">
        <v>1348</v>
      </c>
    </row>
    <row r="39" spans="1:11" x14ac:dyDescent="0.3">
      <c r="A39" s="256">
        <v>32</v>
      </c>
      <c r="B39" s="257" t="s">
        <v>1406</v>
      </c>
      <c r="C39" s="276">
        <v>44347</v>
      </c>
      <c r="D39" s="257" t="s">
        <v>1296</v>
      </c>
      <c r="E39" s="256" t="s">
        <v>1807</v>
      </c>
      <c r="F39" s="256" t="s">
        <v>1731</v>
      </c>
      <c r="G39" s="258">
        <v>2276000000</v>
      </c>
      <c r="H39" s="265">
        <v>0.1</v>
      </c>
      <c r="I39" s="258">
        <v>227600000</v>
      </c>
      <c r="J39" s="258">
        <v>2503600000</v>
      </c>
      <c r="K39" s="256" t="s">
        <v>1346</v>
      </c>
    </row>
    <row r="40" spans="1:11" x14ac:dyDescent="0.3">
      <c r="A40" s="256">
        <v>33</v>
      </c>
      <c r="B40" s="257" t="s">
        <v>1494</v>
      </c>
      <c r="C40" s="276">
        <v>44408</v>
      </c>
      <c r="D40" s="257" t="s">
        <v>1272</v>
      </c>
      <c r="E40" s="256" t="s">
        <v>1805</v>
      </c>
      <c r="F40" s="256" t="s">
        <v>1731</v>
      </c>
      <c r="G40" s="258">
        <v>3357000000</v>
      </c>
      <c r="H40" s="265">
        <v>0.1</v>
      </c>
      <c r="I40" s="258">
        <v>335700000</v>
      </c>
      <c r="J40" s="258">
        <v>3692700000</v>
      </c>
      <c r="K40" s="256" t="s">
        <v>1346</v>
      </c>
    </row>
    <row r="41" spans="1:11" x14ac:dyDescent="0.3">
      <c r="A41" s="256">
        <v>34</v>
      </c>
      <c r="B41" s="257" t="s">
        <v>1456</v>
      </c>
      <c r="C41" s="276">
        <v>44439</v>
      </c>
      <c r="D41" s="257" t="s">
        <v>1300</v>
      </c>
      <c r="E41" s="256" t="s">
        <v>1818</v>
      </c>
      <c r="F41" s="256" t="s">
        <v>1869</v>
      </c>
      <c r="G41" s="258">
        <v>4729000000</v>
      </c>
      <c r="H41" s="265">
        <v>0.1</v>
      </c>
      <c r="I41" s="258">
        <v>472900000</v>
      </c>
      <c r="J41" s="258">
        <v>5201900000</v>
      </c>
      <c r="K41" s="256" t="s">
        <v>1346</v>
      </c>
    </row>
    <row r="42" spans="1:11" x14ac:dyDescent="0.3">
      <c r="A42" s="256">
        <v>35</v>
      </c>
      <c r="B42" s="257" t="s">
        <v>1501</v>
      </c>
      <c r="C42" s="276">
        <v>44500</v>
      </c>
      <c r="D42" s="257" t="s">
        <v>1259</v>
      </c>
      <c r="E42" s="256" t="s">
        <v>1788</v>
      </c>
      <c r="F42" s="256" t="s">
        <v>1870</v>
      </c>
      <c r="G42" s="258">
        <v>4600000000</v>
      </c>
      <c r="H42" s="265">
        <v>0.1</v>
      </c>
      <c r="I42" s="258">
        <v>460000000</v>
      </c>
      <c r="J42" s="258">
        <v>5060000000</v>
      </c>
      <c r="K42" s="256" t="s">
        <v>1346</v>
      </c>
    </row>
    <row r="43" spans="1:11" x14ac:dyDescent="0.3">
      <c r="A43" s="256">
        <v>36</v>
      </c>
      <c r="B43" s="257" t="s">
        <v>1208</v>
      </c>
      <c r="C43" s="276">
        <v>44561</v>
      </c>
      <c r="D43" s="257" t="s">
        <v>1287</v>
      </c>
      <c r="E43" s="256" t="s">
        <v>1801</v>
      </c>
      <c r="F43" s="256" t="s">
        <v>1869</v>
      </c>
      <c r="G43" s="258">
        <v>5200000000</v>
      </c>
      <c r="H43" s="265">
        <v>0.1</v>
      </c>
      <c r="I43" s="258">
        <v>520000000</v>
      </c>
      <c r="J43" s="258">
        <v>5720000000</v>
      </c>
      <c r="K43" s="256" t="s">
        <v>1346</v>
      </c>
    </row>
    <row r="44" spans="1:11" x14ac:dyDescent="0.3">
      <c r="A44" s="256">
        <v>37</v>
      </c>
      <c r="B44" s="257" t="s">
        <v>1479</v>
      </c>
      <c r="C44" s="276">
        <v>44561</v>
      </c>
      <c r="D44" s="257" t="s">
        <v>1268</v>
      </c>
      <c r="E44" s="256" t="s">
        <v>1821</v>
      </c>
      <c r="F44" s="256" t="s">
        <v>1734</v>
      </c>
      <c r="G44" s="258">
        <v>4127000000</v>
      </c>
      <c r="H44" s="265">
        <v>0.1</v>
      </c>
      <c r="I44" s="258">
        <v>412700000</v>
      </c>
      <c r="J44" s="258">
        <v>4539700000</v>
      </c>
      <c r="K44" s="256" t="s">
        <v>1346</v>
      </c>
    </row>
    <row r="45" spans="1:11" x14ac:dyDescent="0.3">
      <c r="A45" s="256">
        <v>38</v>
      </c>
      <c r="B45" s="257" t="s">
        <v>1493</v>
      </c>
      <c r="C45" s="276">
        <v>44561</v>
      </c>
      <c r="D45" s="257" t="s">
        <v>1270</v>
      </c>
      <c r="E45" s="256" t="s">
        <v>1782</v>
      </c>
      <c r="F45" s="256" t="s">
        <v>1731</v>
      </c>
      <c r="G45" s="258">
        <v>3429000000</v>
      </c>
      <c r="H45" s="265">
        <v>0.1</v>
      </c>
      <c r="I45" s="258">
        <v>342900000</v>
      </c>
      <c r="J45" s="258">
        <v>3771900000</v>
      </c>
      <c r="K45" s="256" t="s">
        <v>1346</v>
      </c>
    </row>
    <row r="46" spans="1:11" x14ac:dyDescent="0.3">
      <c r="A46" s="256">
        <v>39</v>
      </c>
      <c r="B46" s="257" t="s">
        <v>1465</v>
      </c>
      <c r="C46" s="276">
        <v>44561</v>
      </c>
      <c r="D46" s="257" t="s">
        <v>1290</v>
      </c>
      <c r="E46" s="256" t="s">
        <v>1796</v>
      </c>
      <c r="F46" s="256" t="s">
        <v>1734</v>
      </c>
      <c r="G46" s="258">
        <v>3861000000</v>
      </c>
      <c r="H46" s="265">
        <v>0.1</v>
      </c>
      <c r="I46" s="258">
        <v>386100000</v>
      </c>
      <c r="J46" s="258">
        <v>4247100000</v>
      </c>
      <c r="K46" s="256" t="s">
        <v>1346</v>
      </c>
    </row>
    <row r="47" spans="1:11" x14ac:dyDescent="0.3">
      <c r="A47" s="256">
        <v>40</v>
      </c>
      <c r="B47" s="257" t="s">
        <v>1482</v>
      </c>
      <c r="C47" s="276">
        <v>44561</v>
      </c>
      <c r="D47" s="257" t="s">
        <v>1288</v>
      </c>
      <c r="E47" s="256" t="s">
        <v>1797</v>
      </c>
      <c r="F47" s="256" t="s">
        <v>1871</v>
      </c>
      <c r="G47" s="258">
        <v>2801000000</v>
      </c>
      <c r="H47" s="265">
        <v>0.1</v>
      </c>
      <c r="I47" s="258">
        <v>280100000</v>
      </c>
      <c r="J47" s="258">
        <v>3081100000</v>
      </c>
      <c r="K47" s="256" t="s">
        <v>1346</v>
      </c>
    </row>
    <row r="48" spans="1:11" x14ac:dyDescent="0.3">
      <c r="A48" s="256">
        <v>41</v>
      </c>
      <c r="B48" s="257" t="s">
        <v>1484</v>
      </c>
      <c r="C48" s="276">
        <v>44561</v>
      </c>
      <c r="D48" s="257" t="s">
        <v>1282</v>
      </c>
      <c r="E48" s="256" t="s">
        <v>1789</v>
      </c>
      <c r="F48" s="256" t="s">
        <v>1870</v>
      </c>
      <c r="G48" s="258">
        <v>5095000000</v>
      </c>
      <c r="H48" s="265">
        <v>0.1</v>
      </c>
      <c r="I48" s="258">
        <v>509500000</v>
      </c>
      <c r="J48" s="258">
        <v>5604500000</v>
      </c>
      <c r="K48" s="256" t="s">
        <v>1346</v>
      </c>
    </row>
    <row r="49" spans="1:11" x14ac:dyDescent="0.3">
      <c r="A49" s="256">
        <v>42</v>
      </c>
      <c r="B49" s="257" t="s">
        <v>1469</v>
      </c>
      <c r="C49" s="276">
        <v>44561</v>
      </c>
      <c r="D49" s="257" t="s">
        <v>1265</v>
      </c>
      <c r="E49" s="256" t="s">
        <v>1830</v>
      </c>
      <c r="F49" s="256" t="s">
        <v>1869</v>
      </c>
      <c r="G49" s="258">
        <v>1320000000</v>
      </c>
      <c r="H49" s="265">
        <v>0.1</v>
      </c>
      <c r="I49" s="258">
        <v>132000000</v>
      </c>
      <c r="J49" s="258">
        <v>1452000000</v>
      </c>
      <c r="K49" s="256" t="s">
        <v>1346</v>
      </c>
    </row>
    <row r="50" spans="1:11" x14ac:dyDescent="0.3">
      <c r="A50" s="256">
        <v>43</v>
      </c>
      <c r="B50" s="257" t="s">
        <v>1502</v>
      </c>
      <c r="C50" s="276">
        <v>44561</v>
      </c>
      <c r="D50" s="257" t="s">
        <v>1259</v>
      </c>
      <c r="E50" s="256" t="s">
        <v>1788</v>
      </c>
      <c r="F50" s="256" t="s">
        <v>1741</v>
      </c>
      <c r="G50" s="258">
        <v>3734000000</v>
      </c>
      <c r="H50" s="265">
        <v>0.1</v>
      </c>
      <c r="I50" s="258">
        <v>373400000</v>
      </c>
      <c r="J50" s="258">
        <v>4107400000</v>
      </c>
      <c r="K50" s="256" t="s">
        <v>1346</v>
      </c>
    </row>
    <row r="51" spans="1:11" x14ac:dyDescent="0.3">
      <c r="A51" s="256">
        <v>44</v>
      </c>
      <c r="B51" s="257" t="s">
        <v>1404</v>
      </c>
      <c r="C51" s="276">
        <v>44561</v>
      </c>
      <c r="D51" s="257" t="s">
        <v>1258</v>
      </c>
      <c r="E51" s="256" t="s">
        <v>1833</v>
      </c>
      <c r="F51" s="256" t="s">
        <v>1871</v>
      </c>
      <c r="G51" s="258">
        <v>4403000000</v>
      </c>
      <c r="H51" s="265">
        <v>0.1</v>
      </c>
      <c r="I51" s="258">
        <v>440300000</v>
      </c>
      <c r="J51" s="258">
        <v>4843300000</v>
      </c>
      <c r="K51" s="256" t="s">
        <v>1346</v>
      </c>
    </row>
    <row r="52" spans="1:11" x14ac:dyDescent="0.3">
      <c r="A52" s="256">
        <v>45</v>
      </c>
      <c r="B52" s="257" t="s">
        <v>1480</v>
      </c>
      <c r="C52" s="276">
        <v>44561</v>
      </c>
      <c r="D52" s="257" t="s">
        <v>1279</v>
      </c>
      <c r="E52" s="256" t="s">
        <v>1827</v>
      </c>
      <c r="F52" s="256" t="s">
        <v>1871</v>
      </c>
      <c r="G52" s="258">
        <v>1987000000</v>
      </c>
      <c r="H52" s="265">
        <v>0</v>
      </c>
      <c r="I52" s="258">
        <v>0</v>
      </c>
      <c r="J52" s="258">
        <v>1987000000</v>
      </c>
      <c r="K52" s="256" t="s">
        <v>1346</v>
      </c>
    </row>
    <row r="53" spans="1:11" x14ac:dyDescent="0.3">
      <c r="A53" s="256">
        <v>46</v>
      </c>
      <c r="B53" s="257" t="s">
        <v>1503</v>
      </c>
      <c r="C53" s="276">
        <v>44561</v>
      </c>
      <c r="D53" s="257" t="s">
        <v>1259</v>
      </c>
      <c r="E53" s="256" t="s">
        <v>1788</v>
      </c>
      <c r="F53" s="256" t="s">
        <v>1870</v>
      </c>
      <c r="G53" s="258">
        <v>3638000000</v>
      </c>
      <c r="H53" s="265">
        <v>0.1</v>
      </c>
      <c r="I53" s="258">
        <v>363800000</v>
      </c>
      <c r="J53" s="258">
        <v>4001800000</v>
      </c>
      <c r="K53" s="256" t="s">
        <v>1346</v>
      </c>
    </row>
    <row r="54" spans="1:11" x14ac:dyDescent="0.3">
      <c r="A54" s="256">
        <v>47</v>
      </c>
      <c r="B54" s="257" t="s">
        <v>1485</v>
      </c>
      <c r="C54" s="276">
        <v>44561</v>
      </c>
      <c r="D54" s="257" t="s">
        <v>1273</v>
      </c>
      <c r="E54" s="256" t="s">
        <v>1829</v>
      </c>
      <c r="F54" s="256" t="s">
        <v>1731</v>
      </c>
      <c r="G54" s="258">
        <v>3324000000</v>
      </c>
      <c r="H54" s="265">
        <v>0.1</v>
      </c>
      <c r="I54" s="258">
        <v>332400000</v>
      </c>
      <c r="J54" s="258">
        <v>3656400000</v>
      </c>
      <c r="K54" s="256" t="s">
        <v>1346</v>
      </c>
    </row>
    <row r="55" spans="1:11" x14ac:dyDescent="0.3">
      <c r="A55" s="256">
        <v>48</v>
      </c>
      <c r="B55" s="257" t="s">
        <v>1461</v>
      </c>
      <c r="C55" s="276">
        <v>44561</v>
      </c>
      <c r="D55" s="257" t="s">
        <v>1301</v>
      </c>
      <c r="E55" s="256" t="s">
        <v>1781</v>
      </c>
      <c r="F55" s="256" t="s">
        <v>1870</v>
      </c>
      <c r="G55" s="258">
        <v>2541000000</v>
      </c>
      <c r="H55" s="265">
        <v>0.1</v>
      </c>
      <c r="I55" s="258">
        <v>254100000</v>
      </c>
      <c r="J55" s="258">
        <v>2795100000</v>
      </c>
      <c r="K55" s="256" t="s">
        <v>1346</v>
      </c>
    </row>
    <row r="56" spans="1:11" x14ac:dyDescent="0.3">
      <c r="A56" s="256">
        <v>49</v>
      </c>
      <c r="B56" s="257" t="s">
        <v>1473</v>
      </c>
      <c r="C56" s="276">
        <v>44561</v>
      </c>
      <c r="D56" s="257" t="s">
        <v>1299</v>
      </c>
      <c r="E56" s="256" t="s">
        <v>1776</v>
      </c>
      <c r="F56" s="256" t="s">
        <v>1869</v>
      </c>
      <c r="G56" s="258">
        <v>2453000000</v>
      </c>
      <c r="H56" s="265">
        <v>0.1</v>
      </c>
      <c r="I56" s="258">
        <v>245300000</v>
      </c>
      <c r="J56" s="258">
        <v>2698300000</v>
      </c>
      <c r="K56" s="256" t="s">
        <v>1346</v>
      </c>
    </row>
    <row r="57" spans="1:11" x14ac:dyDescent="0.3">
      <c r="A57" s="256">
        <v>50</v>
      </c>
      <c r="B57" s="257" t="s">
        <v>1209</v>
      </c>
      <c r="C57" s="276">
        <v>44561</v>
      </c>
      <c r="D57" s="257" t="s">
        <v>1287</v>
      </c>
      <c r="E57" s="256" t="s">
        <v>1801</v>
      </c>
      <c r="F57" s="256" t="s">
        <v>1741</v>
      </c>
      <c r="G57" s="258">
        <v>3784000000</v>
      </c>
      <c r="H57" s="265">
        <v>0.1</v>
      </c>
      <c r="I57" s="258">
        <v>378400000</v>
      </c>
      <c r="J57" s="258">
        <v>4162400000</v>
      </c>
      <c r="K57" s="256" t="s">
        <v>1346</v>
      </c>
    </row>
    <row r="58" spans="1:11" x14ac:dyDescent="0.3">
      <c r="A58" s="266" t="s">
        <v>1351</v>
      </c>
      <c r="B58" s="266"/>
      <c r="C58" s="266"/>
      <c r="D58" s="266"/>
      <c r="E58" s="266"/>
      <c r="F58" s="266"/>
      <c r="G58" s="267">
        <f>SUM(G8:G57)</f>
        <v>169257000000</v>
      </c>
      <c r="H58" s="266"/>
      <c r="I58" s="267">
        <f>SUM(I8:I57)</f>
        <v>15513000000</v>
      </c>
      <c r="J58" s="267">
        <f>SUM(J8:J57)</f>
        <v>184770000000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1269</v>
      </c>
      <c r="E62" s="256" t="s">
        <v>1823</v>
      </c>
      <c r="F62" s="256" t="s">
        <v>1874</v>
      </c>
      <c r="G62" s="258">
        <v>4546000000</v>
      </c>
      <c r="H62" s="265">
        <v>0.1</v>
      </c>
      <c r="I62" s="258">
        <v>454600000</v>
      </c>
      <c r="J62" s="258">
        <v>5000600000</v>
      </c>
      <c r="K62" s="256" t="s">
        <v>1346</v>
      </c>
    </row>
    <row r="63" spans="1:11" x14ac:dyDescent="0.3">
      <c r="A63" s="256">
        <v>2</v>
      </c>
      <c r="B63" s="257" t="s">
        <v>1201</v>
      </c>
      <c r="C63" s="276">
        <v>44318</v>
      </c>
      <c r="D63" s="257" t="s">
        <v>1294</v>
      </c>
      <c r="E63" s="256" t="s">
        <v>1795</v>
      </c>
      <c r="F63" s="256" t="s">
        <v>1873</v>
      </c>
      <c r="G63" s="258">
        <v>6628000000</v>
      </c>
      <c r="H63" s="265">
        <v>0</v>
      </c>
      <c r="I63" s="258">
        <v>0</v>
      </c>
      <c r="J63" s="258">
        <v>6628000000</v>
      </c>
      <c r="K63" s="256" t="s">
        <v>1346</v>
      </c>
    </row>
    <row r="64" spans="1:11" x14ac:dyDescent="0.3">
      <c r="A64" s="256">
        <v>3</v>
      </c>
      <c r="B64" s="257" t="s">
        <v>1202</v>
      </c>
      <c r="C64" s="276">
        <v>44472</v>
      </c>
      <c r="D64" s="257" t="s">
        <v>1268</v>
      </c>
      <c r="E64" s="256" t="s">
        <v>1821</v>
      </c>
      <c r="F64" s="256" t="s">
        <v>1873</v>
      </c>
      <c r="G64" s="258">
        <v>2171000000</v>
      </c>
      <c r="H64" s="265">
        <v>0.1</v>
      </c>
      <c r="I64" s="258">
        <v>217100000</v>
      </c>
      <c r="J64" s="258">
        <v>2388100000</v>
      </c>
      <c r="K64" s="256" t="s">
        <v>1348</v>
      </c>
    </row>
    <row r="65" spans="1:11" x14ac:dyDescent="0.3">
      <c r="A65" s="256">
        <v>4</v>
      </c>
      <c r="B65" s="257" t="s">
        <v>1355</v>
      </c>
      <c r="C65" s="276">
        <v>44473</v>
      </c>
      <c r="D65" s="257" t="s">
        <v>1268</v>
      </c>
      <c r="E65" s="256" t="s">
        <v>1821</v>
      </c>
      <c r="F65" s="256" t="s">
        <v>1873</v>
      </c>
      <c r="G65" s="258">
        <v>1932000000</v>
      </c>
      <c r="H65" s="265">
        <v>0.1</v>
      </c>
      <c r="I65" s="258">
        <v>193200000</v>
      </c>
      <c r="J65" s="258">
        <v>2125200000</v>
      </c>
      <c r="K65" s="256" t="s">
        <v>1346</v>
      </c>
    </row>
    <row r="66" spans="1:11" x14ac:dyDescent="0.3">
      <c r="A66" s="256">
        <v>5</v>
      </c>
      <c r="B66" s="257" t="s">
        <v>1356</v>
      </c>
      <c r="C66" s="276">
        <v>44474</v>
      </c>
      <c r="D66" s="257" t="s">
        <v>1258</v>
      </c>
      <c r="E66" s="256" t="s">
        <v>1833</v>
      </c>
      <c r="F66" s="256" t="s">
        <v>1873</v>
      </c>
      <c r="G66" s="258">
        <v>2818000000</v>
      </c>
      <c r="H66" s="265">
        <v>0.1</v>
      </c>
      <c r="I66" s="258">
        <v>281800000</v>
      </c>
      <c r="J66" s="258">
        <v>3099800000</v>
      </c>
      <c r="K66" s="256" t="s">
        <v>1346</v>
      </c>
    </row>
    <row r="67" spans="1:11" x14ac:dyDescent="0.3">
      <c r="A67" s="256">
        <v>6</v>
      </c>
      <c r="B67" s="257" t="s">
        <v>1358</v>
      </c>
      <c r="C67" s="276">
        <v>44475</v>
      </c>
      <c r="D67" s="257" t="s">
        <v>1263</v>
      </c>
      <c r="E67" s="256" t="s">
        <v>1790</v>
      </c>
      <c r="F67" s="256" t="s">
        <v>1874</v>
      </c>
      <c r="G67" s="258">
        <v>1928000000</v>
      </c>
      <c r="H67" s="265">
        <v>0.1</v>
      </c>
      <c r="I67" s="258">
        <v>192800000</v>
      </c>
      <c r="J67" s="258">
        <v>2120800000</v>
      </c>
      <c r="K67" s="256" t="s">
        <v>1346</v>
      </c>
    </row>
    <row r="68" spans="1:11" x14ac:dyDescent="0.3">
      <c r="A68" s="256">
        <v>7</v>
      </c>
      <c r="B68" s="257" t="s">
        <v>1360</v>
      </c>
      <c r="C68" s="276">
        <v>44476</v>
      </c>
      <c r="D68" s="257" t="s">
        <v>1276</v>
      </c>
      <c r="E68" s="256" t="s">
        <v>1822</v>
      </c>
      <c r="F68" s="256" t="s">
        <v>1875</v>
      </c>
      <c r="G68" s="258">
        <v>3248000000</v>
      </c>
      <c r="H68" s="265">
        <v>0.1</v>
      </c>
      <c r="I68" s="258">
        <v>324800000</v>
      </c>
      <c r="J68" s="258">
        <v>3572800000</v>
      </c>
      <c r="K68" s="256" t="s">
        <v>1346</v>
      </c>
    </row>
    <row r="69" spans="1:11" x14ac:dyDescent="0.3">
      <c r="A69" s="256">
        <v>8</v>
      </c>
      <c r="B69" s="257" t="s">
        <v>1362</v>
      </c>
      <c r="C69" s="276">
        <v>44477</v>
      </c>
      <c r="D69" s="257" t="s">
        <v>1264</v>
      </c>
      <c r="E69" s="256" t="s">
        <v>1779</v>
      </c>
      <c r="F69" s="256" t="s">
        <v>1872</v>
      </c>
      <c r="G69" s="258">
        <v>3975000000</v>
      </c>
      <c r="H69" s="265">
        <v>0.1</v>
      </c>
      <c r="I69" s="258">
        <v>397500000</v>
      </c>
      <c r="J69" s="258">
        <v>4372500000</v>
      </c>
      <c r="K69" s="256" t="s">
        <v>1346</v>
      </c>
    </row>
    <row r="70" spans="1:11" x14ac:dyDescent="0.3">
      <c r="A70" s="256">
        <v>9</v>
      </c>
      <c r="B70" s="257" t="s">
        <v>1364</v>
      </c>
      <c r="C70" s="276">
        <v>44478</v>
      </c>
      <c r="D70" s="257" t="s">
        <v>1284</v>
      </c>
      <c r="E70" s="256" t="s">
        <v>1786</v>
      </c>
      <c r="F70" s="256" t="s">
        <v>1873</v>
      </c>
      <c r="G70" s="258">
        <v>5217000000</v>
      </c>
      <c r="H70" s="265">
        <v>0.1</v>
      </c>
      <c r="I70" s="258">
        <v>521700000</v>
      </c>
      <c r="J70" s="258">
        <v>5738700000</v>
      </c>
      <c r="K70" s="256" t="s">
        <v>1346</v>
      </c>
    </row>
    <row r="71" spans="1:11" x14ac:dyDescent="0.3">
      <c r="A71" s="256">
        <v>10</v>
      </c>
      <c r="B71" s="257" t="s">
        <v>1366</v>
      </c>
      <c r="C71" s="276">
        <v>44479</v>
      </c>
      <c r="D71" s="257" t="s">
        <v>1257</v>
      </c>
      <c r="E71" s="256" t="s">
        <v>1815</v>
      </c>
      <c r="F71" s="256" t="s">
        <v>1873</v>
      </c>
      <c r="G71" s="258">
        <v>4660000000</v>
      </c>
      <c r="H71" s="265">
        <v>0.1</v>
      </c>
      <c r="I71" s="258">
        <v>466000000</v>
      </c>
      <c r="J71" s="258">
        <v>5126000000</v>
      </c>
      <c r="K71" s="256" t="s">
        <v>1348</v>
      </c>
    </row>
    <row r="72" spans="1:11" x14ac:dyDescent="0.3">
      <c r="A72" s="256">
        <v>11</v>
      </c>
      <c r="B72" s="257" t="s">
        <v>1368</v>
      </c>
      <c r="C72" s="276">
        <v>44480</v>
      </c>
      <c r="D72" s="257" t="s">
        <v>1299</v>
      </c>
      <c r="E72" s="256" t="s">
        <v>1776</v>
      </c>
      <c r="F72" s="256" t="s">
        <v>1872</v>
      </c>
      <c r="G72" s="258">
        <v>1972000000</v>
      </c>
      <c r="H72" s="265">
        <v>0.1</v>
      </c>
      <c r="I72" s="258">
        <v>197200000</v>
      </c>
      <c r="J72" s="258">
        <v>2169200000</v>
      </c>
      <c r="K72" s="256" t="s">
        <v>1348</v>
      </c>
    </row>
    <row r="73" spans="1:11" x14ac:dyDescent="0.3">
      <c r="A73" s="256">
        <v>12</v>
      </c>
      <c r="B73" s="257" t="s">
        <v>1371</v>
      </c>
      <c r="C73" s="276">
        <v>44481</v>
      </c>
      <c r="D73" s="257" t="s">
        <v>1274</v>
      </c>
      <c r="E73" s="256" t="s">
        <v>1794</v>
      </c>
      <c r="F73" s="256" t="s">
        <v>1874</v>
      </c>
      <c r="G73" s="258">
        <v>4620000000</v>
      </c>
      <c r="H73" s="265">
        <v>0.1</v>
      </c>
      <c r="I73" s="258">
        <v>462000000</v>
      </c>
      <c r="J73" s="258">
        <v>5082000000</v>
      </c>
      <c r="K73" s="256" t="s">
        <v>1346</v>
      </c>
    </row>
    <row r="74" spans="1:11" x14ac:dyDescent="0.3">
      <c r="A74" s="256">
        <v>13</v>
      </c>
      <c r="B74" s="257" t="s">
        <v>1373</v>
      </c>
      <c r="C74" s="276">
        <v>44211</v>
      </c>
      <c r="D74" s="257" t="s">
        <v>1299</v>
      </c>
      <c r="E74" s="256" t="s">
        <v>1776</v>
      </c>
      <c r="F74" s="256" t="s">
        <v>1872</v>
      </c>
      <c r="G74" s="258">
        <v>3101000000</v>
      </c>
      <c r="H74" s="265">
        <v>0.1</v>
      </c>
      <c r="I74" s="258">
        <v>310100000</v>
      </c>
      <c r="J74" s="258">
        <v>3411100000</v>
      </c>
      <c r="K74" s="256" t="s">
        <v>1346</v>
      </c>
    </row>
    <row r="75" spans="1:11" x14ac:dyDescent="0.3">
      <c r="A75" s="256">
        <v>14</v>
      </c>
      <c r="B75" s="257" t="s">
        <v>1374</v>
      </c>
      <c r="C75" s="276">
        <v>44242</v>
      </c>
      <c r="D75" s="257" t="s">
        <v>1287</v>
      </c>
      <c r="E75" s="256" t="s">
        <v>1801</v>
      </c>
      <c r="F75" s="256" t="s">
        <v>1873</v>
      </c>
      <c r="G75" s="258">
        <v>6816000000</v>
      </c>
      <c r="H75" s="265">
        <v>0.1</v>
      </c>
      <c r="I75" s="258">
        <v>681600000</v>
      </c>
      <c r="J75" s="258">
        <v>7497600000</v>
      </c>
      <c r="K75" s="256" t="s">
        <v>1348</v>
      </c>
    </row>
    <row r="76" spans="1:11" x14ac:dyDescent="0.3">
      <c r="A76" s="256">
        <v>15</v>
      </c>
      <c r="B76" s="257" t="s">
        <v>1376</v>
      </c>
      <c r="C76" s="276">
        <v>44275</v>
      </c>
      <c r="D76" s="257" t="s">
        <v>1282</v>
      </c>
      <c r="E76" s="256" t="s">
        <v>1789</v>
      </c>
      <c r="F76" s="256" t="s">
        <v>1874</v>
      </c>
      <c r="G76" s="258">
        <v>6614000000</v>
      </c>
      <c r="H76" s="265">
        <v>0.1</v>
      </c>
      <c r="I76" s="258">
        <v>661400000</v>
      </c>
      <c r="J76" s="258">
        <v>7275400000</v>
      </c>
      <c r="K76" s="256" t="s">
        <v>1346</v>
      </c>
    </row>
    <row r="77" spans="1:11" x14ac:dyDescent="0.3">
      <c r="A77" s="256">
        <v>16</v>
      </c>
      <c r="B77" s="257" t="s">
        <v>1378</v>
      </c>
      <c r="C77" s="276">
        <v>44306</v>
      </c>
      <c r="D77" s="257" t="s">
        <v>1297</v>
      </c>
      <c r="E77" s="256" t="s">
        <v>1820</v>
      </c>
      <c r="F77" s="256" t="s">
        <v>1872</v>
      </c>
      <c r="G77" s="258">
        <v>6330000000</v>
      </c>
      <c r="H77" s="265">
        <v>0.1</v>
      </c>
      <c r="I77" s="258">
        <v>633000000</v>
      </c>
      <c r="J77" s="258">
        <v>6963000000</v>
      </c>
      <c r="K77" s="256" t="s">
        <v>1346</v>
      </c>
    </row>
    <row r="78" spans="1:11" x14ac:dyDescent="0.3">
      <c r="A78" s="256">
        <v>17</v>
      </c>
      <c r="B78" s="257" t="s">
        <v>1379</v>
      </c>
      <c r="C78" s="276">
        <v>44336</v>
      </c>
      <c r="D78" s="257" t="s">
        <v>1264</v>
      </c>
      <c r="E78" s="256" t="s">
        <v>1779</v>
      </c>
      <c r="F78" s="256" t="s">
        <v>1874</v>
      </c>
      <c r="G78" s="258">
        <v>6207000000</v>
      </c>
      <c r="H78" s="265">
        <v>0</v>
      </c>
      <c r="I78" s="258">
        <v>0</v>
      </c>
      <c r="J78" s="258">
        <v>6207000000</v>
      </c>
      <c r="K78" s="256" t="s">
        <v>1346</v>
      </c>
    </row>
    <row r="79" spans="1:11" x14ac:dyDescent="0.3">
      <c r="A79" s="256">
        <v>18</v>
      </c>
      <c r="B79" s="257" t="s">
        <v>1381</v>
      </c>
      <c r="C79" s="276">
        <v>44367</v>
      </c>
      <c r="D79" s="257" t="s">
        <v>1282</v>
      </c>
      <c r="E79" s="256" t="s">
        <v>1789</v>
      </c>
      <c r="F79" s="256" t="s">
        <v>1874</v>
      </c>
      <c r="G79" s="258">
        <v>2836000000</v>
      </c>
      <c r="H79" s="265">
        <v>0.1</v>
      </c>
      <c r="I79" s="258">
        <v>283600000</v>
      </c>
      <c r="J79" s="258">
        <v>3119600000</v>
      </c>
      <c r="K79" s="256" t="s">
        <v>1348</v>
      </c>
    </row>
    <row r="80" spans="1:11" x14ac:dyDescent="0.3">
      <c r="A80" s="256">
        <v>19</v>
      </c>
      <c r="B80" s="257" t="s">
        <v>1382</v>
      </c>
      <c r="C80" s="276">
        <v>44397</v>
      </c>
      <c r="D80" s="257" t="s">
        <v>1266</v>
      </c>
      <c r="E80" s="256" t="s">
        <v>1824</v>
      </c>
      <c r="F80" s="256" t="s">
        <v>1875</v>
      </c>
      <c r="G80" s="258">
        <v>3344000000</v>
      </c>
      <c r="H80" s="265">
        <v>0.1</v>
      </c>
      <c r="I80" s="258">
        <v>334400000</v>
      </c>
      <c r="J80" s="258">
        <v>3678400000</v>
      </c>
      <c r="K80" s="256" t="s">
        <v>1346</v>
      </c>
    </row>
    <row r="81" spans="1:11" x14ac:dyDescent="0.3">
      <c r="A81" s="256">
        <v>20</v>
      </c>
      <c r="B81" s="257" t="s">
        <v>1383</v>
      </c>
      <c r="C81" s="276">
        <v>44428</v>
      </c>
      <c r="D81" s="257" t="s">
        <v>1299</v>
      </c>
      <c r="E81" s="256" t="s">
        <v>1776</v>
      </c>
      <c r="F81" s="256" t="s">
        <v>1872</v>
      </c>
      <c r="G81" s="258">
        <v>2761000000</v>
      </c>
      <c r="H81" s="265">
        <v>0.1</v>
      </c>
      <c r="I81" s="258">
        <v>276100000</v>
      </c>
      <c r="J81" s="258">
        <v>3037100000</v>
      </c>
      <c r="K81" s="256" t="s">
        <v>1348</v>
      </c>
    </row>
    <row r="82" spans="1:11" x14ac:dyDescent="0.3">
      <c r="A82" s="256">
        <v>21</v>
      </c>
      <c r="B82" s="257" t="s">
        <v>1203</v>
      </c>
      <c r="C82" s="276">
        <v>44459</v>
      </c>
      <c r="D82" s="257" t="s">
        <v>1303</v>
      </c>
      <c r="E82" s="256" t="s">
        <v>1817</v>
      </c>
      <c r="F82" s="256" t="s">
        <v>1872</v>
      </c>
      <c r="G82" s="258">
        <v>6309000000</v>
      </c>
      <c r="H82" s="265">
        <v>0.1</v>
      </c>
      <c r="I82" s="258">
        <v>630900000</v>
      </c>
      <c r="J82" s="258">
        <v>6939900000</v>
      </c>
      <c r="K82" s="256" t="s">
        <v>1346</v>
      </c>
    </row>
    <row r="83" spans="1:11" x14ac:dyDescent="0.3">
      <c r="A83" s="256">
        <v>22</v>
      </c>
      <c r="B83" s="257" t="s">
        <v>1204</v>
      </c>
      <c r="C83" s="276">
        <v>44489</v>
      </c>
      <c r="D83" s="257" t="s">
        <v>1297</v>
      </c>
      <c r="E83" s="256" t="s">
        <v>1820</v>
      </c>
      <c r="F83" s="256" t="s">
        <v>1875</v>
      </c>
      <c r="G83" s="258">
        <v>4211000000</v>
      </c>
      <c r="H83" s="265">
        <v>0.1</v>
      </c>
      <c r="I83" s="258">
        <v>421100000</v>
      </c>
      <c r="J83" s="258">
        <v>4632100000</v>
      </c>
      <c r="K83" s="256" t="s">
        <v>1346</v>
      </c>
    </row>
    <row r="84" spans="1:11" x14ac:dyDescent="0.3">
      <c r="A84" s="256">
        <v>23</v>
      </c>
      <c r="B84" s="257" t="s">
        <v>1205</v>
      </c>
      <c r="C84" s="276">
        <v>44520</v>
      </c>
      <c r="D84" s="257" t="s">
        <v>1268</v>
      </c>
      <c r="E84" s="256" t="s">
        <v>1821</v>
      </c>
      <c r="F84" s="256" t="s">
        <v>1874</v>
      </c>
      <c r="G84" s="258">
        <v>6654000000</v>
      </c>
      <c r="H84" s="265">
        <v>0.1</v>
      </c>
      <c r="I84" s="258">
        <v>665400000</v>
      </c>
      <c r="J84" s="258">
        <v>7319400000</v>
      </c>
      <c r="K84" s="256" t="s">
        <v>1346</v>
      </c>
    </row>
    <row r="85" spans="1:11" x14ac:dyDescent="0.3">
      <c r="A85" s="256">
        <v>24</v>
      </c>
      <c r="B85" s="257" t="s">
        <v>1385</v>
      </c>
      <c r="C85" s="276">
        <v>44550</v>
      </c>
      <c r="D85" s="257" t="s">
        <v>1289</v>
      </c>
      <c r="E85" s="256" t="s">
        <v>1803</v>
      </c>
      <c r="F85" s="256" t="s">
        <v>1872</v>
      </c>
      <c r="G85" s="258">
        <v>4037000000</v>
      </c>
      <c r="H85" s="265">
        <v>0.1</v>
      </c>
      <c r="I85" s="258">
        <v>403700000</v>
      </c>
      <c r="J85" s="258">
        <v>4440700000</v>
      </c>
      <c r="K85" s="256" t="s">
        <v>1346</v>
      </c>
    </row>
    <row r="86" spans="1:11" x14ac:dyDescent="0.3">
      <c r="A86" s="256">
        <v>25</v>
      </c>
      <c r="B86" s="257" t="s">
        <v>1387</v>
      </c>
      <c r="C86" s="276">
        <v>44221</v>
      </c>
      <c r="D86" s="257" t="s">
        <v>1297</v>
      </c>
      <c r="E86" s="256" t="s">
        <v>1820</v>
      </c>
      <c r="F86" s="256" t="s">
        <v>1875</v>
      </c>
      <c r="G86" s="258">
        <v>4080000000</v>
      </c>
      <c r="H86" s="265">
        <v>0.1</v>
      </c>
      <c r="I86" s="258">
        <v>408000000</v>
      </c>
      <c r="J86" s="258">
        <v>4488000000</v>
      </c>
      <c r="K86" s="256" t="s">
        <v>1346</v>
      </c>
    </row>
    <row r="87" spans="1:11" x14ac:dyDescent="0.3">
      <c r="A87" s="256">
        <v>26</v>
      </c>
      <c r="B87" s="257" t="s">
        <v>1388</v>
      </c>
      <c r="C87" s="276">
        <v>44255</v>
      </c>
      <c r="D87" s="257" t="s">
        <v>1287</v>
      </c>
      <c r="E87" s="256" t="s">
        <v>1801</v>
      </c>
      <c r="F87" s="256" t="s">
        <v>1872</v>
      </c>
      <c r="G87" s="258">
        <v>4465000000</v>
      </c>
      <c r="H87" s="265">
        <v>0.1</v>
      </c>
      <c r="I87" s="258">
        <v>446500000</v>
      </c>
      <c r="J87" s="258">
        <v>4911500000</v>
      </c>
      <c r="K87" s="256" t="s">
        <v>1346</v>
      </c>
    </row>
    <row r="88" spans="1:11" x14ac:dyDescent="0.3">
      <c r="A88" s="256">
        <v>27</v>
      </c>
      <c r="B88" s="257" t="s">
        <v>1391</v>
      </c>
      <c r="C88" s="276">
        <v>44316</v>
      </c>
      <c r="D88" s="257" t="s">
        <v>1255</v>
      </c>
      <c r="E88" s="273">
        <v>46152</v>
      </c>
      <c r="F88" s="256" t="s">
        <v>1874</v>
      </c>
      <c r="G88" s="258">
        <v>6054000000</v>
      </c>
      <c r="H88" s="265">
        <v>0.1</v>
      </c>
      <c r="I88" s="258">
        <v>605400000</v>
      </c>
      <c r="J88" s="258">
        <v>6659400000</v>
      </c>
      <c r="K88" s="256" t="s">
        <v>1346</v>
      </c>
    </row>
    <row r="89" spans="1:11" x14ac:dyDescent="0.3">
      <c r="A89" s="256">
        <v>28</v>
      </c>
      <c r="B89" s="257" t="s">
        <v>1392</v>
      </c>
      <c r="C89" s="276">
        <v>44377</v>
      </c>
      <c r="D89" s="257" t="s">
        <v>1297</v>
      </c>
      <c r="E89" s="256" t="s">
        <v>1820</v>
      </c>
      <c r="F89" s="256" t="s">
        <v>1872</v>
      </c>
      <c r="G89" s="258">
        <v>5534000000</v>
      </c>
      <c r="H89" s="265">
        <v>0.1</v>
      </c>
      <c r="I89" s="258">
        <v>553400000</v>
      </c>
      <c r="J89" s="258">
        <v>6087400000</v>
      </c>
      <c r="K89" s="256" t="s">
        <v>1348</v>
      </c>
    </row>
    <row r="90" spans="1:11" x14ac:dyDescent="0.3">
      <c r="A90" s="256">
        <v>29</v>
      </c>
      <c r="B90" s="257" t="s">
        <v>1394</v>
      </c>
      <c r="C90" s="276">
        <v>44469</v>
      </c>
      <c r="D90" s="257" t="s">
        <v>1276</v>
      </c>
      <c r="E90" s="256" t="s">
        <v>1822</v>
      </c>
      <c r="F90" s="256" t="s">
        <v>1874</v>
      </c>
      <c r="G90" s="258">
        <v>4606000000</v>
      </c>
      <c r="H90" s="265">
        <v>0.1</v>
      </c>
      <c r="I90" s="258">
        <v>460600000</v>
      </c>
      <c r="J90" s="258">
        <v>5066600000</v>
      </c>
      <c r="K90" s="256" t="s">
        <v>1346</v>
      </c>
    </row>
    <row r="91" spans="1:11" x14ac:dyDescent="0.3">
      <c r="A91" s="256">
        <v>30</v>
      </c>
      <c r="B91" s="257" t="s">
        <v>1396</v>
      </c>
      <c r="C91" s="276">
        <v>44530</v>
      </c>
      <c r="D91" s="257" t="s">
        <v>1259</v>
      </c>
      <c r="E91" s="256" t="s">
        <v>1788</v>
      </c>
      <c r="F91" s="256" t="s">
        <v>1875</v>
      </c>
      <c r="G91" s="258">
        <v>2666000000</v>
      </c>
      <c r="H91" s="265">
        <v>0.1</v>
      </c>
      <c r="I91" s="258">
        <v>266600000</v>
      </c>
      <c r="J91" s="258">
        <v>2932600000</v>
      </c>
      <c r="K91" s="256" t="s">
        <v>1346</v>
      </c>
    </row>
    <row r="92" spans="1:11" x14ac:dyDescent="0.3">
      <c r="A92" s="256">
        <v>31</v>
      </c>
      <c r="B92" s="257" t="s">
        <v>1397</v>
      </c>
      <c r="C92" s="276">
        <v>44286</v>
      </c>
      <c r="D92" s="257" t="s">
        <v>1290</v>
      </c>
      <c r="E92" s="256" t="s">
        <v>1796</v>
      </c>
      <c r="F92" s="256" t="s">
        <v>1874</v>
      </c>
      <c r="G92" s="258">
        <v>2240000000</v>
      </c>
      <c r="H92" s="265">
        <v>0.1</v>
      </c>
      <c r="I92" s="258">
        <v>224000000</v>
      </c>
      <c r="J92" s="258">
        <v>2464000000</v>
      </c>
      <c r="K92" s="256" t="s">
        <v>1346</v>
      </c>
    </row>
    <row r="93" spans="1:11" x14ac:dyDescent="0.3">
      <c r="A93" s="256">
        <v>32</v>
      </c>
      <c r="B93" s="257" t="s">
        <v>1398</v>
      </c>
      <c r="C93" s="276">
        <v>44347</v>
      </c>
      <c r="D93" s="257" t="s">
        <v>1304</v>
      </c>
      <c r="E93" s="256" t="s">
        <v>1831</v>
      </c>
      <c r="F93" s="256" t="s">
        <v>1872</v>
      </c>
      <c r="G93" s="258">
        <v>3747000000</v>
      </c>
      <c r="H93" s="265">
        <v>0.1</v>
      </c>
      <c r="I93" s="258">
        <v>374700000</v>
      </c>
      <c r="J93" s="258">
        <v>4121700000</v>
      </c>
      <c r="K93" s="256" t="s">
        <v>1348</v>
      </c>
    </row>
    <row r="94" spans="1:11" x14ac:dyDescent="0.3">
      <c r="A94" s="256">
        <v>33</v>
      </c>
      <c r="B94" s="257" t="s">
        <v>1399</v>
      </c>
      <c r="C94" s="276">
        <v>44408</v>
      </c>
      <c r="D94" s="257" t="s">
        <v>1269</v>
      </c>
      <c r="E94" s="256" t="s">
        <v>1823</v>
      </c>
      <c r="F94" s="256" t="s">
        <v>1874</v>
      </c>
      <c r="G94" s="258">
        <v>6868000000</v>
      </c>
      <c r="H94" s="265">
        <v>0.1</v>
      </c>
      <c r="I94" s="258">
        <v>686800000</v>
      </c>
      <c r="J94" s="258">
        <v>7554800000</v>
      </c>
      <c r="K94" s="256" t="s">
        <v>1346</v>
      </c>
    </row>
    <row r="95" spans="1:11" x14ac:dyDescent="0.3">
      <c r="A95" s="256">
        <v>34</v>
      </c>
      <c r="B95" s="257" t="s">
        <v>1401</v>
      </c>
      <c r="C95" s="276">
        <v>44439</v>
      </c>
      <c r="D95" s="257" t="s">
        <v>1291</v>
      </c>
      <c r="E95" s="256" t="s">
        <v>1800</v>
      </c>
      <c r="F95" s="256" t="s">
        <v>1875</v>
      </c>
      <c r="G95" s="258">
        <v>5364000000</v>
      </c>
      <c r="H95" s="265">
        <v>0.1</v>
      </c>
      <c r="I95" s="258">
        <v>536400000</v>
      </c>
      <c r="J95" s="258">
        <v>5900400000</v>
      </c>
      <c r="K95" s="256" t="s">
        <v>1346</v>
      </c>
    </row>
    <row r="96" spans="1:11" x14ac:dyDescent="0.3">
      <c r="A96" s="256">
        <v>35</v>
      </c>
      <c r="B96" s="257" t="s">
        <v>1402</v>
      </c>
      <c r="C96" s="276">
        <v>44500</v>
      </c>
      <c r="D96" s="257" t="s">
        <v>1257</v>
      </c>
      <c r="E96" s="256" t="s">
        <v>1815</v>
      </c>
      <c r="F96" s="256" t="s">
        <v>1874</v>
      </c>
      <c r="G96" s="258">
        <v>6895000000</v>
      </c>
      <c r="H96" s="265">
        <v>0.1</v>
      </c>
      <c r="I96" s="258">
        <v>689500000</v>
      </c>
      <c r="J96" s="258">
        <v>7584500000</v>
      </c>
      <c r="K96" s="256" t="s">
        <v>1346</v>
      </c>
    </row>
    <row r="97" spans="1:11" x14ac:dyDescent="0.3">
      <c r="A97" s="256">
        <v>36</v>
      </c>
      <c r="B97" s="257" t="s">
        <v>1403</v>
      </c>
      <c r="C97" s="276">
        <v>44561</v>
      </c>
      <c r="D97" s="257" t="s">
        <v>1265</v>
      </c>
      <c r="E97" s="256" t="s">
        <v>1830</v>
      </c>
      <c r="F97" s="256" t="s">
        <v>1875</v>
      </c>
      <c r="G97" s="258">
        <v>2037000000</v>
      </c>
      <c r="H97" s="265">
        <v>0.1</v>
      </c>
      <c r="I97" s="258">
        <v>203700000</v>
      </c>
      <c r="J97" s="258">
        <v>2240700000</v>
      </c>
      <c r="K97" s="256" t="s">
        <v>1346</v>
      </c>
    </row>
    <row r="98" spans="1:11" x14ac:dyDescent="0.3">
      <c r="A98" s="256">
        <v>37</v>
      </c>
      <c r="B98" s="257" t="s">
        <v>1404</v>
      </c>
      <c r="C98" s="276">
        <v>44561</v>
      </c>
      <c r="D98" s="257" t="s">
        <v>1270</v>
      </c>
      <c r="E98" s="256" t="s">
        <v>1782</v>
      </c>
      <c r="F98" s="256" t="s">
        <v>1875</v>
      </c>
      <c r="G98" s="258">
        <v>6376000000</v>
      </c>
      <c r="H98" s="265">
        <v>0.1</v>
      </c>
      <c r="I98" s="258">
        <v>637600000</v>
      </c>
      <c r="J98" s="258">
        <v>7013600000</v>
      </c>
      <c r="K98" s="256" t="s">
        <v>1346</v>
      </c>
    </row>
    <row r="99" spans="1:11" x14ac:dyDescent="0.3">
      <c r="A99" s="256">
        <v>38</v>
      </c>
      <c r="B99" s="257" t="s">
        <v>1405</v>
      </c>
      <c r="C99" s="276">
        <v>44561</v>
      </c>
      <c r="D99" s="257" t="s">
        <v>1286</v>
      </c>
      <c r="E99" s="256" t="s">
        <v>1828</v>
      </c>
      <c r="F99" s="256" t="s">
        <v>1873</v>
      </c>
      <c r="G99" s="258">
        <v>5684000000</v>
      </c>
      <c r="H99" s="265">
        <v>0.1</v>
      </c>
      <c r="I99" s="258">
        <v>568400000</v>
      </c>
      <c r="J99" s="258">
        <v>6252400000</v>
      </c>
      <c r="K99" s="256" t="s">
        <v>1346</v>
      </c>
    </row>
    <row r="100" spans="1:11" x14ac:dyDescent="0.3">
      <c r="A100" s="256">
        <v>39</v>
      </c>
      <c r="B100" s="257" t="s">
        <v>1406</v>
      </c>
      <c r="C100" s="276">
        <v>44561</v>
      </c>
      <c r="D100" s="257" t="s">
        <v>1273</v>
      </c>
      <c r="E100" s="256" t="s">
        <v>1829</v>
      </c>
      <c r="F100" s="256" t="s">
        <v>1874</v>
      </c>
      <c r="G100" s="258">
        <v>7020000000</v>
      </c>
      <c r="H100" s="265">
        <v>0.1</v>
      </c>
      <c r="I100" s="258">
        <v>702000000</v>
      </c>
      <c r="J100" s="258">
        <v>7722000000</v>
      </c>
      <c r="K100" s="256" t="s">
        <v>1346</v>
      </c>
    </row>
    <row r="101" spans="1:11" x14ac:dyDescent="0.3">
      <c r="A101" s="256">
        <v>40</v>
      </c>
      <c r="B101" s="257" t="s">
        <v>1408</v>
      </c>
      <c r="C101" s="276">
        <v>44561</v>
      </c>
      <c r="D101" s="257" t="s">
        <v>1283</v>
      </c>
      <c r="E101" s="256" t="s">
        <v>1798</v>
      </c>
      <c r="F101" s="256" t="s">
        <v>1874</v>
      </c>
      <c r="G101" s="258">
        <v>4342000000</v>
      </c>
      <c r="H101" s="265">
        <v>0.1</v>
      </c>
      <c r="I101" s="258">
        <v>434200000</v>
      </c>
      <c r="J101" s="258">
        <v>4776200000</v>
      </c>
      <c r="K101" s="256" t="s">
        <v>1346</v>
      </c>
    </row>
    <row r="102" spans="1:11" x14ac:dyDescent="0.3">
      <c r="A102" s="256">
        <v>41</v>
      </c>
      <c r="B102" s="257" t="s">
        <v>1409</v>
      </c>
      <c r="C102" s="276">
        <v>44561</v>
      </c>
      <c r="D102" s="257" t="s">
        <v>1277</v>
      </c>
      <c r="E102" s="256" t="s">
        <v>1783</v>
      </c>
      <c r="F102" s="256" t="s">
        <v>1873</v>
      </c>
      <c r="G102" s="258">
        <v>4873000000</v>
      </c>
      <c r="H102" s="265">
        <v>0.1</v>
      </c>
      <c r="I102" s="258">
        <v>487300000</v>
      </c>
      <c r="J102" s="258">
        <v>5360300000</v>
      </c>
      <c r="K102" s="256" t="s">
        <v>1348</v>
      </c>
    </row>
    <row r="103" spans="1:11" x14ac:dyDescent="0.3">
      <c r="A103" s="256">
        <v>42</v>
      </c>
      <c r="B103" s="257" t="s">
        <v>1411</v>
      </c>
      <c r="C103" s="276">
        <v>44561</v>
      </c>
      <c r="D103" s="257" t="s">
        <v>1257</v>
      </c>
      <c r="E103" s="256" t="s">
        <v>1815</v>
      </c>
      <c r="F103" s="256" t="s">
        <v>1873</v>
      </c>
      <c r="G103" s="258">
        <v>2208000000</v>
      </c>
      <c r="H103" s="265">
        <v>0.1</v>
      </c>
      <c r="I103" s="258">
        <v>220800000</v>
      </c>
      <c r="J103" s="258">
        <v>2428800000</v>
      </c>
      <c r="K103" s="256" t="s">
        <v>1348</v>
      </c>
    </row>
    <row r="104" spans="1:11" x14ac:dyDescent="0.3">
      <c r="A104" s="256">
        <v>43</v>
      </c>
      <c r="B104" s="257" t="s">
        <v>1414</v>
      </c>
      <c r="C104" s="276">
        <v>44561</v>
      </c>
      <c r="D104" s="257" t="s">
        <v>1298</v>
      </c>
      <c r="E104" s="256" t="s">
        <v>1819</v>
      </c>
      <c r="F104" s="256" t="s">
        <v>1873</v>
      </c>
      <c r="G104" s="258">
        <v>3017000000</v>
      </c>
      <c r="H104" s="265">
        <v>0.1</v>
      </c>
      <c r="I104" s="258">
        <v>301700000</v>
      </c>
      <c r="J104" s="258">
        <v>3318700000</v>
      </c>
      <c r="K104" s="256" t="s">
        <v>1346</v>
      </c>
    </row>
    <row r="105" spans="1:11" x14ac:dyDescent="0.3">
      <c r="A105" s="256">
        <v>44</v>
      </c>
      <c r="B105" s="257" t="s">
        <v>1415</v>
      </c>
      <c r="C105" s="276">
        <v>44561</v>
      </c>
      <c r="D105" s="257" t="s">
        <v>1297</v>
      </c>
      <c r="E105" s="256" t="s">
        <v>1820</v>
      </c>
      <c r="F105" s="256" t="s">
        <v>1874</v>
      </c>
      <c r="G105" s="258">
        <v>4483000000</v>
      </c>
      <c r="H105" s="265">
        <v>0.1</v>
      </c>
      <c r="I105" s="258">
        <v>448300000</v>
      </c>
      <c r="J105" s="258">
        <v>4931300000</v>
      </c>
      <c r="K105" s="256" t="s">
        <v>1346</v>
      </c>
    </row>
    <row r="106" spans="1:11" x14ac:dyDescent="0.3">
      <c r="A106" s="256">
        <v>45</v>
      </c>
      <c r="B106" s="257" t="s">
        <v>1206</v>
      </c>
      <c r="C106" s="276">
        <v>44561</v>
      </c>
      <c r="D106" s="257" t="s">
        <v>1278</v>
      </c>
      <c r="E106" s="256" t="s">
        <v>1785</v>
      </c>
      <c r="F106" s="256" t="s">
        <v>1873</v>
      </c>
      <c r="G106" s="258">
        <v>2117000000</v>
      </c>
      <c r="H106" s="265">
        <v>0.1</v>
      </c>
      <c r="I106" s="258">
        <v>211700000</v>
      </c>
      <c r="J106" s="258">
        <v>2328700000</v>
      </c>
      <c r="K106" s="256" t="s">
        <v>1346</v>
      </c>
    </row>
    <row r="107" spans="1:11" x14ac:dyDescent="0.3">
      <c r="A107" s="256">
        <v>46</v>
      </c>
      <c r="B107" s="257" t="s">
        <v>1207</v>
      </c>
      <c r="C107" s="276">
        <v>44561</v>
      </c>
      <c r="D107" s="257" t="s">
        <v>1280</v>
      </c>
      <c r="E107" s="256" t="s">
        <v>1777</v>
      </c>
      <c r="F107" s="256" t="s">
        <v>1873</v>
      </c>
      <c r="G107" s="258">
        <v>5289000000</v>
      </c>
      <c r="H107" s="265">
        <v>0.1</v>
      </c>
      <c r="I107" s="258">
        <v>528900000</v>
      </c>
      <c r="J107" s="258">
        <v>5817900000</v>
      </c>
      <c r="K107" s="256" t="s">
        <v>1346</v>
      </c>
    </row>
    <row r="108" spans="1:11" x14ac:dyDescent="0.3">
      <c r="A108" s="256">
        <v>47</v>
      </c>
      <c r="B108" s="257" t="s">
        <v>1208</v>
      </c>
      <c r="C108" s="276">
        <v>44561</v>
      </c>
      <c r="D108" s="257" t="s">
        <v>1256</v>
      </c>
      <c r="E108" s="256" t="s">
        <v>1802</v>
      </c>
      <c r="F108" s="256" t="s">
        <v>1873</v>
      </c>
      <c r="G108" s="258">
        <v>5799000000</v>
      </c>
      <c r="H108" s="265">
        <v>0.1</v>
      </c>
      <c r="I108" s="258">
        <v>579900000</v>
      </c>
      <c r="J108" s="258">
        <v>6378900000</v>
      </c>
      <c r="K108" s="256" t="s">
        <v>1348</v>
      </c>
    </row>
    <row r="109" spans="1:11" x14ac:dyDescent="0.3">
      <c r="A109" s="256">
        <v>48</v>
      </c>
      <c r="B109" s="257" t="s">
        <v>1209</v>
      </c>
      <c r="C109" s="276">
        <v>44561</v>
      </c>
      <c r="D109" s="257" t="s">
        <v>1289</v>
      </c>
      <c r="E109" s="256" t="s">
        <v>1803</v>
      </c>
      <c r="F109" s="256" t="s">
        <v>1875</v>
      </c>
      <c r="G109" s="258">
        <v>4406000000</v>
      </c>
      <c r="H109" s="265">
        <v>0.1</v>
      </c>
      <c r="I109" s="258">
        <v>440600000</v>
      </c>
      <c r="J109" s="258">
        <v>4846600000</v>
      </c>
      <c r="K109" s="256" t="s">
        <v>1346</v>
      </c>
    </row>
    <row r="110" spans="1:11" x14ac:dyDescent="0.3">
      <c r="A110" s="256">
        <v>49</v>
      </c>
      <c r="B110" s="257" t="s">
        <v>1418</v>
      </c>
      <c r="C110" s="276">
        <v>44561</v>
      </c>
      <c r="D110" s="257" t="s">
        <v>1258</v>
      </c>
      <c r="E110" s="256" t="s">
        <v>1833</v>
      </c>
      <c r="F110" s="256" t="s">
        <v>1873</v>
      </c>
      <c r="G110" s="258">
        <v>2632000000</v>
      </c>
      <c r="H110" s="265">
        <v>0.1</v>
      </c>
      <c r="I110" s="258">
        <v>263200000</v>
      </c>
      <c r="J110" s="258">
        <v>2895200000</v>
      </c>
      <c r="K110" s="256" t="s">
        <v>1348</v>
      </c>
    </row>
    <row r="111" spans="1:11" x14ac:dyDescent="0.3">
      <c r="A111" s="256">
        <v>50</v>
      </c>
      <c r="B111" s="257" t="s">
        <v>1419</v>
      </c>
      <c r="C111" s="276">
        <v>44561</v>
      </c>
      <c r="D111" s="257" t="s">
        <v>1276</v>
      </c>
      <c r="E111" s="256" t="s">
        <v>1822</v>
      </c>
      <c r="F111" s="256" t="s">
        <v>1873</v>
      </c>
      <c r="G111" s="258">
        <v>2178000000</v>
      </c>
      <c r="H111" s="265">
        <v>0.1</v>
      </c>
      <c r="I111" s="258">
        <v>217800000</v>
      </c>
      <c r="J111" s="258">
        <v>2395800000</v>
      </c>
      <c r="K111" s="256" t="s">
        <v>1346</v>
      </c>
    </row>
    <row r="112" spans="1:11" x14ac:dyDescent="0.3">
      <c r="A112" s="266" t="s">
        <v>1351</v>
      </c>
      <c r="B112" s="266"/>
      <c r="C112" s="266"/>
      <c r="D112" s="266"/>
      <c r="E112" s="266"/>
      <c r="F112" s="266"/>
      <c r="G112" s="267">
        <f>SUM(G62:G111)</f>
        <v>217915000000</v>
      </c>
      <c r="H112" s="266"/>
      <c r="I112" s="267">
        <f>SUM(I62:I111)</f>
        <v>20508000000</v>
      </c>
      <c r="J112" s="267">
        <f>SUM(J62:J111)</f>
        <v>238423000000</v>
      </c>
      <c r="K112" s="266"/>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1021</v>
      </c>
      <c r="C1" s="256"/>
      <c r="D1" s="256"/>
      <c r="E1" s="256"/>
      <c r="F1" s="256"/>
      <c r="G1" s="256"/>
      <c r="H1" s="256"/>
      <c r="I1" s="256"/>
      <c r="J1" s="256"/>
      <c r="K1" s="256"/>
    </row>
    <row r="2" spans="1:11" x14ac:dyDescent="0.3">
      <c r="A2" s="256" t="s">
        <v>1339</v>
      </c>
      <c r="B2" s="257">
        <v>109082787</v>
      </c>
      <c r="C2" s="256"/>
      <c r="D2" s="256"/>
      <c r="E2" s="256"/>
      <c r="F2" s="256"/>
      <c r="G2" s="256"/>
      <c r="H2" s="256"/>
      <c r="I2" s="256"/>
      <c r="J2" s="256"/>
      <c r="K2" s="256"/>
    </row>
    <row r="3" spans="1:11" x14ac:dyDescent="0.3">
      <c r="A3" s="256" t="s">
        <v>1343</v>
      </c>
      <c r="B3" s="258">
        <v>223288917677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1418</v>
      </c>
      <c r="C8" s="276">
        <v>44317</v>
      </c>
      <c r="D8" s="257" t="s">
        <v>1287</v>
      </c>
      <c r="E8" s="256" t="s">
        <v>1801</v>
      </c>
      <c r="F8" s="256" t="s">
        <v>1878</v>
      </c>
      <c r="G8" s="258">
        <v>1858000000</v>
      </c>
      <c r="H8" s="265">
        <v>0.1</v>
      </c>
      <c r="I8" s="258">
        <v>185800000</v>
      </c>
      <c r="J8" s="258">
        <v>2043800000</v>
      </c>
      <c r="K8" s="256" t="s">
        <v>1346</v>
      </c>
    </row>
    <row r="9" spans="1:11" x14ac:dyDescent="0.3">
      <c r="A9" s="256">
        <v>2</v>
      </c>
      <c r="B9" s="257" t="s">
        <v>1462</v>
      </c>
      <c r="C9" s="276">
        <v>44318</v>
      </c>
      <c r="D9" s="257" t="s">
        <v>1264</v>
      </c>
      <c r="E9" s="256" t="s">
        <v>1779</v>
      </c>
      <c r="F9" s="256" t="s">
        <v>1876</v>
      </c>
      <c r="G9" s="258">
        <v>3538000000</v>
      </c>
      <c r="H9" s="265">
        <v>0.1</v>
      </c>
      <c r="I9" s="258">
        <v>353800000</v>
      </c>
      <c r="J9" s="258">
        <v>3891800000</v>
      </c>
      <c r="K9" s="256" t="s">
        <v>1346</v>
      </c>
    </row>
    <row r="10" spans="1:11" x14ac:dyDescent="0.3">
      <c r="A10" s="256">
        <v>3</v>
      </c>
      <c r="B10" s="257" t="s">
        <v>1503</v>
      </c>
      <c r="C10" s="276">
        <v>44472</v>
      </c>
      <c r="D10" s="257" t="s">
        <v>1304</v>
      </c>
      <c r="E10" s="256" t="s">
        <v>1831</v>
      </c>
      <c r="F10" s="256" t="s">
        <v>1878</v>
      </c>
      <c r="G10" s="258">
        <v>1605000000</v>
      </c>
      <c r="H10" s="265">
        <v>0.1</v>
      </c>
      <c r="I10" s="258">
        <v>160500000</v>
      </c>
      <c r="J10" s="258">
        <v>1765500000</v>
      </c>
      <c r="K10" s="256" t="s">
        <v>1346</v>
      </c>
    </row>
    <row r="11" spans="1:11" x14ac:dyDescent="0.3">
      <c r="A11" s="256">
        <v>4</v>
      </c>
      <c r="B11" s="257" t="s">
        <v>1493</v>
      </c>
      <c r="C11" s="276">
        <v>44473</v>
      </c>
      <c r="D11" s="257" t="s">
        <v>1281</v>
      </c>
      <c r="E11" s="256" t="s">
        <v>1806</v>
      </c>
      <c r="F11" s="256" t="s">
        <v>1877</v>
      </c>
      <c r="G11" s="258">
        <v>4981000000</v>
      </c>
      <c r="H11" s="265">
        <v>0</v>
      </c>
      <c r="I11" s="258">
        <v>0</v>
      </c>
      <c r="J11" s="258">
        <v>4981000000</v>
      </c>
      <c r="K11" s="256" t="s">
        <v>1346</v>
      </c>
    </row>
    <row r="12" spans="1:11" x14ac:dyDescent="0.3">
      <c r="A12" s="256">
        <v>5</v>
      </c>
      <c r="B12" s="257" t="s">
        <v>1405</v>
      </c>
      <c r="C12" s="276">
        <v>44474</v>
      </c>
      <c r="D12" s="257" t="s">
        <v>1298</v>
      </c>
      <c r="E12" s="256" t="s">
        <v>1819</v>
      </c>
      <c r="F12" s="256" t="s">
        <v>1880</v>
      </c>
      <c r="G12" s="258">
        <v>1773000000</v>
      </c>
      <c r="H12" s="265">
        <v>0.1</v>
      </c>
      <c r="I12" s="258">
        <v>177300000</v>
      </c>
      <c r="J12" s="258">
        <v>1950300000</v>
      </c>
      <c r="K12" s="256" t="s">
        <v>1348</v>
      </c>
    </row>
    <row r="13" spans="1:11" x14ac:dyDescent="0.3">
      <c r="A13" s="256">
        <v>6</v>
      </c>
      <c r="B13" s="257" t="s">
        <v>1406</v>
      </c>
      <c r="C13" s="276">
        <v>44475</v>
      </c>
      <c r="D13" s="257" t="s">
        <v>1261</v>
      </c>
      <c r="E13" s="256" t="s">
        <v>1813</v>
      </c>
      <c r="F13" s="256" t="s">
        <v>1876</v>
      </c>
      <c r="G13" s="258">
        <v>2396000000</v>
      </c>
      <c r="H13" s="265">
        <v>0.1</v>
      </c>
      <c r="I13" s="258">
        <v>239600000</v>
      </c>
      <c r="J13" s="258">
        <v>2635600000</v>
      </c>
      <c r="K13" s="256" t="s">
        <v>1346</v>
      </c>
    </row>
    <row r="14" spans="1:11" x14ac:dyDescent="0.3">
      <c r="A14" s="256">
        <v>7</v>
      </c>
      <c r="B14" s="257" t="s">
        <v>1470</v>
      </c>
      <c r="C14" s="276">
        <v>44476</v>
      </c>
      <c r="D14" s="257" t="s">
        <v>1265</v>
      </c>
      <c r="E14" s="256" t="s">
        <v>1830</v>
      </c>
      <c r="F14" s="256" t="s">
        <v>1880</v>
      </c>
      <c r="G14" s="258">
        <v>3683000000</v>
      </c>
      <c r="H14" s="265">
        <v>0.1</v>
      </c>
      <c r="I14" s="258">
        <v>368300000</v>
      </c>
      <c r="J14" s="258">
        <v>4051300000</v>
      </c>
      <c r="K14" s="256" t="s">
        <v>1346</v>
      </c>
    </row>
    <row r="15" spans="1:11" x14ac:dyDescent="0.3">
      <c r="A15" s="256">
        <v>8</v>
      </c>
      <c r="B15" s="257" t="s">
        <v>1485</v>
      </c>
      <c r="C15" s="276">
        <v>44477</v>
      </c>
      <c r="D15" s="257" t="s">
        <v>1276</v>
      </c>
      <c r="E15" s="256" t="s">
        <v>1822</v>
      </c>
      <c r="F15" s="256" t="s">
        <v>1877</v>
      </c>
      <c r="G15" s="258">
        <v>1327000000</v>
      </c>
      <c r="H15" s="265">
        <v>0.1</v>
      </c>
      <c r="I15" s="258">
        <v>132700000</v>
      </c>
      <c r="J15" s="258">
        <v>1459700000</v>
      </c>
      <c r="K15" s="256" t="s">
        <v>1348</v>
      </c>
    </row>
    <row r="16" spans="1:11" x14ac:dyDescent="0.3">
      <c r="A16" s="256">
        <v>9</v>
      </c>
      <c r="B16" s="257" t="s">
        <v>1415</v>
      </c>
      <c r="C16" s="276">
        <v>44478</v>
      </c>
      <c r="D16" s="257" t="s">
        <v>1297</v>
      </c>
      <c r="E16" s="256" t="s">
        <v>1820</v>
      </c>
      <c r="F16" s="256" t="s">
        <v>1876</v>
      </c>
      <c r="G16" s="258">
        <v>3209000000</v>
      </c>
      <c r="H16" s="265">
        <v>0.1</v>
      </c>
      <c r="I16" s="258">
        <v>320900000</v>
      </c>
      <c r="J16" s="258">
        <v>3529900000</v>
      </c>
      <c r="K16" s="256" t="s">
        <v>1346</v>
      </c>
    </row>
    <row r="17" spans="1:11" x14ac:dyDescent="0.3">
      <c r="A17" s="256">
        <v>10</v>
      </c>
      <c r="B17" s="257" t="s">
        <v>1504</v>
      </c>
      <c r="C17" s="276">
        <v>44479</v>
      </c>
      <c r="D17" s="257" t="s">
        <v>1259</v>
      </c>
      <c r="E17" s="256" t="s">
        <v>1788</v>
      </c>
      <c r="F17" s="256" t="s">
        <v>1879</v>
      </c>
      <c r="G17" s="258">
        <v>2544000000</v>
      </c>
      <c r="H17" s="265">
        <v>0</v>
      </c>
      <c r="I17" s="258">
        <v>0</v>
      </c>
      <c r="J17" s="258">
        <v>2544000000</v>
      </c>
      <c r="K17" s="256" t="s">
        <v>1346</v>
      </c>
    </row>
    <row r="18" spans="1:11" x14ac:dyDescent="0.3">
      <c r="A18" s="256">
        <v>11</v>
      </c>
      <c r="B18" s="257" t="s">
        <v>1495</v>
      </c>
      <c r="C18" s="276">
        <v>44480</v>
      </c>
      <c r="D18" s="257" t="s">
        <v>1272</v>
      </c>
      <c r="E18" s="256" t="s">
        <v>1805</v>
      </c>
      <c r="F18" s="256" t="s">
        <v>1877</v>
      </c>
      <c r="G18" s="258">
        <v>3249000000</v>
      </c>
      <c r="H18" s="265">
        <v>0.1</v>
      </c>
      <c r="I18" s="258">
        <v>324900000</v>
      </c>
      <c r="J18" s="258">
        <v>3573900000</v>
      </c>
      <c r="K18" s="256" t="s">
        <v>1346</v>
      </c>
    </row>
    <row r="19" spans="1:11" x14ac:dyDescent="0.3">
      <c r="A19" s="256">
        <v>12</v>
      </c>
      <c r="B19" s="257" t="s">
        <v>1486</v>
      </c>
      <c r="C19" s="276">
        <v>44481</v>
      </c>
      <c r="D19" s="257" t="s">
        <v>1273</v>
      </c>
      <c r="E19" s="256" t="s">
        <v>1829</v>
      </c>
      <c r="F19" s="256" t="s">
        <v>1878</v>
      </c>
      <c r="G19" s="258">
        <v>1893000000</v>
      </c>
      <c r="H19" s="265">
        <v>0.1</v>
      </c>
      <c r="I19" s="258">
        <v>189300000</v>
      </c>
      <c r="J19" s="258">
        <v>2082300000</v>
      </c>
      <c r="K19" s="256" t="s">
        <v>1346</v>
      </c>
    </row>
    <row r="20" spans="1:11" x14ac:dyDescent="0.3">
      <c r="A20" s="256">
        <v>13</v>
      </c>
      <c r="B20" s="257" t="s">
        <v>1474</v>
      </c>
      <c r="C20" s="276">
        <v>44211</v>
      </c>
      <c r="D20" s="257" t="s">
        <v>1266</v>
      </c>
      <c r="E20" s="256" t="s">
        <v>1824</v>
      </c>
      <c r="F20" s="256" t="s">
        <v>1876</v>
      </c>
      <c r="G20" s="258">
        <v>4004000000</v>
      </c>
      <c r="H20" s="265">
        <v>0.1</v>
      </c>
      <c r="I20" s="258">
        <v>400400000</v>
      </c>
      <c r="J20" s="258">
        <v>4404400000</v>
      </c>
      <c r="K20" s="256" t="s">
        <v>1346</v>
      </c>
    </row>
    <row r="21" spans="1:11" x14ac:dyDescent="0.3">
      <c r="A21" s="256">
        <v>14</v>
      </c>
      <c r="B21" s="257" t="s">
        <v>1483</v>
      </c>
      <c r="C21" s="276">
        <v>44242</v>
      </c>
      <c r="D21" s="257" t="s">
        <v>1256</v>
      </c>
      <c r="E21" s="256" t="s">
        <v>1802</v>
      </c>
      <c r="F21" s="256" t="s">
        <v>1609</v>
      </c>
      <c r="G21" s="258">
        <v>4813000000</v>
      </c>
      <c r="H21" s="265">
        <v>0.1</v>
      </c>
      <c r="I21" s="258">
        <v>481300000</v>
      </c>
      <c r="J21" s="258">
        <v>5294300000</v>
      </c>
      <c r="K21" s="256" t="s">
        <v>1346</v>
      </c>
    </row>
    <row r="22" spans="1:11" x14ac:dyDescent="0.3">
      <c r="A22" s="256">
        <v>15</v>
      </c>
      <c r="B22" s="257" t="s">
        <v>1486</v>
      </c>
      <c r="C22" s="276">
        <v>44275</v>
      </c>
      <c r="D22" s="257" t="s">
        <v>1276</v>
      </c>
      <c r="E22" s="256" t="s">
        <v>1822</v>
      </c>
      <c r="F22" s="256" t="s">
        <v>1878</v>
      </c>
      <c r="G22" s="258">
        <v>3044000000</v>
      </c>
      <c r="H22" s="265">
        <v>0.1</v>
      </c>
      <c r="I22" s="258">
        <v>304400000</v>
      </c>
      <c r="J22" s="258">
        <v>3348400000</v>
      </c>
      <c r="K22" s="256" t="s">
        <v>1346</v>
      </c>
    </row>
    <row r="23" spans="1:11" x14ac:dyDescent="0.3">
      <c r="A23" s="256">
        <v>16</v>
      </c>
      <c r="B23" s="257" t="s">
        <v>1496</v>
      </c>
      <c r="C23" s="276">
        <v>44306</v>
      </c>
      <c r="D23" s="257" t="s">
        <v>1272</v>
      </c>
      <c r="E23" s="256" t="s">
        <v>1805</v>
      </c>
      <c r="F23" s="256" t="s">
        <v>1609</v>
      </c>
      <c r="G23" s="258">
        <v>5020000000</v>
      </c>
      <c r="H23" s="265">
        <v>0</v>
      </c>
      <c r="I23" s="258">
        <v>0</v>
      </c>
      <c r="J23" s="258">
        <v>5020000000</v>
      </c>
      <c r="K23" s="256" t="s">
        <v>1346</v>
      </c>
    </row>
    <row r="24" spans="1:11" x14ac:dyDescent="0.3">
      <c r="A24" s="256">
        <v>17</v>
      </c>
      <c r="B24" s="257" t="s">
        <v>1475</v>
      </c>
      <c r="C24" s="276">
        <v>44336</v>
      </c>
      <c r="D24" s="257" t="s">
        <v>1266</v>
      </c>
      <c r="E24" s="256" t="s">
        <v>1824</v>
      </c>
      <c r="F24" s="256" t="s">
        <v>1877</v>
      </c>
      <c r="G24" s="258">
        <v>3056000000</v>
      </c>
      <c r="H24" s="265">
        <v>0.1</v>
      </c>
      <c r="I24" s="258">
        <v>305600000</v>
      </c>
      <c r="J24" s="258">
        <v>3361600000</v>
      </c>
      <c r="K24" s="256" t="s">
        <v>1348</v>
      </c>
    </row>
    <row r="25" spans="1:11" x14ac:dyDescent="0.3">
      <c r="A25" s="256">
        <v>18</v>
      </c>
      <c r="B25" s="257" t="s">
        <v>1496</v>
      </c>
      <c r="C25" s="276">
        <v>44367</v>
      </c>
      <c r="D25" s="257" t="s">
        <v>1271</v>
      </c>
      <c r="E25" s="256" t="s">
        <v>1799</v>
      </c>
      <c r="F25" s="256" t="s">
        <v>1877</v>
      </c>
      <c r="G25" s="258">
        <v>3591000000</v>
      </c>
      <c r="H25" s="265">
        <v>0.1</v>
      </c>
      <c r="I25" s="258">
        <v>359100000</v>
      </c>
      <c r="J25" s="258">
        <v>3950100000</v>
      </c>
      <c r="K25" s="256" t="s">
        <v>1346</v>
      </c>
    </row>
    <row r="26" spans="1:11" x14ac:dyDescent="0.3">
      <c r="A26" s="256">
        <v>19</v>
      </c>
      <c r="B26" s="257" t="s">
        <v>1465</v>
      </c>
      <c r="C26" s="276">
        <v>44397</v>
      </c>
      <c r="D26" s="257" t="s">
        <v>1293</v>
      </c>
      <c r="E26" s="256" t="s">
        <v>1826</v>
      </c>
      <c r="F26" s="256" t="s">
        <v>1880</v>
      </c>
      <c r="G26" s="258">
        <v>4947000000</v>
      </c>
      <c r="H26" s="265">
        <v>0.1</v>
      </c>
      <c r="I26" s="258">
        <v>494700000</v>
      </c>
      <c r="J26" s="258">
        <v>5441700000</v>
      </c>
      <c r="K26" s="256" t="s">
        <v>1346</v>
      </c>
    </row>
    <row r="27" spans="1:11" x14ac:dyDescent="0.3">
      <c r="A27" s="256">
        <v>20</v>
      </c>
      <c r="B27" s="257" t="s">
        <v>1414</v>
      </c>
      <c r="C27" s="276">
        <v>44428</v>
      </c>
      <c r="D27" s="257" t="s">
        <v>1291</v>
      </c>
      <c r="E27" s="256" t="s">
        <v>1800</v>
      </c>
      <c r="F27" s="256" t="s">
        <v>1609</v>
      </c>
      <c r="G27" s="258">
        <v>1344000000</v>
      </c>
      <c r="H27" s="265">
        <v>0.1</v>
      </c>
      <c r="I27" s="258">
        <v>134400000</v>
      </c>
      <c r="J27" s="258">
        <v>1478400000</v>
      </c>
      <c r="K27" s="256" t="s">
        <v>1346</v>
      </c>
    </row>
    <row r="28" spans="1:11" x14ac:dyDescent="0.3">
      <c r="A28" s="256">
        <v>21</v>
      </c>
      <c r="B28" s="257" t="s">
        <v>1476</v>
      </c>
      <c r="C28" s="276">
        <v>44459</v>
      </c>
      <c r="D28" s="257" t="s">
        <v>1266</v>
      </c>
      <c r="E28" s="256" t="s">
        <v>1824</v>
      </c>
      <c r="F28" s="256" t="s">
        <v>1609</v>
      </c>
      <c r="G28" s="258">
        <v>4477000000</v>
      </c>
      <c r="H28" s="265">
        <v>0.1</v>
      </c>
      <c r="I28" s="258">
        <v>447700000</v>
      </c>
      <c r="J28" s="258">
        <v>4924700000</v>
      </c>
      <c r="K28" s="256" t="s">
        <v>1346</v>
      </c>
    </row>
    <row r="29" spans="1:11" x14ac:dyDescent="0.3">
      <c r="A29" s="256">
        <v>22</v>
      </c>
      <c r="B29" s="257" t="s">
        <v>1480</v>
      </c>
      <c r="C29" s="276">
        <v>44489</v>
      </c>
      <c r="D29" s="257" t="s">
        <v>1268</v>
      </c>
      <c r="E29" s="256" t="s">
        <v>1821</v>
      </c>
      <c r="F29" s="256" t="s">
        <v>1877</v>
      </c>
      <c r="G29" s="258">
        <v>2240000000</v>
      </c>
      <c r="H29" s="265">
        <v>0.1</v>
      </c>
      <c r="I29" s="258">
        <v>224000000</v>
      </c>
      <c r="J29" s="258">
        <v>2464000000</v>
      </c>
      <c r="K29" s="256" t="s">
        <v>1346</v>
      </c>
    </row>
    <row r="30" spans="1:11" x14ac:dyDescent="0.3">
      <c r="A30" s="256">
        <v>23</v>
      </c>
      <c r="B30" s="257" t="s">
        <v>1488</v>
      </c>
      <c r="C30" s="276">
        <v>44520</v>
      </c>
      <c r="D30" s="257" t="s">
        <v>1275</v>
      </c>
      <c r="E30" s="256" t="s">
        <v>1808</v>
      </c>
      <c r="F30" s="256" t="s">
        <v>1877</v>
      </c>
      <c r="G30" s="258">
        <v>3915000000</v>
      </c>
      <c r="H30" s="265">
        <v>0.1</v>
      </c>
      <c r="I30" s="258">
        <v>391500000</v>
      </c>
      <c r="J30" s="258">
        <v>4306500000</v>
      </c>
      <c r="K30" s="256" t="s">
        <v>1348</v>
      </c>
    </row>
    <row r="31" spans="1:11" x14ac:dyDescent="0.3">
      <c r="A31" s="256">
        <v>24</v>
      </c>
      <c r="B31" s="257" t="s">
        <v>1485</v>
      </c>
      <c r="C31" s="276">
        <v>44550</v>
      </c>
      <c r="D31" s="257" t="s">
        <v>1282</v>
      </c>
      <c r="E31" s="256" t="s">
        <v>1789</v>
      </c>
      <c r="F31" s="256" t="s">
        <v>1877</v>
      </c>
      <c r="G31" s="258">
        <v>4854000000</v>
      </c>
      <c r="H31" s="265">
        <v>0.1</v>
      </c>
      <c r="I31" s="258">
        <v>485400000</v>
      </c>
      <c r="J31" s="258">
        <v>5339400000</v>
      </c>
      <c r="K31" s="256" t="s">
        <v>1346</v>
      </c>
    </row>
    <row r="32" spans="1:11" x14ac:dyDescent="0.3">
      <c r="A32" s="256">
        <v>25</v>
      </c>
      <c r="B32" s="257" t="s">
        <v>1466</v>
      </c>
      <c r="C32" s="276">
        <v>44221</v>
      </c>
      <c r="D32" s="257" t="s">
        <v>1302</v>
      </c>
      <c r="E32" s="256" t="s">
        <v>1784</v>
      </c>
      <c r="F32" s="256" t="s">
        <v>1878</v>
      </c>
      <c r="G32" s="258">
        <v>3872000000</v>
      </c>
      <c r="H32" s="265">
        <v>0.1</v>
      </c>
      <c r="I32" s="258">
        <v>387200000</v>
      </c>
      <c r="J32" s="258">
        <v>4259200000</v>
      </c>
      <c r="K32" s="256" t="s">
        <v>1346</v>
      </c>
    </row>
    <row r="33" spans="1:11" x14ac:dyDescent="0.3">
      <c r="A33" s="256">
        <v>26</v>
      </c>
      <c r="B33" s="257" t="s">
        <v>1472</v>
      </c>
      <c r="C33" s="276">
        <v>44255</v>
      </c>
      <c r="D33" s="257" t="s">
        <v>1289</v>
      </c>
      <c r="E33" s="256" t="s">
        <v>1803</v>
      </c>
      <c r="F33" s="256" t="s">
        <v>1877</v>
      </c>
      <c r="G33" s="258">
        <v>4246000000</v>
      </c>
      <c r="H33" s="265">
        <v>0.1</v>
      </c>
      <c r="I33" s="258">
        <v>424600000</v>
      </c>
      <c r="J33" s="258">
        <v>4670600000</v>
      </c>
      <c r="K33" s="256" t="s">
        <v>1346</v>
      </c>
    </row>
    <row r="34" spans="1:11" x14ac:dyDescent="0.3">
      <c r="A34" s="256">
        <v>27</v>
      </c>
      <c r="B34" s="257" t="s">
        <v>1484</v>
      </c>
      <c r="C34" s="276">
        <v>44316</v>
      </c>
      <c r="D34" s="257" t="s">
        <v>1256</v>
      </c>
      <c r="E34" s="256" t="s">
        <v>1802</v>
      </c>
      <c r="F34" s="256" t="s">
        <v>1878</v>
      </c>
      <c r="G34" s="258">
        <v>1779000000</v>
      </c>
      <c r="H34" s="265">
        <v>0.1</v>
      </c>
      <c r="I34" s="258">
        <v>177900000</v>
      </c>
      <c r="J34" s="258">
        <v>1956900000</v>
      </c>
      <c r="K34" s="256" t="s">
        <v>1346</v>
      </c>
    </row>
    <row r="35" spans="1:11" x14ac:dyDescent="0.3">
      <c r="A35" s="256">
        <v>28</v>
      </c>
      <c r="B35" s="257" t="s">
        <v>1497</v>
      </c>
      <c r="C35" s="276">
        <v>44377</v>
      </c>
      <c r="D35" s="257" t="s">
        <v>1271</v>
      </c>
      <c r="E35" s="256" t="s">
        <v>1799</v>
      </c>
      <c r="F35" s="256" t="s">
        <v>1609</v>
      </c>
      <c r="G35" s="258">
        <v>1486000000</v>
      </c>
      <c r="H35" s="265">
        <v>0</v>
      </c>
      <c r="I35" s="258">
        <v>0</v>
      </c>
      <c r="J35" s="258">
        <v>1486000000</v>
      </c>
      <c r="K35" s="256" t="s">
        <v>1348</v>
      </c>
    </row>
    <row r="36" spans="1:11" x14ac:dyDescent="0.3">
      <c r="A36" s="256">
        <v>29</v>
      </c>
      <c r="B36" s="257" t="s">
        <v>1466</v>
      </c>
      <c r="C36" s="276">
        <v>44469</v>
      </c>
      <c r="D36" s="257" t="s">
        <v>1293</v>
      </c>
      <c r="E36" s="256" t="s">
        <v>1826</v>
      </c>
      <c r="F36" s="256" t="s">
        <v>1877</v>
      </c>
      <c r="G36" s="258">
        <v>4191000000</v>
      </c>
      <c r="H36" s="265">
        <v>0.1</v>
      </c>
      <c r="I36" s="258">
        <v>419100000</v>
      </c>
      <c r="J36" s="258">
        <v>4610100000</v>
      </c>
      <c r="K36" s="256" t="s">
        <v>1346</v>
      </c>
    </row>
    <row r="37" spans="1:11" x14ac:dyDescent="0.3">
      <c r="A37" s="256">
        <v>30</v>
      </c>
      <c r="B37" s="257" t="s">
        <v>1210</v>
      </c>
      <c r="C37" s="276">
        <v>44530</v>
      </c>
      <c r="D37" s="257" t="s">
        <v>1259</v>
      </c>
      <c r="E37" s="256" t="s">
        <v>1788</v>
      </c>
      <c r="F37" s="256" t="s">
        <v>1879</v>
      </c>
      <c r="G37" s="258">
        <v>2343000000</v>
      </c>
      <c r="H37" s="265">
        <v>0</v>
      </c>
      <c r="I37" s="258">
        <v>0</v>
      </c>
      <c r="J37" s="258">
        <v>2343000000</v>
      </c>
      <c r="K37" s="256" t="s">
        <v>1346</v>
      </c>
    </row>
    <row r="38" spans="1:11" x14ac:dyDescent="0.3">
      <c r="A38" s="256">
        <v>31</v>
      </c>
      <c r="B38" s="257" t="s">
        <v>1462</v>
      </c>
      <c r="C38" s="276">
        <v>44286</v>
      </c>
      <c r="D38" s="257" t="s">
        <v>1301</v>
      </c>
      <c r="E38" s="256" t="s">
        <v>1781</v>
      </c>
      <c r="F38" s="256" t="s">
        <v>1880</v>
      </c>
      <c r="G38" s="258">
        <v>1538000000</v>
      </c>
      <c r="H38" s="265">
        <v>0.1</v>
      </c>
      <c r="I38" s="258">
        <v>153800000</v>
      </c>
      <c r="J38" s="258">
        <v>1691800000</v>
      </c>
      <c r="K38" s="256" t="s">
        <v>1348</v>
      </c>
    </row>
    <row r="39" spans="1:11" x14ac:dyDescent="0.3">
      <c r="A39" s="256">
        <v>32</v>
      </c>
      <c r="B39" s="257" t="s">
        <v>1467</v>
      </c>
      <c r="C39" s="276">
        <v>44347</v>
      </c>
      <c r="D39" s="257" t="s">
        <v>1302</v>
      </c>
      <c r="E39" s="256" t="s">
        <v>1784</v>
      </c>
      <c r="F39" s="256" t="s">
        <v>1880</v>
      </c>
      <c r="G39" s="258">
        <v>2207000000</v>
      </c>
      <c r="H39" s="265">
        <v>0.1</v>
      </c>
      <c r="I39" s="258">
        <v>220700000</v>
      </c>
      <c r="J39" s="258">
        <v>2427700000</v>
      </c>
      <c r="K39" s="256" t="s">
        <v>1346</v>
      </c>
    </row>
    <row r="40" spans="1:11" x14ac:dyDescent="0.3">
      <c r="A40" s="256">
        <v>33</v>
      </c>
      <c r="B40" s="257" t="s">
        <v>1477</v>
      </c>
      <c r="C40" s="276">
        <v>44408</v>
      </c>
      <c r="D40" s="257" t="s">
        <v>1266</v>
      </c>
      <c r="E40" s="256" t="s">
        <v>1824</v>
      </c>
      <c r="F40" s="256" t="s">
        <v>1876</v>
      </c>
      <c r="G40" s="258">
        <v>3448000000</v>
      </c>
      <c r="H40" s="265">
        <v>0.1</v>
      </c>
      <c r="I40" s="258">
        <v>344800000</v>
      </c>
      <c r="J40" s="258">
        <v>3792800000</v>
      </c>
      <c r="K40" s="256" t="s">
        <v>1346</v>
      </c>
    </row>
    <row r="41" spans="1:11" x14ac:dyDescent="0.3">
      <c r="A41" s="256">
        <v>34</v>
      </c>
      <c r="B41" s="257" t="s">
        <v>1406</v>
      </c>
      <c r="C41" s="276">
        <v>44439</v>
      </c>
      <c r="D41" s="257" t="s">
        <v>1298</v>
      </c>
      <c r="E41" s="256" t="s">
        <v>1819</v>
      </c>
      <c r="F41" s="256" t="s">
        <v>1877</v>
      </c>
      <c r="G41" s="258">
        <v>1454000000</v>
      </c>
      <c r="H41" s="265">
        <v>0</v>
      </c>
      <c r="I41" s="258">
        <v>0</v>
      </c>
      <c r="J41" s="258">
        <v>1454000000</v>
      </c>
      <c r="K41" s="256" t="s">
        <v>1346</v>
      </c>
    </row>
    <row r="42" spans="1:11" x14ac:dyDescent="0.3">
      <c r="A42" s="256">
        <v>35</v>
      </c>
      <c r="B42" s="257" t="s">
        <v>1414</v>
      </c>
      <c r="C42" s="276">
        <v>44500</v>
      </c>
      <c r="D42" s="257" t="s">
        <v>1294</v>
      </c>
      <c r="E42" s="256" t="s">
        <v>1795</v>
      </c>
      <c r="F42" s="256" t="s">
        <v>1879</v>
      </c>
      <c r="G42" s="258">
        <v>3841000000</v>
      </c>
      <c r="H42" s="265">
        <v>0.1</v>
      </c>
      <c r="I42" s="258">
        <v>384100000</v>
      </c>
      <c r="J42" s="258">
        <v>4225100000</v>
      </c>
      <c r="K42" s="256" t="s">
        <v>1346</v>
      </c>
    </row>
    <row r="43" spans="1:11" x14ac:dyDescent="0.3">
      <c r="A43" s="256">
        <v>36</v>
      </c>
      <c r="B43" s="257" t="s">
        <v>1405</v>
      </c>
      <c r="C43" s="276">
        <v>44561</v>
      </c>
      <c r="D43" s="257" t="s">
        <v>1258</v>
      </c>
      <c r="E43" s="256" t="s">
        <v>1833</v>
      </c>
      <c r="F43" s="256" t="s">
        <v>1877</v>
      </c>
      <c r="G43" s="258">
        <v>3718000000</v>
      </c>
      <c r="H43" s="265">
        <v>0.1</v>
      </c>
      <c r="I43" s="258">
        <v>371800000</v>
      </c>
      <c r="J43" s="258">
        <v>4089800000</v>
      </c>
      <c r="K43" s="256" t="s">
        <v>1346</v>
      </c>
    </row>
    <row r="44" spans="1:11" x14ac:dyDescent="0.3">
      <c r="A44" s="256">
        <v>37</v>
      </c>
      <c r="B44" s="257" t="s">
        <v>1481</v>
      </c>
      <c r="C44" s="276">
        <v>44561</v>
      </c>
      <c r="D44" s="257" t="s">
        <v>1279</v>
      </c>
      <c r="E44" s="256" t="s">
        <v>1827</v>
      </c>
      <c r="F44" s="256" t="s">
        <v>1609</v>
      </c>
      <c r="G44" s="258">
        <v>4422000000</v>
      </c>
      <c r="H44" s="265">
        <v>0.1</v>
      </c>
      <c r="I44" s="258">
        <v>442200000</v>
      </c>
      <c r="J44" s="258">
        <v>4864200000</v>
      </c>
      <c r="K44" s="256" t="s">
        <v>1346</v>
      </c>
    </row>
    <row r="45" spans="1:11" x14ac:dyDescent="0.3">
      <c r="A45" s="256">
        <v>38</v>
      </c>
      <c r="B45" s="257" t="s">
        <v>1415</v>
      </c>
      <c r="C45" s="276">
        <v>44561</v>
      </c>
      <c r="D45" s="257" t="s">
        <v>1291</v>
      </c>
      <c r="E45" s="256" t="s">
        <v>1800</v>
      </c>
      <c r="F45" s="256" t="s">
        <v>1879</v>
      </c>
      <c r="G45" s="258">
        <v>4219000000</v>
      </c>
      <c r="H45" s="265">
        <v>0.1</v>
      </c>
      <c r="I45" s="258">
        <v>421900000</v>
      </c>
      <c r="J45" s="258">
        <v>4640900000</v>
      </c>
      <c r="K45" s="256" t="s">
        <v>1346</v>
      </c>
    </row>
    <row r="46" spans="1:11" x14ac:dyDescent="0.3">
      <c r="A46" s="256">
        <v>39</v>
      </c>
      <c r="B46" s="257" t="s">
        <v>1419</v>
      </c>
      <c r="C46" s="276">
        <v>44561</v>
      </c>
      <c r="D46" s="257" t="s">
        <v>1287</v>
      </c>
      <c r="E46" s="256" t="s">
        <v>1801</v>
      </c>
      <c r="F46" s="256" t="s">
        <v>1880</v>
      </c>
      <c r="G46" s="258">
        <v>4043000000</v>
      </c>
      <c r="H46" s="265">
        <v>0.1</v>
      </c>
      <c r="I46" s="258">
        <v>404300000</v>
      </c>
      <c r="J46" s="258">
        <v>4447300000</v>
      </c>
      <c r="K46" s="256" t="s">
        <v>1346</v>
      </c>
    </row>
    <row r="47" spans="1:11" x14ac:dyDescent="0.3">
      <c r="A47" s="256">
        <v>40</v>
      </c>
      <c r="B47" s="257" t="s">
        <v>1474</v>
      </c>
      <c r="C47" s="276">
        <v>44561</v>
      </c>
      <c r="D47" s="257" t="s">
        <v>1278</v>
      </c>
      <c r="E47" s="256" t="s">
        <v>1785</v>
      </c>
      <c r="F47" s="256" t="s">
        <v>1880</v>
      </c>
      <c r="G47" s="258">
        <v>4699000000</v>
      </c>
      <c r="H47" s="265">
        <v>0.1</v>
      </c>
      <c r="I47" s="258">
        <v>469900000</v>
      </c>
      <c r="J47" s="258">
        <v>5168900000</v>
      </c>
      <c r="K47" s="256" t="s">
        <v>1346</v>
      </c>
    </row>
    <row r="48" spans="1:11" x14ac:dyDescent="0.3">
      <c r="A48" s="256">
        <v>41</v>
      </c>
      <c r="B48" s="257" t="s">
        <v>1504</v>
      </c>
      <c r="C48" s="276">
        <v>44561</v>
      </c>
      <c r="D48" s="257" t="s">
        <v>1304</v>
      </c>
      <c r="E48" s="256" t="s">
        <v>1831</v>
      </c>
      <c r="F48" s="256" t="s">
        <v>1878</v>
      </c>
      <c r="G48" s="258">
        <v>1323000000</v>
      </c>
      <c r="H48" s="265">
        <v>0.1</v>
      </c>
      <c r="I48" s="258">
        <v>132300000</v>
      </c>
      <c r="J48" s="258">
        <v>1455300000</v>
      </c>
      <c r="K48" s="256" t="s">
        <v>1346</v>
      </c>
    </row>
    <row r="49" spans="1:11" x14ac:dyDescent="0.3">
      <c r="A49" s="256">
        <v>42</v>
      </c>
      <c r="B49" s="257" t="s">
        <v>1498</v>
      </c>
      <c r="C49" s="276">
        <v>44561</v>
      </c>
      <c r="D49" s="257" t="s">
        <v>1271</v>
      </c>
      <c r="E49" s="256" t="s">
        <v>1799</v>
      </c>
      <c r="F49" s="256" t="s">
        <v>1877</v>
      </c>
      <c r="G49" s="258">
        <v>4755000000</v>
      </c>
      <c r="H49" s="265">
        <v>0</v>
      </c>
      <c r="I49" s="258">
        <v>0</v>
      </c>
      <c r="J49" s="258">
        <v>4755000000</v>
      </c>
      <c r="K49" s="256" t="s">
        <v>1346</v>
      </c>
    </row>
    <row r="50" spans="1:11" x14ac:dyDescent="0.3">
      <c r="A50" s="256">
        <v>43</v>
      </c>
      <c r="B50" s="257" t="s">
        <v>1478</v>
      </c>
      <c r="C50" s="276">
        <v>44561</v>
      </c>
      <c r="D50" s="257" t="s">
        <v>1266</v>
      </c>
      <c r="E50" s="256" t="s">
        <v>1824</v>
      </c>
      <c r="F50" s="256" t="s">
        <v>1877</v>
      </c>
      <c r="G50" s="258">
        <v>1966000000</v>
      </c>
      <c r="H50" s="265">
        <v>0.1</v>
      </c>
      <c r="I50" s="258">
        <v>196600000</v>
      </c>
      <c r="J50" s="258">
        <v>2162600000</v>
      </c>
      <c r="K50" s="256" t="s">
        <v>1346</v>
      </c>
    </row>
    <row r="51" spans="1:11" x14ac:dyDescent="0.3">
      <c r="A51" s="256">
        <v>44</v>
      </c>
      <c r="B51" s="257" t="s">
        <v>1508</v>
      </c>
      <c r="C51" s="276">
        <v>44561</v>
      </c>
      <c r="D51" s="257" t="s">
        <v>1284</v>
      </c>
      <c r="E51" s="256" t="s">
        <v>1786</v>
      </c>
      <c r="F51" s="256" t="s">
        <v>1877</v>
      </c>
      <c r="G51" s="258">
        <v>2821000000</v>
      </c>
      <c r="H51" s="265">
        <v>0.1</v>
      </c>
      <c r="I51" s="258">
        <v>282100000</v>
      </c>
      <c r="J51" s="258">
        <v>3103100000</v>
      </c>
      <c r="K51" s="256" t="s">
        <v>1346</v>
      </c>
    </row>
    <row r="52" spans="1:11" x14ac:dyDescent="0.3">
      <c r="A52" s="256">
        <v>45</v>
      </c>
      <c r="B52" s="257" t="s">
        <v>1467</v>
      </c>
      <c r="C52" s="276">
        <v>44561</v>
      </c>
      <c r="D52" s="257" t="s">
        <v>1293</v>
      </c>
      <c r="E52" s="256" t="s">
        <v>1826</v>
      </c>
      <c r="F52" s="256" t="s">
        <v>1609</v>
      </c>
      <c r="G52" s="258">
        <v>2818000000</v>
      </c>
      <c r="H52" s="265">
        <v>0.1</v>
      </c>
      <c r="I52" s="258">
        <v>281800000</v>
      </c>
      <c r="J52" s="258">
        <v>3099800000</v>
      </c>
      <c r="K52" s="256" t="s">
        <v>1346</v>
      </c>
    </row>
    <row r="53" spans="1:11" x14ac:dyDescent="0.3">
      <c r="A53" s="256">
        <v>46</v>
      </c>
      <c r="B53" s="257" t="s">
        <v>1499</v>
      </c>
      <c r="C53" s="276">
        <v>44561</v>
      </c>
      <c r="D53" s="257" t="s">
        <v>1271</v>
      </c>
      <c r="E53" s="256" t="s">
        <v>1799</v>
      </c>
      <c r="F53" s="256" t="s">
        <v>1880</v>
      </c>
      <c r="G53" s="258">
        <v>2926000000</v>
      </c>
      <c r="H53" s="265">
        <v>0.1</v>
      </c>
      <c r="I53" s="258">
        <v>292600000</v>
      </c>
      <c r="J53" s="258">
        <v>3218600000</v>
      </c>
      <c r="K53" s="256" t="s">
        <v>1346</v>
      </c>
    </row>
    <row r="54" spans="1:11" x14ac:dyDescent="0.3">
      <c r="A54" s="256">
        <v>47</v>
      </c>
      <c r="B54" s="257" t="s">
        <v>1463</v>
      </c>
      <c r="C54" s="276">
        <v>44561</v>
      </c>
      <c r="D54" s="257" t="s">
        <v>1264</v>
      </c>
      <c r="E54" s="256" t="s">
        <v>1779</v>
      </c>
      <c r="F54" s="256" t="s">
        <v>1879</v>
      </c>
      <c r="G54" s="258">
        <v>3052000000</v>
      </c>
      <c r="H54" s="265">
        <v>0.1</v>
      </c>
      <c r="I54" s="258">
        <v>305200000</v>
      </c>
      <c r="J54" s="258">
        <v>3357200000</v>
      </c>
      <c r="K54" s="256" t="s">
        <v>1346</v>
      </c>
    </row>
    <row r="55" spans="1:11" x14ac:dyDescent="0.3">
      <c r="A55" s="256">
        <v>48</v>
      </c>
      <c r="B55" s="257" t="s">
        <v>1489</v>
      </c>
      <c r="C55" s="276">
        <v>44561</v>
      </c>
      <c r="D55" s="257" t="s">
        <v>1275</v>
      </c>
      <c r="E55" s="256" t="s">
        <v>1808</v>
      </c>
      <c r="F55" s="256" t="s">
        <v>1879</v>
      </c>
      <c r="G55" s="258">
        <v>3465000000</v>
      </c>
      <c r="H55" s="265">
        <v>0.1</v>
      </c>
      <c r="I55" s="258">
        <v>346500000</v>
      </c>
      <c r="J55" s="258">
        <v>3811500000</v>
      </c>
      <c r="K55" s="256" t="s">
        <v>1346</v>
      </c>
    </row>
    <row r="56" spans="1:11" x14ac:dyDescent="0.3">
      <c r="A56" s="256">
        <v>49</v>
      </c>
      <c r="B56" s="257" t="s">
        <v>1487</v>
      </c>
      <c r="C56" s="276">
        <v>44561</v>
      </c>
      <c r="D56" s="257" t="s">
        <v>1276</v>
      </c>
      <c r="E56" s="256" t="s">
        <v>1822</v>
      </c>
      <c r="F56" s="256" t="s">
        <v>1877</v>
      </c>
      <c r="G56" s="258">
        <v>5007000000</v>
      </c>
      <c r="H56" s="265">
        <v>0.1</v>
      </c>
      <c r="I56" s="258">
        <v>500700000</v>
      </c>
      <c r="J56" s="258">
        <v>5507700000</v>
      </c>
      <c r="K56" s="256" t="s">
        <v>1346</v>
      </c>
    </row>
    <row r="57" spans="1:11" x14ac:dyDescent="0.3">
      <c r="A57" s="256">
        <v>50</v>
      </c>
      <c r="B57" s="257" t="s">
        <v>1474</v>
      </c>
      <c r="C57" s="276">
        <v>44561</v>
      </c>
      <c r="D57" s="257" t="s">
        <v>1257</v>
      </c>
      <c r="E57" s="256" t="s">
        <v>1815</v>
      </c>
      <c r="F57" s="256" t="s">
        <v>1876</v>
      </c>
      <c r="G57" s="258">
        <v>4320000000</v>
      </c>
      <c r="H57" s="265">
        <v>0.1</v>
      </c>
      <c r="I57" s="258">
        <v>432000000</v>
      </c>
      <c r="J57" s="258">
        <v>4752000000</v>
      </c>
      <c r="K57" s="256" t="s">
        <v>1346</v>
      </c>
    </row>
    <row r="58" spans="1:11" x14ac:dyDescent="0.3">
      <c r="A58" s="266" t="s">
        <v>1351</v>
      </c>
      <c r="B58" s="266"/>
      <c r="C58" s="266"/>
      <c r="D58" s="266"/>
      <c r="E58" s="266"/>
      <c r="F58" s="266"/>
      <c r="G58" s="267">
        <f>SUM(G8:G57)</f>
        <v>161320000000</v>
      </c>
      <c r="H58" s="266"/>
      <c r="I58" s="267">
        <f>SUM(I8:I57)</f>
        <v>13873700000</v>
      </c>
      <c r="J58" s="267">
        <f>SUM(J8:J57)</f>
        <v>175193700000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1290</v>
      </c>
      <c r="E62" s="256" t="s">
        <v>1796</v>
      </c>
      <c r="F62" s="256" t="s">
        <v>1881</v>
      </c>
      <c r="G62" s="258">
        <v>2617000000</v>
      </c>
      <c r="H62" s="265">
        <v>0</v>
      </c>
      <c r="I62" s="258">
        <v>0</v>
      </c>
      <c r="J62" s="258">
        <v>2617000000</v>
      </c>
      <c r="K62" s="256" t="s">
        <v>1346</v>
      </c>
    </row>
    <row r="63" spans="1:11" x14ac:dyDescent="0.3">
      <c r="A63" s="256">
        <v>2</v>
      </c>
      <c r="B63" s="257" t="s">
        <v>1201</v>
      </c>
      <c r="C63" s="276">
        <v>44318</v>
      </c>
      <c r="D63" s="257" t="s">
        <v>1261</v>
      </c>
      <c r="E63" s="256" t="s">
        <v>1813</v>
      </c>
      <c r="F63" s="256" t="s">
        <v>1882</v>
      </c>
      <c r="G63" s="258">
        <v>3929000000</v>
      </c>
      <c r="H63" s="265">
        <v>0.1</v>
      </c>
      <c r="I63" s="258">
        <v>392900000</v>
      </c>
      <c r="J63" s="258">
        <v>4321900000</v>
      </c>
      <c r="K63" s="256" t="s">
        <v>1346</v>
      </c>
    </row>
    <row r="64" spans="1:11" x14ac:dyDescent="0.3">
      <c r="A64" s="256">
        <v>3</v>
      </c>
      <c r="B64" s="257" t="s">
        <v>1202</v>
      </c>
      <c r="C64" s="276">
        <v>44472</v>
      </c>
      <c r="D64" s="257" t="s">
        <v>1257</v>
      </c>
      <c r="E64" s="256" t="s">
        <v>1815</v>
      </c>
      <c r="F64" s="256" t="s">
        <v>1883</v>
      </c>
      <c r="G64" s="258">
        <v>4079000000</v>
      </c>
      <c r="H64" s="265">
        <v>0.1</v>
      </c>
      <c r="I64" s="258">
        <v>407900000</v>
      </c>
      <c r="J64" s="258">
        <v>4486900000</v>
      </c>
      <c r="K64" s="256" t="s">
        <v>1346</v>
      </c>
    </row>
    <row r="65" spans="1:11" x14ac:dyDescent="0.3">
      <c r="A65" s="256">
        <v>4</v>
      </c>
      <c r="B65" s="257" t="s">
        <v>1355</v>
      </c>
      <c r="C65" s="276">
        <v>44473</v>
      </c>
      <c r="D65" s="257" t="s">
        <v>1261</v>
      </c>
      <c r="E65" s="256" t="s">
        <v>1813</v>
      </c>
      <c r="F65" s="256" t="s">
        <v>1881</v>
      </c>
      <c r="G65" s="258">
        <v>1795000000</v>
      </c>
      <c r="H65" s="265">
        <v>0.1</v>
      </c>
      <c r="I65" s="258">
        <v>179500000</v>
      </c>
      <c r="J65" s="258">
        <v>1974500000</v>
      </c>
      <c r="K65" s="256" t="s">
        <v>1348</v>
      </c>
    </row>
    <row r="66" spans="1:11" x14ac:dyDescent="0.3">
      <c r="A66" s="256">
        <v>5</v>
      </c>
      <c r="B66" s="257" t="s">
        <v>1356</v>
      </c>
      <c r="C66" s="276">
        <v>44474</v>
      </c>
      <c r="D66" s="257" t="s">
        <v>1272</v>
      </c>
      <c r="E66" s="256" t="s">
        <v>1805</v>
      </c>
      <c r="F66" s="256" t="s">
        <v>1884</v>
      </c>
      <c r="G66" s="258">
        <v>3632000000</v>
      </c>
      <c r="H66" s="265">
        <v>0.1</v>
      </c>
      <c r="I66" s="258">
        <v>363200000</v>
      </c>
      <c r="J66" s="258">
        <v>3995200000</v>
      </c>
      <c r="K66" s="256" t="s">
        <v>1346</v>
      </c>
    </row>
    <row r="67" spans="1:11" x14ac:dyDescent="0.3">
      <c r="A67" s="256">
        <v>6</v>
      </c>
      <c r="B67" s="257" t="s">
        <v>1358</v>
      </c>
      <c r="C67" s="276">
        <v>44475</v>
      </c>
      <c r="D67" s="257" t="s">
        <v>1284</v>
      </c>
      <c r="E67" s="256" t="s">
        <v>1786</v>
      </c>
      <c r="F67" s="256" t="s">
        <v>1882</v>
      </c>
      <c r="G67" s="258">
        <v>4902000000</v>
      </c>
      <c r="H67" s="265">
        <v>0.1</v>
      </c>
      <c r="I67" s="258">
        <v>490200000</v>
      </c>
      <c r="J67" s="258">
        <v>5392200000</v>
      </c>
      <c r="K67" s="256" t="s">
        <v>1346</v>
      </c>
    </row>
    <row r="68" spans="1:11" x14ac:dyDescent="0.3">
      <c r="A68" s="256">
        <v>7</v>
      </c>
      <c r="B68" s="257" t="s">
        <v>1360</v>
      </c>
      <c r="C68" s="276">
        <v>44476</v>
      </c>
      <c r="D68" s="257" t="s">
        <v>1262</v>
      </c>
      <c r="E68" s="256" t="s">
        <v>1816</v>
      </c>
      <c r="F68" s="256" t="s">
        <v>1883</v>
      </c>
      <c r="G68" s="258">
        <v>4945000000</v>
      </c>
      <c r="H68" s="265">
        <v>0.1</v>
      </c>
      <c r="I68" s="258">
        <v>494500000</v>
      </c>
      <c r="J68" s="258">
        <v>5439500000</v>
      </c>
      <c r="K68" s="256" t="s">
        <v>1346</v>
      </c>
    </row>
    <row r="69" spans="1:11" x14ac:dyDescent="0.3">
      <c r="A69" s="256">
        <v>8</v>
      </c>
      <c r="B69" s="257" t="s">
        <v>1362</v>
      </c>
      <c r="C69" s="276">
        <v>44477</v>
      </c>
      <c r="D69" s="257" t="s">
        <v>1285</v>
      </c>
      <c r="E69" s="256" t="s">
        <v>1793</v>
      </c>
      <c r="F69" s="256" t="s">
        <v>1881</v>
      </c>
      <c r="G69" s="258">
        <v>6476000000</v>
      </c>
      <c r="H69" s="265">
        <v>0</v>
      </c>
      <c r="I69" s="258">
        <v>0</v>
      </c>
      <c r="J69" s="258">
        <v>6476000000</v>
      </c>
      <c r="K69" s="256" t="s">
        <v>1346</v>
      </c>
    </row>
    <row r="70" spans="1:11" x14ac:dyDescent="0.3">
      <c r="A70" s="256">
        <v>9</v>
      </c>
      <c r="B70" s="257" t="s">
        <v>1364</v>
      </c>
      <c r="C70" s="276">
        <v>44478</v>
      </c>
      <c r="D70" s="257" t="s">
        <v>1303</v>
      </c>
      <c r="E70" s="256" t="s">
        <v>1817</v>
      </c>
      <c r="F70" s="256" t="s">
        <v>1884</v>
      </c>
      <c r="G70" s="258">
        <v>6981000000</v>
      </c>
      <c r="H70" s="265">
        <v>0.1</v>
      </c>
      <c r="I70" s="258">
        <v>698100000</v>
      </c>
      <c r="J70" s="258">
        <v>7679100000</v>
      </c>
      <c r="K70" s="256" t="s">
        <v>1346</v>
      </c>
    </row>
    <row r="71" spans="1:11" x14ac:dyDescent="0.3">
      <c r="A71" s="256">
        <v>10</v>
      </c>
      <c r="B71" s="257" t="s">
        <v>1366</v>
      </c>
      <c r="C71" s="276">
        <v>44479</v>
      </c>
      <c r="D71" s="257" t="s">
        <v>1290</v>
      </c>
      <c r="E71" s="256" t="s">
        <v>1796</v>
      </c>
      <c r="F71" s="256" t="s">
        <v>1882</v>
      </c>
      <c r="G71" s="258">
        <v>6541000000</v>
      </c>
      <c r="H71" s="265">
        <v>0.1</v>
      </c>
      <c r="I71" s="258">
        <v>654100000</v>
      </c>
      <c r="J71" s="258">
        <v>7195100000</v>
      </c>
      <c r="K71" s="256" t="s">
        <v>1346</v>
      </c>
    </row>
    <row r="72" spans="1:11" x14ac:dyDescent="0.3">
      <c r="A72" s="256">
        <v>11</v>
      </c>
      <c r="B72" s="257" t="s">
        <v>1368</v>
      </c>
      <c r="C72" s="276">
        <v>44480</v>
      </c>
      <c r="D72" s="257" t="s">
        <v>1284</v>
      </c>
      <c r="E72" s="256" t="s">
        <v>1786</v>
      </c>
      <c r="F72" s="256" t="s">
        <v>1884</v>
      </c>
      <c r="G72" s="258">
        <v>3504000000</v>
      </c>
      <c r="H72" s="265">
        <v>0.1</v>
      </c>
      <c r="I72" s="258">
        <v>350400000</v>
      </c>
      <c r="J72" s="258">
        <v>3854400000</v>
      </c>
      <c r="K72" s="256" t="s">
        <v>1346</v>
      </c>
    </row>
    <row r="73" spans="1:11" x14ac:dyDescent="0.3">
      <c r="A73" s="256">
        <v>12</v>
      </c>
      <c r="B73" s="257" t="s">
        <v>1371</v>
      </c>
      <c r="C73" s="276">
        <v>44481</v>
      </c>
      <c r="D73" s="257" t="s">
        <v>1282</v>
      </c>
      <c r="E73" s="256" t="s">
        <v>1789</v>
      </c>
      <c r="F73" s="256" t="s">
        <v>1883</v>
      </c>
      <c r="G73" s="258">
        <v>3220000000</v>
      </c>
      <c r="H73" s="265">
        <v>0.1</v>
      </c>
      <c r="I73" s="258">
        <v>322000000</v>
      </c>
      <c r="J73" s="258">
        <v>3542000000</v>
      </c>
      <c r="K73" s="256" t="s">
        <v>1346</v>
      </c>
    </row>
    <row r="74" spans="1:11" x14ac:dyDescent="0.3">
      <c r="A74" s="256">
        <v>13</v>
      </c>
      <c r="B74" s="257" t="s">
        <v>1373</v>
      </c>
      <c r="C74" s="276">
        <v>44211</v>
      </c>
      <c r="D74" s="257" t="s">
        <v>1261</v>
      </c>
      <c r="E74" s="256" t="s">
        <v>1813</v>
      </c>
      <c r="F74" s="256" t="s">
        <v>1883</v>
      </c>
      <c r="G74" s="258">
        <v>5443000000</v>
      </c>
      <c r="H74" s="265">
        <v>0.1</v>
      </c>
      <c r="I74" s="258">
        <v>544300000</v>
      </c>
      <c r="J74" s="258">
        <v>5987300000</v>
      </c>
      <c r="K74" s="256" t="s">
        <v>1346</v>
      </c>
    </row>
    <row r="75" spans="1:11" x14ac:dyDescent="0.3">
      <c r="A75" s="256">
        <v>14</v>
      </c>
      <c r="B75" s="257" t="s">
        <v>1374</v>
      </c>
      <c r="C75" s="276">
        <v>44242</v>
      </c>
      <c r="D75" s="257" t="s">
        <v>1289</v>
      </c>
      <c r="E75" s="256" t="s">
        <v>1803</v>
      </c>
      <c r="F75" s="256" t="s">
        <v>1884</v>
      </c>
      <c r="G75" s="258">
        <v>2761000000</v>
      </c>
      <c r="H75" s="265">
        <v>0.1</v>
      </c>
      <c r="I75" s="258">
        <v>276100000</v>
      </c>
      <c r="J75" s="258">
        <v>3037100000</v>
      </c>
      <c r="K75" s="256" t="s">
        <v>1346</v>
      </c>
    </row>
    <row r="76" spans="1:11" x14ac:dyDescent="0.3">
      <c r="A76" s="256">
        <v>15</v>
      </c>
      <c r="B76" s="257" t="s">
        <v>1376</v>
      </c>
      <c r="C76" s="276">
        <v>44275</v>
      </c>
      <c r="D76" s="257" t="s">
        <v>1290</v>
      </c>
      <c r="E76" s="256" t="s">
        <v>1796</v>
      </c>
      <c r="F76" s="256" t="s">
        <v>1883</v>
      </c>
      <c r="G76" s="258">
        <v>6385000000</v>
      </c>
      <c r="H76" s="265">
        <v>0.1</v>
      </c>
      <c r="I76" s="258">
        <v>638500000</v>
      </c>
      <c r="J76" s="258">
        <v>7023500000</v>
      </c>
      <c r="K76" s="256" t="s">
        <v>1346</v>
      </c>
    </row>
    <row r="77" spans="1:11" x14ac:dyDescent="0.3">
      <c r="A77" s="256">
        <v>16</v>
      </c>
      <c r="B77" s="257" t="s">
        <v>1378</v>
      </c>
      <c r="C77" s="276">
        <v>44306</v>
      </c>
      <c r="D77" s="257" t="s">
        <v>1290</v>
      </c>
      <c r="E77" s="256" t="s">
        <v>1796</v>
      </c>
      <c r="F77" s="256" t="s">
        <v>1881</v>
      </c>
      <c r="G77" s="258">
        <v>6365000000</v>
      </c>
      <c r="H77" s="265">
        <v>0.1</v>
      </c>
      <c r="I77" s="258">
        <v>636500000</v>
      </c>
      <c r="J77" s="258">
        <v>7001500000</v>
      </c>
      <c r="K77" s="256" t="s">
        <v>1346</v>
      </c>
    </row>
    <row r="78" spans="1:11" x14ac:dyDescent="0.3">
      <c r="A78" s="256">
        <v>17</v>
      </c>
      <c r="B78" s="257" t="s">
        <v>1379</v>
      </c>
      <c r="C78" s="276">
        <v>44336</v>
      </c>
      <c r="D78" s="257" t="s">
        <v>1283</v>
      </c>
      <c r="E78" s="256" t="s">
        <v>1798</v>
      </c>
      <c r="F78" s="256" t="s">
        <v>1883</v>
      </c>
      <c r="G78" s="258">
        <v>3499000000</v>
      </c>
      <c r="H78" s="265">
        <v>0.1</v>
      </c>
      <c r="I78" s="258">
        <v>349900000</v>
      </c>
      <c r="J78" s="258">
        <v>3848900000</v>
      </c>
      <c r="K78" s="256" t="s">
        <v>1346</v>
      </c>
    </row>
    <row r="79" spans="1:11" x14ac:dyDescent="0.3">
      <c r="A79" s="256">
        <v>18</v>
      </c>
      <c r="B79" s="257" t="s">
        <v>1381</v>
      </c>
      <c r="C79" s="276">
        <v>44367</v>
      </c>
      <c r="D79" s="257" t="s">
        <v>1292</v>
      </c>
      <c r="E79" s="256" t="s">
        <v>1792</v>
      </c>
      <c r="F79" s="256" t="s">
        <v>1882</v>
      </c>
      <c r="G79" s="258">
        <v>3111000000</v>
      </c>
      <c r="H79" s="265">
        <v>0.1</v>
      </c>
      <c r="I79" s="258">
        <v>311100000</v>
      </c>
      <c r="J79" s="258">
        <v>3422100000</v>
      </c>
      <c r="K79" s="256" t="s">
        <v>1346</v>
      </c>
    </row>
    <row r="80" spans="1:11" x14ac:dyDescent="0.3">
      <c r="A80" s="256">
        <v>19</v>
      </c>
      <c r="B80" s="257" t="s">
        <v>1382</v>
      </c>
      <c r="C80" s="276">
        <v>44397</v>
      </c>
      <c r="D80" s="257" t="s">
        <v>1300</v>
      </c>
      <c r="E80" s="256" t="s">
        <v>1818</v>
      </c>
      <c r="F80" s="256" t="s">
        <v>1883</v>
      </c>
      <c r="G80" s="258">
        <v>3112000000</v>
      </c>
      <c r="H80" s="265">
        <v>0.1</v>
      </c>
      <c r="I80" s="258">
        <v>311200000</v>
      </c>
      <c r="J80" s="258">
        <v>3423200000</v>
      </c>
      <c r="K80" s="256" t="s">
        <v>1346</v>
      </c>
    </row>
    <row r="81" spans="1:11" x14ac:dyDescent="0.3">
      <c r="A81" s="256">
        <v>20</v>
      </c>
      <c r="B81" s="257" t="s">
        <v>1383</v>
      </c>
      <c r="C81" s="276">
        <v>44428</v>
      </c>
      <c r="D81" s="257" t="s">
        <v>1298</v>
      </c>
      <c r="E81" s="256" t="s">
        <v>1819</v>
      </c>
      <c r="F81" s="256" t="s">
        <v>1884</v>
      </c>
      <c r="G81" s="258">
        <v>6353000000</v>
      </c>
      <c r="H81" s="265">
        <v>0.1</v>
      </c>
      <c r="I81" s="258">
        <v>635300000</v>
      </c>
      <c r="J81" s="258">
        <v>6988300000</v>
      </c>
      <c r="K81" s="256" t="s">
        <v>1346</v>
      </c>
    </row>
    <row r="82" spans="1:11" x14ac:dyDescent="0.3">
      <c r="A82" s="256">
        <v>21</v>
      </c>
      <c r="B82" s="257" t="s">
        <v>1203</v>
      </c>
      <c r="C82" s="276">
        <v>44459</v>
      </c>
      <c r="D82" s="257" t="s">
        <v>1294</v>
      </c>
      <c r="E82" s="256" t="s">
        <v>1795</v>
      </c>
      <c r="F82" s="256" t="s">
        <v>1881</v>
      </c>
      <c r="G82" s="258">
        <v>3943000000</v>
      </c>
      <c r="H82" s="265">
        <v>0.1</v>
      </c>
      <c r="I82" s="258">
        <v>394300000</v>
      </c>
      <c r="J82" s="258">
        <v>4337300000</v>
      </c>
      <c r="K82" s="256" t="s">
        <v>1348</v>
      </c>
    </row>
    <row r="83" spans="1:11" x14ac:dyDescent="0.3">
      <c r="A83" s="256">
        <v>22</v>
      </c>
      <c r="B83" s="257" t="s">
        <v>1204</v>
      </c>
      <c r="C83" s="276">
        <v>44489</v>
      </c>
      <c r="D83" s="257" t="s">
        <v>1267</v>
      </c>
      <c r="E83" s="256" t="s">
        <v>1810</v>
      </c>
      <c r="F83" s="256" t="s">
        <v>1883</v>
      </c>
      <c r="G83" s="258">
        <v>5860000000</v>
      </c>
      <c r="H83" s="265">
        <v>0.1</v>
      </c>
      <c r="I83" s="258">
        <v>586000000</v>
      </c>
      <c r="J83" s="258">
        <v>6446000000</v>
      </c>
      <c r="K83" s="256" t="s">
        <v>1346</v>
      </c>
    </row>
    <row r="84" spans="1:11" x14ac:dyDescent="0.3">
      <c r="A84" s="256">
        <v>23</v>
      </c>
      <c r="B84" s="257" t="s">
        <v>1205</v>
      </c>
      <c r="C84" s="276">
        <v>44520</v>
      </c>
      <c r="D84" s="257" t="s">
        <v>1297</v>
      </c>
      <c r="E84" s="256" t="s">
        <v>1820</v>
      </c>
      <c r="F84" s="256" t="s">
        <v>1884</v>
      </c>
      <c r="G84" s="258">
        <v>2937000000</v>
      </c>
      <c r="H84" s="265">
        <v>0.1</v>
      </c>
      <c r="I84" s="258">
        <v>293700000</v>
      </c>
      <c r="J84" s="258">
        <v>3230700000</v>
      </c>
      <c r="K84" s="256" t="s">
        <v>1346</v>
      </c>
    </row>
    <row r="85" spans="1:11" x14ac:dyDescent="0.3">
      <c r="A85" s="256">
        <v>24</v>
      </c>
      <c r="B85" s="257" t="s">
        <v>1385</v>
      </c>
      <c r="C85" s="276">
        <v>44550</v>
      </c>
      <c r="D85" s="257" t="s">
        <v>1282</v>
      </c>
      <c r="E85" s="256" t="s">
        <v>1789</v>
      </c>
      <c r="F85" s="256" t="s">
        <v>1884</v>
      </c>
      <c r="G85" s="258">
        <v>6333000000</v>
      </c>
      <c r="H85" s="265">
        <v>0.1</v>
      </c>
      <c r="I85" s="258">
        <v>633300000</v>
      </c>
      <c r="J85" s="258">
        <v>6966300000</v>
      </c>
      <c r="K85" s="256" t="s">
        <v>1348</v>
      </c>
    </row>
    <row r="86" spans="1:11" x14ac:dyDescent="0.3">
      <c r="A86" s="256">
        <v>25</v>
      </c>
      <c r="B86" s="257" t="s">
        <v>1387</v>
      </c>
      <c r="C86" s="276">
        <v>44221</v>
      </c>
      <c r="D86" s="257" t="s">
        <v>1302</v>
      </c>
      <c r="E86" s="256" t="s">
        <v>1784</v>
      </c>
      <c r="F86" s="256" t="s">
        <v>1883</v>
      </c>
      <c r="G86" s="258">
        <v>3876000000</v>
      </c>
      <c r="H86" s="265">
        <v>0</v>
      </c>
      <c r="I86" s="258">
        <v>0</v>
      </c>
      <c r="J86" s="258">
        <v>3876000000</v>
      </c>
      <c r="K86" s="256" t="s">
        <v>1346</v>
      </c>
    </row>
    <row r="87" spans="1:11" x14ac:dyDescent="0.3">
      <c r="A87" s="256">
        <v>26</v>
      </c>
      <c r="B87" s="257" t="s">
        <v>1388</v>
      </c>
      <c r="C87" s="276">
        <v>44255</v>
      </c>
      <c r="D87" s="257" t="s">
        <v>1289</v>
      </c>
      <c r="E87" s="256" t="s">
        <v>1803</v>
      </c>
      <c r="F87" s="256" t="s">
        <v>1883</v>
      </c>
      <c r="G87" s="258">
        <v>2056000000</v>
      </c>
      <c r="H87" s="265">
        <v>0.1</v>
      </c>
      <c r="I87" s="258">
        <v>205600000</v>
      </c>
      <c r="J87" s="258">
        <v>2261600000</v>
      </c>
      <c r="K87" s="256" t="s">
        <v>1346</v>
      </c>
    </row>
    <row r="88" spans="1:11" x14ac:dyDescent="0.3">
      <c r="A88" s="256">
        <v>27</v>
      </c>
      <c r="B88" s="257" t="s">
        <v>1391</v>
      </c>
      <c r="C88" s="276">
        <v>44316</v>
      </c>
      <c r="D88" s="257" t="s">
        <v>1280</v>
      </c>
      <c r="E88" s="256" t="s">
        <v>1777</v>
      </c>
      <c r="F88" s="256" t="s">
        <v>1881</v>
      </c>
      <c r="G88" s="258">
        <v>6237000000</v>
      </c>
      <c r="H88" s="265">
        <v>0.1</v>
      </c>
      <c r="I88" s="258">
        <v>623700000</v>
      </c>
      <c r="J88" s="258">
        <v>6860700000</v>
      </c>
      <c r="K88" s="256" t="s">
        <v>1346</v>
      </c>
    </row>
    <row r="89" spans="1:11" x14ac:dyDescent="0.3">
      <c r="A89" s="256">
        <v>28</v>
      </c>
      <c r="B89" s="257" t="s">
        <v>1392</v>
      </c>
      <c r="C89" s="276">
        <v>44377</v>
      </c>
      <c r="D89" s="257" t="s">
        <v>1299</v>
      </c>
      <c r="E89" s="256" t="s">
        <v>1776</v>
      </c>
      <c r="F89" s="256" t="s">
        <v>1883</v>
      </c>
      <c r="G89" s="258">
        <v>2084000000</v>
      </c>
      <c r="H89" s="265">
        <v>0.1</v>
      </c>
      <c r="I89" s="258">
        <v>208400000</v>
      </c>
      <c r="J89" s="258">
        <v>2292400000</v>
      </c>
      <c r="K89" s="256" t="s">
        <v>1346</v>
      </c>
    </row>
    <row r="90" spans="1:11" x14ac:dyDescent="0.3">
      <c r="A90" s="256">
        <v>29</v>
      </c>
      <c r="B90" s="257" t="s">
        <v>1394</v>
      </c>
      <c r="C90" s="276">
        <v>44469</v>
      </c>
      <c r="D90" s="257" t="s">
        <v>1268</v>
      </c>
      <c r="E90" s="256" t="s">
        <v>1821</v>
      </c>
      <c r="F90" s="256" t="s">
        <v>1884</v>
      </c>
      <c r="G90" s="258">
        <v>5131000000</v>
      </c>
      <c r="H90" s="265">
        <v>0.1</v>
      </c>
      <c r="I90" s="258">
        <v>513100000</v>
      </c>
      <c r="J90" s="258">
        <v>5644100000</v>
      </c>
      <c r="K90" s="256" t="s">
        <v>1348</v>
      </c>
    </row>
    <row r="91" spans="1:11" x14ac:dyDescent="0.3">
      <c r="A91" s="256">
        <v>30</v>
      </c>
      <c r="B91" s="257" t="s">
        <v>1396</v>
      </c>
      <c r="C91" s="276">
        <v>44530</v>
      </c>
      <c r="D91" s="257" t="s">
        <v>1276</v>
      </c>
      <c r="E91" s="256" t="s">
        <v>1822</v>
      </c>
      <c r="F91" s="256" t="s">
        <v>1884</v>
      </c>
      <c r="G91" s="258">
        <v>6821000000</v>
      </c>
      <c r="H91" s="265">
        <v>0</v>
      </c>
      <c r="I91" s="258">
        <v>0</v>
      </c>
      <c r="J91" s="258">
        <v>6821000000</v>
      </c>
      <c r="K91" s="256" t="s">
        <v>1346</v>
      </c>
    </row>
    <row r="92" spans="1:11" x14ac:dyDescent="0.3">
      <c r="A92" s="256">
        <v>31</v>
      </c>
      <c r="B92" s="257" t="s">
        <v>1397</v>
      </c>
      <c r="C92" s="276">
        <v>44286</v>
      </c>
      <c r="D92" s="257" t="s">
        <v>1263</v>
      </c>
      <c r="E92" s="256" t="s">
        <v>1790</v>
      </c>
      <c r="F92" s="256" t="s">
        <v>1882</v>
      </c>
      <c r="G92" s="258">
        <v>2533000000</v>
      </c>
      <c r="H92" s="265">
        <v>0.1</v>
      </c>
      <c r="I92" s="258">
        <v>253300000</v>
      </c>
      <c r="J92" s="258">
        <v>2786300000</v>
      </c>
      <c r="K92" s="256" t="s">
        <v>1346</v>
      </c>
    </row>
    <row r="93" spans="1:11" x14ac:dyDescent="0.3">
      <c r="A93" s="256">
        <v>32</v>
      </c>
      <c r="B93" s="257" t="s">
        <v>1398</v>
      </c>
      <c r="C93" s="276">
        <v>44347</v>
      </c>
      <c r="D93" s="257" t="s">
        <v>1288</v>
      </c>
      <c r="E93" s="256" t="s">
        <v>1797</v>
      </c>
      <c r="F93" s="256" t="s">
        <v>1882</v>
      </c>
      <c r="G93" s="258">
        <v>3191000000</v>
      </c>
      <c r="H93" s="265">
        <v>0.1</v>
      </c>
      <c r="I93" s="258">
        <v>319100000</v>
      </c>
      <c r="J93" s="258">
        <v>3510100000</v>
      </c>
      <c r="K93" s="256" t="s">
        <v>1346</v>
      </c>
    </row>
    <row r="94" spans="1:11" x14ac:dyDescent="0.3">
      <c r="A94" s="256">
        <v>33</v>
      </c>
      <c r="B94" s="257" t="s">
        <v>1399</v>
      </c>
      <c r="C94" s="276">
        <v>44408</v>
      </c>
      <c r="D94" s="257" t="s">
        <v>1268</v>
      </c>
      <c r="E94" s="256" t="s">
        <v>1821</v>
      </c>
      <c r="F94" s="256" t="s">
        <v>1883</v>
      </c>
      <c r="G94" s="258">
        <v>4929000000</v>
      </c>
      <c r="H94" s="265">
        <v>0.1</v>
      </c>
      <c r="I94" s="258">
        <v>492900000</v>
      </c>
      <c r="J94" s="258">
        <v>5421900000</v>
      </c>
      <c r="K94" s="256" t="s">
        <v>1346</v>
      </c>
    </row>
    <row r="95" spans="1:11" x14ac:dyDescent="0.3">
      <c r="A95" s="256">
        <v>34</v>
      </c>
      <c r="B95" s="257" t="s">
        <v>1401</v>
      </c>
      <c r="C95" s="276">
        <v>44439</v>
      </c>
      <c r="D95" s="257" t="s">
        <v>1267</v>
      </c>
      <c r="E95" s="256" t="s">
        <v>1810</v>
      </c>
      <c r="F95" s="256" t="s">
        <v>1884</v>
      </c>
      <c r="G95" s="258">
        <v>2084000000</v>
      </c>
      <c r="H95" s="265">
        <v>0.1</v>
      </c>
      <c r="I95" s="258">
        <v>208400000</v>
      </c>
      <c r="J95" s="258">
        <v>2292400000</v>
      </c>
      <c r="K95" s="256" t="s">
        <v>1346</v>
      </c>
    </row>
    <row r="96" spans="1:11" x14ac:dyDescent="0.3">
      <c r="A96" s="256">
        <v>35</v>
      </c>
      <c r="B96" s="257" t="s">
        <v>1402</v>
      </c>
      <c r="C96" s="276">
        <v>44500</v>
      </c>
      <c r="D96" s="257" t="s">
        <v>1287</v>
      </c>
      <c r="E96" s="256" t="s">
        <v>1801</v>
      </c>
      <c r="F96" s="256" t="s">
        <v>1884</v>
      </c>
      <c r="G96" s="258">
        <v>6769000000</v>
      </c>
      <c r="H96" s="265">
        <v>0</v>
      </c>
      <c r="I96" s="258">
        <v>0</v>
      </c>
      <c r="J96" s="258">
        <v>6769000000</v>
      </c>
      <c r="K96" s="256" t="s">
        <v>1346</v>
      </c>
    </row>
    <row r="97" spans="1:11" x14ac:dyDescent="0.3">
      <c r="A97" s="256">
        <v>36</v>
      </c>
      <c r="B97" s="257" t="s">
        <v>1403</v>
      </c>
      <c r="C97" s="276">
        <v>44561</v>
      </c>
      <c r="D97" s="257" t="s">
        <v>1281</v>
      </c>
      <c r="E97" s="256" t="s">
        <v>1806</v>
      </c>
      <c r="F97" s="256" t="s">
        <v>1881</v>
      </c>
      <c r="G97" s="258">
        <v>1934000000</v>
      </c>
      <c r="H97" s="265">
        <v>0</v>
      </c>
      <c r="I97" s="258">
        <v>0</v>
      </c>
      <c r="J97" s="258">
        <v>1934000000</v>
      </c>
      <c r="K97" s="256" t="s">
        <v>1348</v>
      </c>
    </row>
    <row r="98" spans="1:11" x14ac:dyDescent="0.3">
      <c r="A98" s="256">
        <v>37</v>
      </c>
      <c r="B98" s="257" t="s">
        <v>1404</v>
      </c>
      <c r="C98" s="276">
        <v>44561</v>
      </c>
      <c r="D98" s="257" t="s">
        <v>1278</v>
      </c>
      <c r="E98" s="256" t="s">
        <v>1785</v>
      </c>
      <c r="F98" s="256" t="s">
        <v>1883</v>
      </c>
      <c r="G98" s="258">
        <v>6054000000</v>
      </c>
      <c r="H98" s="265">
        <v>0.1</v>
      </c>
      <c r="I98" s="258">
        <v>605400000</v>
      </c>
      <c r="J98" s="258">
        <v>6659400000</v>
      </c>
      <c r="K98" s="256" t="s">
        <v>1346</v>
      </c>
    </row>
    <row r="99" spans="1:11" x14ac:dyDescent="0.3">
      <c r="A99" s="256">
        <v>38</v>
      </c>
      <c r="B99" s="257" t="s">
        <v>1405</v>
      </c>
      <c r="C99" s="276">
        <v>44561</v>
      </c>
      <c r="D99" s="257" t="s">
        <v>1281</v>
      </c>
      <c r="E99" s="256" t="s">
        <v>1806</v>
      </c>
      <c r="F99" s="256" t="s">
        <v>1883</v>
      </c>
      <c r="G99" s="258">
        <v>5445000000</v>
      </c>
      <c r="H99" s="265">
        <v>0.1</v>
      </c>
      <c r="I99" s="258">
        <v>544500000</v>
      </c>
      <c r="J99" s="258">
        <v>5989500000</v>
      </c>
      <c r="K99" s="256" t="s">
        <v>1346</v>
      </c>
    </row>
    <row r="100" spans="1:11" x14ac:dyDescent="0.3">
      <c r="A100" s="256">
        <v>39</v>
      </c>
      <c r="B100" s="257" t="s">
        <v>1406</v>
      </c>
      <c r="C100" s="276">
        <v>44561</v>
      </c>
      <c r="D100" s="257" t="s">
        <v>1271</v>
      </c>
      <c r="E100" s="256" t="s">
        <v>1799</v>
      </c>
      <c r="F100" s="256" t="s">
        <v>1883</v>
      </c>
      <c r="G100" s="258">
        <v>4731000000</v>
      </c>
      <c r="H100" s="265">
        <v>0.1</v>
      </c>
      <c r="I100" s="258">
        <v>473100000</v>
      </c>
      <c r="J100" s="258">
        <v>5204100000</v>
      </c>
      <c r="K100" s="256" t="s">
        <v>1346</v>
      </c>
    </row>
    <row r="101" spans="1:11" x14ac:dyDescent="0.3">
      <c r="A101" s="256">
        <v>40</v>
      </c>
      <c r="B101" s="257" t="s">
        <v>1408</v>
      </c>
      <c r="C101" s="276">
        <v>44561</v>
      </c>
      <c r="D101" s="257" t="s">
        <v>1289</v>
      </c>
      <c r="E101" s="256" t="s">
        <v>1803</v>
      </c>
      <c r="F101" s="256" t="s">
        <v>1884</v>
      </c>
      <c r="G101" s="258">
        <v>5670000000</v>
      </c>
      <c r="H101" s="265">
        <v>0.1</v>
      </c>
      <c r="I101" s="258">
        <v>567000000</v>
      </c>
      <c r="J101" s="258">
        <v>6237000000</v>
      </c>
      <c r="K101" s="256" t="s">
        <v>1346</v>
      </c>
    </row>
    <row r="102" spans="1:11" x14ac:dyDescent="0.3">
      <c r="A102" s="256">
        <v>41</v>
      </c>
      <c r="B102" s="257" t="s">
        <v>1409</v>
      </c>
      <c r="C102" s="276">
        <v>44561</v>
      </c>
      <c r="D102" s="257" t="s">
        <v>1269</v>
      </c>
      <c r="E102" s="256" t="s">
        <v>1823</v>
      </c>
      <c r="F102" s="256" t="s">
        <v>1883</v>
      </c>
      <c r="G102" s="258">
        <v>3230000000</v>
      </c>
      <c r="H102" s="265">
        <v>0.1</v>
      </c>
      <c r="I102" s="258">
        <v>323000000</v>
      </c>
      <c r="J102" s="258">
        <v>3553000000</v>
      </c>
      <c r="K102" s="256" t="s">
        <v>1348</v>
      </c>
    </row>
    <row r="103" spans="1:11" x14ac:dyDescent="0.3">
      <c r="A103" s="256">
        <v>42</v>
      </c>
      <c r="B103" s="257" t="s">
        <v>1411</v>
      </c>
      <c r="C103" s="276">
        <v>44561</v>
      </c>
      <c r="D103" s="257" t="s">
        <v>1267</v>
      </c>
      <c r="E103" s="256" t="s">
        <v>1810</v>
      </c>
      <c r="F103" s="256" t="s">
        <v>1882</v>
      </c>
      <c r="G103" s="258">
        <v>2213000000</v>
      </c>
      <c r="H103" s="265">
        <v>0.1</v>
      </c>
      <c r="I103" s="258">
        <v>221300000</v>
      </c>
      <c r="J103" s="258">
        <v>2434300000</v>
      </c>
      <c r="K103" s="256" t="s">
        <v>1346</v>
      </c>
    </row>
    <row r="104" spans="1:11" x14ac:dyDescent="0.3">
      <c r="A104" s="256">
        <v>43</v>
      </c>
      <c r="B104" s="257" t="s">
        <v>1414</v>
      </c>
      <c r="C104" s="276">
        <v>44561</v>
      </c>
      <c r="D104" s="257" t="s">
        <v>1291</v>
      </c>
      <c r="E104" s="256" t="s">
        <v>1800</v>
      </c>
      <c r="F104" s="256" t="s">
        <v>1883</v>
      </c>
      <c r="G104" s="258">
        <v>5040000000</v>
      </c>
      <c r="H104" s="265">
        <v>0.1</v>
      </c>
      <c r="I104" s="258">
        <v>504000000</v>
      </c>
      <c r="J104" s="258">
        <v>5544000000</v>
      </c>
      <c r="K104" s="256" t="s">
        <v>1348</v>
      </c>
    </row>
    <row r="105" spans="1:11" x14ac:dyDescent="0.3">
      <c r="A105" s="256">
        <v>44</v>
      </c>
      <c r="B105" s="257" t="s">
        <v>1415</v>
      </c>
      <c r="C105" s="276">
        <v>44561</v>
      </c>
      <c r="D105" s="257" t="s">
        <v>1263</v>
      </c>
      <c r="E105" s="256" t="s">
        <v>1790</v>
      </c>
      <c r="F105" s="256" t="s">
        <v>1883</v>
      </c>
      <c r="G105" s="258">
        <v>1871000000</v>
      </c>
      <c r="H105" s="265">
        <v>0.1</v>
      </c>
      <c r="I105" s="258">
        <v>187100000</v>
      </c>
      <c r="J105" s="258">
        <v>2058100000</v>
      </c>
      <c r="K105" s="256" t="s">
        <v>1346</v>
      </c>
    </row>
    <row r="106" spans="1:11" x14ac:dyDescent="0.3">
      <c r="A106" s="256">
        <v>45</v>
      </c>
      <c r="B106" s="257" t="s">
        <v>1206</v>
      </c>
      <c r="C106" s="276">
        <v>44561</v>
      </c>
      <c r="D106" s="257" t="s">
        <v>1270</v>
      </c>
      <c r="E106" s="256" t="s">
        <v>1782</v>
      </c>
      <c r="F106" s="256" t="s">
        <v>1883</v>
      </c>
      <c r="G106" s="258">
        <v>2283000000</v>
      </c>
      <c r="H106" s="265">
        <v>0.1</v>
      </c>
      <c r="I106" s="258">
        <v>228300000</v>
      </c>
      <c r="J106" s="258">
        <v>2511300000</v>
      </c>
      <c r="K106" s="256" t="s">
        <v>1346</v>
      </c>
    </row>
    <row r="107" spans="1:11" x14ac:dyDescent="0.3">
      <c r="A107" s="256">
        <v>46</v>
      </c>
      <c r="B107" s="257" t="s">
        <v>1207</v>
      </c>
      <c r="C107" s="276">
        <v>44561</v>
      </c>
      <c r="D107" s="257" t="s">
        <v>1283</v>
      </c>
      <c r="E107" s="256" t="s">
        <v>1798</v>
      </c>
      <c r="F107" s="256" t="s">
        <v>1881</v>
      </c>
      <c r="G107" s="258">
        <v>2586000000</v>
      </c>
      <c r="H107" s="265">
        <v>0.1</v>
      </c>
      <c r="I107" s="258">
        <v>258600000</v>
      </c>
      <c r="J107" s="258">
        <v>2844600000</v>
      </c>
      <c r="K107" s="256" t="s">
        <v>1346</v>
      </c>
    </row>
    <row r="108" spans="1:11" x14ac:dyDescent="0.3">
      <c r="A108" s="256">
        <v>47</v>
      </c>
      <c r="B108" s="257" t="s">
        <v>1208</v>
      </c>
      <c r="C108" s="276">
        <v>44561</v>
      </c>
      <c r="D108" s="257" t="s">
        <v>1266</v>
      </c>
      <c r="E108" s="256" t="s">
        <v>1824</v>
      </c>
      <c r="F108" s="256" t="s">
        <v>1882</v>
      </c>
      <c r="G108" s="258">
        <v>1869000000</v>
      </c>
      <c r="H108" s="265">
        <v>0.1</v>
      </c>
      <c r="I108" s="258">
        <v>186900000</v>
      </c>
      <c r="J108" s="258">
        <v>2055900000</v>
      </c>
      <c r="K108" s="256" t="s">
        <v>1346</v>
      </c>
    </row>
    <row r="109" spans="1:11" x14ac:dyDescent="0.3">
      <c r="A109" s="256">
        <v>48</v>
      </c>
      <c r="B109" s="257" t="s">
        <v>1209</v>
      </c>
      <c r="C109" s="276">
        <v>44561</v>
      </c>
      <c r="D109" s="257" t="s">
        <v>1265</v>
      </c>
      <c r="E109" s="256" t="s">
        <v>1830</v>
      </c>
      <c r="F109" s="256" t="s">
        <v>1883</v>
      </c>
      <c r="G109" s="258">
        <v>1899000000</v>
      </c>
      <c r="H109" s="265">
        <v>0.1</v>
      </c>
      <c r="I109" s="258">
        <v>189900000</v>
      </c>
      <c r="J109" s="258">
        <v>2088900000</v>
      </c>
      <c r="K109" s="256" t="s">
        <v>1346</v>
      </c>
    </row>
    <row r="110" spans="1:11" x14ac:dyDescent="0.3">
      <c r="A110" s="256">
        <v>49</v>
      </c>
      <c r="B110" s="257" t="s">
        <v>1418</v>
      </c>
      <c r="C110" s="276">
        <v>44561</v>
      </c>
      <c r="D110" s="257" t="s">
        <v>1279</v>
      </c>
      <c r="E110" s="256" t="s">
        <v>1827</v>
      </c>
      <c r="F110" s="256" t="s">
        <v>1882</v>
      </c>
      <c r="G110" s="258">
        <v>6279000000</v>
      </c>
      <c r="H110" s="265">
        <v>0.1</v>
      </c>
      <c r="I110" s="258">
        <v>627900000</v>
      </c>
      <c r="J110" s="258">
        <v>6906900000</v>
      </c>
      <c r="K110" s="256" t="s">
        <v>1348</v>
      </c>
    </row>
    <row r="111" spans="1:11" x14ac:dyDescent="0.3">
      <c r="A111" s="256">
        <v>50</v>
      </c>
      <c r="B111" s="257" t="s">
        <v>1419</v>
      </c>
      <c r="C111" s="276">
        <v>44561</v>
      </c>
      <c r="D111" s="257" t="s">
        <v>1292</v>
      </c>
      <c r="E111" s="256" t="s">
        <v>1792</v>
      </c>
      <c r="F111" s="256" t="s">
        <v>1882</v>
      </c>
      <c r="G111" s="258">
        <v>5585000000</v>
      </c>
      <c r="H111" s="265">
        <v>0</v>
      </c>
      <c r="I111" s="258">
        <v>0</v>
      </c>
      <c r="J111" s="258">
        <v>5585000000</v>
      </c>
      <c r="K111" s="256" t="s">
        <v>1346</v>
      </c>
    </row>
    <row r="112" spans="1:11" x14ac:dyDescent="0.3">
      <c r="A112" s="266" t="s">
        <v>1351</v>
      </c>
      <c r="B112" s="266"/>
      <c r="C112" s="266"/>
      <c r="D112" s="266"/>
      <c r="E112" s="266"/>
      <c r="F112" s="266"/>
      <c r="G112" s="267">
        <f>SUM(G62:G111)</f>
        <v>211123000000</v>
      </c>
      <c r="H112" s="266"/>
      <c r="I112" s="267">
        <f>SUM(I62:I111)</f>
        <v>17704500000</v>
      </c>
      <c r="J112" s="267">
        <f>SUM(J62:J111)</f>
        <v>228827500000</v>
      </c>
      <c r="K112" s="266"/>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1028</v>
      </c>
      <c r="C1" s="256"/>
      <c r="D1" s="256"/>
      <c r="E1" s="256"/>
      <c r="F1" s="256"/>
      <c r="G1" s="256"/>
      <c r="H1" s="256"/>
      <c r="I1" s="256"/>
      <c r="J1" s="256"/>
      <c r="K1" s="256"/>
    </row>
    <row r="2" spans="1:11" x14ac:dyDescent="0.3">
      <c r="A2" s="256" t="s">
        <v>1339</v>
      </c>
      <c r="B2" s="257">
        <v>109119042</v>
      </c>
      <c r="C2" s="256"/>
      <c r="D2" s="256"/>
      <c r="E2" s="256"/>
      <c r="F2" s="256"/>
      <c r="G2" s="256"/>
      <c r="H2" s="256"/>
      <c r="I2" s="256"/>
      <c r="J2" s="256"/>
      <c r="K2" s="256"/>
    </row>
    <row r="3" spans="1:11" x14ac:dyDescent="0.3">
      <c r="A3" s="256" t="s">
        <v>1343</v>
      </c>
      <c r="B3" s="258">
        <v>1000000000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1409</v>
      </c>
      <c r="C8" s="276">
        <v>44317</v>
      </c>
      <c r="D8" s="257" t="s">
        <v>1295</v>
      </c>
      <c r="E8" s="256" t="s">
        <v>1825</v>
      </c>
      <c r="F8" s="256" t="s">
        <v>1858</v>
      </c>
      <c r="G8" s="258">
        <v>14000000</v>
      </c>
      <c r="H8" s="265">
        <v>0.1</v>
      </c>
      <c r="I8" s="258">
        <v>1400000</v>
      </c>
      <c r="J8" s="258">
        <v>15400000</v>
      </c>
      <c r="K8" s="256" t="s">
        <v>1346</v>
      </c>
    </row>
    <row r="9" spans="1:11" x14ac:dyDescent="0.3">
      <c r="A9" s="256">
        <v>2</v>
      </c>
      <c r="B9" s="257" t="s">
        <v>1478</v>
      </c>
      <c r="C9" s="276">
        <v>44318</v>
      </c>
      <c r="D9" s="257" t="s">
        <v>1280</v>
      </c>
      <c r="E9" s="256" t="s">
        <v>1777</v>
      </c>
      <c r="F9" s="256" t="s">
        <v>1859</v>
      </c>
      <c r="G9" s="258">
        <v>20000000</v>
      </c>
      <c r="H9" s="265">
        <v>0.1</v>
      </c>
      <c r="I9" s="258">
        <v>2000000</v>
      </c>
      <c r="J9" s="258">
        <v>22000000</v>
      </c>
      <c r="K9" s="256" t="s">
        <v>1346</v>
      </c>
    </row>
    <row r="10" spans="1:11" x14ac:dyDescent="0.3">
      <c r="A10" s="256">
        <v>3</v>
      </c>
      <c r="B10" s="257" t="s">
        <v>1475</v>
      </c>
      <c r="C10" s="276">
        <v>44472</v>
      </c>
      <c r="D10" s="257" t="s">
        <v>1257</v>
      </c>
      <c r="E10" s="256" t="s">
        <v>1815</v>
      </c>
      <c r="F10" s="256" t="s">
        <v>1863</v>
      </c>
      <c r="G10" s="258">
        <v>23000000</v>
      </c>
      <c r="H10" s="265">
        <v>0.1</v>
      </c>
      <c r="I10" s="258">
        <v>2300000</v>
      </c>
      <c r="J10" s="258">
        <v>25300000</v>
      </c>
      <c r="K10" s="256" t="s">
        <v>1348</v>
      </c>
    </row>
    <row r="11" spans="1:11" x14ac:dyDescent="0.3">
      <c r="A11" s="256">
        <v>4</v>
      </c>
      <c r="B11" s="257" t="s">
        <v>1468</v>
      </c>
      <c r="C11" s="276">
        <v>44473</v>
      </c>
      <c r="D11" s="257" t="s">
        <v>1293</v>
      </c>
      <c r="E11" s="256" t="s">
        <v>1826</v>
      </c>
      <c r="F11" s="256" t="s">
        <v>1863</v>
      </c>
      <c r="G11" s="258">
        <v>9000000</v>
      </c>
      <c r="H11" s="265">
        <v>0.1</v>
      </c>
      <c r="I11" s="258">
        <v>900000</v>
      </c>
      <c r="J11" s="258">
        <v>9900000</v>
      </c>
      <c r="K11" s="256" t="s">
        <v>1346</v>
      </c>
    </row>
    <row r="12" spans="1:11" x14ac:dyDescent="0.3">
      <c r="A12" s="256">
        <v>5</v>
      </c>
      <c r="B12" s="257" t="s">
        <v>1482</v>
      </c>
      <c r="C12" s="276">
        <v>44474</v>
      </c>
      <c r="D12" s="257" t="s">
        <v>1279</v>
      </c>
      <c r="E12" s="256" t="s">
        <v>1827</v>
      </c>
      <c r="F12" s="256" t="s">
        <v>1860</v>
      </c>
      <c r="G12" s="258">
        <v>19000000</v>
      </c>
      <c r="H12" s="265">
        <v>0.1</v>
      </c>
      <c r="I12" s="258">
        <v>1900000</v>
      </c>
      <c r="J12" s="258">
        <v>20900000</v>
      </c>
      <c r="K12" s="256" t="s">
        <v>1346</v>
      </c>
    </row>
    <row r="13" spans="1:11" x14ac:dyDescent="0.3">
      <c r="A13" s="256">
        <v>6</v>
      </c>
      <c r="B13" s="257" t="s">
        <v>1476</v>
      </c>
      <c r="C13" s="276">
        <v>44475</v>
      </c>
      <c r="D13" s="257" t="s">
        <v>1257</v>
      </c>
      <c r="E13" s="256" t="s">
        <v>1815</v>
      </c>
      <c r="F13" s="256" t="s">
        <v>1862</v>
      </c>
      <c r="G13" s="258">
        <v>17000000</v>
      </c>
      <c r="H13" s="265">
        <v>0.1</v>
      </c>
      <c r="I13" s="258">
        <v>1700000</v>
      </c>
      <c r="J13" s="258">
        <v>18700000</v>
      </c>
      <c r="K13" s="256" t="s">
        <v>1346</v>
      </c>
    </row>
    <row r="14" spans="1:11" x14ac:dyDescent="0.3">
      <c r="A14" s="256">
        <v>7</v>
      </c>
      <c r="B14" s="257" t="s">
        <v>1415</v>
      </c>
      <c r="C14" s="276">
        <v>44476</v>
      </c>
      <c r="D14" s="257" t="s">
        <v>1286</v>
      </c>
      <c r="E14" s="256" t="s">
        <v>1828</v>
      </c>
      <c r="F14" s="256" t="s">
        <v>1861</v>
      </c>
      <c r="G14" s="258">
        <v>6000000</v>
      </c>
      <c r="H14" s="265">
        <v>0.1</v>
      </c>
      <c r="I14" s="258">
        <v>600000</v>
      </c>
      <c r="J14" s="258">
        <v>6600000</v>
      </c>
      <c r="K14" s="256" t="s">
        <v>1348</v>
      </c>
    </row>
    <row r="15" spans="1:11" x14ac:dyDescent="0.3">
      <c r="A15" s="256">
        <v>8</v>
      </c>
      <c r="B15" s="257" t="s">
        <v>1509</v>
      </c>
      <c r="C15" s="276">
        <v>44477</v>
      </c>
      <c r="D15" s="257" t="s">
        <v>1284</v>
      </c>
      <c r="E15" s="256" t="s">
        <v>1786</v>
      </c>
      <c r="F15" s="256" t="s">
        <v>1861</v>
      </c>
      <c r="G15" s="258">
        <v>11000000</v>
      </c>
      <c r="H15" s="265">
        <v>0.1</v>
      </c>
      <c r="I15" s="258">
        <v>1100000</v>
      </c>
      <c r="J15" s="258">
        <v>12100000</v>
      </c>
      <c r="K15" s="256" t="s">
        <v>1346</v>
      </c>
    </row>
    <row r="16" spans="1:11" x14ac:dyDescent="0.3">
      <c r="A16" s="256">
        <v>9</v>
      </c>
      <c r="B16" s="257" t="s">
        <v>1458</v>
      </c>
      <c r="C16" s="276">
        <v>44478</v>
      </c>
      <c r="D16" s="257" t="s">
        <v>1255</v>
      </c>
      <c r="E16" s="273">
        <v>46152</v>
      </c>
      <c r="F16" s="256" t="s">
        <v>1860</v>
      </c>
      <c r="G16" s="258">
        <v>18000000</v>
      </c>
      <c r="H16" s="265">
        <v>0.1</v>
      </c>
      <c r="I16" s="258">
        <v>1800000</v>
      </c>
      <c r="J16" s="258">
        <v>19800000</v>
      </c>
      <c r="K16" s="256" t="s">
        <v>1346</v>
      </c>
    </row>
    <row r="17" spans="1:11" x14ac:dyDescent="0.3">
      <c r="A17" s="256">
        <v>10</v>
      </c>
      <c r="B17" s="257" t="s">
        <v>1486</v>
      </c>
      <c r="C17" s="276">
        <v>44479</v>
      </c>
      <c r="D17" s="257" t="s">
        <v>1282</v>
      </c>
      <c r="E17" s="256" t="s">
        <v>1789</v>
      </c>
      <c r="F17" s="256" t="s">
        <v>1863</v>
      </c>
      <c r="G17" s="258">
        <v>15000000</v>
      </c>
      <c r="H17" s="265">
        <v>0.1</v>
      </c>
      <c r="I17" s="258">
        <v>1500000</v>
      </c>
      <c r="J17" s="258">
        <v>16500000</v>
      </c>
      <c r="K17" s="256" t="s">
        <v>1348</v>
      </c>
    </row>
    <row r="18" spans="1:11" x14ac:dyDescent="0.3">
      <c r="A18" s="256">
        <v>11</v>
      </c>
      <c r="B18" s="257" t="s">
        <v>1457</v>
      </c>
      <c r="C18" s="276">
        <v>44480</v>
      </c>
      <c r="D18" s="257" t="s">
        <v>1300</v>
      </c>
      <c r="E18" s="256" t="s">
        <v>1818</v>
      </c>
      <c r="F18" s="256" t="s">
        <v>1860</v>
      </c>
      <c r="G18" s="258">
        <v>13000000</v>
      </c>
      <c r="H18" s="265">
        <v>0.1</v>
      </c>
      <c r="I18" s="258">
        <v>1300000</v>
      </c>
      <c r="J18" s="258">
        <v>14300000</v>
      </c>
      <c r="K18" s="256" t="s">
        <v>1346</v>
      </c>
    </row>
    <row r="19" spans="1:11" x14ac:dyDescent="0.3">
      <c r="A19" s="256">
        <v>12</v>
      </c>
      <c r="B19" s="257" t="s">
        <v>1492</v>
      </c>
      <c r="C19" s="276">
        <v>44481</v>
      </c>
      <c r="D19" s="257" t="s">
        <v>1277</v>
      </c>
      <c r="E19" s="256" t="s">
        <v>1783</v>
      </c>
      <c r="F19" s="256" t="s">
        <v>1861</v>
      </c>
      <c r="G19" s="258">
        <v>18000000</v>
      </c>
      <c r="H19" s="265">
        <v>0.1</v>
      </c>
      <c r="I19" s="258">
        <v>1800000</v>
      </c>
      <c r="J19" s="258">
        <v>19800000</v>
      </c>
      <c r="K19" s="256" t="s">
        <v>1346</v>
      </c>
    </row>
    <row r="20" spans="1:11" x14ac:dyDescent="0.3">
      <c r="A20" s="256">
        <v>13</v>
      </c>
      <c r="B20" s="257" t="s">
        <v>1479</v>
      </c>
      <c r="C20" s="276">
        <v>44211</v>
      </c>
      <c r="D20" s="257" t="s">
        <v>1266</v>
      </c>
      <c r="E20" s="256" t="s">
        <v>1824</v>
      </c>
      <c r="F20" s="256" t="s">
        <v>1857</v>
      </c>
      <c r="G20" s="258">
        <v>24000000</v>
      </c>
      <c r="H20" s="265">
        <v>0.1</v>
      </c>
      <c r="I20" s="258">
        <v>2400000</v>
      </c>
      <c r="J20" s="258">
        <v>26400000</v>
      </c>
      <c r="K20" s="256" t="s">
        <v>1346</v>
      </c>
    </row>
    <row r="21" spans="1:11" x14ac:dyDescent="0.3">
      <c r="A21" s="256">
        <v>14</v>
      </c>
      <c r="B21" s="257" t="s">
        <v>1487</v>
      </c>
      <c r="C21" s="276">
        <v>44242</v>
      </c>
      <c r="D21" s="257" t="s">
        <v>1273</v>
      </c>
      <c r="E21" s="256" t="s">
        <v>1829</v>
      </c>
      <c r="F21" s="256" t="s">
        <v>1862</v>
      </c>
      <c r="G21" s="258">
        <v>7000000</v>
      </c>
      <c r="H21" s="265">
        <v>0.1</v>
      </c>
      <c r="I21" s="258">
        <v>700000</v>
      </c>
      <c r="J21" s="258">
        <v>7700000</v>
      </c>
      <c r="K21" s="256" t="s">
        <v>1346</v>
      </c>
    </row>
    <row r="22" spans="1:11" x14ac:dyDescent="0.3">
      <c r="A22" s="256">
        <v>15</v>
      </c>
      <c r="B22" s="257" t="s">
        <v>1211</v>
      </c>
      <c r="C22" s="276">
        <v>44275</v>
      </c>
      <c r="D22" s="257" t="s">
        <v>1259</v>
      </c>
      <c r="E22" s="256" t="s">
        <v>1788</v>
      </c>
      <c r="F22" s="256" t="s">
        <v>1858</v>
      </c>
      <c r="G22" s="258">
        <v>18000000</v>
      </c>
      <c r="H22" s="265">
        <v>0.1</v>
      </c>
      <c r="I22" s="258">
        <v>1800000</v>
      </c>
      <c r="J22" s="258">
        <v>19800000</v>
      </c>
      <c r="K22" s="256" t="s">
        <v>1346</v>
      </c>
    </row>
    <row r="23" spans="1:11" x14ac:dyDescent="0.3">
      <c r="A23" s="256">
        <v>16</v>
      </c>
      <c r="B23" s="257" t="s">
        <v>1487</v>
      </c>
      <c r="C23" s="276">
        <v>44306</v>
      </c>
      <c r="D23" s="257" t="s">
        <v>1282</v>
      </c>
      <c r="E23" s="256" t="s">
        <v>1789</v>
      </c>
      <c r="F23" s="256" t="s">
        <v>1862</v>
      </c>
      <c r="G23" s="258">
        <v>15000000</v>
      </c>
      <c r="H23" s="265">
        <v>0.1</v>
      </c>
      <c r="I23" s="258">
        <v>1500000</v>
      </c>
      <c r="J23" s="258">
        <v>16500000</v>
      </c>
      <c r="K23" s="256" t="s">
        <v>1346</v>
      </c>
    </row>
    <row r="24" spans="1:11" x14ac:dyDescent="0.3">
      <c r="A24" s="256">
        <v>17</v>
      </c>
      <c r="B24" s="257" t="s">
        <v>1408</v>
      </c>
      <c r="C24" s="276">
        <v>44336</v>
      </c>
      <c r="D24" s="257" t="s">
        <v>1298</v>
      </c>
      <c r="E24" s="256" t="s">
        <v>1819</v>
      </c>
      <c r="F24" s="256" t="s">
        <v>1859</v>
      </c>
      <c r="G24" s="258">
        <v>8000000</v>
      </c>
      <c r="H24" s="265">
        <v>0.1</v>
      </c>
      <c r="I24" s="258">
        <v>800000</v>
      </c>
      <c r="J24" s="258">
        <v>8800000</v>
      </c>
      <c r="K24" s="256" t="s">
        <v>1346</v>
      </c>
    </row>
    <row r="25" spans="1:11" x14ac:dyDescent="0.3">
      <c r="A25" s="256">
        <v>18</v>
      </c>
      <c r="B25" s="257" t="s">
        <v>1488</v>
      </c>
      <c r="C25" s="276">
        <v>44367</v>
      </c>
      <c r="D25" s="257" t="s">
        <v>1273</v>
      </c>
      <c r="E25" s="256" t="s">
        <v>1829</v>
      </c>
      <c r="F25" s="256" t="s">
        <v>1863</v>
      </c>
      <c r="G25" s="258">
        <v>23000000</v>
      </c>
      <c r="H25" s="265">
        <v>0.1</v>
      </c>
      <c r="I25" s="258">
        <v>2300000</v>
      </c>
      <c r="J25" s="258">
        <v>25300000</v>
      </c>
      <c r="K25" s="256" t="s">
        <v>1346</v>
      </c>
    </row>
    <row r="26" spans="1:11" x14ac:dyDescent="0.3">
      <c r="A26" s="256">
        <v>19</v>
      </c>
      <c r="B26" s="257" t="s">
        <v>1408</v>
      </c>
      <c r="C26" s="276">
        <v>44397</v>
      </c>
      <c r="D26" s="257" t="s">
        <v>1296</v>
      </c>
      <c r="E26" s="256" t="s">
        <v>1807</v>
      </c>
      <c r="F26" s="256" t="s">
        <v>1862</v>
      </c>
      <c r="G26" s="258">
        <v>16000000</v>
      </c>
      <c r="H26" s="265">
        <v>0.1</v>
      </c>
      <c r="I26" s="258">
        <v>1600000</v>
      </c>
      <c r="J26" s="258">
        <v>17600000</v>
      </c>
      <c r="K26" s="256" t="s">
        <v>1346</v>
      </c>
    </row>
    <row r="27" spans="1:11" x14ac:dyDescent="0.3">
      <c r="A27" s="256">
        <v>20</v>
      </c>
      <c r="B27" s="257" t="s">
        <v>1483</v>
      </c>
      <c r="C27" s="276">
        <v>44428</v>
      </c>
      <c r="D27" s="257" t="s">
        <v>1279</v>
      </c>
      <c r="E27" s="256" t="s">
        <v>1827</v>
      </c>
      <c r="F27" s="256" t="s">
        <v>1861</v>
      </c>
      <c r="G27" s="258">
        <v>13000000</v>
      </c>
      <c r="H27" s="265">
        <v>0.1</v>
      </c>
      <c r="I27" s="258">
        <v>1300000</v>
      </c>
      <c r="J27" s="258">
        <v>14300000</v>
      </c>
      <c r="K27" s="256" t="s">
        <v>1346</v>
      </c>
    </row>
    <row r="28" spans="1:11" x14ac:dyDescent="0.3">
      <c r="A28" s="256">
        <v>21</v>
      </c>
      <c r="B28" s="257" t="s">
        <v>1494</v>
      </c>
      <c r="C28" s="276">
        <v>44459</v>
      </c>
      <c r="D28" s="257" t="s">
        <v>1281</v>
      </c>
      <c r="E28" s="256" t="s">
        <v>1806</v>
      </c>
      <c r="F28" s="256" t="s">
        <v>1859</v>
      </c>
      <c r="G28" s="258">
        <v>21000000</v>
      </c>
      <c r="H28" s="265">
        <v>0.1</v>
      </c>
      <c r="I28" s="258">
        <v>2100000</v>
      </c>
      <c r="J28" s="258">
        <v>23100000</v>
      </c>
      <c r="K28" s="256" t="s">
        <v>1346</v>
      </c>
    </row>
    <row r="29" spans="1:11" x14ac:dyDescent="0.3">
      <c r="A29" s="256">
        <v>22</v>
      </c>
      <c r="B29" s="257" t="s">
        <v>1456</v>
      </c>
      <c r="C29" s="276">
        <v>44489</v>
      </c>
      <c r="D29" s="257" t="s">
        <v>1267</v>
      </c>
      <c r="E29" s="256" t="s">
        <v>1810</v>
      </c>
      <c r="F29" s="256" t="s">
        <v>1861</v>
      </c>
      <c r="G29" s="258">
        <v>11000000</v>
      </c>
      <c r="H29" s="265">
        <v>0.1</v>
      </c>
      <c r="I29" s="258">
        <v>1100000</v>
      </c>
      <c r="J29" s="258">
        <v>12100000</v>
      </c>
      <c r="K29" s="256" t="s">
        <v>1346</v>
      </c>
    </row>
    <row r="30" spans="1:11" x14ac:dyDescent="0.3">
      <c r="A30" s="256">
        <v>23</v>
      </c>
      <c r="B30" s="257" t="s">
        <v>1399</v>
      </c>
      <c r="C30" s="276">
        <v>44520</v>
      </c>
      <c r="D30" s="257" t="s">
        <v>1303</v>
      </c>
      <c r="E30" s="256" t="s">
        <v>1817</v>
      </c>
      <c r="F30" s="256" t="s">
        <v>1857</v>
      </c>
      <c r="G30" s="258">
        <v>16000000</v>
      </c>
      <c r="H30" s="265">
        <v>0.1</v>
      </c>
      <c r="I30" s="258">
        <v>1600000</v>
      </c>
      <c r="J30" s="258">
        <v>17600000</v>
      </c>
      <c r="K30" s="256" t="s">
        <v>1348</v>
      </c>
    </row>
    <row r="31" spans="1:11" x14ac:dyDescent="0.3">
      <c r="A31" s="256">
        <v>24</v>
      </c>
      <c r="B31" s="257" t="s">
        <v>1471</v>
      </c>
      <c r="C31" s="276">
        <v>44550</v>
      </c>
      <c r="D31" s="257" t="s">
        <v>1265</v>
      </c>
      <c r="E31" s="256" t="s">
        <v>1830</v>
      </c>
      <c r="F31" s="256" t="s">
        <v>1857</v>
      </c>
      <c r="G31" s="258">
        <v>13000000</v>
      </c>
      <c r="H31" s="265">
        <v>0.1</v>
      </c>
      <c r="I31" s="258">
        <v>1300000</v>
      </c>
      <c r="J31" s="258">
        <v>14300000</v>
      </c>
      <c r="K31" s="256" t="s">
        <v>1346</v>
      </c>
    </row>
    <row r="32" spans="1:11" x14ac:dyDescent="0.3">
      <c r="A32" s="256">
        <v>25</v>
      </c>
      <c r="B32" s="257" t="s">
        <v>1480</v>
      </c>
      <c r="C32" s="276">
        <v>44221</v>
      </c>
      <c r="D32" s="257" t="s">
        <v>1283</v>
      </c>
      <c r="E32" s="256" t="s">
        <v>1798</v>
      </c>
      <c r="F32" s="256" t="s">
        <v>1858</v>
      </c>
      <c r="G32" s="258">
        <v>14000000</v>
      </c>
      <c r="H32" s="265">
        <v>0.1</v>
      </c>
      <c r="I32" s="258">
        <v>1400000</v>
      </c>
      <c r="J32" s="258">
        <v>15400000</v>
      </c>
      <c r="K32" s="256" t="s">
        <v>1346</v>
      </c>
    </row>
    <row r="33" spans="1:11" x14ac:dyDescent="0.3">
      <c r="A33" s="256">
        <v>26</v>
      </c>
      <c r="B33" s="257" t="s">
        <v>1409</v>
      </c>
      <c r="C33" s="276">
        <v>44255</v>
      </c>
      <c r="D33" s="257" t="s">
        <v>1298</v>
      </c>
      <c r="E33" s="256" t="s">
        <v>1819</v>
      </c>
      <c r="F33" s="256" t="s">
        <v>1858</v>
      </c>
      <c r="G33" s="258">
        <v>7000000</v>
      </c>
      <c r="H33" s="265">
        <v>0.1</v>
      </c>
      <c r="I33" s="258">
        <v>700000</v>
      </c>
      <c r="J33" s="258">
        <v>7700000</v>
      </c>
      <c r="K33" s="256" t="s">
        <v>1348</v>
      </c>
    </row>
    <row r="34" spans="1:11" x14ac:dyDescent="0.3">
      <c r="A34" s="256">
        <v>27</v>
      </c>
      <c r="B34" s="257" t="s">
        <v>1206</v>
      </c>
      <c r="C34" s="276">
        <v>44316</v>
      </c>
      <c r="D34" s="257" t="s">
        <v>1286</v>
      </c>
      <c r="E34" s="256" t="s">
        <v>1828</v>
      </c>
      <c r="F34" s="256" t="s">
        <v>1861</v>
      </c>
      <c r="G34" s="258">
        <v>11000000</v>
      </c>
      <c r="H34" s="265">
        <v>0.1</v>
      </c>
      <c r="I34" s="258">
        <v>1100000</v>
      </c>
      <c r="J34" s="258">
        <v>12100000</v>
      </c>
      <c r="K34" s="256" t="s">
        <v>1346</v>
      </c>
    </row>
    <row r="35" spans="1:11" x14ac:dyDescent="0.3">
      <c r="A35" s="256">
        <v>28</v>
      </c>
      <c r="B35" s="257" t="s">
        <v>1497</v>
      </c>
      <c r="C35" s="276">
        <v>44377</v>
      </c>
      <c r="D35" s="257" t="s">
        <v>1272</v>
      </c>
      <c r="E35" s="256" t="s">
        <v>1805</v>
      </c>
      <c r="F35" s="256" t="s">
        <v>1862</v>
      </c>
      <c r="G35" s="258">
        <v>23000000</v>
      </c>
      <c r="H35" s="265">
        <v>0.1</v>
      </c>
      <c r="I35" s="258">
        <v>2300000</v>
      </c>
      <c r="J35" s="258">
        <v>25300000</v>
      </c>
      <c r="K35" s="256" t="s">
        <v>1348</v>
      </c>
    </row>
    <row r="36" spans="1:11" x14ac:dyDescent="0.3">
      <c r="A36" s="256">
        <v>29</v>
      </c>
      <c r="B36" s="257" t="s">
        <v>1493</v>
      </c>
      <c r="C36" s="276">
        <v>44469</v>
      </c>
      <c r="D36" s="257" t="s">
        <v>1277</v>
      </c>
      <c r="E36" s="256" t="s">
        <v>1783</v>
      </c>
      <c r="F36" s="256" t="s">
        <v>1859</v>
      </c>
      <c r="G36" s="258">
        <v>13000000</v>
      </c>
      <c r="H36" s="265">
        <v>0.1</v>
      </c>
      <c r="I36" s="258">
        <v>1300000</v>
      </c>
      <c r="J36" s="258">
        <v>14300000</v>
      </c>
      <c r="K36" s="256" t="s">
        <v>1346</v>
      </c>
    </row>
    <row r="37" spans="1:11" x14ac:dyDescent="0.3">
      <c r="A37" s="256">
        <v>30</v>
      </c>
      <c r="B37" s="257" t="s">
        <v>1415</v>
      </c>
      <c r="C37" s="276">
        <v>44530</v>
      </c>
      <c r="D37" s="257" t="s">
        <v>1294</v>
      </c>
      <c r="E37" s="256" t="s">
        <v>1795</v>
      </c>
      <c r="F37" s="256" t="s">
        <v>1857</v>
      </c>
      <c r="G37" s="258">
        <v>16000000</v>
      </c>
      <c r="H37" s="265">
        <v>0.1</v>
      </c>
      <c r="I37" s="258">
        <v>1600000</v>
      </c>
      <c r="J37" s="258">
        <v>17600000</v>
      </c>
      <c r="K37" s="256" t="s">
        <v>1346</v>
      </c>
    </row>
    <row r="38" spans="1:11" x14ac:dyDescent="0.3">
      <c r="A38" s="256">
        <v>31</v>
      </c>
      <c r="B38" s="257" t="s">
        <v>1461</v>
      </c>
      <c r="C38" s="276">
        <v>44286</v>
      </c>
      <c r="D38" s="257" t="s">
        <v>1269</v>
      </c>
      <c r="E38" s="256" t="s">
        <v>1823</v>
      </c>
      <c r="F38" s="256" t="s">
        <v>1863</v>
      </c>
      <c r="G38" s="258">
        <v>21000000</v>
      </c>
      <c r="H38" s="265">
        <v>0.1</v>
      </c>
      <c r="I38" s="258">
        <v>2100000</v>
      </c>
      <c r="J38" s="258">
        <v>23100000</v>
      </c>
      <c r="K38" s="256" t="s">
        <v>1346</v>
      </c>
    </row>
    <row r="39" spans="1:11" x14ac:dyDescent="0.3">
      <c r="A39" s="256">
        <v>32</v>
      </c>
      <c r="B39" s="257" t="s">
        <v>1463</v>
      </c>
      <c r="C39" s="276">
        <v>44347</v>
      </c>
      <c r="D39" s="257" t="s">
        <v>1301</v>
      </c>
      <c r="E39" s="256" t="s">
        <v>1781</v>
      </c>
      <c r="F39" s="256" t="s">
        <v>1858</v>
      </c>
      <c r="G39" s="258">
        <v>6000000</v>
      </c>
      <c r="H39" s="265">
        <v>0.1</v>
      </c>
      <c r="I39" s="258">
        <v>600000</v>
      </c>
      <c r="J39" s="258">
        <v>6600000</v>
      </c>
      <c r="K39" s="256" t="s">
        <v>1346</v>
      </c>
    </row>
    <row r="40" spans="1:11" x14ac:dyDescent="0.3">
      <c r="A40" s="256">
        <v>33</v>
      </c>
      <c r="B40" s="257" t="s">
        <v>1464</v>
      </c>
      <c r="C40" s="276">
        <v>44408</v>
      </c>
      <c r="D40" s="257" t="s">
        <v>1264</v>
      </c>
      <c r="E40" s="256" t="s">
        <v>1779</v>
      </c>
      <c r="F40" s="256" t="s">
        <v>1858</v>
      </c>
      <c r="G40" s="258">
        <v>8000000</v>
      </c>
      <c r="H40" s="265">
        <v>0.1</v>
      </c>
      <c r="I40" s="258">
        <v>800000</v>
      </c>
      <c r="J40" s="258">
        <v>8800000</v>
      </c>
      <c r="K40" s="256" t="s">
        <v>1346</v>
      </c>
    </row>
    <row r="41" spans="1:11" x14ac:dyDescent="0.3">
      <c r="A41" s="256">
        <v>34</v>
      </c>
      <c r="B41" s="257" t="s">
        <v>1500</v>
      </c>
      <c r="C41" s="276">
        <v>44439</v>
      </c>
      <c r="D41" s="257" t="s">
        <v>1271</v>
      </c>
      <c r="E41" s="256" t="s">
        <v>1799</v>
      </c>
      <c r="F41" s="256" t="s">
        <v>1862</v>
      </c>
      <c r="G41" s="258">
        <v>16000000</v>
      </c>
      <c r="H41" s="265">
        <v>0.1</v>
      </c>
      <c r="I41" s="258">
        <v>1600000</v>
      </c>
      <c r="J41" s="258">
        <v>17600000</v>
      </c>
      <c r="K41" s="256" t="s">
        <v>1346</v>
      </c>
    </row>
    <row r="42" spans="1:11" x14ac:dyDescent="0.3">
      <c r="A42" s="256">
        <v>35</v>
      </c>
      <c r="B42" s="257" t="s">
        <v>1475</v>
      </c>
      <c r="C42" s="276">
        <v>44500</v>
      </c>
      <c r="D42" s="257" t="s">
        <v>1278</v>
      </c>
      <c r="E42" s="256" t="s">
        <v>1785</v>
      </c>
      <c r="F42" s="256" t="s">
        <v>1860</v>
      </c>
      <c r="G42" s="258">
        <v>23000000</v>
      </c>
      <c r="H42" s="265">
        <v>0.1</v>
      </c>
      <c r="I42" s="258">
        <v>2300000</v>
      </c>
      <c r="J42" s="258">
        <v>25300000</v>
      </c>
      <c r="K42" s="256" t="s">
        <v>1346</v>
      </c>
    </row>
    <row r="43" spans="1:11" x14ac:dyDescent="0.3">
      <c r="A43" s="256">
        <v>36</v>
      </c>
      <c r="B43" s="257" t="s">
        <v>1477</v>
      </c>
      <c r="C43" s="276">
        <v>44561</v>
      </c>
      <c r="D43" s="257" t="s">
        <v>1257</v>
      </c>
      <c r="E43" s="256" t="s">
        <v>1815</v>
      </c>
      <c r="F43" s="256" t="s">
        <v>1857</v>
      </c>
      <c r="G43" s="258">
        <v>7000000</v>
      </c>
      <c r="H43" s="265">
        <v>0</v>
      </c>
      <c r="I43" s="258">
        <v>0</v>
      </c>
      <c r="J43" s="258">
        <v>7000000</v>
      </c>
      <c r="K43" s="256" t="s">
        <v>1346</v>
      </c>
    </row>
    <row r="44" spans="1:11" x14ac:dyDescent="0.3">
      <c r="A44" s="256">
        <v>37</v>
      </c>
      <c r="B44" s="257" t="s">
        <v>1498</v>
      </c>
      <c r="C44" s="276">
        <v>44561</v>
      </c>
      <c r="D44" s="257" t="s">
        <v>1274</v>
      </c>
      <c r="E44" s="256" t="s">
        <v>1794</v>
      </c>
      <c r="F44" s="256" t="s">
        <v>1863</v>
      </c>
      <c r="G44" s="258">
        <v>15000000</v>
      </c>
      <c r="H44" s="265">
        <v>0.1</v>
      </c>
      <c r="I44" s="258">
        <v>1500000</v>
      </c>
      <c r="J44" s="258">
        <v>16500000</v>
      </c>
      <c r="K44" s="256" t="s">
        <v>1346</v>
      </c>
    </row>
    <row r="45" spans="1:11" x14ac:dyDescent="0.3">
      <c r="A45" s="256">
        <v>38</v>
      </c>
      <c r="B45" s="257" t="s">
        <v>1210</v>
      </c>
      <c r="C45" s="276">
        <v>44561</v>
      </c>
      <c r="D45" s="257" t="s">
        <v>1304</v>
      </c>
      <c r="E45" s="256" t="s">
        <v>1831</v>
      </c>
      <c r="F45" s="256" t="s">
        <v>1858</v>
      </c>
      <c r="G45" s="258">
        <v>10000000</v>
      </c>
      <c r="H45" s="265">
        <v>0.1</v>
      </c>
      <c r="I45" s="258">
        <v>1000000</v>
      </c>
      <c r="J45" s="258">
        <v>11000000</v>
      </c>
      <c r="K45" s="256" t="s">
        <v>1346</v>
      </c>
    </row>
    <row r="46" spans="1:11" x14ac:dyDescent="0.3">
      <c r="A46" s="256">
        <v>39</v>
      </c>
      <c r="B46" s="257" t="s">
        <v>1498</v>
      </c>
      <c r="C46" s="276">
        <v>44561</v>
      </c>
      <c r="D46" s="257" t="s">
        <v>1272</v>
      </c>
      <c r="E46" s="256" t="s">
        <v>1805</v>
      </c>
      <c r="F46" s="256" t="s">
        <v>1857</v>
      </c>
      <c r="G46" s="258">
        <v>13000000</v>
      </c>
      <c r="H46" s="265">
        <v>0.1</v>
      </c>
      <c r="I46" s="258">
        <v>1300000</v>
      </c>
      <c r="J46" s="258">
        <v>14300000</v>
      </c>
      <c r="K46" s="256" t="s">
        <v>1346</v>
      </c>
    </row>
    <row r="47" spans="1:11" x14ac:dyDescent="0.3">
      <c r="A47" s="256">
        <v>40</v>
      </c>
      <c r="B47" s="257" t="s">
        <v>1474</v>
      </c>
      <c r="C47" s="276">
        <v>44561</v>
      </c>
      <c r="D47" s="257" t="s">
        <v>1262</v>
      </c>
      <c r="E47" s="256" t="s">
        <v>1816</v>
      </c>
      <c r="F47" s="256" t="s">
        <v>1861</v>
      </c>
      <c r="G47" s="258">
        <v>8000000</v>
      </c>
      <c r="H47" s="265">
        <v>0.1</v>
      </c>
      <c r="I47" s="258">
        <v>800000</v>
      </c>
      <c r="J47" s="258">
        <v>8800000</v>
      </c>
      <c r="K47" s="256" t="s">
        <v>1348</v>
      </c>
    </row>
    <row r="48" spans="1:11" x14ac:dyDescent="0.3">
      <c r="A48" s="256">
        <v>41</v>
      </c>
      <c r="B48" s="257" t="s">
        <v>1458</v>
      </c>
      <c r="C48" s="276">
        <v>44561</v>
      </c>
      <c r="D48" s="257" t="s">
        <v>1300</v>
      </c>
      <c r="E48" s="256" t="s">
        <v>1818</v>
      </c>
      <c r="F48" s="256" t="s">
        <v>1861</v>
      </c>
      <c r="G48" s="258">
        <v>19000000</v>
      </c>
      <c r="H48" s="265">
        <v>0.1</v>
      </c>
      <c r="I48" s="258">
        <v>1900000</v>
      </c>
      <c r="J48" s="258">
        <v>20900000</v>
      </c>
      <c r="K48" s="256" t="s">
        <v>1346</v>
      </c>
    </row>
    <row r="49" spans="1:11" x14ac:dyDescent="0.3">
      <c r="A49" s="256">
        <v>42</v>
      </c>
      <c r="B49" s="257" t="s">
        <v>1476</v>
      </c>
      <c r="C49" s="276">
        <v>44561</v>
      </c>
      <c r="D49" s="257" t="s">
        <v>1278</v>
      </c>
      <c r="E49" s="256" t="s">
        <v>1785</v>
      </c>
      <c r="F49" s="256" t="s">
        <v>1858</v>
      </c>
      <c r="G49" s="258">
        <v>18000000</v>
      </c>
      <c r="H49" s="265">
        <v>0.1</v>
      </c>
      <c r="I49" s="258">
        <v>1800000</v>
      </c>
      <c r="J49" s="258">
        <v>19800000</v>
      </c>
      <c r="K49" s="256" t="s">
        <v>1348</v>
      </c>
    </row>
    <row r="50" spans="1:11" x14ac:dyDescent="0.3">
      <c r="A50" s="256">
        <v>43</v>
      </c>
      <c r="B50" s="257" t="s">
        <v>1490</v>
      </c>
      <c r="C50" s="276">
        <v>44561</v>
      </c>
      <c r="D50" s="257" t="s">
        <v>1275</v>
      </c>
      <c r="E50" s="256" t="s">
        <v>1808</v>
      </c>
      <c r="F50" s="256" t="s">
        <v>1863</v>
      </c>
      <c r="G50" s="258">
        <v>14000000</v>
      </c>
      <c r="H50" s="265">
        <v>0.1</v>
      </c>
      <c r="I50" s="258">
        <v>1400000</v>
      </c>
      <c r="J50" s="258">
        <v>15400000</v>
      </c>
      <c r="K50" s="256" t="s">
        <v>1346</v>
      </c>
    </row>
    <row r="51" spans="1:11" x14ac:dyDescent="0.3">
      <c r="A51" s="256">
        <v>44</v>
      </c>
      <c r="B51" s="257" t="s">
        <v>1481</v>
      </c>
      <c r="C51" s="276">
        <v>44561</v>
      </c>
      <c r="D51" s="257" t="s">
        <v>1268</v>
      </c>
      <c r="E51" s="256" t="s">
        <v>1821</v>
      </c>
      <c r="F51" s="256" t="s">
        <v>1857</v>
      </c>
      <c r="G51" s="258">
        <v>24000000</v>
      </c>
      <c r="H51" s="265">
        <v>0.1</v>
      </c>
      <c r="I51" s="258">
        <v>2400000</v>
      </c>
      <c r="J51" s="258">
        <v>26400000</v>
      </c>
      <c r="K51" s="256" t="s">
        <v>1346</v>
      </c>
    </row>
    <row r="52" spans="1:11" x14ac:dyDescent="0.3">
      <c r="A52" s="256">
        <v>45</v>
      </c>
      <c r="B52" s="257" t="s">
        <v>1499</v>
      </c>
      <c r="C52" s="276">
        <v>44561</v>
      </c>
      <c r="D52" s="257" t="s">
        <v>1274</v>
      </c>
      <c r="E52" s="256" t="s">
        <v>1794</v>
      </c>
      <c r="F52" s="256" t="s">
        <v>1859</v>
      </c>
      <c r="G52" s="258">
        <v>20000000</v>
      </c>
      <c r="H52" s="265">
        <v>0.1</v>
      </c>
      <c r="I52" s="258">
        <v>2000000</v>
      </c>
      <c r="J52" s="258">
        <v>22000000</v>
      </c>
      <c r="K52" s="256" t="s">
        <v>1346</v>
      </c>
    </row>
    <row r="53" spans="1:11" x14ac:dyDescent="0.3">
      <c r="A53" s="256">
        <v>46</v>
      </c>
      <c r="B53" s="257" t="s">
        <v>1480</v>
      </c>
      <c r="C53" s="276">
        <v>44561</v>
      </c>
      <c r="D53" s="257" t="s">
        <v>1266</v>
      </c>
      <c r="E53" s="256" t="s">
        <v>1824</v>
      </c>
      <c r="F53" s="256" t="s">
        <v>1858</v>
      </c>
      <c r="G53" s="258">
        <v>17000000</v>
      </c>
      <c r="H53" s="265">
        <v>0.1</v>
      </c>
      <c r="I53" s="258">
        <v>1700000</v>
      </c>
      <c r="J53" s="258">
        <v>18700000</v>
      </c>
      <c r="K53" s="256" t="s">
        <v>1346</v>
      </c>
    </row>
    <row r="54" spans="1:11" x14ac:dyDescent="0.3">
      <c r="A54" s="256">
        <v>47</v>
      </c>
      <c r="B54" s="257" t="s">
        <v>1469</v>
      </c>
      <c r="C54" s="276">
        <v>44561</v>
      </c>
      <c r="D54" s="257" t="s">
        <v>1293</v>
      </c>
      <c r="E54" s="256" t="s">
        <v>1826</v>
      </c>
      <c r="F54" s="256" t="s">
        <v>1857</v>
      </c>
      <c r="G54" s="258">
        <v>11000000</v>
      </c>
      <c r="H54" s="265">
        <v>0.1</v>
      </c>
      <c r="I54" s="258">
        <v>1100000</v>
      </c>
      <c r="J54" s="258">
        <v>12100000</v>
      </c>
      <c r="K54" s="256" t="s">
        <v>1346</v>
      </c>
    </row>
    <row r="55" spans="1:11" x14ac:dyDescent="0.3">
      <c r="A55" s="256">
        <v>48</v>
      </c>
      <c r="B55" s="257" t="s">
        <v>1495</v>
      </c>
      <c r="C55" s="276">
        <v>44561</v>
      </c>
      <c r="D55" s="257" t="s">
        <v>1281</v>
      </c>
      <c r="E55" s="256" t="s">
        <v>1806</v>
      </c>
      <c r="F55" s="256" t="s">
        <v>1858</v>
      </c>
      <c r="G55" s="258">
        <v>12000000</v>
      </c>
      <c r="H55" s="265">
        <v>0.1</v>
      </c>
      <c r="I55" s="258">
        <v>1200000</v>
      </c>
      <c r="J55" s="258">
        <v>13200000</v>
      </c>
      <c r="K55" s="256" t="s">
        <v>1348</v>
      </c>
    </row>
    <row r="56" spans="1:11" x14ac:dyDescent="0.3">
      <c r="A56" s="256">
        <v>49</v>
      </c>
      <c r="B56" s="257" t="s">
        <v>1491</v>
      </c>
      <c r="C56" s="276">
        <v>44561</v>
      </c>
      <c r="D56" s="257" t="s">
        <v>1275</v>
      </c>
      <c r="E56" s="256" t="s">
        <v>1808</v>
      </c>
      <c r="F56" s="256" t="s">
        <v>1861</v>
      </c>
      <c r="G56" s="258">
        <v>9000000</v>
      </c>
      <c r="H56" s="265">
        <v>0.1</v>
      </c>
      <c r="I56" s="258">
        <v>900000</v>
      </c>
      <c r="J56" s="258">
        <v>9900000</v>
      </c>
      <c r="K56" s="256" t="s">
        <v>1346</v>
      </c>
    </row>
    <row r="57" spans="1:11" x14ac:dyDescent="0.3">
      <c r="A57" s="256">
        <v>50</v>
      </c>
      <c r="B57" s="257" t="s">
        <v>1459</v>
      </c>
      <c r="C57" s="276">
        <v>44561</v>
      </c>
      <c r="D57" s="257" t="s">
        <v>1255</v>
      </c>
      <c r="E57" s="273">
        <v>46152</v>
      </c>
      <c r="F57" s="256" t="s">
        <v>1863</v>
      </c>
      <c r="G57" s="258">
        <v>22000000</v>
      </c>
      <c r="H57" s="265">
        <v>0.1</v>
      </c>
      <c r="I57" s="258">
        <v>2200000</v>
      </c>
      <c r="J57" s="258">
        <v>24200000</v>
      </c>
      <c r="K57" s="256" t="s">
        <v>1346</v>
      </c>
    </row>
    <row r="58" spans="1:11" x14ac:dyDescent="0.3">
      <c r="A58" s="266" t="s">
        <v>1351</v>
      </c>
      <c r="B58" s="266"/>
      <c r="C58" s="266"/>
      <c r="D58" s="266"/>
      <c r="E58" s="266"/>
      <c r="F58" s="266"/>
      <c r="G58" s="267">
        <f>SUM(G8:G57)</f>
        <v>745000000</v>
      </c>
      <c r="H58" s="266"/>
      <c r="I58" s="267">
        <f>SUM(I8:I57)</f>
        <v>73800000</v>
      </c>
      <c r="J58" s="267">
        <f>SUM(J8:J57)</f>
        <v>818800000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1304</v>
      </c>
      <c r="E62" s="256" t="s">
        <v>1831</v>
      </c>
      <c r="F62" s="256" t="s">
        <v>1864</v>
      </c>
      <c r="G62" s="258">
        <v>17000000</v>
      </c>
      <c r="H62" s="265">
        <v>0.1</v>
      </c>
      <c r="I62" s="258">
        <v>1700000</v>
      </c>
      <c r="J62" s="258">
        <v>18700000</v>
      </c>
      <c r="K62" s="256" t="s">
        <v>1346</v>
      </c>
    </row>
    <row r="63" spans="1:11" x14ac:dyDescent="0.3">
      <c r="A63" s="256">
        <v>2</v>
      </c>
      <c r="B63" s="257" t="s">
        <v>1201</v>
      </c>
      <c r="C63" s="276">
        <v>44318</v>
      </c>
      <c r="D63" s="257" t="s">
        <v>1271</v>
      </c>
      <c r="E63" s="256" t="s">
        <v>1799</v>
      </c>
      <c r="F63" s="256" t="s">
        <v>1864</v>
      </c>
      <c r="G63" s="258">
        <v>31000000</v>
      </c>
      <c r="H63" s="265">
        <v>0.1</v>
      </c>
      <c r="I63" s="258">
        <v>3100000</v>
      </c>
      <c r="J63" s="258">
        <v>34100000</v>
      </c>
      <c r="K63" s="256" t="s">
        <v>1346</v>
      </c>
    </row>
    <row r="64" spans="1:11" x14ac:dyDescent="0.3">
      <c r="A64" s="256">
        <v>3</v>
      </c>
      <c r="B64" s="257" t="s">
        <v>1202</v>
      </c>
      <c r="C64" s="276">
        <v>44472</v>
      </c>
      <c r="D64" s="257" t="s">
        <v>1300</v>
      </c>
      <c r="E64" s="256" t="s">
        <v>1818</v>
      </c>
      <c r="F64" s="256" t="s">
        <v>1866</v>
      </c>
      <c r="G64" s="258">
        <v>13000000</v>
      </c>
      <c r="H64" s="265">
        <v>0.1</v>
      </c>
      <c r="I64" s="258">
        <v>1300000</v>
      </c>
      <c r="J64" s="258">
        <v>14300000</v>
      </c>
      <c r="K64" s="256" t="s">
        <v>1346</v>
      </c>
    </row>
    <row r="65" spans="1:11" x14ac:dyDescent="0.3">
      <c r="A65" s="256">
        <v>4</v>
      </c>
      <c r="B65" s="257" t="s">
        <v>1355</v>
      </c>
      <c r="C65" s="276">
        <v>44473</v>
      </c>
      <c r="D65" s="257" t="s">
        <v>1269</v>
      </c>
      <c r="E65" s="256" t="s">
        <v>1823</v>
      </c>
      <c r="F65" s="256" t="s">
        <v>1865</v>
      </c>
      <c r="G65" s="258">
        <v>20000000</v>
      </c>
      <c r="H65" s="265">
        <v>0.1</v>
      </c>
      <c r="I65" s="258">
        <v>2000000</v>
      </c>
      <c r="J65" s="258">
        <v>22000000</v>
      </c>
      <c r="K65" s="256" t="s">
        <v>1346</v>
      </c>
    </row>
    <row r="66" spans="1:11" x14ac:dyDescent="0.3">
      <c r="A66" s="256">
        <v>5</v>
      </c>
      <c r="B66" s="257" t="s">
        <v>1356</v>
      </c>
      <c r="C66" s="276">
        <v>44474</v>
      </c>
      <c r="D66" s="257" t="s">
        <v>1294</v>
      </c>
      <c r="E66" s="256" t="s">
        <v>1795</v>
      </c>
      <c r="F66" s="256" t="s">
        <v>1867</v>
      </c>
      <c r="G66" s="258">
        <v>30000000</v>
      </c>
      <c r="H66" s="265">
        <v>0</v>
      </c>
      <c r="I66" s="258">
        <v>0</v>
      </c>
      <c r="J66" s="258">
        <v>30000000</v>
      </c>
      <c r="K66" s="256" t="s">
        <v>1346</v>
      </c>
    </row>
    <row r="67" spans="1:11" x14ac:dyDescent="0.3">
      <c r="A67" s="256">
        <v>6</v>
      </c>
      <c r="B67" s="257" t="s">
        <v>1358</v>
      </c>
      <c r="C67" s="276">
        <v>44475</v>
      </c>
      <c r="D67" s="257" t="s">
        <v>1268</v>
      </c>
      <c r="E67" s="256" t="s">
        <v>1821</v>
      </c>
      <c r="F67" s="256" t="s">
        <v>1867</v>
      </c>
      <c r="G67" s="258">
        <v>10000000</v>
      </c>
      <c r="H67" s="265">
        <v>0.1</v>
      </c>
      <c r="I67" s="258">
        <v>1000000</v>
      </c>
      <c r="J67" s="258">
        <v>11000000</v>
      </c>
      <c r="K67" s="256" t="s">
        <v>1348</v>
      </c>
    </row>
    <row r="68" spans="1:11" x14ac:dyDescent="0.3">
      <c r="A68" s="256">
        <v>7</v>
      </c>
      <c r="B68" s="257" t="s">
        <v>1360</v>
      </c>
      <c r="C68" s="276">
        <v>44476</v>
      </c>
      <c r="D68" s="257" t="s">
        <v>1268</v>
      </c>
      <c r="E68" s="256" t="s">
        <v>1821</v>
      </c>
      <c r="F68" s="256" t="s">
        <v>1867</v>
      </c>
      <c r="G68" s="258">
        <v>9000000</v>
      </c>
      <c r="H68" s="265">
        <v>0.1</v>
      </c>
      <c r="I68" s="258">
        <v>900000</v>
      </c>
      <c r="J68" s="258">
        <v>9900000</v>
      </c>
      <c r="K68" s="256" t="s">
        <v>1346</v>
      </c>
    </row>
    <row r="69" spans="1:11" x14ac:dyDescent="0.3">
      <c r="A69" s="256">
        <v>8</v>
      </c>
      <c r="B69" s="257" t="s">
        <v>1362</v>
      </c>
      <c r="C69" s="276">
        <v>44477</v>
      </c>
      <c r="D69" s="257" t="s">
        <v>1258</v>
      </c>
      <c r="E69" s="256" t="s">
        <v>1833</v>
      </c>
      <c r="F69" s="256" t="s">
        <v>1867</v>
      </c>
      <c r="G69" s="258">
        <v>13000000</v>
      </c>
      <c r="H69" s="265">
        <v>0.1</v>
      </c>
      <c r="I69" s="258">
        <v>1300000</v>
      </c>
      <c r="J69" s="258">
        <v>14300000</v>
      </c>
      <c r="K69" s="256" t="s">
        <v>1346</v>
      </c>
    </row>
    <row r="70" spans="1:11" x14ac:dyDescent="0.3">
      <c r="A70" s="256">
        <v>9</v>
      </c>
      <c r="B70" s="257" t="s">
        <v>1364</v>
      </c>
      <c r="C70" s="276">
        <v>44478</v>
      </c>
      <c r="D70" s="257" t="s">
        <v>1263</v>
      </c>
      <c r="E70" s="256" t="s">
        <v>1790</v>
      </c>
      <c r="F70" s="256" t="s">
        <v>1865</v>
      </c>
      <c r="G70" s="258">
        <v>9000000</v>
      </c>
      <c r="H70" s="265">
        <v>0.1</v>
      </c>
      <c r="I70" s="258">
        <v>900000</v>
      </c>
      <c r="J70" s="258">
        <v>9900000</v>
      </c>
      <c r="K70" s="256" t="s">
        <v>1346</v>
      </c>
    </row>
    <row r="71" spans="1:11" x14ac:dyDescent="0.3">
      <c r="A71" s="256">
        <v>10</v>
      </c>
      <c r="B71" s="257" t="s">
        <v>1366</v>
      </c>
      <c r="C71" s="276">
        <v>44479</v>
      </c>
      <c r="D71" s="257" t="s">
        <v>1276</v>
      </c>
      <c r="E71" s="256" t="s">
        <v>1822</v>
      </c>
      <c r="F71" s="256" t="s">
        <v>1864</v>
      </c>
      <c r="G71" s="258">
        <v>15000000</v>
      </c>
      <c r="H71" s="265">
        <v>0.1</v>
      </c>
      <c r="I71" s="258">
        <v>1500000</v>
      </c>
      <c r="J71" s="258">
        <v>16500000</v>
      </c>
      <c r="K71" s="256" t="s">
        <v>1346</v>
      </c>
    </row>
    <row r="72" spans="1:11" x14ac:dyDescent="0.3">
      <c r="A72" s="256">
        <v>11</v>
      </c>
      <c r="B72" s="257" t="s">
        <v>1368</v>
      </c>
      <c r="C72" s="276">
        <v>44480</v>
      </c>
      <c r="D72" s="257" t="s">
        <v>1264</v>
      </c>
      <c r="E72" s="256" t="s">
        <v>1779</v>
      </c>
      <c r="F72" s="256" t="s">
        <v>1866</v>
      </c>
      <c r="G72" s="258">
        <v>18000000</v>
      </c>
      <c r="H72" s="265">
        <v>0.1</v>
      </c>
      <c r="I72" s="258">
        <v>1800000</v>
      </c>
      <c r="J72" s="258">
        <v>19800000</v>
      </c>
      <c r="K72" s="256" t="s">
        <v>1346</v>
      </c>
    </row>
    <row r="73" spans="1:11" x14ac:dyDescent="0.3">
      <c r="A73" s="256">
        <v>12</v>
      </c>
      <c r="B73" s="257" t="s">
        <v>1371</v>
      </c>
      <c r="C73" s="276">
        <v>44481</v>
      </c>
      <c r="D73" s="257" t="s">
        <v>1284</v>
      </c>
      <c r="E73" s="256" t="s">
        <v>1786</v>
      </c>
      <c r="F73" s="256" t="s">
        <v>1867</v>
      </c>
      <c r="G73" s="258">
        <v>23000000</v>
      </c>
      <c r="H73" s="265">
        <v>0.1</v>
      </c>
      <c r="I73" s="258">
        <v>2300000</v>
      </c>
      <c r="J73" s="258">
        <v>25300000</v>
      </c>
      <c r="K73" s="256" t="s">
        <v>1346</v>
      </c>
    </row>
    <row r="74" spans="1:11" x14ac:dyDescent="0.3">
      <c r="A74" s="256">
        <v>13</v>
      </c>
      <c r="B74" s="257" t="s">
        <v>1373</v>
      </c>
      <c r="C74" s="276">
        <v>44211</v>
      </c>
      <c r="D74" s="257" t="s">
        <v>1257</v>
      </c>
      <c r="E74" s="256" t="s">
        <v>1815</v>
      </c>
      <c r="F74" s="256" t="s">
        <v>1867</v>
      </c>
      <c r="G74" s="258">
        <v>21000000</v>
      </c>
      <c r="H74" s="265">
        <v>0.1</v>
      </c>
      <c r="I74" s="258">
        <v>2100000</v>
      </c>
      <c r="J74" s="258">
        <v>23100000</v>
      </c>
      <c r="K74" s="256" t="s">
        <v>1348</v>
      </c>
    </row>
    <row r="75" spans="1:11" x14ac:dyDescent="0.3">
      <c r="A75" s="256">
        <v>14</v>
      </c>
      <c r="B75" s="257" t="s">
        <v>1374</v>
      </c>
      <c r="C75" s="276">
        <v>44242</v>
      </c>
      <c r="D75" s="257" t="s">
        <v>1299</v>
      </c>
      <c r="E75" s="256" t="s">
        <v>1776</v>
      </c>
      <c r="F75" s="256" t="s">
        <v>1866</v>
      </c>
      <c r="G75" s="258">
        <v>9000000</v>
      </c>
      <c r="H75" s="265">
        <v>0.1</v>
      </c>
      <c r="I75" s="258">
        <v>900000</v>
      </c>
      <c r="J75" s="258">
        <v>9900000</v>
      </c>
      <c r="K75" s="256" t="s">
        <v>1348</v>
      </c>
    </row>
    <row r="76" spans="1:11" x14ac:dyDescent="0.3">
      <c r="A76" s="256">
        <v>15</v>
      </c>
      <c r="B76" s="257" t="s">
        <v>1376</v>
      </c>
      <c r="C76" s="276">
        <v>44275</v>
      </c>
      <c r="D76" s="257" t="s">
        <v>1274</v>
      </c>
      <c r="E76" s="256" t="s">
        <v>1794</v>
      </c>
      <c r="F76" s="256" t="s">
        <v>1865</v>
      </c>
      <c r="G76" s="258">
        <v>21000000</v>
      </c>
      <c r="H76" s="265">
        <v>0.1</v>
      </c>
      <c r="I76" s="258">
        <v>2100000</v>
      </c>
      <c r="J76" s="258">
        <v>23100000</v>
      </c>
      <c r="K76" s="256" t="s">
        <v>1346</v>
      </c>
    </row>
    <row r="77" spans="1:11" x14ac:dyDescent="0.3">
      <c r="A77" s="256">
        <v>16</v>
      </c>
      <c r="B77" s="257" t="s">
        <v>1378</v>
      </c>
      <c r="C77" s="276">
        <v>44306</v>
      </c>
      <c r="D77" s="257" t="s">
        <v>1299</v>
      </c>
      <c r="E77" s="256" t="s">
        <v>1776</v>
      </c>
      <c r="F77" s="256" t="s">
        <v>1866</v>
      </c>
      <c r="G77" s="258">
        <v>14000000</v>
      </c>
      <c r="H77" s="265">
        <v>0.1</v>
      </c>
      <c r="I77" s="258">
        <v>1400000</v>
      </c>
      <c r="J77" s="258">
        <v>15400000</v>
      </c>
      <c r="K77" s="256" t="s">
        <v>1346</v>
      </c>
    </row>
    <row r="78" spans="1:11" x14ac:dyDescent="0.3">
      <c r="A78" s="256">
        <v>17</v>
      </c>
      <c r="B78" s="257" t="s">
        <v>1379</v>
      </c>
      <c r="C78" s="276">
        <v>44336</v>
      </c>
      <c r="D78" s="257" t="s">
        <v>1287</v>
      </c>
      <c r="E78" s="256" t="s">
        <v>1801</v>
      </c>
      <c r="F78" s="256" t="s">
        <v>1867</v>
      </c>
      <c r="G78" s="258">
        <v>31000000</v>
      </c>
      <c r="H78" s="265">
        <v>0.1</v>
      </c>
      <c r="I78" s="258">
        <v>3100000</v>
      </c>
      <c r="J78" s="258">
        <v>34100000</v>
      </c>
      <c r="K78" s="256" t="s">
        <v>1348</v>
      </c>
    </row>
    <row r="79" spans="1:11" x14ac:dyDescent="0.3">
      <c r="A79" s="256">
        <v>18</v>
      </c>
      <c r="B79" s="257" t="s">
        <v>1381</v>
      </c>
      <c r="C79" s="276">
        <v>44367</v>
      </c>
      <c r="D79" s="257" t="s">
        <v>1282</v>
      </c>
      <c r="E79" s="256" t="s">
        <v>1789</v>
      </c>
      <c r="F79" s="256" t="s">
        <v>1865</v>
      </c>
      <c r="G79" s="258">
        <v>30000000</v>
      </c>
      <c r="H79" s="265">
        <v>0.1</v>
      </c>
      <c r="I79" s="258">
        <v>3000000</v>
      </c>
      <c r="J79" s="258">
        <v>33000000</v>
      </c>
      <c r="K79" s="256" t="s">
        <v>1346</v>
      </c>
    </row>
    <row r="80" spans="1:11" x14ac:dyDescent="0.3">
      <c r="A80" s="256">
        <v>19</v>
      </c>
      <c r="B80" s="257" t="s">
        <v>1382</v>
      </c>
      <c r="C80" s="276">
        <v>44397</v>
      </c>
      <c r="D80" s="257" t="s">
        <v>1297</v>
      </c>
      <c r="E80" s="256" t="s">
        <v>1820</v>
      </c>
      <c r="F80" s="256" t="s">
        <v>1866</v>
      </c>
      <c r="G80" s="258">
        <v>28000000</v>
      </c>
      <c r="H80" s="265">
        <v>0.1</v>
      </c>
      <c r="I80" s="258">
        <v>2800000</v>
      </c>
      <c r="J80" s="258">
        <v>30800000</v>
      </c>
      <c r="K80" s="256" t="s">
        <v>1346</v>
      </c>
    </row>
    <row r="81" spans="1:11" x14ac:dyDescent="0.3">
      <c r="A81" s="256">
        <v>20</v>
      </c>
      <c r="B81" s="257" t="s">
        <v>1383</v>
      </c>
      <c r="C81" s="276">
        <v>44428</v>
      </c>
      <c r="D81" s="257" t="s">
        <v>1264</v>
      </c>
      <c r="E81" s="256" t="s">
        <v>1779</v>
      </c>
      <c r="F81" s="256" t="s">
        <v>1865</v>
      </c>
      <c r="G81" s="258">
        <v>28000000</v>
      </c>
      <c r="H81" s="265">
        <v>0</v>
      </c>
      <c r="I81" s="258">
        <v>0</v>
      </c>
      <c r="J81" s="258">
        <v>28000000</v>
      </c>
      <c r="K81" s="256" t="s">
        <v>1346</v>
      </c>
    </row>
    <row r="82" spans="1:11" x14ac:dyDescent="0.3">
      <c r="A82" s="256">
        <v>21</v>
      </c>
      <c r="B82" s="257" t="s">
        <v>1203</v>
      </c>
      <c r="C82" s="276">
        <v>44459</v>
      </c>
      <c r="D82" s="257" t="s">
        <v>1282</v>
      </c>
      <c r="E82" s="256" t="s">
        <v>1789</v>
      </c>
      <c r="F82" s="256" t="s">
        <v>1865</v>
      </c>
      <c r="G82" s="258">
        <v>13000000</v>
      </c>
      <c r="H82" s="265">
        <v>0.1</v>
      </c>
      <c r="I82" s="258">
        <v>1300000</v>
      </c>
      <c r="J82" s="258">
        <v>14300000</v>
      </c>
      <c r="K82" s="256" t="s">
        <v>1348</v>
      </c>
    </row>
    <row r="83" spans="1:11" x14ac:dyDescent="0.3">
      <c r="A83" s="256">
        <v>22</v>
      </c>
      <c r="B83" s="257" t="s">
        <v>1204</v>
      </c>
      <c r="C83" s="276">
        <v>44489</v>
      </c>
      <c r="D83" s="257" t="s">
        <v>1266</v>
      </c>
      <c r="E83" s="256" t="s">
        <v>1824</v>
      </c>
      <c r="F83" s="256" t="s">
        <v>1864</v>
      </c>
      <c r="G83" s="258">
        <v>15000000</v>
      </c>
      <c r="H83" s="265">
        <v>0.1</v>
      </c>
      <c r="I83" s="258">
        <v>1500000</v>
      </c>
      <c r="J83" s="258">
        <v>16500000</v>
      </c>
      <c r="K83" s="256" t="s">
        <v>1346</v>
      </c>
    </row>
    <row r="84" spans="1:11" x14ac:dyDescent="0.3">
      <c r="A84" s="256">
        <v>23</v>
      </c>
      <c r="B84" s="257" t="s">
        <v>1205</v>
      </c>
      <c r="C84" s="276">
        <v>44520</v>
      </c>
      <c r="D84" s="257" t="s">
        <v>1299</v>
      </c>
      <c r="E84" s="256" t="s">
        <v>1776</v>
      </c>
      <c r="F84" s="256" t="s">
        <v>1866</v>
      </c>
      <c r="G84" s="258">
        <v>12000000</v>
      </c>
      <c r="H84" s="265">
        <v>0.1</v>
      </c>
      <c r="I84" s="258">
        <v>1200000</v>
      </c>
      <c r="J84" s="258">
        <v>13200000</v>
      </c>
      <c r="K84" s="256" t="s">
        <v>1348</v>
      </c>
    </row>
    <row r="85" spans="1:11" x14ac:dyDescent="0.3">
      <c r="A85" s="256">
        <v>24</v>
      </c>
      <c r="B85" s="257" t="s">
        <v>1385</v>
      </c>
      <c r="C85" s="276">
        <v>44550</v>
      </c>
      <c r="D85" s="257" t="s">
        <v>1303</v>
      </c>
      <c r="E85" s="256" t="s">
        <v>1817</v>
      </c>
      <c r="F85" s="256" t="s">
        <v>1866</v>
      </c>
      <c r="G85" s="258">
        <v>28000000</v>
      </c>
      <c r="H85" s="265">
        <v>0.1</v>
      </c>
      <c r="I85" s="258">
        <v>2800000</v>
      </c>
      <c r="J85" s="258">
        <v>30800000</v>
      </c>
      <c r="K85" s="256" t="s">
        <v>1346</v>
      </c>
    </row>
    <row r="86" spans="1:11" x14ac:dyDescent="0.3">
      <c r="A86" s="256">
        <v>25</v>
      </c>
      <c r="B86" s="257" t="s">
        <v>1387</v>
      </c>
      <c r="C86" s="276">
        <v>44221</v>
      </c>
      <c r="D86" s="257" t="s">
        <v>1297</v>
      </c>
      <c r="E86" s="256" t="s">
        <v>1820</v>
      </c>
      <c r="F86" s="256" t="s">
        <v>1864</v>
      </c>
      <c r="G86" s="258">
        <v>19000000</v>
      </c>
      <c r="H86" s="265">
        <v>0.1</v>
      </c>
      <c r="I86" s="258">
        <v>1900000</v>
      </c>
      <c r="J86" s="258">
        <v>20900000</v>
      </c>
      <c r="K86" s="256" t="s">
        <v>1346</v>
      </c>
    </row>
    <row r="87" spans="1:11" x14ac:dyDescent="0.3">
      <c r="A87" s="256">
        <v>26</v>
      </c>
      <c r="B87" s="257" t="s">
        <v>1388</v>
      </c>
      <c r="C87" s="276">
        <v>44255</v>
      </c>
      <c r="D87" s="257" t="s">
        <v>1268</v>
      </c>
      <c r="E87" s="256" t="s">
        <v>1821</v>
      </c>
      <c r="F87" s="256" t="s">
        <v>1865</v>
      </c>
      <c r="G87" s="258">
        <v>30000000</v>
      </c>
      <c r="H87" s="265">
        <v>0.1</v>
      </c>
      <c r="I87" s="258">
        <v>3000000</v>
      </c>
      <c r="J87" s="258">
        <v>33000000</v>
      </c>
      <c r="K87" s="256" t="s">
        <v>1346</v>
      </c>
    </row>
    <row r="88" spans="1:11" x14ac:dyDescent="0.3">
      <c r="A88" s="256">
        <v>27</v>
      </c>
      <c r="B88" s="257" t="s">
        <v>1391</v>
      </c>
      <c r="C88" s="276">
        <v>44316</v>
      </c>
      <c r="D88" s="257" t="s">
        <v>1289</v>
      </c>
      <c r="E88" s="256" t="s">
        <v>1803</v>
      </c>
      <c r="F88" s="256" t="s">
        <v>1866</v>
      </c>
      <c r="G88" s="258">
        <v>18000000</v>
      </c>
      <c r="H88" s="265">
        <v>0.1</v>
      </c>
      <c r="I88" s="258">
        <v>1800000</v>
      </c>
      <c r="J88" s="258">
        <v>19800000</v>
      </c>
      <c r="K88" s="256" t="s">
        <v>1346</v>
      </c>
    </row>
    <row r="89" spans="1:11" x14ac:dyDescent="0.3">
      <c r="A89" s="256">
        <v>28</v>
      </c>
      <c r="B89" s="257" t="s">
        <v>1392</v>
      </c>
      <c r="C89" s="276">
        <v>44377</v>
      </c>
      <c r="D89" s="257" t="s">
        <v>1297</v>
      </c>
      <c r="E89" s="256" t="s">
        <v>1820</v>
      </c>
      <c r="F89" s="256" t="s">
        <v>1864</v>
      </c>
      <c r="G89" s="258">
        <v>18000000</v>
      </c>
      <c r="H89" s="265">
        <v>0.1</v>
      </c>
      <c r="I89" s="258">
        <v>1800000</v>
      </c>
      <c r="J89" s="258">
        <v>19800000</v>
      </c>
      <c r="K89" s="256" t="s">
        <v>1346</v>
      </c>
    </row>
    <row r="90" spans="1:11" x14ac:dyDescent="0.3">
      <c r="A90" s="256">
        <v>29</v>
      </c>
      <c r="B90" s="257" t="s">
        <v>1394</v>
      </c>
      <c r="C90" s="276">
        <v>44469</v>
      </c>
      <c r="D90" s="257" t="s">
        <v>1287</v>
      </c>
      <c r="E90" s="256" t="s">
        <v>1801</v>
      </c>
      <c r="F90" s="256" t="s">
        <v>1866</v>
      </c>
      <c r="G90" s="258">
        <v>20000000</v>
      </c>
      <c r="H90" s="265">
        <v>0.1</v>
      </c>
      <c r="I90" s="258">
        <v>2000000</v>
      </c>
      <c r="J90" s="258">
        <v>22000000</v>
      </c>
      <c r="K90" s="256" t="s">
        <v>1346</v>
      </c>
    </row>
    <row r="91" spans="1:11" x14ac:dyDescent="0.3">
      <c r="A91" s="256">
        <v>30</v>
      </c>
      <c r="B91" s="257" t="s">
        <v>1396</v>
      </c>
      <c r="C91" s="276">
        <v>44530</v>
      </c>
      <c r="D91" s="257" t="s">
        <v>1255</v>
      </c>
      <c r="E91" s="273">
        <v>46152</v>
      </c>
      <c r="F91" s="256" t="s">
        <v>1865</v>
      </c>
      <c r="G91" s="258">
        <v>27000000</v>
      </c>
      <c r="H91" s="265">
        <v>0.1</v>
      </c>
      <c r="I91" s="258">
        <v>2700000</v>
      </c>
      <c r="J91" s="258">
        <v>29700000</v>
      </c>
      <c r="K91" s="256" t="s">
        <v>1346</v>
      </c>
    </row>
    <row r="92" spans="1:11" x14ac:dyDescent="0.3">
      <c r="A92" s="256">
        <v>31</v>
      </c>
      <c r="B92" s="257" t="s">
        <v>1397</v>
      </c>
      <c r="C92" s="276">
        <v>44286</v>
      </c>
      <c r="D92" s="257" t="s">
        <v>1297</v>
      </c>
      <c r="E92" s="256" t="s">
        <v>1820</v>
      </c>
      <c r="F92" s="256" t="s">
        <v>1866</v>
      </c>
      <c r="G92" s="258">
        <v>25000000</v>
      </c>
      <c r="H92" s="265">
        <v>0.1</v>
      </c>
      <c r="I92" s="258">
        <v>2500000</v>
      </c>
      <c r="J92" s="258">
        <v>27500000</v>
      </c>
      <c r="K92" s="256" t="s">
        <v>1348</v>
      </c>
    </row>
    <row r="93" spans="1:11" x14ac:dyDescent="0.3">
      <c r="A93" s="256">
        <v>32</v>
      </c>
      <c r="B93" s="257" t="s">
        <v>1398</v>
      </c>
      <c r="C93" s="276">
        <v>44347</v>
      </c>
      <c r="D93" s="257" t="s">
        <v>1276</v>
      </c>
      <c r="E93" s="256" t="s">
        <v>1822</v>
      </c>
      <c r="F93" s="256" t="s">
        <v>1865</v>
      </c>
      <c r="G93" s="258">
        <v>21000000</v>
      </c>
      <c r="H93" s="265">
        <v>0.1</v>
      </c>
      <c r="I93" s="258">
        <v>2100000</v>
      </c>
      <c r="J93" s="258">
        <v>23100000</v>
      </c>
      <c r="K93" s="256" t="s">
        <v>1346</v>
      </c>
    </row>
    <row r="94" spans="1:11" x14ac:dyDescent="0.3">
      <c r="A94" s="256">
        <v>33</v>
      </c>
      <c r="B94" s="257" t="s">
        <v>1399</v>
      </c>
      <c r="C94" s="276">
        <v>44408</v>
      </c>
      <c r="D94" s="257" t="s">
        <v>1259</v>
      </c>
      <c r="E94" s="256" t="s">
        <v>1788</v>
      </c>
      <c r="F94" s="256" t="s">
        <v>1864</v>
      </c>
      <c r="G94" s="258">
        <v>12000000</v>
      </c>
      <c r="H94" s="265">
        <v>0.1</v>
      </c>
      <c r="I94" s="258">
        <v>1200000</v>
      </c>
      <c r="J94" s="258">
        <v>13200000</v>
      </c>
      <c r="K94" s="256" t="s">
        <v>1346</v>
      </c>
    </row>
    <row r="95" spans="1:11" x14ac:dyDescent="0.3">
      <c r="A95" s="256">
        <v>34</v>
      </c>
      <c r="B95" s="257" t="s">
        <v>1401</v>
      </c>
      <c r="C95" s="276">
        <v>44439</v>
      </c>
      <c r="D95" s="257" t="s">
        <v>1290</v>
      </c>
      <c r="E95" s="256" t="s">
        <v>1796</v>
      </c>
      <c r="F95" s="256" t="s">
        <v>1865</v>
      </c>
      <c r="G95" s="258">
        <v>10000000</v>
      </c>
      <c r="H95" s="265">
        <v>0.1</v>
      </c>
      <c r="I95" s="258">
        <v>1000000</v>
      </c>
      <c r="J95" s="258">
        <v>11000000</v>
      </c>
      <c r="K95" s="256" t="s">
        <v>1346</v>
      </c>
    </row>
    <row r="96" spans="1:11" x14ac:dyDescent="0.3">
      <c r="A96" s="256">
        <v>35</v>
      </c>
      <c r="B96" s="257" t="s">
        <v>1402</v>
      </c>
      <c r="C96" s="276">
        <v>44500</v>
      </c>
      <c r="D96" s="257" t="s">
        <v>1304</v>
      </c>
      <c r="E96" s="256" t="s">
        <v>1831</v>
      </c>
      <c r="F96" s="256" t="s">
        <v>1866</v>
      </c>
      <c r="G96" s="258">
        <v>17000000</v>
      </c>
      <c r="H96" s="265">
        <v>0.1</v>
      </c>
      <c r="I96" s="258">
        <v>1700000</v>
      </c>
      <c r="J96" s="258">
        <v>18700000</v>
      </c>
      <c r="K96" s="256" t="s">
        <v>1348</v>
      </c>
    </row>
    <row r="97" spans="1:11" x14ac:dyDescent="0.3">
      <c r="A97" s="256">
        <v>36</v>
      </c>
      <c r="B97" s="257" t="s">
        <v>1403</v>
      </c>
      <c r="C97" s="276">
        <v>44561</v>
      </c>
      <c r="D97" s="257" t="s">
        <v>1269</v>
      </c>
      <c r="E97" s="256" t="s">
        <v>1823</v>
      </c>
      <c r="F97" s="256" t="s">
        <v>1865</v>
      </c>
      <c r="G97" s="258">
        <v>31000000</v>
      </c>
      <c r="H97" s="265">
        <v>0.1</v>
      </c>
      <c r="I97" s="258">
        <v>3100000</v>
      </c>
      <c r="J97" s="258">
        <v>34100000</v>
      </c>
      <c r="K97" s="256" t="s">
        <v>1346</v>
      </c>
    </row>
    <row r="98" spans="1:11" x14ac:dyDescent="0.3">
      <c r="A98" s="256">
        <v>37</v>
      </c>
      <c r="B98" s="257" t="s">
        <v>1404</v>
      </c>
      <c r="C98" s="276">
        <v>44561</v>
      </c>
      <c r="D98" s="257" t="s">
        <v>1291</v>
      </c>
      <c r="E98" s="256" t="s">
        <v>1800</v>
      </c>
      <c r="F98" s="256" t="s">
        <v>1864</v>
      </c>
      <c r="G98" s="258">
        <v>24000000</v>
      </c>
      <c r="H98" s="265">
        <v>0.1</v>
      </c>
      <c r="I98" s="258">
        <v>2400000</v>
      </c>
      <c r="J98" s="258">
        <v>26400000</v>
      </c>
      <c r="K98" s="256" t="s">
        <v>1346</v>
      </c>
    </row>
    <row r="99" spans="1:11" x14ac:dyDescent="0.3">
      <c r="A99" s="256">
        <v>38</v>
      </c>
      <c r="B99" s="257" t="s">
        <v>1405</v>
      </c>
      <c r="C99" s="276">
        <v>44561</v>
      </c>
      <c r="D99" s="257" t="s">
        <v>1257</v>
      </c>
      <c r="E99" s="256" t="s">
        <v>1815</v>
      </c>
      <c r="F99" s="256" t="s">
        <v>1865</v>
      </c>
      <c r="G99" s="258">
        <v>31000000</v>
      </c>
      <c r="H99" s="265">
        <v>0.1</v>
      </c>
      <c r="I99" s="258">
        <v>3100000</v>
      </c>
      <c r="J99" s="258">
        <v>34100000</v>
      </c>
      <c r="K99" s="256" t="s">
        <v>1346</v>
      </c>
    </row>
    <row r="100" spans="1:11" x14ac:dyDescent="0.3">
      <c r="A100" s="256">
        <v>39</v>
      </c>
      <c r="B100" s="257" t="s">
        <v>1406</v>
      </c>
      <c r="C100" s="276">
        <v>44561</v>
      </c>
      <c r="D100" s="257" t="s">
        <v>1265</v>
      </c>
      <c r="E100" s="256" t="s">
        <v>1830</v>
      </c>
      <c r="F100" s="256" t="s">
        <v>1864</v>
      </c>
      <c r="G100" s="258">
        <v>9000000</v>
      </c>
      <c r="H100" s="265">
        <v>0.1</v>
      </c>
      <c r="I100" s="258">
        <v>900000</v>
      </c>
      <c r="J100" s="258">
        <v>9900000</v>
      </c>
      <c r="K100" s="256" t="s">
        <v>1346</v>
      </c>
    </row>
    <row r="101" spans="1:11" x14ac:dyDescent="0.3">
      <c r="A101" s="256">
        <v>40</v>
      </c>
      <c r="B101" s="257" t="s">
        <v>1408</v>
      </c>
      <c r="C101" s="276">
        <v>44561</v>
      </c>
      <c r="D101" s="257" t="s">
        <v>1270</v>
      </c>
      <c r="E101" s="256" t="s">
        <v>1782</v>
      </c>
      <c r="F101" s="256" t="s">
        <v>1864</v>
      </c>
      <c r="G101" s="258">
        <v>29000000</v>
      </c>
      <c r="H101" s="265">
        <v>0.1</v>
      </c>
      <c r="I101" s="258">
        <v>2900000</v>
      </c>
      <c r="J101" s="258">
        <v>31900000</v>
      </c>
      <c r="K101" s="256" t="s">
        <v>1346</v>
      </c>
    </row>
    <row r="102" spans="1:11" x14ac:dyDescent="0.3">
      <c r="A102" s="256">
        <v>41</v>
      </c>
      <c r="B102" s="257" t="s">
        <v>1409</v>
      </c>
      <c r="C102" s="276">
        <v>44561</v>
      </c>
      <c r="D102" s="257" t="s">
        <v>1286</v>
      </c>
      <c r="E102" s="256" t="s">
        <v>1828</v>
      </c>
      <c r="F102" s="256" t="s">
        <v>1867</v>
      </c>
      <c r="G102" s="258">
        <v>26000000</v>
      </c>
      <c r="H102" s="265">
        <v>0.1</v>
      </c>
      <c r="I102" s="258">
        <v>2600000</v>
      </c>
      <c r="J102" s="258">
        <v>28600000</v>
      </c>
      <c r="K102" s="256" t="s">
        <v>1346</v>
      </c>
    </row>
    <row r="103" spans="1:11" x14ac:dyDescent="0.3">
      <c r="A103" s="256">
        <v>42</v>
      </c>
      <c r="B103" s="257" t="s">
        <v>1411</v>
      </c>
      <c r="C103" s="276">
        <v>44561</v>
      </c>
      <c r="D103" s="257" t="s">
        <v>1273</v>
      </c>
      <c r="E103" s="256" t="s">
        <v>1829</v>
      </c>
      <c r="F103" s="256" t="s">
        <v>1865</v>
      </c>
      <c r="G103" s="258">
        <v>32000000</v>
      </c>
      <c r="H103" s="265">
        <v>0.1</v>
      </c>
      <c r="I103" s="258">
        <v>3200000</v>
      </c>
      <c r="J103" s="258">
        <v>35200000</v>
      </c>
      <c r="K103" s="256" t="s">
        <v>1346</v>
      </c>
    </row>
    <row r="104" spans="1:11" x14ac:dyDescent="0.3">
      <c r="A104" s="256">
        <v>43</v>
      </c>
      <c r="B104" s="257" t="s">
        <v>1414</v>
      </c>
      <c r="C104" s="276">
        <v>44561</v>
      </c>
      <c r="D104" s="257" t="s">
        <v>1283</v>
      </c>
      <c r="E104" s="256" t="s">
        <v>1798</v>
      </c>
      <c r="F104" s="256" t="s">
        <v>1865</v>
      </c>
      <c r="G104" s="258">
        <v>19000000</v>
      </c>
      <c r="H104" s="265">
        <v>0.1</v>
      </c>
      <c r="I104" s="258">
        <v>1900000</v>
      </c>
      <c r="J104" s="258">
        <v>20900000</v>
      </c>
      <c r="K104" s="256" t="s">
        <v>1346</v>
      </c>
    </row>
    <row r="105" spans="1:11" x14ac:dyDescent="0.3">
      <c r="A105" s="256">
        <v>44</v>
      </c>
      <c r="B105" s="257" t="s">
        <v>1415</v>
      </c>
      <c r="C105" s="276">
        <v>44561</v>
      </c>
      <c r="D105" s="257" t="s">
        <v>1277</v>
      </c>
      <c r="E105" s="256" t="s">
        <v>1783</v>
      </c>
      <c r="F105" s="256" t="s">
        <v>1867</v>
      </c>
      <c r="G105" s="258">
        <v>22000000</v>
      </c>
      <c r="H105" s="265">
        <v>0.1</v>
      </c>
      <c r="I105" s="258">
        <v>2200000</v>
      </c>
      <c r="J105" s="258">
        <v>24200000</v>
      </c>
      <c r="K105" s="256" t="s">
        <v>1348</v>
      </c>
    </row>
    <row r="106" spans="1:11" x14ac:dyDescent="0.3">
      <c r="A106" s="256">
        <v>45</v>
      </c>
      <c r="B106" s="257" t="s">
        <v>1206</v>
      </c>
      <c r="C106" s="276">
        <v>44561</v>
      </c>
      <c r="D106" s="257" t="s">
        <v>1257</v>
      </c>
      <c r="E106" s="256" t="s">
        <v>1815</v>
      </c>
      <c r="F106" s="256" t="s">
        <v>1867</v>
      </c>
      <c r="G106" s="258">
        <v>10000000</v>
      </c>
      <c r="H106" s="265">
        <v>0.1</v>
      </c>
      <c r="I106" s="258">
        <v>1000000</v>
      </c>
      <c r="J106" s="258">
        <v>11000000</v>
      </c>
      <c r="K106" s="256" t="s">
        <v>1348</v>
      </c>
    </row>
    <row r="107" spans="1:11" x14ac:dyDescent="0.3">
      <c r="A107" s="256">
        <v>46</v>
      </c>
      <c r="B107" s="257" t="s">
        <v>1207</v>
      </c>
      <c r="C107" s="276">
        <v>44561</v>
      </c>
      <c r="D107" s="257" t="s">
        <v>1298</v>
      </c>
      <c r="E107" s="256" t="s">
        <v>1819</v>
      </c>
      <c r="F107" s="256" t="s">
        <v>1867</v>
      </c>
      <c r="G107" s="258">
        <v>14000000</v>
      </c>
      <c r="H107" s="265">
        <v>0.1</v>
      </c>
      <c r="I107" s="258">
        <v>1400000</v>
      </c>
      <c r="J107" s="258">
        <v>15400000</v>
      </c>
      <c r="K107" s="256" t="s">
        <v>1346</v>
      </c>
    </row>
    <row r="108" spans="1:11" x14ac:dyDescent="0.3">
      <c r="A108" s="256">
        <v>47</v>
      </c>
      <c r="B108" s="257" t="s">
        <v>1208</v>
      </c>
      <c r="C108" s="276">
        <v>44561</v>
      </c>
      <c r="D108" s="257" t="s">
        <v>1297</v>
      </c>
      <c r="E108" s="256" t="s">
        <v>1820</v>
      </c>
      <c r="F108" s="256" t="s">
        <v>1865</v>
      </c>
      <c r="G108" s="258">
        <v>20000000</v>
      </c>
      <c r="H108" s="265">
        <v>0.1</v>
      </c>
      <c r="I108" s="258">
        <v>2000000</v>
      </c>
      <c r="J108" s="258">
        <v>22000000</v>
      </c>
      <c r="K108" s="256" t="s">
        <v>1346</v>
      </c>
    </row>
    <row r="109" spans="1:11" x14ac:dyDescent="0.3">
      <c r="A109" s="256">
        <v>48</v>
      </c>
      <c r="B109" s="257" t="s">
        <v>1209</v>
      </c>
      <c r="C109" s="276">
        <v>44561</v>
      </c>
      <c r="D109" s="257" t="s">
        <v>1278</v>
      </c>
      <c r="E109" s="256" t="s">
        <v>1785</v>
      </c>
      <c r="F109" s="256" t="s">
        <v>1867</v>
      </c>
      <c r="G109" s="258">
        <v>10000000</v>
      </c>
      <c r="H109" s="265">
        <v>0.1</v>
      </c>
      <c r="I109" s="258">
        <v>1000000</v>
      </c>
      <c r="J109" s="258">
        <v>11000000</v>
      </c>
      <c r="K109" s="256" t="s">
        <v>1346</v>
      </c>
    </row>
    <row r="110" spans="1:11" x14ac:dyDescent="0.3">
      <c r="A110" s="256">
        <v>49</v>
      </c>
      <c r="B110" s="257" t="s">
        <v>1418</v>
      </c>
      <c r="C110" s="276">
        <v>44561</v>
      </c>
      <c r="D110" s="257" t="s">
        <v>1280</v>
      </c>
      <c r="E110" s="256" t="s">
        <v>1777</v>
      </c>
      <c r="F110" s="256" t="s">
        <v>1867</v>
      </c>
      <c r="G110" s="258">
        <v>24000000</v>
      </c>
      <c r="H110" s="265">
        <v>0.1</v>
      </c>
      <c r="I110" s="258">
        <v>2400000</v>
      </c>
      <c r="J110" s="258">
        <v>26400000</v>
      </c>
      <c r="K110" s="256" t="s">
        <v>1346</v>
      </c>
    </row>
    <row r="111" spans="1:11" x14ac:dyDescent="0.3">
      <c r="A111" s="256">
        <v>50</v>
      </c>
      <c r="B111" s="257" t="s">
        <v>1419</v>
      </c>
      <c r="C111" s="276">
        <v>44561</v>
      </c>
      <c r="D111" s="257" t="s">
        <v>1256</v>
      </c>
      <c r="E111" s="256" t="s">
        <v>1802</v>
      </c>
      <c r="F111" s="256" t="s">
        <v>1867</v>
      </c>
      <c r="G111" s="258">
        <v>26000000</v>
      </c>
      <c r="H111" s="265">
        <v>0.1</v>
      </c>
      <c r="I111" s="258">
        <v>2600000</v>
      </c>
      <c r="J111" s="258">
        <v>28600000</v>
      </c>
      <c r="K111" s="256" t="s">
        <v>1348</v>
      </c>
    </row>
    <row r="112" spans="1:11" x14ac:dyDescent="0.3">
      <c r="A112" s="266" t="s">
        <v>1351</v>
      </c>
      <c r="B112" s="266"/>
      <c r="C112" s="266"/>
      <c r="D112" s="266"/>
      <c r="E112" s="266"/>
      <c r="F112" s="266"/>
      <c r="G112" s="267">
        <f>SUM(G62:G111)</f>
        <v>1002000000</v>
      </c>
      <c r="H112" s="266"/>
      <c r="I112" s="267">
        <f>SUM(I62:I111)</f>
        <v>94400000</v>
      </c>
      <c r="J112" s="267">
        <f>SUM(J62:J111)</f>
        <v>1096400000</v>
      </c>
      <c r="K112" s="266"/>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1037</v>
      </c>
      <c r="C1" s="256"/>
      <c r="D1" s="256"/>
      <c r="E1" s="256"/>
      <c r="F1" s="256"/>
      <c r="G1" s="256"/>
      <c r="H1" s="256"/>
      <c r="I1" s="256"/>
      <c r="J1" s="256"/>
      <c r="K1" s="256"/>
    </row>
    <row r="2" spans="1:11" x14ac:dyDescent="0.3">
      <c r="A2" s="256" t="s">
        <v>1339</v>
      </c>
      <c r="B2" s="257">
        <v>109281574</v>
      </c>
      <c r="C2" s="256"/>
      <c r="D2" s="256"/>
      <c r="E2" s="256"/>
      <c r="F2" s="256"/>
      <c r="G2" s="256"/>
      <c r="H2" s="256"/>
      <c r="I2" s="256"/>
      <c r="J2" s="256"/>
      <c r="K2" s="256"/>
    </row>
    <row r="3" spans="1:11" x14ac:dyDescent="0.3">
      <c r="A3" s="256" t="s">
        <v>1343</v>
      </c>
      <c r="B3" s="258">
        <v>301975997811</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1465</v>
      </c>
      <c r="C8" s="276">
        <v>44317</v>
      </c>
      <c r="D8" s="257" t="s">
        <v>1264</v>
      </c>
      <c r="E8" s="256" t="s">
        <v>1779</v>
      </c>
      <c r="F8" s="256" t="s">
        <v>1877</v>
      </c>
      <c r="G8" s="258">
        <v>1944000000</v>
      </c>
      <c r="H8" s="265">
        <v>0.1</v>
      </c>
      <c r="I8" s="258">
        <v>194400000</v>
      </c>
      <c r="J8" s="258">
        <v>2138400000</v>
      </c>
      <c r="K8" s="256" t="s">
        <v>1346</v>
      </c>
    </row>
    <row r="9" spans="1:11" x14ac:dyDescent="0.3">
      <c r="A9" s="256">
        <v>2</v>
      </c>
      <c r="B9" s="257" t="s">
        <v>1464</v>
      </c>
      <c r="C9" s="276">
        <v>44318</v>
      </c>
      <c r="D9" s="257" t="s">
        <v>1301</v>
      </c>
      <c r="E9" s="256" t="s">
        <v>1781</v>
      </c>
      <c r="F9" s="256" t="s">
        <v>1879</v>
      </c>
      <c r="G9" s="258">
        <v>5225000000</v>
      </c>
      <c r="H9" s="265">
        <v>0.1</v>
      </c>
      <c r="I9" s="258">
        <v>522500000</v>
      </c>
      <c r="J9" s="258">
        <v>5747500000</v>
      </c>
      <c r="K9" s="256" t="s">
        <v>1346</v>
      </c>
    </row>
    <row r="10" spans="1:11" x14ac:dyDescent="0.3">
      <c r="A10" s="256">
        <v>3</v>
      </c>
      <c r="B10" s="257" t="s">
        <v>1211</v>
      </c>
      <c r="C10" s="276">
        <v>44472</v>
      </c>
      <c r="D10" s="257" t="s">
        <v>1304</v>
      </c>
      <c r="E10" s="256" t="s">
        <v>1831</v>
      </c>
      <c r="F10" s="256" t="s">
        <v>1878</v>
      </c>
      <c r="G10" s="258">
        <v>2730000000</v>
      </c>
      <c r="H10" s="265">
        <v>0.1</v>
      </c>
      <c r="I10" s="258">
        <v>273000000</v>
      </c>
      <c r="J10" s="258">
        <v>3003000000</v>
      </c>
      <c r="K10" s="256" t="s">
        <v>1346</v>
      </c>
    </row>
    <row r="11" spans="1:11" x14ac:dyDescent="0.3">
      <c r="A11" s="256">
        <v>4</v>
      </c>
      <c r="B11" s="257" t="s">
        <v>1478</v>
      </c>
      <c r="C11" s="276">
        <v>44473</v>
      </c>
      <c r="D11" s="257" t="s">
        <v>1257</v>
      </c>
      <c r="E11" s="256" t="s">
        <v>1815</v>
      </c>
      <c r="F11" s="256" t="s">
        <v>1609</v>
      </c>
      <c r="G11" s="258">
        <v>6971000000</v>
      </c>
      <c r="H11" s="265">
        <v>0</v>
      </c>
      <c r="I11" s="258">
        <v>0</v>
      </c>
      <c r="J11" s="258">
        <v>6971000000</v>
      </c>
      <c r="K11" s="256" t="s">
        <v>1348</v>
      </c>
    </row>
    <row r="12" spans="1:11" x14ac:dyDescent="0.3">
      <c r="A12" s="256">
        <v>5</v>
      </c>
      <c r="B12" s="257" t="s">
        <v>1462</v>
      </c>
      <c r="C12" s="276">
        <v>44474</v>
      </c>
      <c r="D12" s="257" t="s">
        <v>1269</v>
      </c>
      <c r="E12" s="256" t="s">
        <v>1823</v>
      </c>
      <c r="F12" s="256" t="s">
        <v>1880</v>
      </c>
      <c r="G12" s="258">
        <v>4615000000</v>
      </c>
      <c r="H12" s="265">
        <v>0.1</v>
      </c>
      <c r="I12" s="258">
        <v>461500000</v>
      </c>
      <c r="J12" s="258">
        <v>5076500000</v>
      </c>
      <c r="K12" s="256" t="s">
        <v>1348</v>
      </c>
    </row>
    <row r="13" spans="1:11" x14ac:dyDescent="0.3">
      <c r="A13" s="256">
        <v>6</v>
      </c>
      <c r="B13" s="257" t="s">
        <v>1479</v>
      </c>
      <c r="C13" s="276">
        <v>44475</v>
      </c>
      <c r="D13" s="257" t="s">
        <v>1257</v>
      </c>
      <c r="E13" s="256" t="s">
        <v>1815</v>
      </c>
      <c r="F13" s="256" t="s">
        <v>1880</v>
      </c>
      <c r="G13" s="258">
        <v>6383000000</v>
      </c>
      <c r="H13" s="265">
        <v>0.1</v>
      </c>
      <c r="I13" s="258">
        <v>638300000</v>
      </c>
      <c r="J13" s="258">
        <v>7021300000</v>
      </c>
      <c r="K13" s="256" t="s">
        <v>1346</v>
      </c>
    </row>
    <row r="14" spans="1:11" x14ac:dyDescent="0.3">
      <c r="A14" s="256">
        <v>7</v>
      </c>
      <c r="B14" s="257" t="s">
        <v>1468</v>
      </c>
      <c r="C14" s="276">
        <v>44476</v>
      </c>
      <c r="D14" s="257" t="s">
        <v>1302</v>
      </c>
      <c r="E14" s="256" t="s">
        <v>1784</v>
      </c>
      <c r="F14" s="256" t="s">
        <v>1877</v>
      </c>
      <c r="G14" s="258">
        <v>2472000000</v>
      </c>
      <c r="H14" s="265">
        <v>0.1</v>
      </c>
      <c r="I14" s="258">
        <v>247200000</v>
      </c>
      <c r="J14" s="258">
        <v>2719200000</v>
      </c>
      <c r="K14" s="256" t="s">
        <v>1346</v>
      </c>
    </row>
    <row r="15" spans="1:11" x14ac:dyDescent="0.3">
      <c r="A15" s="256">
        <v>8</v>
      </c>
      <c r="B15" s="257" t="s">
        <v>1409</v>
      </c>
      <c r="C15" s="276">
        <v>44477</v>
      </c>
      <c r="D15" s="257" t="s">
        <v>1296</v>
      </c>
      <c r="E15" s="256" t="s">
        <v>1807</v>
      </c>
      <c r="F15" s="256" t="s">
        <v>1876</v>
      </c>
      <c r="G15" s="258">
        <v>2899000000</v>
      </c>
      <c r="H15" s="265">
        <v>0.1</v>
      </c>
      <c r="I15" s="258">
        <v>289900000</v>
      </c>
      <c r="J15" s="258">
        <v>3188900000</v>
      </c>
      <c r="K15" s="256" t="s">
        <v>1346</v>
      </c>
    </row>
    <row r="16" spans="1:11" x14ac:dyDescent="0.3">
      <c r="A16" s="256">
        <v>9</v>
      </c>
      <c r="B16" s="257" t="s">
        <v>1466</v>
      </c>
      <c r="C16" s="276">
        <v>44478</v>
      </c>
      <c r="D16" s="257" t="s">
        <v>1264</v>
      </c>
      <c r="E16" s="256" t="s">
        <v>1779</v>
      </c>
      <c r="F16" s="256" t="s">
        <v>1879</v>
      </c>
      <c r="G16" s="258">
        <v>4021000000</v>
      </c>
      <c r="H16" s="265">
        <v>0</v>
      </c>
      <c r="I16" s="258">
        <v>0</v>
      </c>
      <c r="J16" s="258">
        <v>4021000000</v>
      </c>
      <c r="K16" s="256" t="s">
        <v>1346</v>
      </c>
    </row>
    <row r="17" spans="1:11" x14ac:dyDescent="0.3">
      <c r="A17" s="256">
        <v>10</v>
      </c>
      <c r="B17" s="257" t="s">
        <v>1207</v>
      </c>
      <c r="C17" s="276">
        <v>44479</v>
      </c>
      <c r="D17" s="257" t="s">
        <v>1286</v>
      </c>
      <c r="E17" s="256" t="s">
        <v>1828</v>
      </c>
      <c r="F17" s="256" t="s">
        <v>1609</v>
      </c>
      <c r="G17" s="258">
        <v>6221000000</v>
      </c>
      <c r="H17" s="265">
        <v>0.1</v>
      </c>
      <c r="I17" s="258">
        <v>622100000</v>
      </c>
      <c r="J17" s="258">
        <v>6843100000</v>
      </c>
      <c r="K17" s="256" t="s">
        <v>1346</v>
      </c>
    </row>
    <row r="18" spans="1:11" x14ac:dyDescent="0.3">
      <c r="A18" s="256">
        <v>11</v>
      </c>
      <c r="B18" s="257" t="s">
        <v>1484</v>
      </c>
      <c r="C18" s="276">
        <v>44480</v>
      </c>
      <c r="D18" s="257" t="s">
        <v>1263</v>
      </c>
      <c r="E18" s="256" t="s">
        <v>1790</v>
      </c>
      <c r="F18" s="256" t="s">
        <v>1877</v>
      </c>
      <c r="G18" s="258">
        <v>2234000000</v>
      </c>
      <c r="H18" s="265">
        <v>0.1</v>
      </c>
      <c r="I18" s="258">
        <v>223400000</v>
      </c>
      <c r="J18" s="258">
        <v>2457400000</v>
      </c>
      <c r="K18" s="256" t="s">
        <v>1348</v>
      </c>
    </row>
    <row r="19" spans="1:11" x14ac:dyDescent="0.3">
      <c r="A19" s="256">
        <v>12</v>
      </c>
      <c r="B19" s="257" t="s">
        <v>1479</v>
      </c>
      <c r="C19" s="276">
        <v>44481</v>
      </c>
      <c r="D19" s="257" t="s">
        <v>1280</v>
      </c>
      <c r="E19" s="256" t="s">
        <v>1777</v>
      </c>
      <c r="F19" s="256" t="s">
        <v>1879</v>
      </c>
      <c r="G19" s="258">
        <v>3573000000</v>
      </c>
      <c r="H19" s="265">
        <v>0.1</v>
      </c>
      <c r="I19" s="258">
        <v>357300000</v>
      </c>
      <c r="J19" s="258">
        <v>3930300000</v>
      </c>
      <c r="K19" s="256" t="s">
        <v>1346</v>
      </c>
    </row>
    <row r="20" spans="1:11" x14ac:dyDescent="0.3">
      <c r="A20" s="256">
        <v>13</v>
      </c>
      <c r="B20" s="257" t="s">
        <v>1499</v>
      </c>
      <c r="C20" s="276">
        <v>44211</v>
      </c>
      <c r="D20" s="257" t="s">
        <v>1272</v>
      </c>
      <c r="E20" s="256" t="s">
        <v>1805</v>
      </c>
      <c r="F20" s="256" t="s">
        <v>1876</v>
      </c>
      <c r="G20" s="258">
        <v>3754000000</v>
      </c>
      <c r="H20" s="265">
        <v>0.1</v>
      </c>
      <c r="I20" s="258">
        <v>375400000</v>
      </c>
      <c r="J20" s="258">
        <v>4129400000</v>
      </c>
      <c r="K20" s="256" t="s">
        <v>1346</v>
      </c>
    </row>
    <row r="21" spans="1:11" x14ac:dyDescent="0.3">
      <c r="A21" s="256">
        <v>14</v>
      </c>
      <c r="B21" s="257" t="s">
        <v>1467</v>
      </c>
      <c r="C21" s="276">
        <v>44242</v>
      </c>
      <c r="D21" s="257" t="s">
        <v>1264</v>
      </c>
      <c r="E21" s="256" t="s">
        <v>1779</v>
      </c>
      <c r="F21" s="256" t="s">
        <v>1877</v>
      </c>
      <c r="G21" s="258">
        <v>3007000000</v>
      </c>
      <c r="H21" s="265">
        <v>0.1</v>
      </c>
      <c r="I21" s="258">
        <v>300700000</v>
      </c>
      <c r="J21" s="258">
        <v>3307700000</v>
      </c>
      <c r="K21" s="256" t="s">
        <v>1346</v>
      </c>
    </row>
    <row r="22" spans="1:11" x14ac:dyDescent="0.3">
      <c r="A22" s="256">
        <v>15</v>
      </c>
      <c r="B22" s="257" t="s">
        <v>1411</v>
      </c>
      <c r="C22" s="276">
        <v>44275</v>
      </c>
      <c r="D22" s="257" t="s">
        <v>1298</v>
      </c>
      <c r="E22" s="256" t="s">
        <v>1819</v>
      </c>
      <c r="F22" s="256" t="s">
        <v>1880</v>
      </c>
      <c r="G22" s="258">
        <v>1884000000</v>
      </c>
      <c r="H22" s="265">
        <v>0.1</v>
      </c>
      <c r="I22" s="258">
        <v>188400000</v>
      </c>
      <c r="J22" s="258">
        <v>2072400000</v>
      </c>
      <c r="K22" s="256" t="s">
        <v>1346</v>
      </c>
    </row>
    <row r="23" spans="1:11" x14ac:dyDescent="0.3">
      <c r="A23" s="256">
        <v>16</v>
      </c>
      <c r="B23" s="257" t="s">
        <v>1488</v>
      </c>
      <c r="C23" s="276">
        <v>44306</v>
      </c>
      <c r="D23" s="257" t="s">
        <v>1282</v>
      </c>
      <c r="E23" s="256" t="s">
        <v>1789</v>
      </c>
      <c r="F23" s="256" t="s">
        <v>1876</v>
      </c>
      <c r="G23" s="258">
        <v>4042000000</v>
      </c>
      <c r="H23" s="265">
        <v>0.1</v>
      </c>
      <c r="I23" s="258">
        <v>404200000</v>
      </c>
      <c r="J23" s="258">
        <v>4446200000</v>
      </c>
      <c r="K23" s="256" t="s">
        <v>1346</v>
      </c>
    </row>
    <row r="24" spans="1:11" x14ac:dyDescent="0.3">
      <c r="A24" s="256">
        <v>17</v>
      </c>
      <c r="B24" s="257" t="s">
        <v>1212</v>
      </c>
      <c r="C24" s="276">
        <v>44336</v>
      </c>
      <c r="D24" s="257" t="s">
        <v>1304</v>
      </c>
      <c r="E24" s="256" t="s">
        <v>1831</v>
      </c>
      <c r="F24" s="256" t="s">
        <v>1878</v>
      </c>
      <c r="G24" s="258">
        <v>3567000000</v>
      </c>
      <c r="H24" s="265">
        <v>0.1</v>
      </c>
      <c r="I24" s="258">
        <v>356700000</v>
      </c>
      <c r="J24" s="258">
        <v>3923700000</v>
      </c>
      <c r="K24" s="256" t="s">
        <v>1348</v>
      </c>
    </row>
    <row r="25" spans="1:11" x14ac:dyDescent="0.3">
      <c r="A25" s="256">
        <v>18</v>
      </c>
      <c r="B25" s="257" t="s">
        <v>1206</v>
      </c>
      <c r="C25" s="276">
        <v>44367</v>
      </c>
      <c r="D25" s="257" t="s">
        <v>1291</v>
      </c>
      <c r="E25" s="256" t="s">
        <v>1800</v>
      </c>
      <c r="F25" s="256" t="s">
        <v>1877</v>
      </c>
      <c r="G25" s="258">
        <v>3032000000</v>
      </c>
      <c r="H25" s="265">
        <v>0.1</v>
      </c>
      <c r="I25" s="258">
        <v>303200000</v>
      </c>
      <c r="J25" s="258">
        <v>3335200000</v>
      </c>
      <c r="K25" s="256" t="s">
        <v>1346</v>
      </c>
    </row>
    <row r="26" spans="1:11" x14ac:dyDescent="0.3">
      <c r="A26" s="256">
        <v>19</v>
      </c>
      <c r="B26" s="257" t="s">
        <v>1206</v>
      </c>
      <c r="C26" s="276">
        <v>44397</v>
      </c>
      <c r="D26" s="257" t="s">
        <v>1297</v>
      </c>
      <c r="E26" s="256" t="s">
        <v>1820</v>
      </c>
      <c r="F26" s="256" t="s">
        <v>1880</v>
      </c>
      <c r="G26" s="258">
        <v>3485000000</v>
      </c>
      <c r="H26" s="265">
        <v>0.1</v>
      </c>
      <c r="I26" s="258">
        <v>348500000</v>
      </c>
      <c r="J26" s="258">
        <v>3833500000</v>
      </c>
      <c r="K26" s="256" t="s">
        <v>1346</v>
      </c>
    </row>
    <row r="27" spans="1:11" x14ac:dyDescent="0.3">
      <c r="A27" s="256">
        <v>20</v>
      </c>
      <c r="B27" s="257" t="s">
        <v>1483</v>
      </c>
      <c r="C27" s="276">
        <v>44428</v>
      </c>
      <c r="D27" s="257" t="s">
        <v>1288</v>
      </c>
      <c r="E27" s="256" t="s">
        <v>1797</v>
      </c>
      <c r="F27" s="256" t="s">
        <v>1880</v>
      </c>
      <c r="G27" s="258">
        <v>5812000000</v>
      </c>
      <c r="H27" s="265">
        <v>0.1</v>
      </c>
      <c r="I27" s="258">
        <v>581200000</v>
      </c>
      <c r="J27" s="258">
        <v>6393200000</v>
      </c>
      <c r="K27" s="256" t="s">
        <v>1346</v>
      </c>
    </row>
    <row r="28" spans="1:11" x14ac:dyDescent="0.3">
      <c r="A28" s="256">
        <v>21</v>
      </c>
      <c r="B28" s="257" t="s">
        <v>1208</v>
      </c>
      <c r="C28" s="276">
        <v>44459</v>
      </c>
      <c r="D28" s="257" t="s">
        <v>1286</v>
      </c>
      <c r="E28" s="256" t="s">
        <v>1828</v>
      </c>
      <c r="F28" s="256" t="s">
        <v>1879</v>
      </c>
      <c r="G28" s="258">
        <v>5655000000</v>
      </c>
      <c r="H28" s="265">
        <v>0</v>
      </c>
      <c r="I28" s="258">
        <v>0</v>
      </c>
      <c r="J28" s="258">
        <v>5655000000</v>
      </c>
      <c r="K28" s="256" t="s">
        <v>1348</v>
      </c>
    </row>
    <row r="29" spans="1:11" x14ac:dyDescent="0.3">
      <c r="A29" s="256">
        <v>22</v>
      </c>
      <c r="B29" s="257" t="s">
        <v>1469</v>
      </c>
      <c r="C29" s="276">
        <v>44489</v>
      </c>
      <c r="D29" s="257" t="s">
        <v>1302</v>
      </c>
      <c r="E29" s="256" t="s">
        <v>1784</v>
      </c>
      <c r="F29" s="256" t="s">
        <v>1878</v>
      </c>
      <c r="G29" s="258">
        <v>3030000000</v>
      </c>
      <c r="H29" s="265">
        <v>0.1</v>
      </c>
      <c r="I29" s="258">
        <v>303000000</v>
      </c>
      <c r="J29" s="258">
        <v>3333000000</v>
      </c>
      <c r="K29" s="256" t="s">
        <v>1346</v>
      </c>
    </row>
    <row r="30" spans="1:11" x14ac:dyDescent="0.3">
      <c r="A30" s="256">
        <v>23</v>
      </c>
      <c r="B30" s="257" t="s">
        <v>1472</v>
      </c>
      <c r="C30" s="276">
        <v>44520</v>
      </c>
      <c r="D30" s="257" t="s">
        <v>1265</v>
      </c>
      <c r="E30" s="256" t="s">
        <v>1830</v>
      </c>
      <c r="F30" s="256" t="s">
        <v>1876</v>
      </c>
      <c r="G30" s="258">
        <v>3161000000</v>
      </c>
      <c r="H30" s="265">
        <v>0.1</v>
      </c>
      <c r="I30" s="258">
        <v>316100000</v>
      </c>
      <c r="J30" s="258">
        <v>3477100000</v>
      </c>
      <c r="K30" s="256" t="s">
        <v>1346</v>
      </c>
    </row>
    <row r="31" spans="1:11" x14ac:dyDescent="0.3">
      <c r="A31" s="256">
        <v>24</v>
      </c>
      <c r="B31" s="257" t="s">
        <v>1477</v>
      </c>
      <c r="C31" s="276">
        <v>44550</v>
      </c>
      <c r="D31" s="257" t="s">
        <v>1278</v>
      </c>
      <c r="E31" s="256" t="s">
        <v>1785</v>
      </c>
      <c r="F31" s="256" t="s">
        <v>1880</v>
      </c>
      <c r="G31" s="258">
        <v>3960000000</v>
      </c>
      <c r="H31" s="265">
        <v>0.1</v>
      </c>
      <c r="I31" s="258">
        <v>396000000</v>
      </c>
      <c r="J31" s="258">
        <v>4356000000</v>
      </c>
      <c r="K31" s="256" t="s">
        <v>1346</v>
      </c>
    </row>
    <row r="32" spans="1:11" x14ac:dyDescent="0.3">
      <c r="A32" s="256">
        <v>25</v>
      </c>
      <c r="B32" s="257" t="s">
        <v>1207</v>
      </c>
      <c r="C32" s="276">
        <v>44221</v>
      </c>
      <c r="D32" s="257" t="s">
        <v>1297</v>
      </c>
      <c r="E32" s="256" t="s">
        <v>1820</v>
      </c>
      <c r="F32" s="256" t="s">
        <v>1877</v>
      </c>
      <c r="G32" s="258">
        <v>4676000000</v>
      </c>
      <c r="H32" s="265">
        <v>0.1</v>
      </c>
      <c r="I32" s="258">
        <v>467600000</v>
      </c>
      <c r="J32" s="258">
        <v>5143600000</v>
      </c>
      <c r="K32" s="256" t="s">
        <v>1346</v>
      </c>
    </row>
    <row r="33" spans="1:11" x14ac:dyDescent="0.3">
      <c r="A33" s="256">
        <v>26</v>
      </c>
      <c r="B33" s="257" t="s">
        <v>1463</v>
      </c>
      <c r="C33" s="276">
        <v>44255</v>
      </c>
      <c r="D33" s="257" t="s">
        <v>1269</v>
      </c>
      <c r="E33" s="256" t="s">
        <v>1823</v>
      </c>
      <c r="F33" s="256" t="s">
        <v>1609</v>
      </c>
      <c r="G33" s="258">
        <v>6749000000</v>
      </c>
      <c r="H33" s="265">
        <v>0.1</v>
      </c>
      <c r="I33" s="258">
        <v>674900000</v>
      </c>
      <c r="J33" s="258">
        <v>7423900000</v>
      </c>
      <c r="K33" s="256" t="s">
        <v>1348</v>
      </c>
    </row>
    <row r="34" spans="1:11" x14ac:dyDescent="0.3">
      <c r="A34" s="256">
        <v>27</v>
      </c>
      <c r="B34" s="257" t="s">
        <v>1473</v>
      </c>
      <c r="C34" s="276">
        <v>44316</v>
      </c>
      <c r="D34" s="257" t="s">
        <v>1289</v>
      </c>
      <c r="E34" s="256" t="s">
        <v>1803</v>
      </c>
      <c r="F34" s="256" t="s">
        <v>1879</v>
      </c>
      <c r="G34" s="258">
        <v>5365000000</v>
      </c>
      <c r="H34" s="265">
        <v>0.1</v>
      </c>
      <c r="I34" s="258">
        <v>536500000</v>
      </c>
      <c r="J34" s="258">
        <v>5901500000</v>
      </c>
      <c r="K34" s="256" t="s">
        <v>1346</v>
      </c>
    </row>
    <row r="35" spans="1:11" x14ac:dyDescent="0.3">
      <c r="A35" s="256">
        <v>28</v>
      </c>
      <c r="B35" s="257" t="s">
        <v>1484</v>
      </c>
      <c r="C35" s="276">
        <v>44377</v>
      </c>
      <c r="D35" s="257" t="s">
        <v>1288</v>
      </c>
      <c r="E35" s="256" t="s">
        <v>1797</v>
      </c>
      <c r="F35" s="256" t="s">
        <v>1879</v>
      </c>
      <c r="G35" s="258">
        <v>1913000000</v>
      </c>
      <c r="H35" s="265">
        <v>0.1</v>
      </c>
      <c r="I35" s="258">
        <v>191300000</v>
      </c>
      <c r="J35" s="258">
        <v>2104300000</v>
      </c>
      <c r="K35" s="256" t="s">
        <v>1346</v>
      </c>
    </row>
    <row r="36" spans="1:11" x14ac:dyDescent="0.3">
      <c r="A36" s="256">
        <v>29</v>
      </c>
      <c r="B36" s="257" t="s">
        <v>1468</v>
      </c>
      <c r="C36" s="276">
        <v>44469</v>
      </c>
      <c r="D36" s="257" t="s">
        <v>1264</v>
      </c>
      <c r="E36" s="256" t="s">
        <v>1779</v>
      </c>
      <c r="F36" s="256" t="s">
        <v>1877</v>
      </c>
      <c r="G36" s="258">
        <v>3480000000</v>
      </c>
      <c r="H36" s="265">
        <v>0</v>
      </c>
      <c r="I36" s="258">
        <v>0</v>
      </c>
      <c r="J36" s="258">
        <v>3480000000</v>
      </c>
      <c r="K36" s="256" t="s">
        <v>1348</v>
      </c>
    </row>
    <row r="37" spans="1:11" x14ac:dyDescent="0.3">
      <c r="A37" s="256">
        <v>30</v>
      </c>
      <c r="B37" s="257" t="s">
        <v>1497</v>
      </c>
      <c r="C37" s="276">
        <v>44530</v>
      </c>
      <c r="D37" s="257" t="s">
        <v>1260</v>
      </c>
      <c r="E37" s="256" t="s">
        <v>1804</v>
      </c>
      <c r="F37" s="256" t="s">
        <v>1876</v>
      </c>
      <c r="G37" s="258">
        <v>5856000000</v>
      </c>
      <c r="H37" s="265">
        <v>0.1</v>
      </c>
      <c r="I37" s="258">
        <v>585600000</v>
      </c>
      <c r="J37" s="258">
        <v>6441600000</v>
      </c>
      <c r="K37" s="256" t="s">
        <v>1346</v>
      </c>
    </row>
    <row r="38" spans="1:11" x14ac:dyDescent="0.3">
      <c r="A38" s="256">
        <v>31</v>
      </c>
      <c r="B38" s="257" t="s">
        <v>1206</v>
      </c>
      <c r="C38" s="276">
        <v>44286</v>
      </c>
      <c r="D38" s="257" t="s">
        <v>1294</v>
      </c>
      <c r="E38" s="256" t="s">
        <v>1795</v>
      </c>
      <c r="F38" s="256" t="s">
        <v>1879</v>
      </c>
      <c r="G38" s="258">
        <v>2216000000</v>
      </c>
      <c r="H38" s="265">
        <v>0.1</v>
      </c>
      <c r="I38" s="258">
        <v>221600000</v>
      </c>
      <c r="J38" s="258">
        <v>2437600000</v>
      </c>
      <c r="K38" s="256" t="s">
        <v>1348</v>
      </c>
    </row>
    <row r="39" spans="1:11" x14ac:dyDescent="0.3">
      <c r="A39" s="256">
        <v>32</v>
      </c>
      <c r="B39" s="257" t="s">
        <v>1501</v>
      </c>
      <c r="C39" s="276">
        <v>44347</v>
      </c>
      <c r="D39" s="257" t="s">
        <v>1271</v>
      </c>
      <c r="E39" s="256" t="s">
        <v>1799</v>
      </c>
      <c r="F39" s="256" t="s">
        <v>1880</v>
      </c>
      <c r="G39" s="258">
        <v>6719000000</v>
      </c>
      <c r="H39" s="265">
        <v>0</v>
      </c>
      <c r="I39" s="258">
        <v>0</v>
      </c>
      <c r="J39" s="258">
        <v>6719000000</v>
      </c>
      <c r="K39" s="256" t="s">
        <v>1346</v>
      </c>
    </row>
    <row r="40" spans="1:11" x14ac:dyDescent="0.3">
      <c r="A40" s="256">
        <v>33</v>
      </c>
      <c r="B40" s="257" t="s">
        <v>1474</v>
      </c>
      <c r="C40" s="276">
        <v>44408</v>
      </c>
      <c r="D40" s="257" t="s">
        <v>1289</v>
      </c>
      <c r="E40" s="256" t="s">
        <v>1803</v>
      </c>
      <c r="F40" s="256" t="s">
        <v>1878</v>
      </c>
      <c r="G40" s="258">
        <v>6821000000</v>
      </c>
      <c r="H40" s="265">
        <v>0.1</v>
      </c>
      <c r="I40" s="258">
        <v>682100000</v>
      </c>
      <c r="J40" s="258">
        <v>7503100000</v>
      </c>
      <c r="K40" s="256" t="s">
        <v>1346</v>
      </c>
    </row>
    <row r="41" spans="1:11" x14ac:dyDescent="0.3">
      <c r="A41" s="256">
        <v>34</v>
      </c>
      <c r="B41" s="257" t="s">
        <v>1411</v>
      </c>
      <c r="C41" s="276">
        <v>44439</v>
      </c>
      <c r="D41" s="257" t="s">
        <v>1295</v>
      </c>
      <c r="E41" s="256" t="s">
        <v>1825</v>
      </c>
      <c r="F41" s="256" t="s">
        <v>1880</v>
      </c>
      <c r="G41" s="258">
        <v>3003000000</v>
      </c>
      <c r="H41" s="265">
        <v>0.1</v>
      </c>
      <c r="I41" s="258">
        <v>300300000</v>
      </c>
      <c r="J41" s="258">
        <v>3303300000</v>
      </c>
      <c r="K41" s="256" t="s">
        <v>1346</v>
      </c>
    </row>
    <row r="42" spans="1:11" x14ac:dyDescent="0.3">
      <c r="A42" s="256">
        <v>35</v>
      </c>
      <c r="B42" s="257" t="s">
        <v>1401</v>
      </c>
      <c r="C42" s="276">
        <v>44500</v>
      </c>
      <c r="D42" s="257" t="s">
        <v>1303</v>
      </c>
      <c r="E42" s="256" t="s">
        <v>1817</v>
      </c>
      <c r="F42" s="256" t="s">
        <v>1879</v>
      </c>
      <c r="G42" s="258">
        <v>6399000000</v>
      </c>
      <c r="H42" s="265">
        <v>0</v>
      </c>
      <c r="I42" s="258">
        <v>0</v>
      </c>
      <c r="J42" s="258">
        <v>6399000000</v>
      </c>
      <c r="K42" s="256" t="s">
        <v>1348</v>
      </c>
    </row>
    <row r="43" spans="1:11" x14ac:dyDescent="0.3">
      <c r="A43" s="256">
        <v>36</v>
      </c>
      <c r="B43" s="257" t="s">
        <v>1402</v>
      </c>
      <c r="C43" s="276">
        <v>44561</v>
      </c>
      <c r="D43" s="257" t="s">
        <v>1303</v>
      </c>
      <c r="E43" s="256" t="s">
        <v>1817</v>
      </c>
      <c r="F43" s="256" t="s">
        <v>1609</v>
      </c>
      <c r="G43" s="258">
        <v>5901000000</v>
      </c>
      <c r="H43" s="265">
        <v>0.1</v>
      </c>
      <c r="I43" s="258">
        <v>590100000</v>
      </c>
      <c r="J43" s="258">
        <v>6491100000</v>
      </c>
      <c r="K43" s="256" t="s">
        <v>1346</v>
      </c>
    </row>
    <row r="44" spans="1:11" x14ac:dyDescent="0.3">
      <c r="A44" s="256">
        <v>37</v>
      </c>
      <c r="B44" s="257" t="s">
        <v>1475</v>
      </c>
      <c r="C44" s="276">
        <v>44561</v>
      </c>
      <c r="D44" s="257" t="s">
        <v>1285</v>
      </c>
      <c r="E44" s="256" t="s">
        <v>1793</v>
      </c>
      <c r="F44" s="256" t="s">
        <v>1877</v>
      </c>
      <c r="G44" s="258">
        <v>2097000000</v>
      </c>
      <c r="H44" s="265">
        <v>0.1</v>
      </c>
      <c r="I44" s="258">
        <v>209700000</v>
      </c>
      <c r="J44" s="258">
        <v>2306700000</v>
      </c>
      <c r="K44" s="256" t="s">
        <v>1346</v>
      </c>
    </row>
    <row r="45" spans="1:11" x14ac:dyDescent="0.3">
      <c r="A45" s="256">
        <v>38</v>
      </c>
      <c r="B45" s="257" t="s">
        <v>1488</v>
      </c>
      <c r="C45" s="276">
        <v>44561</v>
      </c>
      <c r="D45" s="257" t="s">
        <v>1276</v>
      </c>
      <c r="E45" s="256" t="s">
        <v>1822</v>
      </c>
      <c r="F45" s="256" t="s">
        <v>1880</v>
      </c>
      <c r="G45" s="258">
        <v>4393000000</v>
      </c>
      <c r="H45" s="265">
        <v>0.1</v>
      </c>
      <c r="I45" s="258">
        <v>439300000</v>
      </c>
      <c r="J45" s="258">
        <v>4832300000</v>
      </c>
      <c r="K45" s="256" t="s">
        <v>1346</v>
      </c>
    </row>
    <row r="46" spans="1:11" x14ac:dyDescent="0.3">
      <c r="A46" s="256">
        <v>39</v>
      </c>
      <c r="B46" s="257" t="s">
        <v>1470</v>
      </c>
      <c r="C46" s="276">
        <v>44561</v>
      </c>
      <c r="D46" s="257" t="s">
        <v>1293</v>
      </c>
      <c r="E46" s="256" t="s">
        <v>1826</v>
      </c>
      <c r="F46" s="256" t="s">
        <v>1876</v>
      </c>
      <c r="G46" s="258">
        <v>5588000000</v>
      </c>
      <c r="H46" s="265">
        <v>0.1</v>
      </c>
      <c r="I46" s="258">
        <v>558800000</v>
      </c>
      <c r="J46" s="258">
        <v>6146800000</v>
      </c>
      <c r="K46" s="256" t="s">
        <v>1346</v>
      </c>
    </row>
    <row r="47" spans="1:11" x14ac:dyDescent="0.3">
      <c r="A47" s="256">
        <v>40</v>
      </c>
      <c r="B47" s="257" t="s">
        <v>1496</v>
      </c>
      <c r="C47" s="276">
        <v>44561</v>
      </c>
      <c r="D47" s="257" t="s">
        <v>1281</v>
      </c>
      <c r="E47" s="256" t="s">
        <v>1806</v>
      </c>
      <c r="F47" s="256" t="s">
        <v>1609</v>
      </c>
      <c r="G47" s="258">
        <v>5247000000</v>
      </c>
      <c r="H47" s="265">
        <v>0.1</v>
      </c>
      <c r="I47" s="258">
        <v>524700000</v>
      </c>
      <c r="J47" s="258">
        <v>5771700000</v>
      </c>
      <c r="K47" s="256" t="s">
        <v>1346</v>
      </c>
    </row>
    <row r="48" spans="1:11" x14ac:dyDescent="0.3">
      <c r="A48" s="256">
        <v>41</v>
      </c>
      <c r="B48" s="257" t="s">
        <v>1481</v>
      </c>
      <c r="C48" s="276">
        <v>44561</v>
      </c>
      <c r="D48" s="257" t="s">
        <v>1283</v>
      </c>
      <c r="E48" s="256" t="s">
        <v>1798</v>
      </c>
      <c r="F48" s="256" t="s">
        <v>1877</v>
      </c>
      <c r="G48" s="258">
        <v>4255000000</v>
      </c>
      <c r="H48" s="265">
        <v>0.1</v>
      </c>
      <c r="I48" s="258">
        <v>425500000</v>
      </c>
      <c r="J48" s="258">
        <v>4680500000</v>
      </c>
      <c r="K48" s="256" t="s">
        <v>1346</v>
      </c>
    </row>
    <row r="49" spans="1:11" x14ac:dyDescent="0.3">
      <c r="A49" s="256">
        <v>42</v>
      </c>
      <c r="B49" s="257" t="s">
        <v>1207</v>
      </c>
      <c r="C49" s="276">
        <v>44561</v>
      </c>
      <c r="D49" s="257" t="s">
        <v>1294</v>
      </c>
      <c r="E49" s="256" t="s">
        <v>1795</v>
      </c>
      <c r="F49" s="256" t="s">
        <v>1878</v>
      </c>
      <c r="G49" s="258">
        <v>7033000000</v>
      </c>
      <c r="H49" s="265">
        <v>0</v>
      </c>
      <c r="I49" s="258">
        <v>0</v>
      </c>
      <c r="J49" s="258">
        <v>7033000000</v>
      </c>
      <c r="K49" s="256" t="s">
        <v>1346</v>
      </c>
    </row>
    <row r="50" spans="1:11" x14ac:dyDescent="0.3">
      <c r="A50" s="256">
        <v>43</v>
      </c>
      <c r="B50" s="257" t="s">
        <v>1476</v>
      </c>
      <c r="C50" s="276">
        <v>44561</v>
      </c>
      <c r="D50" s="257" t="s">
        <v>1285</v>
      </c>
      <c r="E50" s="256" t="s">
        <v>1793</v>
      </c>
      <c r="F50" s="256" t="s">
        <v>1880</v>
      </c>
      <c r="G50" s="258">
        <v>3530000000</v>
      </c>
      <c r="H50" s="265">
        <v>0.1</v>
      </c>
      <c r="I50" s="258">
        <v>353000000</v>
      </c>
      <c r="J50" s="258">
        <v>3883000000</v>
      </c>
      <c r="K50" s="256" t="s">
        <v>1348</v>
      </c>
    </row>
    <row r="51" spans="1:11" x14ac:dyDescent="0.3">
      <c r="A51" s="256">
        <v>44</v>
      </c>
      <c r="B51" s="257" t="s">
        <v>1465</v>
      </c>
      <c r="C51" s="276">
        <v>44561</v>
      </c>
      <c r="D51" s="257" t="s">
        <v>1301</v>
      </c>
      <c r="E51" s="256" t="s">
        <v>1781</v>
      </c>
      <c r="F51" s="256" t="s">
        <v>1878</v>
      </c>
      <c r="G51" s="258">
        <v>2993000000</v>
      </c>
      <c r="H51" s="265">
        <v>0.1</v>
      </c>
      <c r="I51" s="258">
        <v>299300000</v>
      </c>
      <c r="J51" s="258">
        <v>3292300000</v>
      </c>
      <c r="K51" s="256" t="s">
        <v>1346</v>
      </c>
    </row>
    <row r="52" spans="1:11" x14ac:dyDescent="0.3">
      <c r="A52" s="256">
        <v>45</v>
      </c>
      <c r="B52" s="257" t="s">
        <v>1500</v>
      </c>
      <c r="C52" s="276">
        <v>44561</v>
      </c>
      <c r="D52" s="257" t="s">
        <v>1274</v>
      </c>
      <c r="E52" s="256" t="s">
        <v>1794</v>
      </c>
      <c r="F52" s="256" t="s">
        <v>1876</v>
      </c>
      <c r="G52" s="258">
        <v>4839000000</v>
      </c>
      <c r="H52" s="265">
        <v>0.1</v>
      </c>
      <c r="I52" s="258">
        <v>483900000</v>
      </c>
      <c r="J52" s="258">
        <v>5322900000</v>
      </c>
      <c r="K52" s="256" t="s">
        <v>1346</v>
      </c>
    </row>
    <row r="53" spans="1:11" x14ac:dyDescent="0.3">
      <c r="A53" s="256">
        <v>46</v>
      </c>
      <c r="B53" s="257" t="s">
        <v>1482</v>
      </c>
      <c r="C53" s="276">
        <v>44561</v>
      </c>
      <c r="D53" s="257" t="s">
        <v>1283</v>
      </c>
      <c r="E53" s="256" t="s">
        <v>1798</v>
      </c>
      <c r="F53" s="256" t="s">
        <v>1880</v>
      </c>
      <c r="G53" s="258">
        <v>5798000000</v>
      </c>
      <c r="H53" s="265">
        <v>0.1</v>
      </c>
      <c r="I53" s="258">
        <v>579800000</v>
      </c>
      <c r="J53" s="258">
        <v>6377800000</v>
      </c>
      <c r="K53" s="256" t="s">
        <v>1346</v>
      </c>
    </row>
    <row r="54" spans="1:11" x14ac:dyDescent="0.3">
      <c r="A54" s="256">
        <v>47</v>
      </c>
      <c r="B54" s="257" t="s">
        <v>1489</v>
      </c>
      <c r="C54" s="276">
        <v>44561</v>
      </c>
      <c r="D54" s="257" t="s">
        <v>1276</v>
      </c>
      <c r="E54" s="256" t="s">
        <v>1822</v>
      </c>
      <c r="F54" s="256" t="s">
        <v>1879</v>
      </c>
      <c r="G54" s="258">
        <v>3553000000</v>
      </c>
      <c r="H54" s="265">
        <v>0.1</v>
      </c>
      <c r="I54" s="258">
        <v>355300000</v>
      </c>
      <c r="J54" s="258">
        <v>3908300000</v>
      </c>
      <c r="K54" s="256" t="s">
        <v>1346</v>
      </c>
    </row>
    <row r="55" spans="1:11" x14ac:dyDescent="0.3">
      <c r="A55" s="256">
        <v>48</v>
      </c>
      <c r="B55" s="257" t="s">
        <v>1460</v>
      </c>
      <c r="C55" s="276">
        <v>44561</v>
      </c>
      <c r="D55" s="257" t="s">
        <v>1255</v>
      </c>
      <c r="E55" s="273">
        <v>46152</v>
      </c>
      <c r="F55" s="256" t="s">
        <v>1609</v>
      </c>
      <c r="G55" s="258">
        <v>2755000000</v>
      </c>
      <c r="H55" s="265">
        <v>0.1</v>
      </c>
      <c r="I55" s="258">
        <v>275500000</v>
      </c>
      <c r="J55" s="258">
        <v>3030500000</v>
      </c>
      <c r="K55" s="256" t="s">
        <v>1346</v>
      </c>
    </row>
    <row r="56" spans="1:11" x14ac:dyDescent="0.3">
      <c r="A56" s="256">
        <v>49</v>
      </c>
      <c r="B56" s="257" t="s">
        <v>1480</v>
      </c>
      <c r="C56" s="276">
        <v>44561</v>
      </c>
      <c r="D56" s="257" t="s">
        <v>1257</v>
      </c>
      <c r="E56" s="256" t="s">
        <v>1815</v>
      </c>
      <c r="F56" s="256" t="s">
        <v>1878</v>
      </c>
      <c r="G56" s="258">
        <v>3915000000</v>
      </c>
      <c r="H56" s="265">
        <v>0.1</v>
      </c>
      <c r="I56" s="258">
        <v>391500000</v>
      </c>
      <c r="J56" s="258">
        <v>4306500000</v>
      </c>
      <c r="K56" s="256" t="s">
        <v>1346</v>
      </c>
    </row>
    <row r="57" spans="1:11" x14ac:dyDescent="0.3">
      <c r="A57" s="256">
        <v>50</v>
      </c>
      <c r="B57" s="257" t="s">
        <v>1466</v>
      </c>
      <c r="C57" s="276">
        <v>44561</v>
      </c>
      <c r="D57" s="257" t="s">
        <v>1301</v>
      </c>
      <c r="E57" s="256" t="s">
        <v>1781</v>
      </c>
      <c r="F57" s="256" t="s">
        <v>1878</v>
      </c>
      <c r="G57" s="258">
        <v>4012000000</v>
      </c>
      <c r="H57" s="265">
        <v>0.1</v>
      </c>
      <c r="I57" s="258">
        <v>401200000</v>
      </c>
      <c r="J57" s="258">
        <v>4413200000</v>
      </c>
      <c r="K57" s="256" t="s">
        <v>1346</v>
      </c>
    </row>
    <row r="58" spans="1:11" x14ac:dyDescent="0.3">
      <c r="A58" s="266" t="s">
        <v>1351</v>
      </c>
      <c r="B58" s="266"/>
      <c r="C58" s="266"/>
      <c r="D58" s="266"/>
      <c r="E58" s="266"/>
      <c r="F58" s="266"/>
      <c r="G58" s="267">
        <f>SUM(G8:G57)</f>
        <v>212783000000</v>
      </c>
      <c r="H58" s="266"/>
      <c r="I58" s="267">
        <f>SUM(I8:I57)</f>
        <v>17250500000</v>
      </c>
      <c r="J58" s="267">
        <f>SUM(J8:J57)</f>
        <v>230033500000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1286</v>
      </c>
      <c r="E62" s="256" t="s">
        <v>1828</v>
      </c>
      <c r="F62" s="256" t="s">
        <v>1881</v>
      </c>
      <c r="G62" s="258">
        <v>7323000000</v>
      </c>
      <c r="H62" s="265">
        <v>0.1</v>
      </c>
      <c r="I62" s="258">
        <v>732300000</v>
      </c>
      <c r="J62" s="258">
        <v>8055300000</v>
      </c>
      <c r="K62" s="256" t="s">
        <v>1348</v>
      </c>
    </row>
    <row r="63" spans="1:11" x14ac:dyDescent="0.3">
      <c r="A63" s="256">
        <v>2</v>
      </c>
      <c r="B63" s="257" t="s">
        <v>1201</v>
      </c>
      <c r="C63" s="276">
        <v>44318</v>
      </c>
      <c r="D63" s="257" t="s">
        <v>1273</v>
      </c>
      <c r="E63" s="256" t="s">
        <v>1829</v>
      </c>
      <c r="F63" s="256" t="s">
        <v>1881</v>
      </c>
      <c r="G63" s="258">
        <v>6866000000</v>
      </c>
      <c r="H63" s="265">
        <v>0</v>
      </c>
      <c r="I63" s="258">
        <v>0</v>
      </c>
      <c r="J63" s="258">
        <v>6866000000</v>
      </c>
      <c r="K63" s="256" t="s">
        <v>1346</v>
      </c>
    </row>
    <row r="64" spans="1:11" x14ac:dyDescent="0.3">
      <c r="A64" s="256">
        <v>3</v>
      </c>
      <c r="B64" s="257" t="s">
        <v>1202</v>
      </c>
      <c r="C64" s="276">
        <v>44472</v>
      </c>
      <c r="D64" s="257" t="s">
        <v>1275</v>
      </c>
      <c r="E64" s="256" t="s">
        <v>1808</v>
      </c>
      <c r="F64" s="256" t="s">
        <v>1882</v>
      </c>
      <c r="G64" s="258">
        <v>7005000000</v>
      </c>
      <c r="H64" s="265">
        <v>0.1</v>
      </c>
      <c r="I64" s="258">
        <v>700500000</v>
      </c>
      <c r="J64" s="258">
        <v>7705500000</v>
      </c>
      <c r="K64" s="256" t="s">
        <v>1348</v>
      </c>
    </row>
    <row r="65" spans="1:11" x14ac:dyDescent="0.3">
      <c r="A65" s="256">
        <v>4</v>
      </c>
      <c r="B65" s="257" t="s">
        <v>1355</v>
      </c>
      <c r="C65" s="276">
        <v>44473</v>
      </c>
      <c r="D65" s="257" t="s">
        <v>1262</v>
      </c>
      <c r="E65" s="256" t="s">
        <v>1816</v>
      </c>
      <c r="F65" s="256" t="s">
        <v>1882</v>
      </c>
      <c r="G65" s="258">
        <v>2571000000</v>
      </c>
      <c r="H65" s="265">
        <v>0.1</v>
      </c>
      <c r="I65" s="258">
        <v>257100000</v>
      </c>
      <c r="J65" s="258">
        <v>2828100000</v>
      </c>
      <c r="K65" s="256" t="s">
        <v>1346</v>
      </c>
    </row>
    <row r="66" spans="1:11" x14ac:dyDescent="0.3">
      <c r="A66" s="256">
        <v>5</v>
      </c>
      <c r="B66" s="257" t="s">
        <v>1356</v>
      </c>
      <c r="C66" s="276">
        <v>44474</v>
      </c>
      <c r="D66" s="257" t="s">
        <v>1274</v>
      </c>
      <c r="E66" s="256" t="s">
        <v>1794</v>
      </c>
      <c r="F66" s="256" t="s">
        <v>1881</v>
      </c>
      <c r="G66" s="258">
        <v>7392000000</v>
      </c>
      <c r="H66" s="265">
        <v>0.1</v>
      </c>
      <c r="I66" s="258">
        <v>739200000</v>
      </c>
      <c r="J66" s="258">
        <v>8131200000</v>
      </c>
      <c r="K66" s="256" t="s">
        <v>1346</v>
      </c>
    </row>
    <row r="67" spans="1:11" x14ac:dyDescent="0.3">
      <c r="A67" s="256">
        <v>6</v>
      </c>
      <c r="B67" s="257" t="s">
        <v>1358</v>
      </c>
      <c r="C67" s="276">
        <v>44475</v>
      </c>
      <c r="D67" s="257" t="s">
        <v>1276</v>
      </c>
      <c r="E67" s="256" t="s">
        <v>1822</v>
      </c>
      <c r="F67" s="256" t="s">
        <v>1882</v>
      </c>
      <c r="G67" s="258">
        <v>9206000000</v>
      </c>
      <c r="H67" s="265">
        <v>0.1</v>
      </c>
      <c r="I67" s="258">
        <v>920600000</v>
      </c>
      <c r="J67" s="258">
        <v>10126600000</v>
      </c>
      <c r="K67" s="256" t="s">
        <v>1346</v>
      </c>
    </row>
    <row r="68" spans="1:11" x14ac:dyDescent="0.3">
      <c r="A68" s="256">
        <v>7</v>
      </c>
      <c r="B68" s="257" t="s">
        <v>1360</v>
      </c>
      <c r="C68" s="276">
        <v>44476</v>
      </c>
      <c r="D68" s="257" t="s">
        <v>1255</v>
      </c>
      <c r="E68" s="273">
        <v>46152</v>
      </c>
      <c r="F68" s="256" t="s">
        <v>1883</v>
      </c>
      <c r="G68" s="258">
        <v>5561000000</v>
      </c>
      <c r="H68" s="265">
        <v>0</v>
      </c>
      <c r="I68" s="258">
        <v>0</v>
      </c>
      <c r="J68" s="258">
        <v>5561000000</v>
      </c>
      <c r="K68" s="256" t="s">
        <v>1346</v>
      </c>
    </row>
    <row r="69" spans="1:11" x14ac:dyDescent="0.3">
      <c r="A69" s="256">
        <v>8</v>
      </c>
      <c r="B69" s="257" t="s">
        <v>1362</v>
      </c>
      <c r="C69" s="276">
        <v>44477</v>
      </c>
      <c r="D69" s="257" t="s">
        <v>1272</v>
      </c>
      <c r="E69" s="256" t="s">
        <v>1805</v>
      </c>
      <c r="F69" s="256" t="s">
        <v>1882</v>
      </c>
      <c r="G69" s="258">
        <v>3696000000</v>
      </c>
      <c r="H69" s="265">
        <v>0.1</v>
      </c>
      <c r="I69" s="258">
        <v>369600000</v>
      </c>
      <c r="J69" s="258">
        <v>4065600000</v>
      </c>
      <c r="K69" s="256" t="s">
        <v>1348</v>
      </c>
    </row>
    <row r="70" spans="1:11" x14ac:dyDescent="0.3">
      <c r="A70" s="256">
        <v>9</v>
      </c>
      <c r="B70" s="257" t="s">
        <v>1364</v>
      </c>
      <c r="C70" s="276">
        <v>44478</v>
      </c>
      <c r="D70" s="257" t="s">
        <v>1284</v>
      </c>
      <c r="E70" s="256" t="s">
        <v>1786</v>
      </c>
      <c r="F70" s="256" t="s">
        <v>1882</v>
      </c>
      <c r="G70" s="258">
        <v>6660000000</v>
      </c>
      <c r="H70" s="265">
        <v>0.1</v>
      </c>
      <c r="I70" s="258">
        <v>666000000</v>
      </c>
      <c r="J70" s="258">
        <v>7326000000</v>
      </c>
      <c r="K70" s="256" t="s">
        <v>1346</v>
      </c>
    </row>
    <row r="71" spans="1:11" x14ac:dyDescent="0.3">
      <c r="A71" s="256">
        <v>10</v>
      </c>
      <c r="B71" s="257" t="s">
        <v>1366</v>
      </c>
      <c r="C71" s="276">
        <v>44479</v>
      </c>
      <c r="D71" s="257" t="s">
        <v>1284</v>
      </c>
      <c r="E71" s="256" t="s">
        <v>1786</v>
      </c>
      <c r="F71" s="256" t="s">
        <v>1881</v>
      </c>
      <c r="G71" s="258">
        <v>7697000000</v>
      </c>
      <c r="H71" s="265">
        <v>0.1</v>
      </c>
      <c r="I71" s="258">
        <v>769700000</v>
      </c>
      <c r="J71" s="258">
        <v>8466700000</v>
      </c>
      <c r="K71" s="256" t="s">
        <v>1346</v>
      </c>
    </row>
    <row r="72" spans="1:11" x14ac:dyDescent="0.3">
      <c r="A72" s="256">
        <v>11</v>
      </c>
      <c r="B72" s="257" t="s">
        <v>1368</v>
      </c>
      <c r="C72" s="276">
        <v>44480</v>
      </c>
      <c r="D72" s="257" t="s">
        <v>1298</v>
      </c>
      <c r="E72" s="256" t="s">
        <v>1819</v>
      </c>
      <c r="F72" s="256" t="s">
        <v>1881</v>
      </c>
      <c r="G72" s="258">
        <v>2533000000</v>
      </c>
      <c r="H72" s="265">
        <v>0.1</v>
      </c>
      <c r="I72" s="258">
        <v>253300000</v>
      </c>
      <c r="J72" s="258">
        <v>2786300000</v>
      </c>
      <c r="K72" s="256" t="s">
        <v>1346</v>
      </c>
    </row>
    <row r="73" spans="1:11" x14ac:dyDescent="0.3">
      <c r="A73" s="256">
        <v>12</v>
      </c>
      <c r="B73" s="257" t="s">
        <v>1371</v>
      </c>
      <c r="C73" s="276">
        <v>44481</v>
      </c>
      <c r="D73" s="257" t="s">
        <v>1303</v>
      </c>
      <c r="E73" s="256" t="s">
        <v>1817</v>
      </c>
      <c r="F73" s="256" t="s">
        <v>1884</v>
      </c>
      <c r="G73" s="258">
        <v>8414000000</v>
      </c>
      <c r="H73" s="265">
        <v>0.1</v>
      </c>
      <c r="I73" s="258">
        <v>841400000</v>
      </c>
      <c r="J73" s="258">
        <v>9255400000</v>
      </c>
      <c r="K73" s="256" t="s">
        <v>1346</v>
      </c>
    </row>
    <row r="74" spans="1:11" x14ac:dyDescent="0.3">
      <c r="A74" s="256">
        <v>13</v>
      </c>
      <c r="B74" s="257" t="s">
        <v>1373</v>
      </c>
      <c r="C74" s="276">
        <v>44211</v>
      </c>
      <c r="D74" s="257" t="s">
        <v>1299</v>
      </c>
      <c r="E74" s="256" t="s">
        <v>1776</v>
      </c>
      <c r="F74" s="256" t="s">
        <v>1883</v>
      </c>
      <c r="G74" s="258">
        <v>8783000000</v>
      </c>
      <c r="H74" s="265">
        <v>0.1</v>
      </c>
      <c r="I74" s="258">
        <v>878300000</v>
      </c>
      <c r="J74" s="258">
        <v>9661300000</v>
      </c>
      <c r="K74" s="256" t="s">
        <v>1346</v>
      </c>
    </row>
    <row r="75" spans="1:11" x14ac:dyDescent="0.3">
      <c r="A75" s="256">
        <v>14</v>
      </c>
      <c r="B75" s="257" t="s">
        <v>1374</v>
      </c>
      <c r="C75" s="276">
        <v>44242</v>
      </c>
      <c r="D75" s="257" t="s">
        <v>1271</v>
      </c>
      <c r="E75" s="256" t="s">
        <v>1799</v>
      </c>
      <c r="F75" s="256" t="s">
        <v>1883</v>
      </c>
      <c r="G75" s="258">
        <v>3312000000</v>
      </c>
      <c r="H75" s="265">
        <v>0.1</v>
      </c>
      <c r="I75" s="258">
        <v>331200000</v>
      </c>
      <c r="J75" s="258">
        <v>3643200000</v>
      </c>
      <c r="K75" s="256" t="s">
        <v>1346</v>
      </c>
    </row>
    <row r="76" spans="1:11" x14ac:dyDescent="0.3">
      <c r="A76" s="256">
        <v>15</v>
      </c>
      <c r="B76" s="257" t="s">
        <v>1376</v>
      </c>
      <c r="C76" s="276">
        <v>44275</v>
      </c>
      <c r="D76" s="257" t="s">
        <v>1268</v>
      </c>
      <c r="E76" s="256" t="s">
        <v>1821</v>
      </c>
      <c r="F76" s="256" t="s">
        <v>1881</v>
      </c>
      <c r="G76" s="258">
        <v>8796000000</v>
      </c>
      <c r="H76" s="265">
        <v>0.1</v>
      </c>
      <c r="I76" s="258">
        <v>879600000</v>
      </c>
      <c r="J76" s="258">
        <v>9675600000</v>
      </c>
      <c r="K76" s="256" t="s">
        <v>1346</v>
      </c>
    </row>
    <row r="77" spans="1:11" x14ac:dyDescent="0.3">
      <c r="A77" s="256">
        <v>16</v>
      </c>
      <c r="B77" s="257" t="s">
        <v>1378</v>
      </c>
      <c r="C77" s="276">
        <v>44306</v>
      </c>
      <c r="D77" s="257" t="s">
        <v>1289</v>
      </c>
      <c r="E77" s="256" t="s">
        <v>1803</v>
      </c>
      <c r="F77" s="256" t="s">
        <v>1884</v>
      </c>
      <c r="G77" s="258">
        <v>8971000000</v>
      </c>
      <c r="H77" s="265">
        <v>0.1</v>
      </c>
      <c r="I77" s="258">
        <v>897100000</v>
      </c>
      <c r="J77" s="258">
        <v>9868100000</v>
      </c>
      <c r="K77" s="256" t="s">
        <v>1346</v>
      </c>
    </row>
    <row r="78" spans="1:11" x14ac:dyDescent="0.3">
      <c r="A78" s="256">
        <v>17</v>
      </c>
      <c r="B78" s="257" t="s">
        <v>1379</v>
      </c>
      <c r="C78" s="276">
        <v>44336</v>
      </c>
      <c r="D78" s="257" t="s">
        <v>1264</v>
      </c>
      <c r="E78" s="256" t="s">
        <v>1779</v>
      </c>
      <c r="F78" s="256" t="s">
        <v>1881</v>
      </c>
      <c r="G78" s="258">
        <v>5320000000</v>
      </c>
      <c r="H78" s="265">
        <v>0.1</v>
      </c>
      <c r="I78" s="258">
        <v>532000000</v>
      </c>
      <c r="J78" s="258">
        <v>5852000000</v>
      </c>
      <c r="K78" s="256" t="s">
        <v>1346</v>
      </c>
    </row>
    <row r="79" spans="1:11" x14ac:dyDescent="0.3">
      <c r="A79" s="256">
        <v>18</v>
      </c>
      <c r="B79" s="257" t="s">
        <v>1381</v>
      </c>
      <c r="C79" s="276">
        <v>44367</v>
      </c>
      <c r="D79" s="257" t="s">
        <v>1297</v>
      </c>
      <c r="E79" s="256" t="s">
        <v>1820</v>
      </c>
      <c r="F79" s="256" t="s">
        <v>1882</v>
      </c>
      <c r="G79" s="258">
        <v>9195000000</v>
      </c>
      <c r="H79" s="265">
        <v>0.1</v>
      </c>
      <c r="I79" s="258">
        <v>919500000</v>
      </c>
      <c r="J79" s="258">
        <v>10114500000</v>
      </c>
      <c r="K79" s="256" t="s">
        <v>1346</v>
      </c>
    </row>
    <row r="80" spans="1:11" x14ac:dyDescent="0.3">
      <c r="A80" s="256">
        <v>19</v>
      </c>
      <c r="B80" s="257" t="s">
        <v>1382</v>
      </c>
      <c r="C80" s="276">
        <v>44397</v>
      </c>
      <c r="D80" s="257" t="s">
        <v>1297</v>
      </c>
      <c r="E80" s="256" t="s">
        <v>1820</v>
      </c>
      <c r="F80" s="256" t="s">
        <v>1882</v>
      </c>
      <c r="G80" s="258">
        <v>3986000000</v>
      </c>
      <c r="H80" s="265">
        <v>0.1</v>
      </c>
      <c r="I80" s="258">
        <v>398600000</v>
      </c>
      <c r="J80" s="258">
        <v>4384600000</v>
      </c>
      <c r="K80" s="256" t="s">
        <v>1346</v>
      </c>
    </row>
    <row r="81" spans="1:11" x14ac:dyDescent="0.3">
      <c r="A81" s="256">
        <v>20</v>
      </c>
      <c r="B81" s="257" t="s">
        <v>1383</v>
      </c>
      <c r="C81" s="276">
        <v>44428</v>
      </c>
      <c r="D81" s="257" t="s">
        <v>1270</v>
      </c>
      <c r="E81" s="256" t="s">
        <v>1782</v>
      </c>
      <c r="F81" s="256" t="s">
        <v>1882</v>
      </c>
      <c r="G81" s="258">
        <v>5034000000</v>
      </c>
      <c r="H81" s="265">
        <v>0.1</v>
      </c>
      <c r="I81" s="258">
        <v>503400000</v>
      </c>
      <c r="J81" s="258">
        <v>5537400000</v>
      </c>
      <c r="K81" s="256" t="s">
        <v>1346</v>
      </c>
    </row>
    <row r="82" spans="1:11" x14ac:dyDescent="0.3">
      <c r="A82" s="256">
        <v>21</v>
      </c>
      <c r="B82" s="257" t="s">
        <v>1203</v>
      </c>
      <c r="C82" s="276">
        <v>44459</v>
      </c>
      <c r="D82" s="257" t="s">
        <v>1267</v>
      </c>
      <c r="E82" s="256" t="s">
        <v>1810</v>
      </c>
      <c r="F82" s="256" t="s">
        <v>1883</v>
      </c>
      <c r="G82" s="258">
        <v>5922000000</v>
      </c>
      <c r="H82" s="265">
        <v>0.1</v>
      </c>
      <c r="I82" s="258">
        <v>592200000</v>
      </c>
      <c r="J82" s="258">
        <v>6514200000</v>
      </c>
      <c r="K82" s="256" t="s">
        <v>1346</v>
      </c>
    </row>
    <row r="83" spans="1:11" x14ac:dyDescent="0.3">
      <c r="A83" s="256">
        <v>22</v>
      </c>
      <c r="B83" s="257" t="s">
        <v>1204</v>
      </c>
      <c r="C83" s="276">
        <v>44489</v>
      </c>
      <c r="D83" s="257" t="s">
        <v>1267</v>
      </c>
      <c r="E83" s="256" t="s">
        <v>1810</v>
      </c>
      <c r="F83" s="256" t="s">
        <v>1882</v>
      </c>
      <c r="G83" s="258">
        <v>3622000000</v>
      </c>
      <c r="H83" s="265">
        <v>0.1</v>
      </c>
      <c r="I83" s="258">
        <v>362200000</v>
      </c>
      <c r="J83" s="258">
        <v>3984200000</v>
      </c>
      <c r="K83" s="256" t="s">
        <v>1346</v>
      </c>
    </row>
    <row r="84" spans="1:11" x14ac:dyDescent="0.3">
      <c r="A84" s="256">
        <v>23</v>
      </c>
      <c r="B84" s="257" t="s">
        <v>1205</v>
      </c>
      <c r="C84" s="276">
        <v>44520</v>
      </c>
      <c r="D84" s="257" t="s">
        <v>1297</v>
      </c>
      <c r="E84" s="256" t="s">
        <v>1820</v>
      </c>
      <c r="F84" s="256" t="s">
        <v>1882</v>
      </c>
      <c r="G84" s="258">
        <v>7336000000</v>
      </c>
      <c r="H84" s="265">
        <v>0.1</v>
      </c>
      <c r="I84" s="258">
        <v>733600000</v>
      </c>
      <c r="J84" s="258">
        <v>8069600000</v>
      </c>
      <c r="K84" s="256" t="s">
        <v>1346</v>
      </c>
    </row>
    <row r="85" spans="1:11" x14ac:dyDescent="0.3">
      <c r="A85" s="256">
        <v>24</v>
      </c>
      <c r="B85" s="257" t="s">
        <v>1385</v>
      </c>
      <c r="C85" s="276">
        <v>44550</v>
      </c>
      <c r="D85" s="257" t="s">
        <v>1275</v>
      </c>
      <c r="E85" s="256" t="s">
        <v>1808</v>
      </c>
      <c r="F85" s="256" t="s">
        <v>1881</v>
      </c>
      <c r="G85" s="258">
        <v>8687000000</v>
      </c>
      <c r="H85" s="265">
        <v>0</v>
      </c>
      <c r="I85" s="258">
        <v>0</v>
      </c>
      <c r="J85" s="258">
        <v>8687000000</v>
      </c>
      <c r="K85" s="256" t="s">
        <v>1346</v>
      </c>
    </row>
    <row r="86" spans="1:11" x14ac:dyDescent="0.3">
      <c r="A86" s="256">
        <v>25</v>
      </c>
      <c r="B86" s="257" t="s">
        <v>1387</v>
      </c>
      <c r="C86" s="276">
        <v>44221</v>
      </c>
      <c r="D86" s="257" t="s">
        <v>1293</v>
      </c>
      <c r="E86" s="256" t="s">
        <v>1826</v>
      </c>
      <c r="F86" s="256" t="s">
        <v>1884</v>
      </c>
      <c r="G86" s="258">
        <v>7844000000</v>
      </c>
      <c r="H86" s="265">
        <v>0.1</v>
      </c>
      <c r="I86" s="258">
        <v>784400000</v>
      </c>
      <c r="J86" s="258">
        <v>8628400000</v>
      </c>
      <c r="K86" s="256" t="s">
        <v>1346</v>
      </c>
    </row>
    <row r="87" spans="1:11" x14ac:dyDescent="0.3">
      <c r="A87" s="256">
        <v>26</v>
      </c>
      <c r="B87" s="257" t="s">
        <v>1388</v>
      </c>
      <c r="C87" s="276">
        <v>44255</v>
      </c>
      <c r="D87" s="257" t="s">
        <v>1265</v>
      </c>
      <c r="E87" s="256" t="s">
        <v>1830</v>
      </c>
      <c r="F87" s="256" t="s">
        <v>1882</v>
      </c>
      <c r="G87" s="258">
        <v>8306000000</v>
      </c>
      <c r="H87" s="265">
        <v>0.1</v>
      </c>
      <c r="I87" s="258">
        <v>830600000</v>
      </c>
      <c r="J87" s="258">
        <v>9136600000</v>
      </c>
      <c r="K87" s="256" t="s">
        <v>1346</v>
      </c>
    </row>
    <row r="88" spans="1:11" x14ac:dyDescent="0.3">
      <c r="A88" s="256">
        <v>27</v>
      </c>
      <c r="B88" s="257" t="s">
        <v>1391</v>
      </c>
      <c r="C88" s="276">
        <v>44316</v>
      </c>
      <c r="D88" s="257" t="s">
        <v>1297</v>
      </c>
      <c r="E88" s="256" t="s">
        <v>1820</v>
      </c>
      <c r="F88" s="256" t="s">
        <v>1883</v>
      </c>
      <c r="G88" s="258">
        <v>4521000000</v>
      </c>
      <c r="H88" s="265">
        <v>0.1</v>
      </c>
      <c r="I88" s="258">
        <v>452100000</v>
      </c>
      <c r="J88" s="258">
        <v>4973100000</v>
      </c>
      <c r="K88" s="256" t="s">
        <v>1346</v>
      </c>
    </row>
    <row r="89" spans="1:11" x14ac:dyDescent="0.3">
      <c r="A89" s="256">
        <v>28</v>
      </c>
      <c r="B89" s="257" t="s">
        <v>1392</v>
      </c>
      <c r="C89" s="276">
        <v>44377</v>
      </c>
      <c r="D89" s="257" t="s">
        <v>1274</v>
      </c>
      <c r="E89" s="256" t="s">
        <v>1794</v>
      </c>
      <c r="F89" s="256" t="s">
        <v>1882</v>
      </c>
      <c r="G89" s="258">
        <v>2659000000</v>
      </c>
      <c r="H89" s="265">
        <v>0.1</v>
      </c>
      <c r="I89" s="258">
        <v>265900000</v>
      </c>
      <c r="J89" s="258">
        <v>2924900000</v>
      </c>
      <c r="K89" s="256" t="s">
        <v>1348</v>
      </c>
    </row>
    <row r="90" spans="1:11" x14ac:dyDescent="0.3">
      <c r="A90" s="256">
        <v>29</v>
      </c>
      <c r="B90" s="257" t="s">
        <v>1394</v>
      </c>
      <c r="C90" s="276">
        <v>44469</v>
      </c>
      <c r="D90" s="257" t="s">
        <v>1257</v>
      </c>
      <c r="E90" s="256" t="s">
        <v>1815</v>
      </c>
      <c r="F90" s="256" t="s">
        <v>1882</v>
      </c>
      <c r="G90" s="258">
        <v>3019000000</v>
      </c>
      <c r="H90" s="265">
        <v>0.1</v>
      </c>
      <c r="I90" s="258">
        <v>301900000</v>
      </c>
      <c r="J90" s="258">
        <v>3320900000</v>
      </c>
      <c r="K90" s="256" t="s">
        <v>1346</v>
      </c>
    </row>
    <row r="91" spans="1:11" x14ac:dyDescent="0.3">
      <c r="A91" s="256">
        <v>30</v>
      </c>
      <c r="B91" s="257" t="s">
        <v>1396</v>
      </c>
      <c r="C91" s="276">
        <v>44530</v>
      </c>
      <c r="D91" s="257" t="s">
        <v>1296</v>
      </c>
      <c r="E91" s="256" t="s">
        <v>1807</v>
      </c>
      <c r="F91" s="256" t="s">
        <v>1883</v>
      </c>
      <c r="G91" s="258">
        <v>6668000000</v>
      </c>
      <c r="H91" s="265">
        <v>0.1</v>
      </c>
      <c r="I91" s="258">
        <v>666800000</v>
      </c>
      <c r="J91" s="258">
        <v>7334800000</v>
      </c>
      <c r="K91" s="256" t="s">
        <v>1346</v>
      </c>
    </row>
    <row r="92" spans="1:11" x14ac:dyDescent="0.3">
      <c r="A92" s="256">
        <v>31</v>
      </c>
      <c r="B92" s="257" t="s">
        <v>1397</v>
      </c>
      <c r="C92" s="276">
        <v>44286</v>
      </c>
      <c r="D92" s="257" t="s">
        <v>1257</v>
      </c>
      <c r="E92" s="256" t="s">
        <v>1815</v>
      </c>
      <c r="F92" s="256" t="s">
        <v>1883</v>
      </c>
      <c r="G92" s="258">
        <v>4091000000</v>
      </c>
      <c r="H92" s="265">
        <v>0.1</v>
      </c>
      <c r="I92" s="258">
        <v>409100000</v>
      </c>
      <c r="J92" s="258">
        <v>4500100000</v>
      </c>
      <c r="K92" s="256" t="s">
        <v>1346</v>
      </c>
    </row>
    <row r="93" spans="1:11" x14ac:dyDescent="0.3">
      <c r="A93" s="256">
        <v>32</v>
      </c>
      <c r="B93" s="257" t="s">
        <v>1398</v>
      </c>
      <c r="C93" s="276">
        <v>44347</v>
      </c>
      <c r="D93" s="257" t="s">
        <v>1286</v>
      </c>
      <c r="E93" s="256" t="s">
        <v>1828</v>
      </c>
      <c r="F93" s="256" t="s">
        <v>1883</v>
      </c>
      <c r="G93" s="258">
        <v>3189000000</v>
      </c>
      <c r="H93" s="265">
        <v>0</v>
      </c>
      <c r="I93" s="258">
        <v>0</v>
      </c>
      <c r="J93" s="258">
        <v>3189000000</v>
      </c>
      <c r="K93" s="256" t="s">
        <v>1346</v>
      </c>
    </row>
    <row r="94" spans="1:11" x14ac:dyDescent="0.3">
      <c r="A94" s="256">
        <v>33</v>
      </c>
      <c r="B94" s="257" t="s">
        <v>1399</v>
      </c>
      <c r="C94" s="276">
        <v>44408</v>
      </c>
      <c r="D94" s="257" t="s">
        <v>1301</v>
      </c>
      <c r="E94" s="256" t="s">
        <v>1781</v>
      </c>
      <c r="F94" s="256" t="s">
        <v>1883</v>
      </c>
      <c r="G94" s="258">
        <v>2842000000</v>
      </c>
      <c r="H94" s="265">
        <v>0.1</v>
      </c>
      <c r="I94" s="258">
        <v>284200000</v>
      </c>
      <c r="J94" s="258">
        <v>3126200000</v>
      </c>
      <c r="K94" s="256" t="s">
        <v>1348</v>
      </c>
    </row>
    <row r="95" spans="1:11" x14ac:dyDescent="0.3">
      <c r="A95" s="256">
        <v>34</v>
      </c>
      <c r="B95" s="257" t="s">
        <v>1401</v>
      </c>
      <c r="C95" s="276">
        <v>44439</v>
      </c>
      <c r="D95" s="257" t="s">
        <v>1261</v>
      </c>
      <c r="E95" s="256" t="s">
        <v>1813</v>
      </c>
      <c r="F95" s="256" t="s">
        <v>1883</v>
      </c>
      <c r="G95" s="258">
        <v>8237000000</v>
      </c>
      <c r="H95" s="265">
        <v>0.1</v>
      </c>
      <c r="I95" s="258">
        <v>823700000</v>
      </c>
      <c r="J95" s="258">
        <v>9060700000</v>
      </c>
      <c r="K95" s="256" t="s">
        <v>1346</v>
      </c>
    </row>
    <row r="96" spans="1:11" x14ac:dyDescent="0.3">
      <c r="A96" s="256">
        <v>35</v>
      </c>
      <c r="B96" s="257" t="s">
        <v>1402</v>
      </c>
      <c r="C96" s="276">
        <v>44500</v>
      </c>
      <c r="D96" s="257" t="s">
        <v>1268</v>
      </c>
      <c r="E96" s="256" t="s">
        <v>1821</v>
      </c>
      <c r="F96" s="256" t="s">
        <v>1884</v>
      </c>
      <c r="G96" s="258">
        <v>7814000000</v>
      </c>
      <c r="H96" s="265">
        <v>0.1</v>
      </c>
      <c r="I96" s="258">
        <v>781400000</v>
      </c>
      <c r="J96" s="258">
        <v>8595400000</v>
      </c>
      <c r="K96" s="256" t="s">
        <v>1346</v>
      </c>
    </row>
    <row r="97" spans="1:11" x14ac:dyDescent="0.3">
      <c r="A97" s="256">
        <v>36</v>
      </c>
      <c r="B97" s="257" t="s">
        <v>1403</v>
      </c>
      <c r="C97" s="276">
        <v>44561</v>
      </c>
      <c r="D97" s="257" t="s">
        <v>1284</v>
      </c>
      <c r="E97" s="256" t="s">
        <v>1786</v>
      </c>
      <c r="F97" s="256" t="s">
        <v>1882</v>
      </c>
      <c r="G97" s="258">
        <v>3593000000</v>
      </c>
      <c r="H97" s="265">
        <v>0.1</v>
      </c>
      <c r="I97" s="258">
        <v>359300000</v>
      </c>
      <c r="J97" s="258">
        <v>3952300000</v>
      </c>
      <c r="K97" s="256" t="s">
        <v>1346</v>
      </c>
    </row>
    <row r="98" spans="1:11" x14ac:dyDescent="0.3">
      <c r="A98" s="256">
        <v>37</v>
      </c>
      <c r="B98" s="257" t="s">
        <v>1404</v>
      </c>
      <c r="C98" s="276">
        <v>44561</v>
      </c>
      <c r="D98" s="257" t="s">
        <v>1257</v>
      </c>
      <c r="E98" s="256" t="s">
        <v>1815</v>
      </c>
      <c r="F98" s="256" t="s">
        <v>1882</v>
      </c>
      <c r="G98" s="258">
        <v>4421000000</v>
      </c>
      <c r="H98" s="265">
        <v>0.1</v>
      </c>
      <c r="I98" s="258">
        <v>442100000</v>
      </c>
      <c r="J98" s="258">
        <v>4863100000</v>
      </c>
      <c r="K98" s="256" t="s">
        <v>1346</v>
      </c>
    </row>
    <row r="99" spans="1:11" x14ac:dyDescent="0.3">
      <c r="A99" s="256">
        <v>38</v>
      </c>
      <c r="B99" s="257" t="s">
        <v>1405</v>
      </c>
      <c r="C99" s="276">
        <v>44561</v>
      </c>
      <c r="D99" s="257" t="s">
        <v>1301</v>
      </c>
      <c r="E99" s="256" t="s">
        <v>1781</v>
      </c>
      <c r="F99" s="256" t="s">
        <v>1884</v>
      </c>
      <c r="G99" s="258">
        <v>2947000000</v>
      </c>
      <c r="H99" s="265">
        <v>0.1</v>
      </c>
      <c r="I99" s="258">
        <v>294700000</v>
      </c>
      <c r="J99" s="258">
        <v>3241700000</v>
      </c>
      <c r="K99" s="256" t="s">
        <v>1346</v>
      </c>
    </row>
    <row r="100" spans="1:11" x14ac:dyDescent="0.3">
      <c r="A100" s="256">
        <v>39</v>
      </c>
      <c r="B100" s="257" t="s">
        <v>1406</v>
      </c>
      <c r="C100" s="276">
        <v>44561</v>
      </c>
      <c r="D100" s="257" t="s">
        <v>1256</v>
      </c>
      <c r="E100" s="256" t="s">
        <v>1802</v>
      </c>
      <c r="F100" s="256" t="s">
        <v>1883</v>
      </c>
      <c r="G100" s="258">
        <v>2821000000</v>
      </c>
      <c r="H100" s="265">
        <v>0</v>
      </c>
      <c r="I100" s="258">
        <v>0</v>
      </c>
      <c r="J100" s="258">
        <v>2821000000</v>
      </c>
      <c r="K100" s="256" t="s">
        <v>1348</v>
      </c>
    </row>
    <row r="101" spans="1:11" x14ac:dyDescent="0.3">
      <c r="A101" s="256">
        <v>40</v>
      </c>
      <c r="B101" s="257" t="s">
        <v>1408</v>
      </c>
      <c r="C101" s="276">
        <v>44561</v>
      </c>
      <c r="D101" s="257" t="s">
        <v>1294</v>
      </c>
      <c r="E101" s="256" t="s">
        <v>1795</v>
      </c>
      <c r="F101" s="256" t="s">
        <v>1884</v>
      </c>
      <c r="G101" s="258">
        <v>4903000000</v>
      </c>
      <c r="H101" s="265">
        <v>0.1</v>
      </c>
      <c r="I101" s="258">
        <v>490300000</v>
      </c>
      <c r="J101" s="258">
        <v>5393300000</v>
      </c>
      <c r="K101" s="256" t="s">
        <v>1346</v>
      </c>
    </row>
    <row r="102" spans="1:11" x14ac:dyDescent="0.3">
      <c r="A102" s="256">
        <v>41</v>
      </c>
      <c r="B102" s="257" t="s">
        <v>1409</v>
      </c>
      <c r="C102" s="276">
        <v>44561</v>
      </c>
      <c r="D102" s="257" t="s">
        <v>1289</v>
      </c>
      <c r="E102" s="256" t="s">
        <v>1803</v>
      </c>
      <c r="F102" s="256" t="s">
        <v>1882</v>
      </c>
      <c r="G102" s="258">
        <v>6734000000</v>
      </c>
      <c r="H102" s="265">
        <v>0.1</v>
      </c>
      <c r="I102" s="258">
        <v>673400000</v>
      </c>
      <c r="J102" s="258">
        <v>7407400000</v>
      </c>
      <c r="K102" s="256" t="s">
        <v>1346</v>
      </c>
    </row>
    <row r="103" spans="1:11" x14ac:dyDescent="0.3">
      <c r="A103" s="256">
        <v>42</v>
      </c>
      <c r="B103" s="257" t="s">
        <v>1411</v>
      </c>
      <c r="C103" s="276">
        <v>44561</v>
      </c>
      <c r="D103" s="257" t="s">
        <v>1282</v>
      </c>
      <c r="E103" s="256" t="s">
        <v>1789</v>
      </c>
      <c r="F103" s="256" t="s">
        <v>1884</v>
      </c>
      <c r="G103" s="258">
        <v>3845000000</v>
      </c>
      <c r="H103" s="265">
        <v>0.1</v>
      </c>
      <c r="I103" s="258">
        <v>384500000</v>
      </c>
      <c r="J103" s="258">
        <v>4229500000</v>
      </c>
      <c r="K103" s="256" t="s">
        <v>1348</v>
      </c>
    </row>
    <row r="104" spans="1:11" x14ac:dyDescent="0.3">
      <c r="A104" s="256">
        <v>43</v>
      </c>
      <c r="B104" s="257" t="s">
        <v>1414</v>
      </c>
      <c r="C104" s="276">
        <v>44561</v>
      </c>
      <c r="D104" s="257" t="s">
        <v>1291</v>
      </c>
      <c r="E104" s="256" t="s">
        <v>1800</v>
      </c>
      <c r="F104" s="256" t="s">
        <v>1884</v>
      </c>
      <c r="G104" s="258">
        <v>4971000000</v>
      </c>
      <c r="H104" s="265">
        <v>0.1</v>
      </c>
      <c r="I104" s="258">
        <v>497100000</v>
      </c>
      <c r="J104" s="258">
        <v>5468100000</v>
      </c>
      <c r="K104" s="256" t="s">
        <v>1346</v>
      </c>
    </row>
    <row r="105" spans="1:11" x14ac:dyDescent="0.3">
      <c r="A105" s="256">
        <v>44</v>
      </c>
      <c r="B105" s="257" t="s">
        <v>1415</v>
      </c>
      <c r="C105" s="276">
        <v>44561</v>
      </c>
      <c r="D105" s="257" t="s">
        <v>1268</v>
      </c>
      <c r="E105" s="256" t="s">
        <v>1821</v>
      </c>
      <c r="F105" s="256" t="s">
        <v>1881</v>
      </c>
      <c r="G105" s="258">
        <v>6405000000</v>
      </c>
      <c r="H105" s="265">
        <v>0</v>
      </c>
      <c r="I105" s="258">
        <v>0</v>
      </c>
      <c r="J105" s="258">
        <v>6405000000</v>
      </c>
      <c r="K105" s="256" t="s">
        <v>1346</v>
      </c>
    </row>
    <row r="106" spans="1:11" x14ac:dyDescent="0.3">
      <c r="A106" s="256">
        <v>45</v>
      </c>
      <c r="B106" s="257" t="s">
        <v>1206</v>
      </c>
      <c r="C106" s="276">
        <v>44561</v>
      </c>
      <c r="D106" s="257" t="s">
        <v>1258</v>
      </c>
      <c r="E106" s="256" t="s">
        <v>1833</v>
      </c>
      <c r="F106" s="256" t="s">
        <v>1884</v>
      </c>
      <c r="G106" s="258">
        <v>7789000000</v>
      </c>
      <c r="H106" s="265">
        <v>0.1</v>
      </c>
      <c r="I106" s="258">
        <v>778900000</v>
      </c>
      <c r="J106" s="258">
        <v>8567900000</v>
      </c>
      <c r="K106" s="256" t="s">
        <v>1346</v>
      </c>
    </row>
    <row r="107" spans="1:11" x14ac:dyDescent="0.3">
      <c r="A107" s="256">
        <v>46</v>
      </c>
      <c r="B107" s="257" t="s">
        <v>1207</v>
      </c>
      <c r="C107" s="276">
        <v>44561</v>
      </c>
      <c r="D107" s="257" t="s">
        <v>1285</v>
      </c>
      <c r="E107" s="256" t="s">
        <v>1793</v>
      </c>
      <c r="F107" s="256" t="s">
        <v>1883</v>
      </c>
      <c r="G107" s="258">
        <v>5196000000</v>
      </c>
      <c r="H107" s="265">
        <v>0</v>
      </c>
      <c r="I107" s="258">
        <v>0</v>
      </c>
      <c r="J107" s="258">
        <v>5196000000</v>
      </c>
      <c r="K107" s="256" t="s">
        <v>1346</v>
      </c>
    </row>
    <row r="108" spans="1:11" x14ac:dyDescent="0.3">
      <c r="A108" s="256">
        <v>47</v>
      </c>
      <c r="B108" s="257" t="s">
        <v>1208</v>
      </c>
      <c r="C108" s="276">
        <v>44561</v>
      </c>
      <c r="D108" s="257" t="s">
        <v>1255</v>
      </c>
      <c r="E108" s="273">
        <v>46152</v>
      </c>
      <c r="F108" s="256" t="s">
        <v>1882</v>
      </c>
      <c r="G108" s="258">
        <v>8126000000</v>
      </c>
      <c r="H108" s="265">
        <v>0.1</v>
      </c>
      <c r="I108" s="258">
        <v>812600000</v>
      </c>
      <c r="J108" s="258">
        <v>8938600000</v>
      </c>
      <c r="K108" s="256" t="s">
        <v>1348</v>
      </c>
    </row>
    <row r="109" spans="1:11" x14ac:dyDescent="0.3">
      <c r="A109" s="256">
        <v>48</v>
      </c>
      <c r="B109" s="257" t="s">
        <v>1209</v>
      </c>
      <c r="C109" s="276">
        <v>44561</v>
      </c>
      <c r="D109" s="257" t="s">
        <v>1259</v>
      </c>
      <c r="E109" s="256" t="s">
        <v>1788</v>
      </c>
      <c r="F109" s="256" t="s">
        <v>1884</v>
      </c>
      <c r="G109" s="258">
        <v>2997000000</v>
      </c>
      <c r="H109" s="265">
        <v>0.1</v>
      </c>
      <c r="I109" s="258">
        <v>299700000</v>
      </c>
      <c r="J109" s="258">
        <v>3296700000</v>
      </c>
      <c r="K109" s="256" t="s">
        <v>1346</v>
      </c>
    </row>
    <row r="110" spans="1:11" x14ac:dyDescent="0.3">
      <c r="A110" s="256">
        <v>49</v>
      </c>
      <c r="B110" s="257" t="s">
        <v>1418</v>
      </c>
      <c r="C110" s="276">
        <v>44561</v>
      </c>
      <c r="D110" s="257" t="s">
        <v>1262</v>
      </c>
      <c r="E110" s="256" t="s">
        <v>1816</v>
      </c>
      <c r="F110" s="256" t="s">
        <v>1882</v>
      </c>
      <c r="G110" s="258">
        <v>3481000000</v>
      </c>
      <c r="H110" s="265">
        <v>0.1</v>
      </c>
      <c r="I110" s="258">
        <v>348100000</v>
      </c>
      <c r="J110" s="258">
        <v>3829100000</v>
      </c>
      <c r="K110" s="256" t="s">
        <v>1346</v>
      </c>
    </row>
    <row r="111" spans="1:11" x14ac:dyDescent="0.3">
      <c r="A111" s="256">
        <v>50</v>
      </c>
      <c r="B111" s="257" t="s">
        <v>1419</v>
      </c>
      <c r="C111" s="276">
        <v>44561</v>
      </c>
      <c r="D111" s="257" t="s">
        <v>1255</v>
      </c>
      <c r="E111" s="273">
        <v>46152</v>
      </c>
      <c r="F111" s="256" t="s">
        <v>1883</v>
      </c>
      <c r="G111" s="258">
        <v>8738000000</v>
      </c>
      <c r="H111" s="265">
        <v>0.1</v>
      </c>
      <c r="I111" s="258">
        <v>873800000</v>
      </c>
      <c r="J111" s="258">
        <v>9611800000</v>
      </c>
      <c r="K111" s="256" t="s">
        <v>1346</v>
      </c>
    </row>
    <row r="112" spans="1:11" x14ac:dyDescent="0.3">
      <c r="A112" s="266" t="s">
        <v>1351</v>
      </c>
      <c r="B112" s="266"/>
      <c r="C112" s="266"/>
      <c r="D112" s="266"/>
      <c r="E112" s="266"/>
      <c r="F112" s="266"/>
      <c r="G112" s="267">
        <f>SUM(G62:G111)</f>
        <v>290045000000</v>
      </c>
      <c r="H112" s="266"/>
      <c r="I112" s="267">
        <f>SUM(I62:I111)</f>
        <v>25132000000</v>
      </c>
      <c r="J112" s="267">
        <f>SUM(J62:J111)</f>
        <v>315177000000</v>
      </c>
      <c r="K112" s="266"/>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1055</v>
      </c>
      <c r="C1" s="256"/>
      <c r="D1" s="256"/>
      <c r="E1" s="256"/>
      <c r="F1" s="256"/>
      <c r="G1" s="256"/>
      <c r="H1" s="256"/>
      <c r="I1" s="256"/>
      <c r="J1" s="256"/>
      <c r="K1" s="256"/>
    </row>
    <row r="2" spans="1:11" x14ac:dyDescent="0.3">
      <c r="A2" s="256" t="s">
        <v>1339</v>
      </c>
      <c r="B2" s="257">
        <v>109509638</v>
      </c>
      <c r="C2" s="256"/>
      <c r="D2" s="256"/>
      <c r="E2" s="256"/>
      <c r="F2" s="256"/>
      <c r="G2" s="256"/>
      <c r="H2" s="256"/>
      <c r="I2" s="256"/>
      <c r="J2" s="256"/>
      <c r="K2" s="256"/>
    </row>
    <row r="3" spans="1:11" x14ac:dyDescent="0.3">
      <c r="A3" s="256" t="s">
        <v>1343</v>
      </c>
      <c r="B3" s="258">
        <v>47430000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1502</v>
      </c>
      <c r="C8" s="276">
        <v>44317</v>
      </c>
      <c r="D8" s="257" t="s">
        <v>1271</v>
      </c>
      <c r="E8" s="256" t="s">
        <v>1799</v>
      </c>
      <c r="F8" s="256" t="s">
        <v>1731</v>
      </c>
      <c r="G8" s="258">
        <v>1000000</v>
      </c>
      <c r="H8" s="265">
        <v>0</v>
      </c>
      <c r="I8" s="258">
        <v>0</v>
      </c>
      <c r="J8" s="258">
        <v>1000000</v>
      </c>
      <c r="K8" s="256" t="s">
        <v>1346</v>
      </c>
    </row>
    <row r="9" spans="1:11" x14ac:dyDescent="0.3">
      <c r="A9" s="256">
        <v>2</v>
      </c>
      <c r="B9" s="257" t="s">
        <v>1485</v>
      </c>
      <c r="C9" s="276">
        <v>44318</v>
      </c>
      <c r="D9" s="257" t="s">
        <v>1288</v>
      </c>
      <c r="E9" s="256" t="s">
        <v>1797</v>
      </c>
      <c r="F9" s="256" t="s">
        <v>1741</v>
      </c>
      <c r="G9" s="258">
        <v>1000000</v>
      </c>
      <c r="H9" s="265">
        <v>0.1</v>
      </c>
      <c r="I9" s="258">
        <v>100000</v>
      </c>
      <c r="J9" s="258">
        <v>1100000</v>
      </c>
      <c r="K9" s="256" t="s">
        <v>1346</v>
      </c>
    </row>
    <row r="10" spans="1:11" x14ac:dyDescent="0.3">
      <c r="A10" s="256">
        <v>3</v>
      </c>
      <c r="B10" s="257" t="s">
        <v>1489</v>
      </c>
      <c r="C10" s="276">
        <v>44472</v>
      </c>
      <c r="D10" s="257" t="s">
        <v>1273</v>
      </c>
      <c r="E10" s="256" t="s">
        <v>1829</v>
      </c>
      <c r="F10" s="256" t="s">
        <v>1871</v>
      </c>
      <c r="G10" s="258">
        <v>1000000</v>
      </c>
      <c r="H10" s="265">
        <v>0</v>
      </c>
      <c r="I10" s="258">
        <v>0</v>
      </c>
      <c r="J10" s="258">
        <v>1000000</v>
      </c>
      <c r="K10" s="256" t="s">
        <v>1346</v>
      </c>
    </row>
    <row r="11" spans="1:11" x14ac:dyDescent="0.3">
      <c r="A11" s="256">
        <v>4</v>
      </c>
      <c r="B11" s="257" t="s">
        <v>1494</v>
      </c>
      <c r="C11" s="276">
        <v>44473</v>
      </c>
      <c r="D11" s="257" t="s">
        <v>1270</v>
      </c>
      <c r="E11" s="256" t="s">
        <v>1782</v>
      </c>
      <c r="F11" s="256" t="s">
        <v>1868</v>
      </c>
      <c r="G11" s="258">
        <v>1000000</v>
      </c>
      <c r="H11" s="265">
        <v>0.1</v>
      </c>
      <c r="I11" s="258">
        <v>100000</v>
      </c>
      <c r="J11" s="258">
        <v>1100000</v>
      </c>
      <c r="K11" s="256" t="s">
        <v>1346</v>
      </c>
    </row>
    <row r="12" spans="1:11" x14ac:dyDescent="0.3">
      <c r="A12" s="256">
        <v>5</v>
      </c>
      <c r="B12" s="257" t="s">
        <v>1414</v>
      </c>
      <c r="C12" s="276">
        <v>44474</v>
      </c>
      <c r="D12" s="257" t="s">
        <v>1298</v>
      </c>
      <c r="E12" s="256" t="s">
        <v>1819</v>
      </c>
      <c r="F12" s="256" t="s">
        <v>1734</v>
      </c>
      <c r="G12" s="258">
        <v>1000000</v>
      </c>
      <c r="H12" s="265">
        <v>0.1</v>
      </c>
      <c r="I12" s="258">
        <v>100000</v>
      </c>
      <c r="J12" s="258">
        <v>1100000</v>
      </c>
      <c r="K12" s="256" t="s">
        <v>1346</v>
      </c>
    </row>
    <row r="13" spans="1:11" x14ac:dyDescent="0.3">
      <c r="A13" s="256">
        <v>6</v>
      </c>
      <c r="B13" s="257" t="s">
        <v>1486</v>
      </c>
      <c r="C13" s="276">
        <v>44475</v>
      </c>
      <c r="D13" s="257" t="s">
        <v>1288</v>
      </c>
      <c r="E13" s="256" t="s">
        <v>1797</v>
      </c>
      <c r="F13" s="256" t="s">
        <v>1868</v>
      </c>
      <c r="G13" s="258">
        <v>1000000</v>
      </c>
      <c r="H13" s="265">
        <v>0.1</v>
      </c>
      <c r="I13" s="258">
        <v>100000</v>
      </c>
      <c r="J13" s="258">
        <v>1100000</v>
      </c>
      <c r="K13" s="256" t="s">
        <v>1346</v>
      </c>
    </row>
    <row r="14" spans="1:11" x14ac:dyDescent="0.3">
      <c r="A14" s="256">
        <v>7</v>
      </c>
      <c r="B14" s="257" t="s">
        <v>1495</v>
      </c>
      <c r="C14" s="276">
        <v>44476</v>
      </c>
      <c r="D14" s="257" t="s">
        <v>1270</v>
      </c>
      <c r="E14" s="256" t="s">
        <v>1782</v>
      </c>
      <c r="F14" s="256" t="s">
        <v>1868</v>
      </c>
      <c r="G14" s="258">
        <v>1000000</v>
      </c>
      <c r="H14" s="265">
        <v>0.1</v>
      </c>
      <c r="I14" s="258">
        <v>100000</v>
      </c>
      <c r="J14" s="258">
        <v>1100000</v>
      </c>
      <c r="K14" s="256" t="s">
        <v>1346</v>
      </c>
    </row>
    <row r="15" spans="1:11" x14ac:dyDescent="0.3">
      <c r="A15" s="256">
        <v>8</v>
      </c>
      <c r="B15" s="257" t="s">
        <v>1490</v>
      </c>
      <c r="C15" s="276">
        <v>44477</v>
      </c>
      <c r="D15" s="257" t="s">
        <v>1273</v>
      </c>
      <c r="E15" s="256" t="s">
        <v>1829</v>
      </c>
      <c r="F15" s="256" t="s">
        <v>1868</v>
      </c>
      <c r="G15" s="258">
        <v>1000000</v>
      </c>
      <c r="H15" s="265">
        <v>0.1</v>
      </c>
      <c r="I15" s="258">
        <v>100000</v>
      </c>
      <c r="J15" s="258">
        <v>1100000</v>
      </c>
      <c r="K15" s="256" t="s">
        <v>1348</v>
      </c>
    </row>
    <row r="16" spans="1:11" x14ac:dyDescent="0.3">
      <c r="A16" s="256">
        <v>9</v>
      </c>
      <c r="B16" s="257" t="s">
        <v>1483</v>
      </c>
      <c r="C16" s="276">
        <v>44478</v>
      </c>
      <c r="D16" s="257" t="s">
        <v>1283</v>
      </c>
      <c r="E16" s="256" t="s">
        <v>1798</v>
      </c>
      <c r="F16" s="256" t="s">
        <v>1870</v>
      </c>
      <c r="G16" s="258">
        <v>1000000</v>
      </c>
      <c r="H16" s="265">
        <v>0.1</v>
      </c>
      <c r="I16" s="258">
        <v>100000</v>
      </c>
      <c r="J16" s="258">
        <v>1100000</v>
      </c>
      <c r="K16" s="256" t="s">
        <v>1346</v>
      </c>
    </row>
    <row r="17" spans="1:11" x14ac:dyDescent="0.3">
      <c r="A17" s="256">
        <v>10</v>
      </c>
      <c r="B17" s="257" t="s">
        <v>1207</v>
      </c>
      <c r="C17" s="276">
        <v>44479</v>
      </c>
      <c r="D17" s="257" t="s">
        <v>1291</v>
      </c>
      <c r="E17" s="256" t="s">
        <v>1800</v>
      </c>
      <c r="F17" s="256" t="s">
        <v>1731</v>
      </c>
      <c r="G17" s="258">
        <v>1000000</v>
      </c>
      <c r="H17" s="265">
        <v>0.1</v>
      </c>
      <c r="I17" s="258">
        <v>100000</v>
      </c>
      <c r="J17" s="258">
        <v>1100000</v>
      </c>
      <c r="K17" s="256" t="s">
        <v>1346</v>
      </c>
    </row>
    <row r="18" spans="1:11" x14ac:dyDescent="0.3">
      <c r="A18" s="256">
        <v>11</v>
      </c>
      <c r="B18" s="257" t="s">
        <v>1466</v>
      </c>
      <c r="C18" s="276">
        <v>44480</v>
      </c>
      <c r="D18" s="257" t="s">
        <v>1290</v>
      </c>
      <c r="E18" s="256" t="s">
        <v>1796</v>
      </c>
      <c r="F18" s="256" t="s">
        <v>1734</v>
      </c>
      <c r="G18" s="258">
        <v>1000000</v>
      </c>
      <c r="H18" s="265">
        <v>0.1</v>
      </c>
      <c r="I18" s="258">
        <v>100000</v>
      </c>
      <c r="J18" s="258">
        <v>1100000</v>
      </c>
      <c r="K18" s="256" t="s">
        <v>1346</v>
      </c>
    </row>
    <row r="19" spans="1:11" x14ac:dyDescent="0.3">
      <c r="A19" s="256">
        <v>12</v>
      </c>
      <c r="B19" s="257" t="s">
        <v>1471</v>
      </c>
      <c r="C19" s="276">
        <v>44481</v>
      </c>
      <c r="D19" s="257" t="s">
        <v>1293</v>
      </c>
      <c r="E19" s="256" t="s">
        <v>1826</v>
      </c>
      <c r="F19" s="256" t="s">
        <v>1731</v>
      </c>
      <c r="G19" s="258">
        <v>1000000</v>
      </c>
      <c r="H19" s="265">
        <v>0.1</v>
      </c>
      <c r="I19" s="258">
        <v>100000</v>
      </c>
      <c r="J19" s="258">
        <v>1100000</v>
      </c>
      <c r="K19" s="256" t="s">
        <v>1348</v>
      </c>
    </row>
    <row r="20" spans="1:11" x14ac:dyDescent="0.3">
      <c r="A20" s="256">
        <v>13</v>
      </c>
      <c r="B20" s="257" t="s">
        <v>1496</v>
      </c>
      <c r="C20" s="276">
        <v>44211</v>
      </c>
      <c r="D20" s="257" t="s">
        <v>1270</v>
      </c>
      <c r="E20" s="256" t="s">
        <v>1782</v>
      </c>
      <c r="F20" s="256" t="s">
        <v>1868</v>
      </c>
      <c r="G20" s="258">
        <v>2000000</v>
      </c>
      <c r="H20" s="265">
        <v>0.1</v>
      </c>
      <c r="I20" s="258">
        <v>200000</v>
      </c>
      <c r="J20" s="258">
        <v>2200000</v>
      </c>
      <c r="K20" s="256" t="s">
        <v>1346</v>
      </c>
    </row>
    <row r="21" spans="1:11" x14ac:dyDescent="0.3">
      <c r="A21" s="256">
        <v>14</v>
      </c>
      <c r="B21" s="257" t="s">
        <v>1470</v>
      </c>
      <c r="C21" s="276">
        <v>44242</v>
      </c>
      <c r="D21" s="257" t="s">
        <v>1302</v>
      </c>
      <c r="E21" s="256" t="s">
        <v>1784</v>
      </c>
      <c r="F21" s="256" t="s">
        <v>1870</v>
      </c>
      <c r="G21" s="258">
        <v>2000000</v>
      </c>
      <c r="H21" s="265">
        <v>0.1</v>
      </c>
      <c r="I21" s="258">
        <v>200000</v>
      </c>
      <c r="J21" s="258">
        <v>2200000</v>
      </c>
      <c r="K21" s="256" t="s">
        <v>1346</v>
      </c>
    </row>
    <row r="22" spans="1:11" x14ac:dyDescent="0.3">
      <c r="A22" s="256">
        <v>15</v>
      </c>
      <c r="B22" s="257" t="s">
        <v>1209</v>
      </c>
      <c r="C22" s="276">
        <v>44275</v>
      </c>
      <c r="D22" s="257" t="s">
        <v>1286</v>
      </c>
      <c r="E22" s="256" t="s">
        <v>1828</v>
      </c>
      <c r="F22" s="256" t="s">
        <v>1868</v>
      </c>
      <c r="G22" s="258">
        <v>1000000</v>
      </c>
      <c r="H22" s="265">
        <v>0.1</v>
      </c>
      <c r="I22" s="258">
        <v>100000</v>
      </c>
      <c r="J22" s="258">
        <v>1100000</v>
      </c>
      <c r="K22" s="256" t="s">
        <v>1346</v>
      </c>
    </row>
    <row r="23" spans="1:11" x14ac:dyDescent="0.3">
      <c r="A23" s="256">
        <v>16</v>
      </c>
      <c r="B23" s="257" t="s">
        <v>1494</v>
      </c>
      <c r="C23" s="276">
        <v>44306</v>
      </c>
      <c r="D23" s="257" t="s">
        <v>1277</v>
      </c>
      <c r="E23" s="256" t="s">
        <v>1783</v>
      </c>
      <c r="F23" s="256" t="s">
        <v>1741</v>
      </c>
      <c r="G23" s="258">
        <v>2000000</v>
      </c>
      <c r="H23" s="265">
        <v>0.1</v>
      </c>
      <c r="I23" s="258">
        <v>200000</v>
      </c>
      <c r="J23" s="258">
        <v>2200000</v>
      </c>
      <c r="K23" s="256" t="s">
        <v>1346</v>
      </c>
    </row>
    <row r="24" spans="1:11" x14ac:dyDescent="0.3">
      <c r="A24" s="256">
        <v>17</v>
      </c>
      <c r="B24" s="257" t="s">
        <v>1475</v>
      </c>
      <c r="C24" s="276">
        <v>44336</v>
      </c>
      <c r="D24" s="257" t="s">
        <v>1289</v>
      </c>
      <c r="E24" s="256" t="s">
        <v>1803</v>
      </c>
      <c r="F24" s="256" t="s">
        <v>1734</v>
      </c>
      <c r="G24" s="258">
        <v>1000000</v>
      </c>
      <c r="H24" s="265">
        <v>0.1</v>
      </c>
      <c r="I24" s="258">
        <v>100000</v>
      </c>
      <c r="J24" s="258">
        <v>1100000</v>
      </c>
      <c r="K24" s="256" t="s">
        <v>1346</v>
      </c>
    </row>
    <row r="25" spans="1:11" x14ac:dyDescent="0.3">
      <c r="A25" s="256">
        <v>18</v>
      </c>
      <c r="B25" s="257" t="s">
        <v>1498</v>
      </c>
      <c r="C25" s="276">
        <v>44367</v>
      </c>
      <c r="D25" s="257" t="s">
        <v>1260</v>
      </c>
      <c r="E25" s="256" t="s">
        <v>1804</v>
      </c>
      <c r="F25" s="256" t="s">
        <v>1731</v>
      </c>
      <c r="G25" s="258">
        <v>1000000</v>
      </c>
      <c r="H25" s="265">
        <v>0.1</v>
      </c>
      <c r="I25" s="258">
        <v>100000</v>
      </c>
      <c r="J25" s="258">
        <v>1100000</v>
      </c>
      <c r="K25" s="256" t="s">
        <v>1346</v>
      </c>
    </row>
    <row r="26" spans="1:11" x14ac:dyDescent="0.3">
      <c r="A26" s="256">
        <v>19</v>
      </c>
      <c r="B26" s="257" t="s">
        <v>1467</v>
      </c>
      <c r="C26" s="276">
        <v>44397</v>
      </c>
      <c r="D26" s="257" t="s">
        <v>1290</v>
      </c>
      <c r="E26" s="256" t="s">
        <v>1796</v>
      </c>
      <c r="F26" s="256" t="s">
        <v>1731</v>
      </c>
      <c r="G26" s="258">
        <v>1000000</v>
      </c>
      <c r="H26" s="265">
        <v>0.1</v>
      </c>
      <c r="I26" s="258">
        <v>100000</v>
      </c>
      <c r="J26" s="258">
        <v>1100000</v>
      </c>
      <c r="K26" s="256" t="s">
        <v>1346</v>
      </c>
    </row>
    <row r="27" spans="1:11" x14ac:dyDescent="0.3">
      <c r="A27" s="256">
        <v>20</v>
      </c>
      <c r="B27" s="257" t="s">
        <v>1406</v>
      </c>
      <c r="C27" s="276">
        <v>44428</v>
      </c>
      <c r="D27" s="257" t="s">
        <v>1258</v>
      </c>
      <c r="E27" s="256" t="s">
        <v>1833</v>
      </c>
      <c r="F27" s="256" t="s">
        <v>1869</v>
      </c>
      <c r="G27" s="258">
        <v>1000000</v>
      </c>
      <c r="H27" s="265">
        <v>0.1</v>
      </c>
      <c r="I27" s="258">
        <v>100000</v>
      </c>
      <c r="J27" s="258">
        <v>1100000</v>
      </c>
      <c r="K27" s="256" t="s">
        <v>1346</v>
      </c>
    </row>
    <row r="28" spans="1:11" x14ac:dyDescent="0.3">
      <c r="A28" s="256">
        <v>21</v>
      </c>
      <c r="B28" s="257" t="s">
        <v>1491</v>
      </c>
      <c r="C28" s="276">
        <v>44459</v>
      </c>
      <c r="D28" s="257" t="s">
        <v>1273</v>
      </c>
      <c r="E28" s="256" t="s">
        <v>1829</v>
      </c>
      <c r="F28" s="256" t="s">
        <v>1731</v>
      </c>
      <c r="G28" s="258">
        <v>1000000</v>
      </c>
      <c r="H28" s="265">
        <v>0.1</v>
      </c>
      <c r="I28" s="258">
        <v>100000</v>
      </c>
      <c r="J28" s="258">
        <v>1100000</v>
      </c>
      <c r="K28" s="256" t="s">
        <v>1346</v>
      </c>
    </row>
    <row r="29" spans="1:11" x14ac:dyDescent="0.3">
      <c r="A29" s="256">
        <v>22</v>
      </c>
      <c r="B29" s="257" t="s">
        <v>1492</v>
      </c>
      <c r="C29" s="276">
        <v>44489</v>
      </c>
      <c r="D29" s="257" t="s">
        <v>1275</v>
      </c>
      <c r="E29" s="256" t="s">
        <v>1808</v>
      </c>
      <c r="F29" s="256" t="s">
        <v>1731</v>
      </c>
      <c r="G29" s="258">
        <v>2000000</v>
      </c>
      <c r="H29" s="265">
        <v>0.1</v>
      </c>
      <c r="I29" s="258">
        <v>200000</v>
      </c>
      <c r="J29" s="258">
        <v>2200000</v>
      </c>
      <c r="K29" s="256" t="s">
        <v>1346</v>
      </c>
    </row>
    <row r="30" spans="1:11" x14ac:dyDescent="0.3">
      <c r="A30" s="256">
        <v>23</v>
      </c>
      <c r="B30" s="257" t="s">
        <v>1487</v>
      </c>
      <c r="C30" s="276">
        <v>44520</v>
      </c>
      <c r="D30" s="257" t="s">
        <v>1288</v>
      </c>
      <c r="E30" s="256" t="s">
        <v>1797</v>
      </c>
      <c r="F30" s="256" t="s">
        <v>1730</v>
      </c>
      <c r="G30" s="258">
        <v>1000000</v>
      </c>
      <c r="H30" s="265">
        <v>0.1</v>
      </c>
      <c r="I30" s="258">
        <v>100000</v>
      </c>
      <c r="J30" s="258">
        <v>1100000</v>
      </c>
      <c r="K30" s="256" t="s">
        <v>1346</v>
      </c>
    </row>
    <row r="31" spans="1:11" x14ac:dyDescent="0.3">
      <c r="A31" s="256">
        <v>24</v>
      </c>
      <c r="B31" s="257" t="s">
        <v>1488</v>
      </c>
      <c r="C31" s="276">
        <v>44550</v>
      </c>
      <c r="D31" s="257" t="s">
        <v>1288</v>
      </c>
      <c r="E31" s="256" t="s">
        <v>1797</v>
      </c>
      <c r="F31" s="256" t="s">
        <v>1869</v>
      </c>
      <c r="G31" s="258">
        <v>1000000</v>
      </c>
      <c r="H31" s="265">
        <v>0.1</v>
      </c>
      <c r="I31" s="258">
        <v>100000</v>
      </c>
      <c r="J31" s="258">
        <v>1100000</v>
      </c>
      <c r="K31" s="256" t="s">
        <v>1346</v>
      </c>
    </row>
    <row r="32" spans="1:11" x14ac:dyDescent="0.3">
      <c r="A32" s="256">
        <v>25</v>
      </c>
      <c r="B32" s="257" t="s">
        <v>1457</v>
      </c>
      <c r="C32" s="276">
        <v>44221</v>
      </c>
      <c r="D32" s="257" t="s">
        <v>1267</v>
      </c>
      <c r="E32" s="256" t="s">
        <v>1810</v>
      </c>
      <c r="F32" s="256" t="s">
        <v>1731</v>
      </c>
      <c r="G32" s="258">
        <v>2000000</v>
      </c>
      <c r="H32" s="265">
        <v>0.1</v>
      </c>
      <c r="I32" s="258">
        <v>200000</v>
      </c>
      <c r="J32" s="258">
        <v>2200000</v>
      </c>
      <c r="K32" s="256" t="s">
        <v>1348</v>
      </c>
    </row>
    <row r="33" spans="1:11" x14ac:dyDescent="0.3">
      <c r="A33" s="256">
        <v>26</v>
      </c>
      <c r="B33" s="257" t="s">
        <v>1418</v>
      </c>
      <c r="C33" s="276">
        <v>44255</v>
      </c>
      <c r="D33" s="257" t="s">
        <v>1292</v>
      </c>
      <c r="E33" s="256" t="s">
        <v>1792</v>
      </c>
      <c r="F33" s="256" t="s">
        <v>1871</v>
      </c>
      <c r="G33" s="258">
        <v>1000000</v>
      </c>
      <c r="H33" s="265">
        <v>0.1</v>
      </c>
      <c r="I33" s="258">
        <v>100000</v>
      </c>
      <c r="J33" s="258">
        <v>1100000</v>
      </c>
      <c r="K33" s="256" t="s">
        <v>1346</v>
      </c>
    </row>
    <row r="34" spans="1:11" x14ac:dyDescent="0.3">
      <c r="A34" s="256">
        <v>27</v>
      </c>
      <c r="B34" s="257" t="s">
        <v>1408</v>
      </c>
      <c r="C34" s="276">
        <v>44316</v>
      </c>
      <c r="D34" s="257" t="s">
        <v>1261</v>
      </c>
      <c r="E34" s="256" t="s">
        <v>1813</v>
      </c>
      <c r="F34" s="256" t="s">
        <v>1730</v>
      </c>
      <c r="G34" s="258">
        <v>1000000</v>
      </c>
      <c r="H34" s="265">
        <v>0.1</v>
      </c>
      <c r="I34" s="258">
        <v>100000</v>
      </c>
      <c r="J34" s="258">
        <v>1100000</v>
      </c>
      <c r="K34" s="256" t="s">
        <v>1346</v>
      </c>
    </row>
    <row r="35" spans="1:11" x14ac:dyDescent="0.3">
      <c r="A35" s="256">
        <v>28</v>
      </c>
      <c r="B35" s="257" t="s">
        <v>1493</v>
      </c>
      <c r="C35" s="276">
        <v>44377</v>
      </c>
      <c r="D35" s="257" t="s">
        <v>1275</v>
      </c>
      <c r="E35" s="256" t="s">
        <v>1808</v>
      </c>
      <c r="F35" s="256" t="s">
        <v>1734</v>
      </c>
      <c r="G35" s="258">
        <v>1000000</v>
      </c>
      <c r="H35" s="265">
        <v>0.1</v>
      </c>
      <c r="I35" s="258">
        <v>100000</v>
      </c>
      <c r="J35" s="258">
        <v>1100000</v>
      </c>
      <c r="K35" s="256" t="s">
        <v>1348</v>
      </c>
    </row>
    <row r="36" spans="1:11" x14ac:dyDescent="0.3">
      <c r="A36" s="256">
        <v>29</v>
      </c>
      <c r="B36" s="257" t="s">
        <v>1415</v>
      </c>
      <c r="C36" s="276">
        <v>44469</v>
      </c>
      <c r="D36" s="257" t="s">
        <v>1298</v>
      </c>
      <c r="E36" s="256" t="s">
        <v>1819</v>
      </c>
      <c r="F36" s="256" t="s">
        <v>1868</v>
      </c>
      <c r="G36" s="258">
        <v>1000000</v>
      </c>
      <c r="H36" s="265">
        <v>0.1</v>
      </c>
      <c r="I36" s="258">
        <v>100000</v>
      </c>
      <c r="J36" s="258">
        <v>1100000</v>
      </c>
      <c r="K36" s="256" t="s">
        <v>1346</v>
      </c>
    </row>
    <row r="37" spans="1:11" x14ac:dyDescent="0.3">
      <c r="A37" s="256">
        <v>30</v>
      </c>
      <c r="B37" s="257" t="s">
        <v>1411</v>
      </c>
      <c r="C37" s="276">
        <v>44530</v>
      </c>
      <c r="D37" s="257" t="s">
        <v>1296</v>
      </c>
      <c r="E37" s="256" t="s">
        <v>1807</v>
      </c>
      <c r="F37" s="256" t="s">
        <v>1734</v>
      </c>
      <c r="G37" s="258">
        <v>1000000</v>
      </c>
      <c r="H37" s="265">
        <v>0.1</v>
      </c>
      <c r="I37" s="258">
        <v>100000</v>
      </c>
      <c r="J37" s="258">
        <v>1100000</v>
      </c>
      <c r="K37" s="256" t="s">
        <v>1346</v>
      </c>
    </row>
    <row r="38" spans="1:11" x14ac:dyDescent="0.3">
      <c r="A38" s="256">
        <v>31</v>
      </c>
      <c r="B38" s="257" t="s">
        <v>1485</v>
      </c>
      <c r="C38" s="276">
        <v>44286</v>
      </c>
      <c r="D38" s="257" t="s">
        <v>1256</v>
      </c>
      <c r="E38" s="256" t="s">
        <v>1802</v>
      </c>
      <c r="F38" s="256" t="s">
        <v>1730</v>
      </c>
      <c r="G38" s="258">
        <v>1000000</v>
      </c>
      <c r="H38" s="265">
        <v>0.1</v>
      </c>
      <c r="I38" s="258">
        <v>100000</v>
      </c>
      <c r="J38" s="258">
        <v>1100000</v>
      </c>
      <c r="K38" s="256" t="s">
        <v>1346</v>
      </c>
    </row>
    <row r="39" spans="1:11" x14ac:dyDescent="0.3">
      <c r="A39" s="256">
        <v>32</v>
      </c>
      <c r="B39" s="257" t="s">
        <v>1501</v>
      </c>
      <c r="C39" s="276">
        <v>44347</v>
      </c>
      <c r="D39" s="257" t="s">
        <v>1274</v>
      </c>
      <c r="E39" s="256" t="s">
        <v>1794</v>
      </c>
      <c r="F39" s="256" t="s">
        <v>1731</v>
      </c>
      <c r="G39" s="258">
        <v>1000000</v>
      </c>
      <c r="H39" s="265">
        <v>0.1</v>
      </c>
      <c r="I39" s="258">
        <v>100000</v>
      </c>
      <c r="J39" s="258">
        <v>1100000</v>
      </c>
      <c r="K39" s="256" t="s">
        <v>1346</v>
      </c>
    </row>
    <row r="40" spans="1:11" x14ac:dyDescent="0.3">
      <c r="A40" s="256">
        <v>33</v>
      </c>
      <c r="B40" s="257" t="s">
        <v>1486</v>
      </c>
      <c r="C40" s="276">
        <v>44408</v>
      </c>
      <c r="D40" s="257" t="s">
        <v>1256</v>
      </c>
      <c r="E40" s="256" t="s">
        <v>1802</v>
      </c>
      <c r="F40" s="256" t="s">
        <v>1730</v>
      </c>
      <c r="G40" s="258">
        <v>1000000</v>
      </c>
      <c r="H40" s="265">
        <v>0.1</v>
      </c>
      <c r="I40" s="258">
        <v>100000</v>
      </c>
      <c r="J40" s="258">
        <v>1100000</v>
      </c>
      <c r="K40" s="256" t="s">
        <v>1346</v>
      </c>
    </row>
    <row r="41" spans="1:11" x14ac:dyDescent="0.3">
      <c r="A41" s="256">
        <v>34</v>
      </c>
      <c r="B41" s="257" t="s">
        <v>1510</v>
      </c>
      <c r="C41" s="276">
        <v>44439</v>
      </c>
      <c r="D41" s="257" t="s">
        <v>1284</v>
      </c>
      <c r="E41" s="256" t="s">
        <v>1786</v>
      </c>
      <c r="F41" s="256" t="s">
        <v>1741</v>
      </c>
      <c r="G41" s="258">
        <v>1000000</v>
      </c>
      <c r="H41" s="265">
        <v>0.1</v>
      </c>
      <c r="I41" s="258">
        <v>100000</v>
      </c>
      <c r="J41" s="258">
        <v>1100000</v>
      </c>
      <c r="K41" s="256" t="s">
        <v>1348</v>
      </c>
    </row>
    <row r="42" spans="1:11" x14ac:dyDescent="0.3">
      <c r="A42" s="256">
        <v>35</v>
      </c>
      <c r="B42" s="257" t="s">
        <v>1208</v>
      </c>
      <c r="C42" s="276">
        <v>44500</v>
      </c>
      <c r="D42" s="257" t="s">
        <v>1297</v>
      </c>
      <c r="E42" s="256" t="s">
        <v>1820</v>
      </c>
      <c r="F42" s="256" t="s">
        <v>1734</v>
      </c>
      <c r="G42" s="258">
        <v>1000000</v>
      </c>
      <c r="H42" s="265">
        <v>0.1</v>
      </c>
      <c r="I42" s="258">
        <v>100000</v>
      </c>
      <c r="J42" s="258">
        <v>1100000</v>
      </c>
      <c r="K42" s="256" t="s">
        <v>1346</v>
      </c>
    </row>
    <row r="43" spans="1:11" x14ac:dyDescent="0.3">
      <c r="A43" s="256">
        <v>36</v>
      </c>
      <c r="B43" s="257" t="s">
        <v>1489</v>
      </c>
      <c r="C43" s="276">
        <v>44561</v>
      </c>
      <c r="D43" s="257" t="s">
        <v>1282</v>
      </c>
      <c r="E43" s="256" t="s">
        <v>1789</v>
      </c>
      <c r="F43" s="256" t="s">
        <v>1741</v>
      </c>
      <c r="G43" s="258">
        <v>1000000</v>
      </c>
      <c r="H43" s="265">
        <v>0.1</v>
      </c>
      <c r="I43" s="258">
        <v>100000</v>
      </c>
      <c r="J43" s="258">
        <v>1100000</v>
      </c>
      <c r="K43" s="256" t="s">
        <v>1346</v>
      </c>
    </row>
    <row r="44" spans="1:11" x14ac:dyDescent="0.3">
      <c r="A44" s="256">
        <v>37</v>
      </c>
      <c r="B44" s="257" t="s">
        <v>1500</v>
      </c>
      <c r="C44" s="276">
        <v>44561</v>
      </c>
      <c r="D44" s="257" t="s">
        <v>1272</v>
      </c>
      <c r="E44" s="256" t="s">
        <v>1805</v>
      </c>
      <c r="F44" s="256" t="s">
        <v>1870</v>
      </c>
      <c r="G44" s="258">
        <v>1000000</v>
      </c>
      <c r="H44" s="265">
        <v>0.1</v>
      </c>
      <c r="I44" s="258">
        <v>100000</v>
      </c>
      <c r="J44" s="258">
        <v>1100000</v>
      </c>
      <c r="K44" s="256" t="s">
        <v>1346</v>
      </c>
    </row>
    <row r="45" spans="1:11" x14ac:dyDescent="0.3">
      <c r="A45" s="256">
        <v>38</v>
      </c>
      <c r="B45" s="257" t="s">
        <v>1484</v>
      </c>
      <c r="C45" s="276">
        <v>44561</v>
      </c>
      <c r="D45" s="257" t="s">
        <v>1279</v>
      </c>
      <c r="E45" s="256" t="s">
        <v>1827</v>
      </c>
      <c r="F45" s="256" t="s">
        <v>1730</v>
      </c>
      <c r="G45" s="258">
        <v>1000000</v>
      </c>
      <c r="H45" s="265">
        <v>0.1</v>
      </c>
      <c r="I45" s="258">
        <v>100000</v>
      </c>
      <c r="J45" s="258">
        <v>1100000</v>
      </c>
      <c r="K45" s="256" t="s">
        <v>1346</v>
      </c>
    </row>
    <row r="46" spans="1:11" x14ac:dyDescent="0.3">
      <c r="A46" s="256">
        <v>39</v>
      </c>
      <c r="B46" s="257" t="s">
        <v>1499</v>
      </c>
      <c r="C46" s="276">
        <v>44561</v>
      </c>
      <c r="D46" s="257" t="s">
        <v>1260</v>
      </c>
      <c r="E46" s="256" t="s">
        <v>1804</v>
      </c>
      <c r="F46" s="256" t="s">
        <v>1869</v>
      </c>
      <c r="G46" s="258">
        <v>1000000</v>
      </c>
      <c r="H46" s="265">
        <v>0.1</v>
      </c>
      <c r="I46" s="258">
        <v>100000</v>
      </c>
      <c r="J46" s="258">
        <v>1100000</v>
      </c>
      <c r="K46" s="256" t="s">
        <v>1346</v>
      </c>
    </row>
    <row r="47" spans="1:11" x14ac:dyDescent="0.3">
      <c r="A47" s="256">
        <v>40</v>
      </c>
      <c r="B47" s="257" t="s">
        <v>1419</v>
      </c>
      <c r="C47" s="276">
        <v>44561</v>
      </c>
      <c r="D47" s="257" t="s">
        <v>1292</v>
      </c>
      <c r="E47" s="256" t="s">
        <v>1792</v>
      </c>
      <c r="F47" s="256" t="s">
        <v>1734</v>
      </c>
      <c r="G47" s="258">
        <v>1000000</v>
      </c>
      <c r="H47" s="265">
        <v>0.1</v>
      </c>
      <c r="I47" s="258">
        <v>100000</v>
      </c>
      <c r="J47" s="258">
        <v>1100000</v>
      </c>
      <c r="K47" s="256" t="s">
        <v>1346</v>
      </c>
    </row>
    <row r="48" spans="1:11" x14ac:dyDescent="0.3">
      <c r="A48" s="256">
        <v>41</v>
      </c>
      <c r="B48" s="257" t="s">
        <v>1501</v>
      </c>
      <c r="C48" s="276">
        <v>44561</v>
      </c>
      <c r="D48" s="257" t="s">
        <v>1272</v>
      </c>
      <c r="E48" s="256" t="s">
        <v>1805</v>
      </c>
      <c r="F48" s="256" t="s">
        <v>1731</v>
      </c>
      <c r="G48" s="258">
        <v>1000000</v>
      </c>
      <c r="H48" s="265">
        <v>0.1</v>
      </c>
      <c r="I48" s="258">
        <v>100000</v>
      </c>
      <c r="J48" s="258">
        <v>1100000</v>
      </c>
      <c r="K48" s="256" t="s">
        <v>1346</v>
      </c>
    </row>
    <row r="49" spans="1:11" x14ac:dyDescent="0.3">
      <c r="A49" s="256">
        <v>42</v>
      </c>
      <c r="B49" s="257" t="s">
        <v>1492</v>
      </c>
      <c r="C49" s="276">
        <v>44561</v>
      </c>
      <c r="D49" s="257" t="s">
        <v>1273</v>
      </c>
      <c r="E49" s="256" t="s">
        <v>1829</v>
      </c>
      <c r="F49" s="256" t="s">
        <v>1868</v>
      </c>
      <c r="G49" s="258">
        <v>1000000</v>
      </c>
      <c r="H49" s="265">
        <v>0.1</v>
      </c>
      <c r="I49" s="258">
        <v>100000</v>
      </c>
      <c r="J49" s="258">
        <v>1100000</v>
      </c>
      <c r="K49" s="256" t="s">
        <v>1346</v>
      </c>
    </row>
    <row r="50" spans="1:11" x14ac:dyDescent="0.3">
      <c r="A50" s="256">
        <v>43</v>
      </c>
      <c r="B50" s="257" t="s">
        <v>1485</v>
      </c>
      <c r="C50" s="276">
        <v>44561</v>
      </c>
      <c r="D50" s="257" t="s">
        <v>1279</v>
      </c>
      <c r="E50" s="256" t="s">
        <v>1827</v>
      </c>
      <c r="F50" s="256" t="s">
        <v>1734</v>
      </c>
      <c r="G50" s="258">
        <v>1000000</v>
      </c>
      <c r="H50" s="265">
        <v>0.1</v>
      </c>
      <c r="I50" s="258">
        <v>100000</v>
      </c>
      <c r="J50" s="258">
        <v>1100000</v>
      </c>
      <c r="K50" s="256" t="s">
        <v>1346</v>
      </c>
    </row>
    <row r="51" spans="1:11" x14ac:dyDescent="0.3">
      <c r="A51" s="256">
        <v>44</v>
      </c>
      <c r="B51" s="257" t="s">
        <v>1209</v>
      </c>
      <c r="C51" s="276">
        <v>44561</v>
      </c>
      <c r="D51" s="257" t="s">
        <v>1297</v>
      </c>
      <c r="E51" s="256" t="s">
        <v>1820</v>
      </c>
      <c r="F51" s="256" t="s">
        <v>1734</v>
      </c>
      <c r="G51" s="258">
        <v>1000000</v>
      </c>
      <c r="H51" s="265">
        <v>0.1</v>
      </c>
      <c r="I51" s="258">
        <v>100000</v>
      </c>
      <c r="J51" s="258">
        <v>1100000</v>
      </c>
      <c r="K51" s="256" t="s">
        <v>1346</v>
      </c>
    </row>
    <row r="52" spans="1:11" x14ac:dyDescent="0.3">
      <c r="A52" s="256">
        <v>45</v>
      </c>
      <c r="B52" s="257" t="s">
        <v>1502</v>
      </c>
      <c r="C52" s="276">
        <v>44561</v>
      </c>
      <c r="D52" s="257" t="s">
        <v>1274</v>
      </c>
      <c r="E52" s="256" t="s">
        <v>1794</v>
      </c>
      <c r="F52" s="256" t="s">
        <v>1871</v>
      </c>
      <c r="G52" s="258">
        <v>1000000</v>
      </c>
      <c r="H52" s="265">
        <v>0</v>
      </c>
      <c r="I52" s="258">
        <v>0</v>
      </c>
      <c r="J52" s="258">
        <v>1000000</v>
      </c>
      <c r="K52" s="256" t="s">
        <v>1346</v>
      </c>
    </row>
    <row r="53" spans="1:11" x14ac:dyDescent="0.3">
      <c r="A53" s="256">
        <v>46</v>
      </c>
      <c r="B53" s="257" t="s">
        <v>1500</v>
      </c>
      <c r="C53" s="276">
        <v>44561</v>
      </c>
      <c r="D53" s="257" t="s">
        <v>1260</v>
      </c>
      <c r="E53" s="256" t="s">
        <v>1804</v>
      </c>
      <c r="F53" s="256" t="s">
        <v>1871</v>
      </c>
      <c r="G53" s="258">
        <v>1000000</v>
      </c>
      <c r="H53" s="265">
        <v>0</v>
      </c>
      <c r="I53" s="258">
        <v>0</v>
      </c>
      <c r="J53" s="258">
        <v>1000000</v>
      </c>
      <c r="K53" s="256" t="s">
        <v>1346</v>
      </c>
    </row>
    <row r="54" spans="1:11" x14ac:dyDescent="0.3">
      <c r="A54" s="256">
        <v>47</v>
      </c>
      <c r="B54" s="257" t="s">
        <v>1418</v>
      </c>
      <c r="C54" s="276">
        <v>44561</v>
      </c>
      <c r="D54" s="257" t="s">
        <v>1286</v>
      </c>
      <c r="E54" s="256" t="s">
        <v>1828</v>
      </c>
      <c r="F54" s="256" t="s">
        <v>1741</v>
      </c>
      <c r="G54" s="258">
        <v>1000000</v>
      </c>
      <c r="H54" s="265">
        <v>0.1</v>
      </c>
      <c r="I54" s="258">
        <v>100000</v>
      </c>
      <c r="J54" s="258">
        <v>1100000</v>
      </c>
      <c r="K54" s="256" t="s">
        <v>1346</v>
      </c>
    </row>
    <row r="55" spans="1:11" x14ac:dyDescent="0.3">
      <c r="A55" s="256">
        <v>48</v>
      </c>
      <c r="B55" s="257" t="s">
        <v>1474</v>
      </c>
      <c r="C55" s="276">
        <v>44561</v>
      </c>
      <c r="D55" s="257" t="s">
        <v>1299</v>
      </c>
      <c r="E55" s="256" t="s">
        <v>1776</v>
      </c>
      <c r="F55" s="256" t="s">
        <v>1869</v>
      </c>
      <c r="G55" s="258">
        <v>1000000</v>
      </c>
      <c r="H55" s="265">
        <v>0.1</v>
      </c>
      <c r="I55" s="258">
        <v>100000</v>
      </c>
      <c r="J55" s="258">
        <v>1100000</v>
      </c>
      <c r="K55" s="256" t="s">
        <v>1348</v>
      </c>
    </row>
    <row r="56" spans="1:11" x14ac:dyDescent="0.3">
      <c r="A56" s="256">
        <v>49</v>
      </c>
      <c r="B56" s="257" t="s">
        <v>1511</v>
      </c>
      <c r="C56" s="276">
        <v>44561</v>
      </c>
      <c r="D56" s="257" t="s">
        <v>1284</v>
      </c>
      <c r="E56" s="256" t="s">
        <v>1786</v>
      </c>
      <c r="F56" s="256" t="s">
        <v>1741</v>
      </c>
      <c r="G56" s="258">
        <v>1000000</v>
      </c>
      <c r="H56" s="265">
        <v>0.1</v>
      </c>
      <c r="I56" s="258">
        <v>100000</v>
      </c>
      <c r="J56" s="258">
        <v>1100000</v>
      </c>
      <c r="K56" s="256" t="s">
        <v>1346</v>
      </c>
    </row>
    <row r="57" spans="1:11" x14ac:dyDescent="0.3">
      <c r="A57" s="256">
        <v>50</v>
      </c>
      <c r="B57" s="257" t="s">
        <v>1490</v>
      </c>
      <c r="C57" s="276">
        <v>44561</v>
      </c>
      <c r="D57" s="257" t="s">
        <v>1282</v>
      </c>
      <c r="E57" s="256" t="s">
        <v>1789</v>
      </c>
      <c r="F57" s="256" t="s">
        <v>1868</v>
      </c>
      <c r="G57" s="258">
        <v>1000000</v>
      </c>
      <c r="H57" s="265">
        <v>0.1</v>
      </c>
      <c r="I57" s="258">
        <v>100000</v>
      </c>
      <c r="J57" s="258">
        <v>1100000</v>
      </c>
      <c r="K57" s="256" t="s">
        <v>1346</v>
      </c>
    </row>
    <row r="58" spans="1:11" x14ac:dyDescent="0.3">
      <c r="A58" s="266" t="s">
        <v>1351</v>
      </c>
      <c r="B58" s="266"/>
      <c r="C58" s="266"/>
      <c r="D58" s="266"/>
      <c r="E58" s="266"/>
      <c r="F58" s="266"/>
      <c r="G58" s="267">
        <f>SUM(G8:G57)</f>
        <v>55000000</v>
      </c>
      <c r="H58" s="266"/>
      <c r="I58" s="267">
        <f>SUM(I8:I57)</f>
        <v>5100000</v>
      </c>
      <c r="J58" s="267">
        <f>SUM(J8:J57)</f>
        <v>60100000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1287</v>
      </c>
      <c r="E62" s="256" t="s">
        <v>1801</v>
      </c>
      <c r="F62" s="256" t="s">
        <v>1872</v>
      </c>
      <c r="G62" s="258">
        <v>2000000</v>
      </c>
      <c r="H62" s="265">
        <v>0.1</v>
      </c>
      <c r="I62" s="258">
        <v>200000</v>
      </c>
      <c r="J62" s="258">
        <v>2200000</v>
      </c>
      <c r="K62" s="256" t="s">
        <v>1346</v>
      </c>
    </row>
    <row r="63" spans="1:11" x14ac:dyDescent="0.3">
      <c r="A63" s="256">
        <v>2</v>
      </c>
      <c r="B63" s="257" t="s">
        <v>1201</v>
      </c>
      <c r="C63" s="276">
        <v>44318</v>
      </c>
      <c r="D63" s="257" t="s">
        <v>1260</v>
      </c>
      <c r="E63" s="256" t="s">
        <v>1804</v>
      </c>
      <c r="F63" s="256" t="s">
        <v>1875</v>
      </c>
      <c r="G63" s="258">
        <v>2000000</v>
      </c>
      <c r="H63" s="265">
        <v>0</v>
      </c>
      <c r="I63" s="258">
        <v>0</v>
      </c>
      <c r="J63" s="258">
        <v>2000000</v>
      </c>
      <c r="K63" s="256" t="s">
        <v>1346</v>
      </c>
    </row>
    <row r="64" spans="1:11" x14ac:dyDescent="0.3">
      <c r="A64" s="256">
        <v>3</v>
      </c>
      <c r="B64" s="257" t="s">
        <v>1202</v>
      </c>
      <c r="C64" s="276">
        <v>44472</v>
      </c>
      <c r="D64" s="257" t="s">
        <v>1287</v>
      </c>
      <c r="E64" s="256" t="s">
        <v>1801</v>
      </c>
      <c r="F64" s="256" t="s">
        <v>1874</v>
      </c>
      <c r="G64" s="258">
        <v>1000000</v>
      </c>
      <c r="H64" s="265">
        <v>0.1</v>
      </c>
      <c r="I64" s="258">
        <v>100000</v>
      </c>
      <c r="J64" s="258">
        <v>1100000</v>
      </c>
      <c r="K64" s="256" t="s">
        <v>1348</v>
      </c>
    </row>
    <row r="65" spans="1:11" x14ac:dyDescent="0.3">
      <c r="A65" s="256">
        <v>4</v>
      </c>
      <c r="B65" s="257" t="s">
        <v>1355</v>
      </c>
      <c r="C65" s="276">
        <v>44473</v>
      </c>
      <c r="D65" s="257" t="s">
        <v>1267</v>
      </c>
      <c r="E65" s="256" t="s">
        <v>1810</v>
      </c>
      <c r="F65" s="256" t="s">
        <v>1875</v>
      </c>
      <c r="G65" s="258">
        <v>1000000</v>
      </c>
      <c r="H65" s="265">
        <v>0.1</v>
      </c>
      <c r="I65" s="258">
        <v>100000</v>
      </c>
      <c r="J65" s="258">
        <v>1100000</v>
      </c>
      <c r="K65" s="256" t="s">
        <v>1346</v>
      </c>
    </row>
    <row r="66" spans="1:11" x14ac:dyDescent="0.3">
      <c r="A66" s="256">
        <v>5</v>
      </c>
      <c r="B66" s="257" t="s">
        <v>1356</v>
      </c>
      <c r="C66" s="276">
        <v>44474</v>
      </c>
      <c r="D66" s="257" t="s">
        <v>1275</v>
      </c>
      <c r="E66" s="256" t="s">
        <v>1808</v>
      </c>
      <c r="F66" s="256" t="s">
        <v>1874</v>
      </c>
      <c r="G66" s="258">
        <v>1000000</v>
      </c>
      <c r="H66" s="265">
        <v>0.1</v>
      </c>
      <c r="I66" s="258">
        <v>100000</v>
      </c>
      <c r="J66" s="258">
        <v>1100000</v>
      </c>
      <c r="K66" s="256" t="s">
        <v>1346</v>
      </c>
    </row>
    <row r="67" spans="1:11" x14ac:dyDescent="0.3">
      <c r="A67" s="256">
        <v>6</v>
      </c>
      <c r="B67" s="257" t="s">
        <v>1358</v>
      </c>
      <c r="C67" s="276">
        <v>44475</v>
      </c>
      <c r="D67" s="257" t="s">
        <v>1262</v>
      </c>
      <c r="E67" s="256" t="s">
        <v>1816</v>
      </c>
      <c r="F67" s="256" t="s">
        <v>1875</v>
      </c>
      <c r="G67" s="258">
        <v>1000000</v>
      </c>
      <c r="H67" s="265">
        <v>0.1</v>
      </c>
      <c r="I67" s="258">
        <v>100000</v>
      </c>
      <c r="J67" s="258">
        <v>1100000</v>
      </c>
      <c r="K67" s="256" t="s">
        <v>1346</v>
      </c>
    </row>
    <row r="68" spans="1:11" x14ac:dyDescent="0.3">
      <c r="A68" s="256">
        <v>7</v>
      </c>
      <c r="B68" s="257" t="s">
        <v>1360</v>
      </c>
      <c r="C68" s="276">
        <v>44476</v>
      </c>
      <c r="D68" s="257" t="s">
        <v>1274</v>
      </c>
      <c r="E68" s="256" t="s">
        <v>1794</v>
      </c>
      <c r="F68" s="256" t="s">
        <v>1874</v>
      </c>
      <c r="G68" s="258">
        <v>1000000</v>
      </c>
      <c r="H68" s="265">
        <v>0.1</v>
      </c>
      <c r="I68" s="258">
        <v>100000</v>
      </c>
      <c r="J68" s="258">
        <v>1100000</v>
      </c>
      <c r="K68" s="256" t="s">
        <v>1346</v>
      </c>
    </row>
    <row r="69" spans="1:11" x14ac:dyDescent="0.3">
      <c r="A69" s="256">
        <v>8</v>
      </c>
      <c r="B69" s="257" t="s">
        <v>1362</v>
      </c>
      <c r="C69" s="276">
        <v>44477</v>
      </c>
      <c r="D69" s="257" t="s">
        <v>1274</v>
      </c>
      <c r="E69" s="256" t="s">
        <v>1794</v>
      </c>
      <c r="F69" s="256" t="s">
        <v>1872</v>
      </c>
      <c r="G69" s="258">
        <v>1000000</v>
      </c>
      <c r="H69" s="265">
        <v>0.1</v>
      </c>
      <c r="I69" s="258">
        <v>100000</v>
      </c>
      <c r="J69" s="258">
        <v>1100000</v>
      </c>
      <c r="K69" s="256" t="s">
        <v>1346</v>
      </c>
    </row>
    <row r="70" spans="1:11" x14ac:dyDescent="0.3">
      <c r="A70" s="256">
        <v>9</v>
      </c>
      <c r="B70" s="257" t="s">
        <v>1364</v>
      </c>
      <c r="C70" s="276">
        <v>44478</v>
      </c>
      <c r="D70" s="257" t="s">
        <v>1286</v>
      </c>
      <c r="E70" s="256" t="s">
        <v>1828</v>
      </c>
      <c r="F70" s="256" t="s">
        <v>1875</v>
      </c>
      <c r="G70" s="258">
        <v>1000000</v>
      </c>
      <c r="H70" s="265">
        <v>0.1</v>
      </c>
      <c r="I70" s="258">
        <v>100000</v>
      </c>
      <c r="J70" s="258">
        <v>1100000</v>
      </c>
      <c r="K70" s="256" t="s">
        <v>1346</v>
      </c>
    </row>
    <row r="71" spans="1:11" x14ac:dyDescent="0.3">
      <c r="A71" s="256">
        <v>10</v>
      </c>
      <c r="B71" s="257" t="s">
        <v>1366</v>
      </c>
      <c r="C71" s="276">
        <v>44479</v>
      </c>
      <c r="D71" s="257" t="s">
        <v>1264</v>
      </c>
      <c r="E71" s="256" t="s">
        <v>1779</v>
      </c>
      <c r="F71" s="256" t="s">
        <v>1874</v>
      </c>
      <c r="G71" s="258">
        <v>1000000</v>
      </c>
      <c r="H71" s="265">
        <v>0.1</v>
      </c>
      <c r="I71" s="258">
        <v>100000</v>
      </c>
      <c r="J71" s="258">
        <v>1100000</v>
      </c>
      <c r="K71" s="256" t="s">
        <v>1346</v>
      </c>
    </row>
    <row r="72" spans="1:11" x14ac:dyDescent="0.3">
      <c r="A72" s="256">
        <v>11</v>
      </c>
      <c r="B72" s="257" t="s">
        <v>1368</v>
      </c>
      <c r="C72" s="276">
        <v>44480</v>
      </c>
      <c r="D72" s="257" t="s">
        <v>1271</v>
      </c>
      <c r="E72" s="256" t="s">
        <v>1799</v>
      </c>
      <c r="F72" s="256" t="s">
        <v>1873</v>
      </c>
      <c r="G72" s="258">
        <v>1000000</v>
      </c>
      <c r="H72" s="265">
        <v>0.1</v>
      </c>
      <c r="I72" s="258">
        <v>100000</v>
      </c>
      <c r="J72" s="258">
        <v>1100000</v>
      </c>
      <c r="K72" s="256" t="s">
        <v>1346</v>
      </c>
    </row>
    <row r="73" spans="1:11" x14ac:dyDescent="0.3">
      <c r="A73" s="256">
        <v>12</v>
      </c>
      <c r="B73" s="257" t="s">
        <v>1371</v>
      </c>
      <c r="C73" s="276">
        <v>44481</v>
      </c>
      <c r="D73" s="257" t="s">
        <v>1278</v>
      </c>
      <c r="E73" s="256" t="s">
        <v>1785</v>
      </c>
      <c r="F73" s="256" t="s">
        <v>1874</v>
      </c>
      <c r="G73" s="258">
        <v>1000000</v>
      </c>
      <c r="H73" s="265">
        <v>0.1</v>
      </c>
      <c r="I73" s="258">
        <v>100000</v>
      </c>
      <c r="J73" s="258">
        <v>1100000</v>
      </c>
      <c r="K73" s="256" t="s">
        <v>1346</v>
      </c>
    </row>
    <row r="74" spans="1:11" x14ac:dyDescent="0.3">
      <c r="A74" s="256">
        <v>13</v>
      </c>
      <c r="B74" s="257" t="s">
        <v>1373</v>
      </c>
      <c r="C74" s="276">
        <v>44211</v>
      </c>
      <c r="D74" s="257" t="s">
        <v>1255</v>
      </c>
      <c r="E74" s="273">
        <v>46152</v>
      </c>
      <c r="F74" s="256" t="s">
        <v>1875</v>
      </c>
      <c r="G74" s="258">
        <v>1000000</v>
      </c>
      <c r="H74" s="265">
        <v>0.1</v>
      </c>
      <c r="I74" s="258">
        <v>100000</v>
      </c>
      <c r="J74" s="258">
        <v>1100000</v>
      </c>
      <c r="K74" s="256" t="s">
        <v>1346</v>
      </c>
    </row>
    <row r="75" spans="1:11" x14ac:dyDescent="0.3">
      <c r="A75" s="256">
        <v>14</v>
      </c>
      <c r="B75" s="257" t="s">
        <v>1374</v>
      </c>
      <c r="C75" s="276">
        <v>44242</v>
      </c>
      <c r="D75" s="257" t="s">
        <v>1295</v>
      </c>
      <c r="E75" s="256" t="s">
        <v>1825</v>
      </c>
      <c r="F75" s="256" t="s">
        <v>1872</v>
      </c>
      <c r="G75" s="258">
        <v>1000000</v>
      </c>
      <c r="H75" s="265">
        <v>0.1</v>
      </c>
      <c r="I75" s="258">
        <v>100000</v>
      </c>
      <c r="J75" s="258">
        <v>1100000</v>
      </c>
      <c r="K75" s="256" t="s">
        <v>1346</v>
      </c>
    </row>
    <row r="76" spans="1:11" x14ac:dyDescent="0.3">
      <c r="A76" s="256">
        <v>15</v>
      </c>
      <c r="B76" s="257" t="s">
        <v>1376</v>
      </c>
      <c r="C76" s="276">
        <v>44275</v>
      </c>
      <c r="D76" s="257" t="s">
        <v>1283</v>
      </c>
      <c r="E76" s="256" t="s">
        <v>1798</v>
      </c>
      <c r="F76" s="256" t="s">
        <v>1875</v>
      </c>
      <c r="G76" s="258">
        <v>1000000</v>
      </c>
      <c r="H76" s="265">
        <v>0.1</v>
      </c>
      <c r="I76" s="258">
        <v>100000</v>
      </c>
      <c r="J76" s="258">
        <v>1100000</v>
      </c>
      <c r="K76" s="256" t="s">
        <v>1346</v>
      </c>
    </row>
    <row r="77" spans="1:11" x14ac:dyDescent="0.3">
      <c r="A77" s="256">
        <v>16</v>
      </c>
      <c r="B77" s="257" t="s">
        <v>1378</v>
      </c>
      <c r="C77" s="276">
        <v>44306</v>
      </c>
      <c r="D77" s="257" t="s">
        <v>1265</v>
      </c>
      <c r="E77" s="256" t="s">
        <v>1830</v>
      </c>
      <c r="F77" s="256" t="s">
        <v>1874</v>
      </c>
      <c r="G77" s="258">
        <v>1000000</v>
      </c>
      <c r="H77" s="265">
        <v>0.1</v>
      </c>
      <c r="I77" s="258">
        <v>100000</v>
      </c>
      <c r="J77" s="258">
        <v>1100000</v>
      </c>
      <c r="K77" s="256" t="s">
        <v>1346</v>
      </c>
    </row>
    <row r="78" spans="1:11" x14ac:dyDescent="0.3">
      <c r="A78" s="256">
        <v>17</v>
      </c>
      <c r="B78" s="257" t="s">
        <v>1379</v>
      </c>
      <c r="C78" s="276">
        <v>44336</v>
      </c>
      <c r="D78" s="257" t="s">
        <v>1259</v>
      </c>
      <c r="E78" s="256" t="s">
        <v>1788</v>
      </c>
      <c r="F78" s="256" t="s">
        <v>1873</v>
      </c>
      <c r="G78" s="258">
        <v>1000000</v>
      </c>
      <c r="H78" s="265">
        <v>0.1</v>
      </c>
      <c r="I78" s="258">
        <v>100000</v>
      </c>
      <c r="J78" s="258">
        <v>1100000</v>
      </c>
      <c r="K78" s="256" t="s">
        <v>1346</v>
      </c>
    </row>
    <row r="79" spans="1:11" x14ac:dyDescent="0.3">
      <c r="A79" s="256">
        <v>18</v>
      </c>
      <c r="B79" s="257" t="s">
        <v>1381</v>
      </c>
      <c r="C79" s="276">
        <v>44367</v>
      </c>
      <c r="D79" s="257" t="s">
        <v>1276</v>
      </c>
      <c r="E79" s="256" t="s">
        <v>1822</v>
      </c>
      <c r="F79" s="256" t="s">
        <v>1875</v>
      </c>
      <c r="G79" s="258">
        <v>1000000</v>
      </c>
      <c r="H79" s="265">
        <v>0.1</v>
      </c>
      <c r="I79" s="258">
        <v>100000</v>
      </c>
      <c r="J79" s="258">
        <v>1100000</v>
      </c>
      <c r="K79" s="256" t="s">
        <v>1346</v>
      </c>
    </row>
    <row r="80" spans="1:11" x14ac:dyDescent="0.3">
      <c r="A80" s="256">
        <v>19</v>
      </c>
      <c r="B80" s="257" t="s">
        <v>1382</v>
      </c>
      <c r="C80" s="276">
        <v>44397</v>
      </c>
      <c r="D80" s="257" t="s">
        <v>1293</v>
      </c>
      <c r="E80" s="256" t="s">
        <v>1826</v>
      </c>
      <c r="F80" s="256" t="s">
        <v>1875</v>
      </c>
      <c r="G80" s="258">
        <v>1000000</v>
      </c>
      <c r="H80" s="265">
        <v>0.1</v>
      </c>
      <c r="I80" s="258">
        <v>100000</v>
      </c>
      <c r="J80" s="258">
        <v>1100000</v>
      </c>
      <c r="K80" s="256" t="s">
        <v>1346</v>
      </c>
    </row>
    <row r="81" spans="1:11" x14ac:dyDescent="0.3">
      <c r="A81" s="256">
        <v>20</v>
      </c>
      <c r="B81" s="257" t="s">
        <v>1383</v>
      </c>
      <c r="C81" s="276">
        <v>44428</v>
      </c>
      <c r="D81" s="257" t="s">
        <v>1286</v>
      </c>
      <c r="E81" s="256" t="s">
        <v>1828</v>
      </c>
      <c r="F81" s="256" t="s">
        <v>1873</v>
      </c>
      <c r="G81" s="258">
        <v>1000000</v>
      </c>
      <c r="H81" s="265">
        <v>0.1</v>
      </c>
      <c r="I81" s="258">
        <v>100000</v>
      </c>
      <c r="J81" s="258">
        <v>1100000</v>
      </c>
      <c r="K81" s="256" t="s">
        <v>1346</v>
      </c>
    </row>
    <row r="82" spans="1:11" x14ac:dyDescent="0.3">
      <c r="A82" s="256">
        <v>21</v>
      </c>
      <c r="B82" s="257" t="s">
        <v>1203</v>
      </c>
      <c r="C82" s="276">
        <v>44459</v>
      </c>
      <c r="D82" s="257" t="s">
        <v>1261</v>
      </c>
      <c r="E82" s="256" t="s">
        <v>1813</v>
      </c>
      <c r="F82" s="256" t="s">
        <v>1873</v>
      </c>
      <c r="G82" s="258">
        <v>1000000</v>
      </c>
      <c r="H82" s="265">
        <v>0.1</v>
      </c>
      <c r="I82" s="258">
        <v>100000</v>
      </c>
      <c r="J82" s="258">
        <v>1100000</v>
      </c>
      <c r="K82" s="256" t="s">
        <v>1346</v>
      </c>
    </row>
    <row r="83" spans="1:11" x14ac:dyDescent="0.3">
      <c r="A83" s="256">
        <v>22</v>
      </c>
      <c r="B83" s="257" t="s">
        <v>1204</v>
      </c>
      <c r="C83" s="276">
        <v>44489</v>
      </c>
      <c r="D83" s="257" t="s">
        <v>1274</v>
      </c>
      <c r="E83" s="256" t="s">
        <v>1794</v>
      </c>
      <c r="F83" s="256" t="s">
        <v>1874</v>
      </c>
      <c r="G83" s="258">
        <v>1000000</v>
      </c>
      <c r="H83" s="265">
        <v>0.1</v>
      </c>
      <c r="I83" s="258">
        <v>100000</v>
      </c>
      <c r="J83" s="258">
        <v>1100000</v>
      </c>
      <c r="K83" s="256" t="s">
        <v>1346</v>
      </c>
    </row>
    <row r="84" spans="1:11" x14ac:dyDescent="0.3">
      <c r="A84" s="256">
        <v>23</v>
      </c>
      <c r="B84" s="257" t="s">
        <v>1205</v>
      </c>
      <c r="C84" s="276">
        <v>44520</v>
      </c>
      <c r="D84" s="257" t="s">
        <v>1264</v>
      </c>
      <c r="E84" s="256" t="s">
        <v>1779</v>
      </c>
      <c r="F84" s="256" t="s">
        <v>1872</v>
      </c>
      <c r="G84" s="258">
        <v>1000000</v>
      </c>
      <c r="H84" s="265">
        <v>0.1</v>
      </c>
      <c r="I84" s="258">
        <v>100000</v>
      </c>
      <c r="J84" s="258">
        <v>1100000</v>
      </c>
      <c r="K84" s="256" t="s">
        <v>1346</v>
      </c>
    </row>
    <row r="85" spans="1:11" x14ac:dyDescent="0.3">
      <c r="A85" s="256">
        <v>24</v>
      </c>
      <c r="B85" s="257" t="s">
        <v>1385</v>
      </c>
      <c r="C85" s="276">
        <v>44550</v>
      </c>
      <c r="D85" s="257" t="s">
        <v>1256</v>
      </c>
      <c r="E85" s="256" t="s">
        <v>1802</v>
      </c>
      <c r="F85" s="256" t="s">
        <v>1872</v>
      </c>
      <c r="G85" s="258">
        <v>1000000</v>
      </c>
      <c r="H85" s="265">
        <v>0.1</v>
      </c>
      <c r="I85" s="258">
        <v>100000</v>
      </c>
      <c r="J85" s="258">
        <v>1100000</v>
      </c>
      <c r="K85" s="256" t="s">
        <v>1346</v>
      </c>
    </row>
    <row r="86" spans="1:11" x14ac:dyDescent="0.3">
      <c r="A86" s="256">
        <v>25</v>
      </c>
      <c r="B86" s="257" t="s">
        <v>1387</v>
      </c>
      <c r="C86" s="276">
        <v>44221</v>
      </c>
      <c r="D86" s="257" t="s">
        <v>1277</v>
      </c>
      <c r="E86" s="256" t="s">
        <v>1783</v>
      </c>
      <c r="F86" s="256" t="s">
        <v>1875</v>
      </c>
      <c r="G86" s="258">
        <v>1000000</v>
      </c>
      <c r="H86" s="265">
        <v>0.1</v>
      </c>
      <c r="I86" s="258">
        <v>100000</v>
      </c>
      <c r="J86" s="258">
        <v>1100000</v>
      </c>
      <c r="K86" s="256" t="s">
        <v>1348</v>
      </c>
    </row>
    <row r="87" spans="1:11" x14ac:dyDescent="0.3">
      <c r="A87" s="256">
        <v>26</v>
      </c>
      <c r="B87" s="257" t="s">
        <v>1388</v>
      </c>
      <c r="C87" s="276">
        <v>44255</v>
      </c>
      <c r="D87" s="257" t="s">
        <v>1276</v>
      </c>
      <c r="E87" s="256" t="s">
        <v>1822</v>
      </c>
      <c r="F87" s="256" t="s">
        <v>1872</v>
      </c>
      <c r="G87" s="258">
        <v>1000000</v>
      </c>
      <c r="H87" s="265">
        <v>0.1</v>
      </c>
      <c r="I87" s="258">
        <v>100000</v>
      </c>
      <c r="J87" s="258">
        <v>1100000</v>
      </c>
      <c r="K87" s="256" t="s">
        <v>1346</v>
      </c>
    </row>
    <row r="88" spans="1:11" x14ac:dyDescent="0.3">
      <c r="A88" s="256">
        <v>27</v>
      </c>
      <c r="B88" s="257" t="s">
        <v>1391</v>
      </c>
      <c r="C88" s="276">
        <v>44316</v>
      </c>
      <c r="D88" s="257" t="s">
        <v>1267</v>
      </c>
      <c r="E88" s="256" t="s">
        <v>1810</v>
      </c>
      <c r="F88" s="256" t="s">
        <v>1873</v>
      </c>
      <c r="G88" s="258">
        <v>1000000</v>
      </c>
      <c r="H88" s="265">
        <v>0.1</v>
      </c>
      <c r="I88" s="258">
        <v>100000</v>
      </c>
      <c r="J88" s="258">
        <v>1100000</v>
      </c>
      <c r="K88" s="256" t="s">
        <v>1348</v>
      </c>
    </row>
    <row r="89" spans="1:11" x14ac:dyDescent="0.3">
      <c r="A89" s="256">
        <v>28</v>
      </c>
      <c r="B89" s="257" t="s">
        <v>1392</v>
      </c>
      <c r="C89" s="276">
        <v>44377</v>
      </c>
      <c r="D89" s="257" t="s">
        <v>1257</v>
      </c>
      <c r="E89" s="256" t="s">
        <v>1815</v>
      </c>
      <c r="F89" s="256" t="s">
        <v>1872</v>
      </c>
      <c r="G89" s="258">
        <v>1000000</v>
      </c>
      <c r="H89" s="265">
        <v>0.1</v>
      </c>
      <c r="I89" s="258">
        <v>100000</v>
      </c>
      <c r="J89" s="258">
        <v>1100000</v>
      </c>
      <c r="K89" s="256" t="s">
        <v>1346</v>
      </c>
    </row>
    <row r="90" spans="1:11" x14ac:dyDescent="0.3">
      <c r="A90" s="256">
        <v>29</v>
      </c>
      <c r="B90" s="257" t="s">
        <v>1394</v>
      </c>
      <c r="C90" s="276">
        <v>44469</v>
      </c>
      <c r="D90" s="257" t="s">
        <v>1299</v>
      </c>
      <c r="E90" s="256" t="s">
        <v>1776</v>
      </c>
      <c r="F90" s="256" t="s">
        <v>1873</v>
      </c>
      <c r="G90" s="258">
        <v>1000000</v>
      </c>
      <c r="H90" s="265">
        <v>0.1</v>
      </c>
      <c r="I90" s="258">
        <v>100000</v>
      </c>
      <c r="J90" s="258">
        <v>1100000</v>
      </c>
      <c r="K90" s="256" t="s">
        <v>1346</v>
      </c>
    </row>
    <row r="91" spans="1:11" x14ac:dyDescent="0.3">
      <c r="A91" s="256">
        <v>30</v>
      </c>
      <c r="B91" s="257" t="s">
        <v>1396</v>
      </c>
      <c r="C91" s="276">
        <v>44530</v>
      </c>
      <c r="D91" s="257" t="s">
        <v>1260</v>
      </c>
      <c r="E91" s="256" t="s">
        <v>1804</v>
      </c>
      <c r="F91" s="256" t="s">
        <v>1874</v>
      </c>
      <c r="G91" s="258">
        <v>1000000</v>
      </c>
      <c r="H91" s="265">
        <v>0.1</v>
      </c>
      <c r="I91" s="258">
        <v>100000</v>
      </c>
      <c r="J91" s="258">
        <v>1100000</v>
      </c>
      <c r="K91" s="256" t="s">
        <v>1346</v>
      </c>
    </row>
    <row r="92" spans="1:11" x14ac:dyDescent="0.3">
      <c r="A92" s="256">
        <v>31</v>
      </c>
      <c r="B92" s="257" t="s">
        <v>1397</v>
      </c>
      <c r="C92" s="276">
        <v>44286</v>
      </c>
      <c r="D92" s="257" t="s">
        <v>1273</v>
      </c>
      <c r="E92" s="256" t="s">
        <v>1829</v>
      </c>
      <c r="F92" s="256" t="s">
        <v>1874</v>
      </c>
      <c r="G92" s="258">
        <v>1000000</v>
      </c>
      <c r="H92" s="265">
        <v>0.1</v>
      </c>
      <c r="I92" s="258">
        <v>100000</v>
      </c>
      <c r="J92" s="258">
        <v>1100000</v>
      </c>
      <c r="K92" s="256" t="s">
        <v>1346</v>
      </c>
    </row>
    <row r="93" spans="1:11" x14ac:dyDescent="0.3">
      <c r="A93" s="256">
        <v>32</v>
      </c>
      <c r="B93" s="257" t="s">
        <v>1398</v>
      </c>
      <c r="C93" s="276">
        <v>44347</v>
      </c>
      <c r="D93" s="257" t="s">
        <v>1282</v>
      </c>
      <c r="E93" s="256" t="s">
        <v>1789</v>
      </c>
      <c r="F93" s="256" t="s">
        <v>1874</v>
      </c>
      <c r="G93" s="258">
        <v>1000000</v>
      </c>
      <c r="H93" s="265">
        <v>0.1</v>
      </c>
      <c r="I93" s="258">
        <v>100000</v>
      </c>
      <c r="J93" s="258">
        <v>1100000</v>
      </c>
      <c r="K93" s="256" t="s">
        <v>1346</v>
      </c>
    </row>
    <row r="94" spans="1:11" x14ac:dyDescent="0.3">
      <c r="A94" s="256">
        <v>33</v>
      </c>
      <c r="B94" s="257" t="s">
        <v>1399</v>
      </c>
      <c r="C94" s="276">
        <v>44408</v>
      </c>
      <c r="D94" s="257" t="s">
        <v>1255</v>
      </c>
      <c r="E94" s="273">
        <v>46152</v>
      </c>
      <c r="F94" s="256" t="s">
        <v>1874</v>
      </c>
      <c r="G94" s="258">
        <v>1000000</v>
      </c>
      <c r="H94" s="265">
        <v>0.1</v>
      </c>
      <c r="I94" s="258">
        <v>100000</v>
      </c>
      <c r="J94" s="258">
        <v>1100000</v>
      </c>
      <c r="K94" s="256" t="s">
        <v>1348</v>
      </c>
    </row>
    <row r="95" spans="1:11" x14ac:dyDescent="0.3">
      <c r="A95" s="256">
        <v>34</v>
      </c>
      <c r="B95" s="257" t="s">
        <v>1401</v>
      </c>
      <c r="C95" s="276">
        <v>44439</v>
      </c>
      <c r="D95" s="257" t="s">
        <v>1290</v>
      </c>
      <c r="E95" s="256" t="s">
        <v>1796</v>
      </c>
      <c r="F95" s="256" t="s">
        <v>1873</v>
      </c>
      <c r="G95" s="258">
        <v>1000000</v>
      </c>
      <c r="H95" s="265">
        <v>0.1</v>
      </c>
      <c r="I95" s="258">
        <v>100000</v>
      </c>
      <c r="J95" s="258">
        <v>1100000</v>
      </c>
      <c r="K95" s="256" t="s">
        <v>1346</v>
      </c>
    </row>
    <row r="96" spans="1:11" x14ac:dyDescent="0.3">
      <c r="A96" s="256">
        <v>35</v>
      </c>
      <c r="B96" s="257" t="s">
        <v>1402</v>
      </c>
      <c r="C96" s="276">
        <v>44500</v>
      </c>
      <c r="D96" s="257" t="s">
        <v>1292</v>
      </c>
      <c r="E96" s="256" t="s">
        <v>1792</v>
      </c>
      <c r="F96" s="256" t="s">
        <v>1872</v>
      </c>
      <c r="G96" s="258">
        <v>1000000</v>
      </c>
      <c r="H96" s="265">
        <v>0.1</v>
      </c>
      <c r="I96" s="258">
        <v>100000</v>
      </c>
      <c r="J96" s="258">
        <v>1100000</v>
      </c>
      <c r="K96" s="256" t="s">
        <v>1348</v>
      </c>
    </row>
    <row r="97" spans="1:11" x14ac:dyDescent="0.3">
      <c r="A97" s="256">
        <v>36</v>
      </c>
      <c r="B97" s="257" t="s">
        <v>1403</v>
      </c>
      <c r="C97" s="276">
        <v>44561</v>
      </c>
      <c r="D97" s="257" t="s">
        <v>1267</v>
      </c>
      <c r="E97" s="256" t="s">
        <v>1810</v>
      </c>
      <c r="F97" s="256" t="s">
        <v>1873</v>
      </c>
      <c r="G97" s="258">
        <v>1000000</v>
      </c>
      <c r="H97" s="265">
        <v>0.1</v>
      </c>
      <c r="I97" s="258">
        <v>100000</v>
      </c>
      <c r="J97" s="258">
        <v>1100000</v>
      </c>
      <c r="K97" s="256" t="s">
        <v>1346</v>
      </c>
    </row>
    <row r="98" spans="1:11" x14ac:dyDescent="0.3">
      <c r="A98" s="256">
        <v>37</v>
      </c>
      <c r="B98" s="257" t="s">
        <v>1404</v>
      </c>
      <c r="C98" s="276">
        <v>44561</v>
      </c>
      <c r="D98" s="257" t="s">
        <v>1290</v>
      </c>
      <c r="E98" s="256" t="s">
        <v>1796</v>
      </c>
      <c r="F98" s="256" t="s">
        <v>1873</v>
      </c>
      <c r="G98" s="258">
        <v>1000000</v>
      </c>
      <c r="H98" s="265">
        <v>0.1</v>
      </c>
      <c r="I98" s="258">
        <v>100000</v>
      </c>
      <c r="J98" s="258">
        <v>1100000</v>
      </c>
      <c r="K98" s="256" t="s">
        <v>1346</v>
      </c>
    </row>
    <row r="99" spans="1:11" x14ac:dyDescent="0.3">
      <c r="A99" s="256">
        <v>38</v>
      </c>
      <c r="B99" s="257" t="s">
        <v>1405</v>
      </c>
      <c r="C99" s="276">
        <v>44561</v>
      </c>
      <c r="D99" s="257" t="s">
        <v>1273</v>
      </c>
      <c r="E99" s="256" t="s">
        <v>1829</v>
      </c>
      <c r="F99" s="256" t="s">
        <v>1875</v>
      </c>
      <c r="G99" s="258">
        <v>1000000</v>
      </c>
      <c r="H99" s="265">
        <v>0.1</v>
      </c>
      <c r="I99" s="258">
        <v>100000</v>
      </c>
      <c r="J99" s="258">
        <v>1100000</v>
      </c>
      <c r="K99" s="256" t="s">
        <v>1346</v>
      </c>
    </row>
    <row r="100" spans="1:11" x14ac:dyDescent="0.3">
      <c r="A100" s="256">
        <v>39</v>
      </c>
      <c r="B100" s="257" t="s">
        <v>1406</v>
      </c>
      <c r="C100" s="276">
        <v>44561</v>
      </c>
      <c r="D100" s="257" t="s">
        <v>1298</v>
      </c>
      <c r="E100" s="256" t="s">
        <v>1819</v>
      </c>
      <c r="F100" s="256" t="s">
        <v>1872</v>
      </c>
      <c r="G100" s="258">
        <v>1000000</v>
      </c>
      <c r="H100" s="265">
        <v>0.1</v>
      </c>
      <c r="I100" s="258">
        <v>100000</v>
      </c>
      <c r="J100" s="258">
        <v>1100000</v>
      </c>
      <c r="K100" s="256" t="s">
        <v>1346</v>
      </c>
    </row>
    <row r="101" spans="1:11" x14ac:dyDescent="0.3">
      <c r="A101" s="256">
        <v>40</v>
      </c>
      <c r="B101" s="257" t="s">
        <v>1408</v>
      </c>
      <c r="C101" s="276">
        <v>44561</v>
      </c>
      <c r="D101" s="257" t="s">
        <v>1294</v>
      </c>
      <c r="E101" s="256" t="s">
        <v>1795</v>
      </c>
      <c r="F101" s="256" t="s">
        <v>1872</v>
      </c>
      <c r="G101" s="258">
        <v>1000000</v>
      </c>
      <c r="H101" s="265">
        <v>0.1</v>
      </c>
      <c r="I101" s="258">
        <v>100000</v>
      </c>
      <c r="J101" s="258">
        <v>1100000</v>
      </c>
      <c r="K101" s="256" t="s">
        <v>1346</v>
      </c>
    </row>
    <row r="102" spans="1:11" x14ac:dyDescent="0.3">
      <c r="A102" s="256">
        <v>41</v>
      </c>
      <c r="B102" s="257" t="s">
        <v>1409</v>
      </c>
      <c r="C102" s="276">
        <v>44561</v>
      </c>
      <c r="D102" s="257" t="s">
        <v>1302</v>
      </c>
      <c r="E102" s="256" t="s">
        <v>1784</v>
      </c>
      <c r="F102" s="256" t="s">
        <v>1875</v>
      </c>
      <c r="G102" s="258">
        <v>1000000</v>
      </c>
      <c r="H102" s="265">
        <v>0.1</v>
      </c>
      <c r="I102" s="258">
        <v>100000</v>
      </c>
      <c r="J102" s="258">
        <v>1100000</v>
      </c>
      <c r="K102" s="256" t="s">
        <v>1348</v>
      </c>
    </row>
    <row r="103" spans="1:11" x14ac:dyDescent="0.3">
      <c r="A103" s="256">
        <v>42</v>
      </c>
      <c r="B103" s="257" t="s">
        <v>1411</v>
      </c>
      <c r="C103" s="276">
        <v>44561</v>
      </c>
      <c r="D103" s="257" t="s">
        <v>1282</v>
      </c>
      <c r="E103" s="256" t="s">
        <v>1789</v>
      </c>
      <c r="F103" s="256" t="s">
        <v>1875</v>
      </c>
      <c r="G103" s="258">
        <v>1000000</v>
      </c>
      <c r="H103" s="265">
        <v>0.1</v>
      </c>
      <c r="I103" s="258">
        <v>100000</v>
      </c>
      <c r="J103" s="258">
        <v>1100000</v>
      </c>
      <c r="K103" s="256" t="s">
        <v>1346</v>
      </c>
    </row>
    <row r="104" spans="1:11" x14ac:dyDescent="0.3">
      <c r="A104" s="256">
        <v>43</v>
      </c>
      <c r="B104" s="257" t="s">
        <v>1414</v>
      </c>
      <c r="C104" s="276">
        <v>44561</v>
      </c>
      <c r="D104" s="257" t="s">
        <v>1304</v>
      </c>
      <c r="E104" s="256" t="s">
        <v>1831</v>
      </c>
      <c r="F104" s="256" t="s">
        <v>1875</v>
      </c>
      <c r="G104" s="258">
        <v>2000000</v>
      </c>
      <c r="H104" s="265">
        <v>0.1</v>
      </c>
      <c r="I104" s="258">
        <v>200000</v>
      </c>
      <c r="J104" s="258">
        <v>2200000</v>
      </c>
      <c r="K104" s="256" t="s">
        <v>1348</v>
      </c>
    </row>
    <row r="105" spans="1:11" x14ac:dyDescent="0.3">
      <c r="A105" s="256">
        <v>44</v>
      </c>
      <c r="B105" s="257" t="s">
        <v>1415</v>
      </c>
      <c r="C105" s="276">
        <v>44561</v>
      </c>
      <c r="D105" s="257" t="s">
        <v>1286</v>
      </c>
      <c r="E105" s="256" t="s">
        <v>1828</v>
      </c>
      <c r="F105" s="256" t="s">
        <v>1875</v>
      </c>
      <c r="G105" s="258">
        <v>2000000</v>
      </c>
      <c r="H105" s="265">
        <v>0.1</v>
      </c>
      <c r="I105" s="258">
        <v>200000</v>
      </c>
      <c r="J105" s="258">
        <v>2200000</v>
      </c>
      <c r="K105" s="256" t="s">
        <v>1348</v>
      </c>
    </row>
    <row r="106" spans="1:11" x14ac:dyDescent="0.3">
      <c r="A106" s="256">
        <v>45</v>
      </c>
      <c r="B106" s="257" t="s">
        <v>1206</v>
      </c>
      <c r="C106" s="276">
        <v>44561</v>
      </c>
      <c r="D106" s="257" t="s">
        <v>1299</v>
      </c>
      <c r="E106" s="256" t="s">
        <v>1776</v>
      </c>
      <c r="F106" s="256" t="s">
        <v>1872</v>
      </c>
      <c r="G106" s="258">
        <v>1000000</v>
      </c>
      <c r="H106" s="265">
        <v>0.1</v>
      </c>
      <c r="I106" s="258">
        <v>100000</v>
      </c>
      <c r="J106" s="258">
        <v>1100000</v>
      </c>
      <c r="K106" s="256" t="s">
        <v>1346</v>
      </c>
    </row>
    <row r="107" spans="1:11" x14ac:dyDescent="0.3">
      <c r="A107" s="256">
        <v>46</v>
      </c>
      <c r="B107" s="257" t="s">
        <v>1207</v>
      </c>
      <c r="C107" s="276">
        <v>44561</v>
      </c>
      <c r="D107" s="257" t="s">
        <v>1304</v>
      </c>
      <c r="E107" s="256" t="s">
        <v>1831</v>
      </c>
      <c r="F107" s="256" t="s">
        <v>1873</v>
      </c>
      <c r="G107" s="258">
        <v>1000000</v>
      </c>
      <c r="H107" s="265">
        <v>0.1</v>
      </c>
      <c r="I107" s="258">
        <v>100000</v>
      </c>
      <c r="J107" s="258">
        <v>1100000</v>
      </c>
      <c r="K107" s="256" t="s">
        <v>1348</v>
      </c>
    </row>
    <row r="108" spans="1:11" x14ac:dyDescent="0.3">
      <c r="A108" s="256">
        <v>47</v>
      </c>
      <c r="B108" s="257" t="s">
        <v>1208</v>
      </c>
      <c r="C108" s="276">
        <v>44561</v>
      </c>
      <c r="D108" s="257" t="s">
        <v>1285</v>
      </c>
      <c r="E108" s="256" t="s">
        <v>1793</v>
      </c>
      <c r="F108" s="256" t="s">
        <v>1874</v>
      </c>
      <c r="G108" s="258">
        <v>2000000</v>
      </c>
      <c r="H108" s="265">
        <v>0.1</v>
      </c>
      <c r="I108" s="258">
        <v>200000</v>
      </c>
      <c r="J108" s="258">
        <v>2200000</v>
      </c>
      <c r="K108" s="256" t="s">
        <v>1348</v>
      </c>
    </row>
    <row r="109" spans="1:11" x14ac:dyDescent="0.3">
      <c r="A109" s="256">
        <v>48</v>
      </c>
      <c r="B109" s="257" t="s">
        <v>1209</v>
      </c>
      <c r="C109" s="276">
        <v>44561</v>
      </c>
      <c r="D109" s="257" t="s">
        <v>1295</v>
      </c>
      <c r="E109" s="256" t="s">
        <v>1825</v>
      </c>
      <c r="F109" s="256" t="s">
        <v>1875</v>
      </c>
      <c r="G109" s="258">
        <v>1000000</v>
      </c>
      <c r="H109" s="265">
        <v>0.1</v>
      </c>
      <c r="I109" s="258">
        <v>100000</v>
      </c>
      <c r="J109" s="258">
        <v>1100000</v>
      </c>
      <c r="K109" s="256" t="s">
        <v>1346</v>
      </c>
    </row>
    <row r="110" spans="1:11" x14ac:dyDescent="0.3">
      <c r="A110" s="256">
        <v>49</v>
      </c>
      <c r="B110" s="257" t="s">
        <v>1418</v>
      </c>
      <c r="C110" s="276">
        <v>44561</v>
      </c>
      <c r="D110" s="257" t="s">
        <v>1295</v>
      </c>
      <c r="E110" s="256" t="s">
        <v>1825</v>
      </c>
      <c r="F110" s="256" t="s">
        <v>1875</v>
      </c>
      <c r="G110" s="258">
        <v>1000000</v>
      </c>
      <c r="H110" s="265">
        <v>0.1</v>
      </c>
      <c r="I110" s="258">
        <v>100000</v>
      </c>
      <c r="J110" s="258">
        <v>1100000</v>
      </c>
      <c r="K110" s="256" t="s">
        <v>1346</v>
      </c>
    </row>
    <row r="111" spans="1:11" x14ac:dyDescent="0.3">
      <c r="A111" s="256">
        <v>50</v>
      </c>
      <c r="B111" s="257" t="s">
        <v>1419</v>
      </c>
      <c r="C111" s="276">
        <v>44561</v>
      </c>
      <c r="D111" s="257" t="s">
        <v>1257</v>
      </c>
      <c r="E111" s="256" t="s">
        <v>1815</v>
      </c>
      <c r="F111" s="256" t="s">
        <v>1875</v>
      </c>
      <c r="G111" s="258">
        <v>1000000</v>
      </c>
      <c r="H111" s="265">
        <v>0.1</v>
      </c>
      <c r="I111" s="258">
        <v>100000</v>
      </c>
      <c r="J111" s="258">
        <v>1100000</v>
      </c>
      <c r="K111" s="256" t="s">
        <v>1346</v>
      </c>
    </row>
    <row r="112" spans="1:11" x14ac:dyDescent="0.3">
      <c r="A112" s="266" t="s">
        <v>1351</v>
      </c>
      <c r="B112" s="266"/>
      <c r="C112" s="266"/>
      <c r="D112" s="266"/>
      <c r="E112" s="266"/>
      <c r="F112" s="266"/>
      <c r="G112" s="267">
        <f>SUM(G62:G111)</f>
        <v>55000000</v>
      </c>
      <c r="H112" s="266"/>
      <c r="I112" s="267">
        <f>SUM(I62:I111)</f>
        <v>5300000</v>
      </c>
      <c r="J112" s="267">
        <f>SUM(J62:J111)</f>
        <v>60300000</v>
      </c>
      <c r="K112" s="266"/>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cols>
    <col min="5" max="5" width="18.109375" bestFit="1" customWidth="1"/>
    <col min="7" max="7" width="12.88671875" bestFit="1" customWidth="1"/>
    <col min="10" max="10" width="12.88671875" bestFit="1" customWidth="1"/>
  </cols>
  <sheetData>
    <row r="1" spans="1:11" x14ac:dyDescent="0.3">
      <c r="A1" s="256" t="s">
        <v>1340</v>
      </c>
      <c r="B1" s="256" t="s">
        <v>1065</v>
      </c>
      <c r="C1" s="256"/>
      <c r="D1" s="256"/>
      <c r="E1" s="256"/>
      <c r="F1" s="256"/>
      <c r="G1" s="256"/>
      <c r="H1" s="256"/>
      <c r="I1" s="256"/>
      <c r="J1" s="256"/>
      <c r="K1" s="256"/>
    </row>
    <row r="2" spans="1:11" x14ac:dyDescent="0.3">
      <c r="A2" s="256" t="s">
        <v>1339</v>
      </c>
      <c r="B2" s="257">
        <v>109528912</v>
      </c>
      <c r="C2" s="256"/>
      <c r="D2" s="256"/>
      <c r="E2" s="256"/>
      <c r="F2" s="256"/>
      <c r="G2" s="256"/>
      <c r="H2" s="256"/>
      <c r="I2" s="256"/>
      <c r="J2" s="256"/>
      <c r="K2" s="256"/>
    </row>
    <row r="3" spans="1:11" x14ac:dyDescent="0.3">
      <c r="A3" s="256" t="s">
        <v>1343</v>
      </c>
      <c r="B3" s="258">
        <v>197025017432</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1469</v>
      </c>
      <c r="C8" s="276">
        <v>44317</v>
      </c>
      <c r="D8" s="257" t="s">
        <v>1264</v>
      </c>
      <c r="E8" s="256" t="s">
        <v>1779</v>
      </c>
      <c r="F8" s="256" t="s">
        <v>1734</v>
      </c>
      <c r="G8" s="258">
        <v>1269000000</v>
      </c>
      <c r="H8" s="265">
        <v>0.1</v>
      </c>
      <c r="I8" s="258">
        <v>126900000</v>
      </c>
      <c r="J8" s="258">
        <v>1395900000</v>
      </c>
      <c r="K8" s="256" t="s">
        <v>1346</v>
      </c>
    </row>
    <row r="9" spans="1:11" x14ac:dyDescent="0.3">
      <c r="A9" s="256">
        <v>2</v>
      </c>
      <c r="B9" s="257" t="s">
        <v>1467</v>
      </c>
      <c r="C9" s="276">
        <v>44318</v>
      </c>
      <c r="D9" s="257" t="s">
        <v>1301</v>
      </c>
      <c r="E9" s="256" t="s">
        <v>1781</v>
      </c>
      <c r="F9" s="256" t="s">
        <v>1869</v>
      </c>
      <c r="G9" s="258">
        <v>3410000000</v>
      </c>
      <c r="H9" s="265">
        <v>0.1</v>
      </c>
      <c r="I9" s="258">
        <v>341000000</v>
      </c>
      <c r="J9" s="258">
        <v>3751000000</v>
      </c>
      <c r="K9" s="256" t="s">
        <v>1346</v>
      </c>
    </row>
    <row r="10" spans="1:11" x14ac:dyDescent="0.3">
      <c r="A10" s="256">
        <v>3</v>
      </c>
      <c r="B10" s="257" t="s">
        <v>1213</v>
      </c>
      <c r="C10" s="276">
        <v>44472</v>
      </c>
      <c r="D10" s="257" t="s">
        <v>1304</v>
      </c>
      <c r="E10" s="256" t="s">
        <v>1831</v>
      </c>
      <c r="F10" s="256" t="s">
        <v>1871</v>
      </c>
      <c r="G10" s="258">
        <v>1781000000</v>
      </c>
      <c r="H10" s="265">
        <v>0.1</v>
      </c>
      <c r="I10" s="258">
        <v>178100000</v>
      </c>
      <c r="J10" s="258">
        <v>1959100000</v>
      </c>
      <c r="K10" s="256" t="s">
        <v>1346</v>
      </c>
    </row>
    <row r="11" spans="1:11" x14ac:dyDescent="0.3">
      <c r="A11" s="256">
        <v>4</v>
      </c>
      <c r="B11" s="257" t="s">
        <v>1481</v>
      </c>
      <c r="C11" s="276">
        <v>44473</v>
      </c>
      <c r="D11" s="257" t="s">
        <v>1257</v>
      </c>
      <c r="E11" s="256" t="s">
        <v>1815</v>
      </c>
      <c r="F11" s="256" t="s">
        <v>1741</v>
      </c>
      <c r="G11" s="258">
        <v>4549000000</v>
      </c>
      <c r="H11" s="265">
        <v>0</v>
      </c>
      <c r="I11" s="258">
        <v>0</v>
      </c>
      <c r="J11" s="258">
        <v>4549000000</v>
      </c>
      <c r="K11" s="256" t="s">
        <v>1348</v>
      </c>
    </row>
    <row r="12" spans="1:11" x14ac:dyDescent="0.3">
      <c r="A12" s="256">
        <v>5</v>
      </c>
      <c r="B12" s="257" t="s">
        <v>1464</v>
      </c>
      <c r="C12" s="276">
        <v>44474</v>
      </c>
      <c r="D12" s="257" t="s">
        <v>1269</v>
      </c>
      <c r="E12" s="256" t="s">
        <v>1823</v>
      </c>
      <c r="F12" s="256" t="s">
        <v>1870</v>
      </c>
      <c r="G12" s="258">
        <v>3011000000</v>
      </c>
      <c r="H12" s="265">
        <v>0.1</v>
      </c>
      <c r="I12" s="258">
        <v>301100000</v>
      </c>
      <c r="J12" s="258">
        <v>3312100000</v>
      </c>
      <c r="K12" s="256" t="s">
        <v>1348</v>
      </c>
    </row>
    <row r="13" spans="1:11" x14ac:dyDescent="0.3">
      <c r="A13" s="256">
        <v>6</v>
      </c>
      <c r="B13" s="257" t="s">
        <v>1482</v>
      </c>
      <c r="C13" s="276">
        <v>44475</v>
      </c>
      <c r="D13" s="257" t="s">
        <v>1257</v>
      </c>
      <c r="E13" s="256" t="s">
        <v>1815</v>
      </c>
      <c r="F13" s="256" t="s">
        <v>1870</v>
      </c>
      <c r="G13" s="258">
        <v>4165000000</v>
      </c>
      <c r="H13" s="265">
        <v>0.1</v>
      </c>
      <c r="I13" s="258">
        <v>416500000</v>
      </c>
      <c r="J13" s="258">
        <v>4581500000</v>
      </c>
      <c r="K13" s="256" t="s">
        <v>1346</v>
      </c>
    </row>
    <row r="14" spans="1:11" x14ac:dyDescent="0.3">
      <c r="A14" s="256">
        <v>7</v>
      </c>
      <c r="B14" s="257" t="s">
        <v>1471</v>
      </c>
      <c r="C14" s="276">
        <v>44476</v>
      </c>
      <c r="D14" s="257" t="s">
        <v>1302</v>
      </c>
      <c r="E14" s="256" t="s">
        <v>1784</v>
      </c>
      <c r="F14" s="256" t="s">
        <v>1741</v>
      </c>
      <c r="G14" s="258">
        <v>1613000000</v>
      </c>
      <c r="H14" s="265">
        <v>0.1</v>
      </c>
      <c r="I14" s="258">
        <v>161300000</v>
      </c>
      <c r="J14" s="258">
        <v>1774300000</v>
      </c>
      <c r="K14" s="256" t="s">
        <v>1346</v>
      </c>
    </row>
    <row r="15" spans="1:11" x14ac:dyDescent="0.3">
      <c r="A15" s="256">
        <v>8</v>
      </c>
      <c r="B15" s="257" t="s">
        <v>1414</v>
      </c>
      <c r="C15" s="276">
        <v>44477</v>
      </c>
      <c r="D15" s="257" t="s">
        <v>1296</v>
      </c>
      <c r="E15" s="256" t="s">
        <v>1807</v>
      </c>
      <c r="F15" s="256" t="s">
        <v>1730</v>
      </c>
      <c r="G15" s="258">
        <v>1892000000</v>
      </c>
      <c r="H15" s="265">
        <v>0.1</v>
      </c>
      <c r="I15" s="258">
        <v>189200000</v>
      </c>
      <c r="J15" s="258">
        <v>2081200000</v>
      </c>
      <c r="K15" s="256" t="s">
        <v>1346</v>
      </c>
    </row>
    <row r="16" spans="1:11" x14ac:dyDescent="0.3">
      <c r="A16" s="256">
        <v>9</v>
      </c>
      <c r="B16" s="257" t="s">
        <v>1470</v>
      </c>
      <c r="C16" s="276">
        <v>44478</v>
      </c>
      <c r="D16" s="257" t="s">
        <v>1264</v>
      </c>
      <c r="E16" s="256" t="s">
        <v>1779</v>
      </c>
      <c r="F16" s="256" t="s">
        <v>1869</v>
      </c>
      <c r="G16" s="258">
        <v>2624000000</v>
      </c>
      <c r="H16" s="265">
        <v>0</v>
      </c>
      <c r="I16" s="258">
        <v>0</v>
      </c>
      <c r="J16" s="258">
        <v>2624000000</v>
      </c>
      <c r="K16" s="256" t="s">
        <v>1346</v>
      </c>
    </row>
    <row r="17" spans="1:11" x14ac:dyDescent="0.3">
      <c r="A17" s="256">
        <v>10</v>
      </c>
      <c r="B17" s="257" t="s">
        <v>1419</v>
      </c>
      <c r="C17" s="276">
        <v>44479</v>
      </c>
      <c r="D17" s="257" t="s">
        <v>1286</v>
      </c>
      <c r="E17" s="256" t="s">
        <v>1828</v>
      </c>
      <c r="F17" s="256" t="s">
        <v>1741</v>
      </c>
      <c r="G17" s="258">
        <v>4059000000</v>
      </c>
      <c r="H17" s="265">
        <v>0.1</v>
      </c>
      <c r="I17" s="258">
        <v>405900000</v>
      </c>
      <c r="J17" s="258">
        <v>4464900000</v>
      </c>
      <c r="K17" s="256" t="s">
        <v>1346</v>
      </c>
    </row>
    <row r="18" spans="1:11" x14ac:dyDescent="0.3">
      <c r="A18" s="256">
        <v>11</v>
      </c>
      <c r="B18" s="257" t="s">
        <v>1485</v>
      </c>
      <c r="C18" s="276">
        <v>44480</v>
      </c>
      <c r="D18" s="257" t="s">
        <v>1263</v>
      </c>
      <c r="E18" s="256" t="s">
        <v>1790</v>
      </c>
      <c r="F18" s="256" t="s">
        <v>1734</v>
      </c>
      <c r="G18" s="258">
        <v>1458000000</v>
      </c>
      <c r="H18" s="265">
        <v>0.1</v>
      </c>
      <c r="I18" s="258">
        <v>145800000</v>
      </c>
      <c r="J18" s="258">
        <v>1603800000</v>
      </c>
      <c r="K18" s="256" t="s">
        <v>1348</v>
      </c>
    </row>
    <row r="19" spans="1:11" x14ac:dyDescent="0.3">
      <c r="A19" s="256">
        <v>12</v>
      </c>
      <c r="B19" s="257" t="s">
        <v>1480</v>
      </c>
      <c r="C19" s="276">
        <v>44481</v>
      </c>
      <c r="D19" s="257" t="s">
        <v>1280</v>
      </c>
      <c r="E19" s="256" t="s">
        <v>1777</v>
      </c>
      <c r="F19" s="256" t="s">
        <v>1869</v>
      </c>
      <c r="G19" s="258">
        <v>2332000000</v>
      </c>
      <c r="H19" s="265">
        <v>0.1</v>
      </c>
      <c r="I19" s="258">
        <v>233200000</v>
      </c>
      <c r="J19" s="258">
        <v>2565200000</v>
      </c>
      <c r="K19" s="256" t="s">
        <v>1346</v>
      </c>
    </row>
    <row r="20" spans="1:11" x14ac:dyDescent="0.3">
      <c r="A20" s="256">
        <v>13</v>
      </c>
      <c r="B20" s="257" t="s">
        <v>1502</v>
      </c>
      <c r="C20" s="276">
        <v>44211</v>
      </c>
      <c r="D20" s="257" t="s">
        <v>1272</v>
      </c>
      <c r="E20" s="256" t="s">
        <v>1805</v>
      </c>
      <c r="F20" s="256" t="s">
        <v>1730</v>
      </c>
      <c r="G20" s="258">
        <v>2450000000</v>
      </c>
      <c r="H20" s="265">
        <v>0.1</v>
      </c>
      <c r="I20" s="258">
        <v>245000000</v>
      </c>
      <c r="J20" s="258">
        <v>2695000000</v>
      </c>
      <c r="K20" s="256" t="s">
        <v>1346</v>
      </c>
    </row>
    <row r="21" spans="1:11" x14ac:dyDescent="0.3">
      <c r="A21" s="256">
        <v>14</v>
      </c>
      <c r="B21" s="257" t="s">
        <v>1471</v>
      </c>
      <c r="C21" s="276">
        <v>44242</v>
      </c>
      <c r="D21" s="257" t="s">
        <v>1264</v>
      </c>
      <c r="E21" s="256" t="s">
        <v>1779</v>
      </c>
      <c r="F21" s="256" t="s">
        <v>1734</v>
      </c>
      <c r="G21" s="258">
        <v>1962000000</v>
      </c>
      <c r="H21" s="265">
        <v>0.1</v>
      </c>
      <c r="I21" s="258">
        <v>196200000</v>
      </c>
      <c r="J21" s="258">
        <v>2158200000</v>
      </c>
      <c r="K21" s="256" t="s">
        <v>1346</v>
      </c>
    </row>
    <row r="22" spans="1:11" x14ac:dyDescent="0.3">
      <c r="A22" s="256">
        <v>15</v>
      </c>
      <c r="B22" s="257" t="s">
        <v>1206</v>
      </c>
      <c r="C22" s="276">
        <v>44275</v>
      </c>
      <c r="D22" s="257" t="s">
        <v>1298</v>
      </c>
      <c r="E22" s="256" t="s">
        <v>1819</v>
      </c>
      <c r="F22" s="256" t="s">
        <v>1870</v>
      </c>
      <c r="G22" s="258">
        <v>1229000000</v>
      </c>
      <c r="H22" s="265">
        <v>0.1</v>
      </c>
      <c r="I22" s="258">
        <v>122900000</v>
      </c>
      <c r="J22" s="258">
        <v>1351900000</v>
      </c>
      <c r="K22" s="256" t="s">
        <v>1346</v>
      </c>
    </row>
    <row r="23" spans="1:11" x14ac:dyDescent="0.3">
      <c r="A23" s="256">
        <v>16</v>
      </c>
      <c r="B23" s="257" t="s">
        <v>1491</v>
      </c>
      <c r="C23" s="276">
        <v>44306</v>
      </c>
      <c r="D23" s="257" t="s">
        <v>1282</v>
      </c>
      <c r="E23" s="256" t="s">
        <v>1789</v>
      </c>
      <c r="F23" s="256" t="s">
        <v>1731</v>
      </c>
      <c r="G23" s="258">
        <v>2638000000</v>
      </c>
      <c r="H23" s="265">
        <v>0.1</v>
      </c>
      <c r="I23" s="258">
        <v>263800000</v>
      </c>
      <c r="J23" s="258">
        <v>2901800000</v>
      </c>
      <c r="K23" s="256" t="s">
        <v>1346</v>
      </c>
    </row>
    <row r="24" spans="1:11" x14ac:dyDescent="0.3">
      <c r="A24" s="256">
        <v>17</v>
      </c>
      <c r="B24" s="257" t="s">
        <v>1505</v>
      </c>
      <c r="C24" s="276">
        <v>44336</v>
      </c>
      <c r="D24" s="257" t="s">
        <v>1304</v>
      </c>
      <c r="E24" s="256" t="s">
        <v>1831</v>
      </c>
      <c r="F24" s="256" t="s">
        <v>1871</v>
      </c>
      <c r="G24" s="258">
        <v>2328000000</v>
      </c>
      <c r="H24" s="265">
        <v>0.1</v>
      </c>
      <c r="I24" s="258">
        <v>232800000</v>
      </c>
      <c r="J24" s="258">
        <v>2560800000</v>
      </c>
      <c r="K24" s="256" t="s">
        <v>1348</v>
      </c>
    </row>
    <row r="25" spans="1:11" x14ac:dyDescent="0.3">
      <c r="A25" s="256">
        <v>18</v>
      </c>
      <c r="B25" s="257" t="s">
        <v>1208</v>
      </c>
      <c r="C25" s="276">
        <v>44367</v>
      </c>
      <c r="D25" s="257" t="s">
        <v>1291</v>
      </c>
      <c r="E25" s="256" t="s">
        <v>1800</v>
      </c>
      <c r="F25" s="256" t="s">
        <v>1734</v>
      </c>
      <c r="G25" s="258">
        <v>1979000000</v>
      </c>
      <c r="H25" s="265">
        <v>0.1</v>
      </c>
      <c r="I25" s="258">
        <v>197900000</v>
      </c>
      <c r="J25" s="258">
        <v>2176900000</v>
      </c>
      <c r="K25" s="256" t="s">
        <v>1346</v>
      </c>
    </row>
    <row r="26" spans="1:11" x14ac:dyDescent="0.3">
      <c r="A26" s="256">
        <v>19</v>
      </c>
      <c r="B26" s="257" t="s">
        <v>1418</v>
      </c>
      <c r="C26" s="276">
        <v>44397</v>
      </c>
      <c r="D26" s="257" t="s">
        <v>1297</v>
      </c>
      <c r="E26" s="256" t="s">
        <v>1820</v>
      </c>
      <c r="F26" s="256" t="s">
        <v>1870</v>
      </c>
      <c r="G26" s="258">
        <v>2274000000</v>
      </c>
      <c r="H26" s="265">
        <v>0.1</v>
      </c>
      <c r="I26" s="258">
        <v>227400000</v>
      </c>
      <c r="J26" s="258">
        <v>2501400000</v>
      </c>
      <c r="K26" s="256" t="s">
        <v>1346</v>
      </c>
    </row>
    <row r="27" spans="1:11" x14ac:dyDescent="0.3">
      <c r="A27" s="256">
        <v>20</v>
      </c>
      <c r="B27" s="257" t="s">
        <v>1489</v>
      </c>
      <c r="C27" s="276">
        <v>44428</v>
      </c>
      <c r="D27" s="257" t="s">
        <v>1288</v>
      </c>
      <c r="E27" s="256" t="s">
        <v>1797</v>
      </c>
      <c r="F27" s="256" t="s">
        <v>1870</v>
      </c>
      <c r="G27" s="258">
        <v>3793000000</v>
      </c>
      <c r="H27" s="265">
        <v>0.1</v>
      </c>
      <c r="I27" s="258">
        <v>379300000</v>
      </c>
      <c r="J27" s="258">
        <v>4172300000</v>
      </c>
      <c r="K27" s="256" t="s">
        <v>1346</v>
      </c>
    </row>
    <row r="28" spans="1:11" x14ac:dyDescent="0.3">
      <c r="A28" s="256">
        <v>21</v>
      </c>
      <c r="B28" s="257" t="s">
        <v>1456</v>
      </c>
      <c r="C28" s="276">
        <v>44459</v>
      </c>
      <c r="D28" s="257" t="s">
        <v>1286</v>
      </c>
      <c r="E28" s="256" t="s">
        <v>1828</v>
      </c>
      <c r="F28" s="256" t="s">
        <v>1869</v>
      </c>
      <c r="G28" s="258">
        <v>3690000000</v>
      </c>
      <c r="H28" s="265">
        <v>0</v>
      </c>
      <c r="I28" s="258">
        <v>0</v>
      </c>
      <c r="J28" s="258">
        <v>3690000000</v>
      </c>
      <c r="K28" s="256" t="s">
        <v>1348</v>
      </c>
    </row>
    <row r="29" spans="1:11" x14ac:dyDescent="0.3">
      <c r="A29" s="256">
        <v>22</v>
      </c>
      <c r="B29" s="257" t="s">
        <v>1472</v>
      </c>
      <c r="C29" s="276">
        <v>44489</v>
      </c>
      <c r="D29" s="257" t="s">
        <v>1302</v>
      </c>
      <c r="E29" s="256" t="s">
        <v>1784</v>
      </c>
      <c r="F29" s="256" t="s">
        <v>1871</v>
      </c>
      <c r="G29" s="258">
        <v>1977000000</v>
      </c>
      <c r="H29" s="265">
        <v>0.1</v>
      </c>
      <c r="I29" s="258">
        <v>197700000</v>
      </c>
      <c r="J29" s="258">
        <v>2174700000</v>
      </c>
      <c r="K29" s="256" t="s">
        <v>1346</v>
      </c>
    </row>
    <row r="30" spans="1:11" x14ac:dyDescent="0.3">
      <c r="A30" s="256">
        <v>23</v>
      </c>
      <c r="B30" s="257" t="s">
        <v>1473</v>
      </c>
      <c r="C30" s="276">
        <v>44520</v>
      </c>
      <c r="D30" s="257" t="s">
        <v>1265</v>
      </c>
      <c r="E30" s="256" t="s">
        <v>1830</v>
      </c>
      <c r="F30" s="256" t="s">
        <v>1730</v>
      </c>
      <c r="G30" s="258">
        <v>2062000000</v>
      </c>
      <c r="H30" s="265">
        <v>0.1</v>
      </c>
      <c r="I30" s="258">
        <v>206200000</v>
      </c>
      <c r="J30" s="258">
        <v>2268200000</v>
      </c>
      <c r="K30" s="256" t="s">
        <v>1346</v>
      </c>
    </row>
    <row r="31" spans="1:11" x14ac:dyDescent="0.3">
      <c r="A31" s="256">
        <v>24</v>
      </c>
      <c r="B31" s="257" t="s">
        <v>1478</v>
      </c>
      <c r="C31" s="276">
        <v>44550</v>
      </c>
      <c r="D31" s="257" t="s">
        <v>1278</v>
      </c>
      <c r="E31" s="256" t="s">
        <v>1785</v>
      </c>
      <c r="F31" s="256" t="s">
        <v>1870</v>
      </c>
      <c r="G31" s="258">
        <v>2584000000</v>
      </c>
      <c r="H31" s="265">
        <v>0.1</v>
      </c>
      <c r="I31" s="258">
        <v>258400000</v>
      </c>
      <c r="J31" s="258">
        <v>2842400000</v>
      </c>
      <c r="K31" s="256" t="s">
        <v>1346</v>
      </c>
    </row>
    <row r="32" spans="1:11" x14ac:dyDescent="0.3">
      <c r="A32" s="256">
        <v>25</v>
      </c>
      <c r="B32" s="257" t="s">
        <v>1419</v>
      </c>
      <c r="C32" s="276">
        <v>44221</v>
      </c>
      <c r="D32" s="257" t="s">
        <v>1297</v>
      </c>
      <c r="E32" s="256" t="s">
        <v>1820</v>
      </c>
      <c r="F32" s="256" t="s">
        <v>1734</v>
      </c>
      <c r="G32" s="258">
        <v>3051000000</v>
      </c>
      <c r="H32" s="265">
        <v>0.1</v>
      </c>
      <c r="I32" s="258">
        <v>305100000</v>
      </c>
      <c r="J32" s="258">
        <v>3356100000</v>
      </c>
      <c r="K32" s="256" t="s">
        <v>1346</v>
      </c>
    </row>
    <row r="33" spans="1:11" x14ac:dyDescent="0.3">
      <c r="A33" s="256">
        <v>26</v>
      </c>
      <c r="B33" s="257" t="s">
        <v>1465</v>
      </c>
      <c r="C33" s="276">
        <v>44255</v>
      </c>
      <c r="D33" s="257" t="s">
        <v>1269</v>
      </c>
      <c r="E33" s="256" t="s">
        <v>1823</v>
      </c>
      <c r="F33" s="256" t="s">
        <v>1731</v>
      </c>
      <c r="G33" s="258">
        <v>4404000000</v>
      </c>
      <c r="H33" s="265">
        <v>0.1</v>
      </c>
      <c r="I33" s="258">
        <v>440400000</v>
      </c>
      <c r="J33" s="258">
        <v>4844400000</v>
      </c>
      <c r="K33" s="256" t="s">
        <v>1348</v>
      </c>
    </row>
    <row r="34" spans="1:11" x14ac:dyDescent="0.3">
      <c r="A34" s="256">
        <v>27</v>
      </c>
      <c r="B34" s="257" t="s">
        <v>1476</v>
      </c>
      <c r="C34" s="276">
        <v>44316</v>
      </c>
      <c r="D34" s="257" t="s">
        <v>1289</v>
      </c>
      <c r="E34" s="256" t="s">
        <v>1803</v>
      </c>
      <c r="F34" s="256" t="s">
        <v>1869</v>
      </c>
      <c r="G34" s="258">
        <v>3501000000</v>
      </c>
      <c r="H34" s="265">
        <v>0.1</v>
      </c>
      <c r="I34" s="258">
        <v>350100000</v>
      </c>
      <c r="J34" s="258">
        <v>3851100000</v>
      </c>
      <c r="K34" s="256" t="s">
        <v>1346</v>
      </c>
    </row>
    <row r="35" spans="1:11" x14ac:dyDescent="0.3">
      <c r="A35" s="256">
        <v>28</v>
      </c>
      <c r="B35" s="257" t="s">
        <v>1490</v>
      </c>
      <c r="C35" s="276">
        <v>44377</v>
      </c>
      <c r="D35" s="257" t="s">
        <v>1288</v>
      </c>
      <c r="E35" s="256" t="s">
        <v>1797</v>
      </c>
      <c r="F35" s="256" t="s">
        <v>1869</v>
      </c>
      <c r="G35" s="258">
        <v>1248000000</v>
      </c>
      <c r="H35" s="265">
        <v>0.1</v>
      </c>
      <c r="I35" s="258">
        <v>124800000</v>
      </c>
      <c r="J35" s="258">
        <v>1372800000</v>
      </c>
      <c r="K35" s="256" t="s">
        <v>1346</v>
      </c>
    </row>
    <row r="36" spans="1:11" x14ac:dyDescent="0.3">
      <c r="A36" s="256">
        <v>29</v>
      </c>
      <c r="B36" s="257" t="s">
        <v>1472</v>
      </c>
      <c r="C36" s="276">
        <v>44469</v>
      </c>
      <c r="D36" s="257" t="s">
        <v>1264</v>
      </c>
      <c r="E36" s="256" t="s">
        <v>1779</v>
      </c>
      <c r="F36" s="256" t="s">
        <v>1734</v>
      </c>
      <c r="G36" s="258">
        <v>2271000000</v>
      </c>
      <c r="H36" s="265">
        <v>0</v>
      </c>
      <c r="I36" s="258">
        <v>0</v>
      </c>
      <c r="J36" s="258">
        <v>2271000000</v>
      </c>
      <c r="K36" s="256" t="s">
        <v>1348</v>
      </c>
    </row>
    <row r="37" spans="1:11" x14ac:dyDescent="0.3">
      <c r="A37" s="256">
        <v>30</v>
      </c>
      <c r="B37" s="257" t="s">
        <v>1501</v>
      </c>
      <c r="C37" s="276">
        <v>44530</v>
      </c>
      <c r="D37" s="257" t="s">
        <v>1260</v>
      </c>
      <c r="E37" s="256" t="s">
        <v>1804</v>
      </c>
      <c r="F37" s="256" t="s">
        <v>1730</v>
      </c>
      <c r="G37" s="258">
        <v>3821000000</v>
      </c>
      <c r="H37" s="265">
        <v>0.1</v>
      </c>
      <c r="I37" s="258">
        <v>382100000</v>
      </c>
      <c r="J37" s="258">
        <v>4203100000</v>
      </c>
      <c r="K37" s="256" t="s">
        <v>1346</v>
      </c>
    </row>
    <row r="38" spans="1:11" x14ac:dyDescent="0.3">
      <c r="A38" s="256">
        <v>31</v>
      </c>
      <c r="B38" s="257" t="s">
        <v>1208</v>
      </c>
      <c r="C38" s="276">
        <v>44286</v>
      </c>
      <c r="D38" s="257" t="s">
        <v>1294</v>
      </c>
      <c r="E38" s="256" t="s">
        <v>1795</v>
      </c>
      <c r="F38" s="256" t="s">
        <v>1869</v>
      </c>
      <c r="G38" s="258">
        <v>1446000000</v>
      </c>
      <c r="H38" s="265">
        <v>0.1</v>
      </c>
      <c r="I38" s="258">
        <v>144600000</v>
      </c>
      <c r="J38" s="258">
        <v>1590600000</v>
      </c>
      <c r="K38" s="256" t="s">
        <v>1348</v>
      </c>
    </row>
    <row r="39" spans="1:11" x14ac:dyDescent="0.3">
      <c r="A39" s="256">
        <v>32</v>
      </c>
      <c r="B39" s="257" t="s">
        <v>1503</v>
      </c>
      <c r="C39" s="276">
        <v>44347</v>
      </c>
      <c r="D39" s="257" t="s">
        <v>1271</v>
      </c>
      <c r="E39" s="256" t="s">
        <v>1799</v>
      </c>
      <c r="F39" s="256" t="s">
        <v>1870</v>
      </c>
      <c r="G39" s="258">
        <v>4385000000</v>
      </c>
      <c r="H39" s="265">
        <v>0</v>
      </c>
      <c r="I39" s="258">
        <v>0</v>
      </c>
      <c r="J39" s="258">
        <v>4385000000</v>
      </c>
      <c r="K39" s="256" t="s">
        <v>1346</v>
      </c>
    </row>
    <row r="40" spans="1:11" x14ac:dyDescent="0.3">
      <c r="A40" s="256">
        <v>33</v>
      </c>
      <c r="B40" s="257" t="s">
        <v>1477</v>
      </c>
      <c r="C40" s="276">
        <v>44408</v>
      </c>
      <c r="D40" s="257" t="s">
        <v>1289</v>
      </c>
      <c r="E40" s="256" t="s">
        <v>1803</v>
      </c>
      <c r="F40" s="256" t="s">
        <v>1868</v>
      </c>
      <c r="G40" s="258">
        <v>4451000000</v>
      </c>
      <c r="H40" s="265">
        <v>0.1</v>
      </c>
      <c r="I40" s="258">
        <v>445100000</v>
      </c>
      <c r="J40" s="258">
        <v>4896100000</v>
      </c>
      <c r="K40" s="256" t="s">
        <v>1346</v>
      </c>
    </row>
    <row r="41" spans="1:11" x14ac:dyDescent="0.3">
      <c r="A41" s="256">
        <v>34</v>
      </c>
      <c r="B41" s="257" t="s">
        <v>1414</v>
      </c>
      <c r="C41" s="276">
        <v>44439</v>
      </c>
      <c r="D41" s="257" t="s">
        <v>1295</v>
      </c>
      <c r="E41" s="256" t="s">
        <v>1825</v>
      </c>
      <c r="F41" s="256" t="s">
        <v>1870</v>
      </c>
      <c r="G41" s="258">
        <v>1960000000</v>
      </c>
      <c r="H41" s="265">
        <v>0.1</v>
      </c>
      <c r="I41" s="258">
        <v>196000000</v>
      </c>
      <c r="J41" s="258">
        <v>2156000000</v>
      </c>
      <c r="K41" s="256" t="s">
        <v>1346</v>
      </c>
    </row>
    <row r="42" spans="1:11" x14ac:dyDescent="0.3">
      <c r="A42" s="256">
        <v>35</v>
      </c>
      <c r="B42" s="257" t="s">
        <v>1403</v>
      </c>
      <c r="C42" s="276">
        <v>44500</v>
      </c>
      <c r="D42" s="257" t="s">
        <v>1303</v>
      </c>
      <c r="E42" s="256" t="s">
        <v>1817</v>
      </c>
      <c r="F42" s="256" t="s">
        <v>1868</v>
      </c>
      <c r="G42" s="258">
        <v>4176000000</v>
      </c>
      <c r="H42" s="265">
        <v>0</v>
      </c>
      <c r="I42" s="258">
        <v>0</v>
      </c>
      <c r="J42" s="258">
        <v>4176000000</v>
      </c>
      <c r="K42" s="256" t="s">
        <v>1348</v>
      </c>
    </row>
    <row r="43" spans="1:11" x14ac:dyDescent="0.3">
      <c r="A43" s="256">
        <v>36</v>
      </c>
      <c r="B43" s="257" t="s">
        <v>1404</v>
      </c>
      <c r="C43" s="276">
        <v>44561</v>
      </c>
      <c r="D43" s="257" t="s">
        <v>1303</v>
      </c>
      <c r="E43" s="256" t="s">
        <v>1817</v>
      </c>
      <c r="F43" s="256" t="s">
        <v>1741</v>
      </c>
      <c r="G43" s="258">
        <v>3851000000</v>
      </c>
      <c r="H43" s="265">
        <v>0.1</v>
      </c>
      <c r="I43" s="258">
        <v>385100000</v>
      </c>
      <c r="J43" s="258">
        <v>4236100000</v>
      </c>
      <c r="K43" s="256" t="s">
        <v>1346</v>
      </c>
    </row>
    <row r="44" spans="1:11" x14ac:dyDescent="0.3">
      <c r="A44" s="256">
        <v>37</v>
      </c>
      <c r="B44" s="257" t="s">
        <v>1477</v>
      </c>
      <c r="C44" s="276">
        <v>44561</v>
      </c>
      <c r="D44" s="257" t="s">
        <v>1285</v>
      </c>
      <c r="E44" s="256" t="s">
        <v>1793</v>
      </c>
      <c r="F44" s="256" t="s">
        <v>1741</v>
      </c>
      <c r="G44" s="258">
        <v>1368000000</v>
      </c>
      <c r="H44" s="265">
        <v>0.1</v>
      </c>
      <c r="I44" s="258">
        <v>136800000</v>
      </c>
      <c r="J44" s="258">
        <v>1504800000</v>
      </c>
      <c r="K44" s="256" t="s">
        <v>1346</v>
      </c>
    </row>
    <row r="45" spans="1:11" x14ac:dyDescent="0.3">
      <c r="A45" s="256">
        <v>38</v>
      </c>
      <c r="B45" s="257" t="s">
        <v>1490</v>
      </c>
      <c r="C45" s="276">
        <v>44561</v>
      </c>
      <c r="D45" s="257" t="s">
        <v>1276</v>
      </c>
      <c r="E45" s="256" t="s">
        <v>1822</v>
      </c>
      <c r="F45" s="256" t="s">
        <v>1870</v>
      </c>
      <c r="G45" s="258">
        <v>2866000000</v>
      </c>
      <c r="H45" s="265">
        <v>0.1</v>
      </c>
      <c r="I45" s="258">
        <v>286600000</v>
      </c>
      <c r="J45" s="258">
        <v>3152600000</v>
      </c>
      <c r="K45" s="256" t="s">
        <v>1346</v>
      </c>
    </row>
    <row r="46" spans="1:11" x14ac:dyDescent="0.3">
      <c r="A46" s="256">
        <v>39</v>
      </c>
      <c r="B46" s="257" t="s">
        <v>1472</v>
      </c>
      <c r="C46" s="276">
        <v>44561</v>
      </c>
      <c r="D46" s="257" t="s">
        <v>1293</v>
      </c>
      <c r="E46" s="256" t="s">
        <v>1826</v>
      </c>
      <c r="F46" s="256" t="s">
        <v>1730</v>
      </c>
      <c r="G46" s="258">
        <v>3646000000</v>
      </c>
      <c r="H46" s="265">
        <v>0.1</v>
      </c>
      <c r="I46" s="258">
        <v>364600000</v>
      </c>
      <c r="J46" s="258">
        <v>4010600000</v>
      </c>
      <c r="K46" s="256" t="s">
        <v>1346</v>
      </c>
    </row>
    <row r="47" spans="1:11" x14ac:dyDescent="0.3">
      <c r="A47" s="256">
        <v>40</v>
      </c>
      <c r="B47" s="257" t="s">
        <v>1497</v>
      </c>
      <c r="C47" s="276">
        <v>44561</v>
      </c>
      <c r="D47" s="257" t="s">
        <v>1281</v>
      </c>
      <c r="E47" s="256" t="s">
        <v>1806</v>
      </c>
      <c r="F47" s="256" t="s">
        <v>1731</v>
      </c>
      <c r="G47" s="258">
        <v>3424000000</v>
      </c>
      <c r="H47" s="265">
        <v>0.1</v>
      </c>
      <c r="I47" s="258">
        <v>342400000</v>
      </c>
      <c r="J47" s="258">
        <v>3766400000</v>
      </c>
      <c r="K47" s="256" t="s">
        <v>1346</v>
      </c>
    </row>
    <row r="48" spans="1:11" x14ac:dyDescent="0.3">
      <c r="A48" s="256">
        <v>41</v>
      </c>
      <c r="B48" s="257" t="s">
        <v>1484</v>
      </c>
      <c r="C48" s="276">
        <v>44561</v>
      </c>
      <c r="D48" s="257" t="s">
        <v>1283</v>
      </c>
      <c r="E48" s="256" t="s">
        <v>1798</v>
      </c>
      <c r="F48" s="256" t="s">
        <v>1734</v>
      </c>
      <c r="G48" s="258">
        <v>2776000000</v>
      </c>
      <c r="H48" s="265">
        <v>0.1</v>
      </c>
      <c r="I48" s="258">
        <v>277600000</v>
      </c>
      <c r="J48" s="258">
        <v>3053600000</v>
      </c>
      <c r="K48" s="256" t="s">
        <v>1346</v>
      </c>
    </row>
    <row r="49" spans="1:11" x14ac:dyDescent="0.3">
      <c r="A49" s="256">
        <v>42</v>
      </c>
      <c r="B49" s="257" t="s">
        <v>1209</v>
      </c>
      <c r="C49" s="276">
        <v>44561</v>
      </c>
      <c r="D49" s="257" t="s">
        <v>1294</v>
      </c>
      <c r="E49" s="256" t="s">
        <v>1795</v>
      </c>
      <c r="F49" s="256" t="s">
        <v>1871</v>
      </c>
      <c r="G49" s="258">
        <v>4589000000</v>
      </c>
      <c r="H49" s="265">
        <v>0</v>
      </c>
      <c r="I49" s="258">
        <v>0</v>
      </c>
      <c r="J49" s="258">
        <v>4589000000</v>
      </c>
      <c r="K49" s="256" t="s">
        <v>1346</v>
      </c>
    </row>
    <row r="50" spans="1:11" x14ac:dyDescent="0.3">
      <c r="A50" s="256">
        <v>43</v>
      </c>
      <c r="B50" s="257" t="s">
        <v>1478</v>
      </c>
      <c r="C50" s="276">
        <v>44561</v>
      </c>
      <c r="D50" s="257" t="s">
        <v>1285</v>
      </c>
      <c r="E50" s="256" t="s">
        <v>1793</v>
      </c>
      <c r="F50" s="256" t="s">
        <v>1871</v>
      </c>
      <c r="G50" s="258">
        <v>2303000000</v>
      </c>
      <c r="H50" s="265">
        <v>0.1</v>
      </c>
      <c r="I50" s="258">
        <v>230300000</v>
      </c>
      <c r="J50" s="258">
        <v>2533300000</v>
      </c>
      <c r="K50" s="256" t="s">
        <v>1348</v>
      </c>
    </row>
    <row r="51" spans="1:11" x14ac:dyDescent="0.3">
      <c r="A51" s="256">
        <v>44</v>
      </c>
      <c r="B51" s="257" t="s">
        <v>1468</v>
      </c>
      <c r="C51" s="276">
        <v>44561</v>
      </c>
      <c r="D51" s="257" t="s">
        <v>1301</v>
      </c>
      <c r="E51" s="256" t="s">
        <v>1781</v>
      </c>
      <c r="F51" s="256" t="s">
        <v>1868</v>
      </c>
      <c r="G51" s="258">
        <v>1953000000</v>
      </c>
      <c r="H51" s="265">
        <v>0.1</v>
      </c>
      <c r="I51" s="258">
        <v>195300000</v>
      </c>
      <c r="J51" s="258">
        <v>2148300000</v>
      </c>
      <c r="K51" s="256" t="s">
        <v>1346</v>
      </c>
    </row>
    <row r="52" spans="1:11" x14ac:dyDescent="0.3">
      <c r="A52" s="256">
        <v>45</v>
      </c>
      <c r="B52" s="257" t="s">
        <v>1503</v>
      </c>
      <c r="C52" s="276">
        <v>44561</v>
      </c>
      <c r="D52" s="257" t="s">
        <v>1274</v>
      </c>
      <c r="E52" s="256" t="s">
        <v>1794</v>
      </c>
      <c r="F52" s="256" t="s">
        <v>1730</v>
      </c>
      <c r="G52" s="258">
        <v>3158000000</v>
      </c>
      <c r="H52" s="265">
        <v>0.1</v>
      </c>
      <c r="I52" s="258">
        <v>315800000</v>
      </c>
      <c r="J52" s="258">
        <v>3473800000</v>
      </c>
      <c r="K52" s="256" t="s">
        <v>1346</v>
      </c>
    </row>
    <row r="53" spans="1:11" x14ac:dyDescent="0.3">
      <c r="A53" s="256">
        <v>46</v>
      </c>
      <c r="B53" s="257" t="s">
        <v>1485</v>
      </c>
      <c r="C53" s="276">
        <v>44561</v>
      </c>
      <c r="D53" s="257" t="s">
        <v>1283</v>
      </c>
      <c r="E53" s="256" t="s">
        <v>1798</v>
      </c>
      <c r="F53" s="256" t="s">
        <v>1870</v>
      </c>
      <c r="G53" s="258">
        <v>3783000000</v>
      </c>
      <c r="H53" s="265">
        <v>0.1</v>
      </c>
      <c r="I53" s="258">
        <v>378300000</v>
      </c>
      <c r="J53" s="258">
        <v>4161300000</v>
      </c>
      <c r="K53" s="256" t="s">
        <v>1346</v>
      </c>
    </row>
    <row r="54" spans="1:11" x14ac:dyDescent="0.3">
      <c r="A54" s="256">
        <v>47</v>
      </c>
      <c r="B54" s="257" t="s">
        <v>1491</v>
      </c>
      <c r="C54" s="276">
        <v>44561</v>
      </c>
      <c r="D54" s="257" t="s">
        <v>1276</v>
      </c>
      <c r="E54" s="256" t="s">
        <v>1822</v>
      </c>
      <c r="F54" s="256" t="s">
        <v>1868</v>
      </c>
      <c r="G54" s="258">
        <v>2319000000</v>
      </c>
      <c r="H54" s="265">
        <v>0.1</v>
      </c>
      <c r="I54" s="258">
        <v>231900000</v>
      </c>
      <c r="J54" s="258">
        <v>2550900000</v>
      </c>
      <c r="K54" s="256" t="s">
        <v>1346</v>
      </c>
    </row>
    <row r="55" spans="1:11" x14ac:dyDescent="0.3">
      <c r="A55" s="256">
        <v>48</v>
      </c>
      <c r="B55" s="257" t="s">
        <v>1461</v>
      </c>
      <c r="C55" s="276">
        <v>44561</v>
      </c>
      <c r="D55" s="257" t="s">
        <v>1255</v>
      </c>
      <c r="E55" s="273">
        <v>46152</v>
      </c>
      <c r="F55" s="256" t="s">
        <v>1731</v>
      </c>
      <c r="G55" s="258">
        <v>1798000000</v>
      </c>
      <c r="H55" s="265">
        <v>0.1</v>
      </c>
      <c r="I55" s="258">
        <v>179800000</v>
      </c>
      <c r="J55" s="258">
        <v>1977800000</v>
      </c>
      <c r="K55" s="256" t="s">
        <v>1346</v>
      </c>
    </row>
    <row r="56" spans="1:11" x14ac:dyDescent="0.3">
      <c r="A56" s="256">
        <v>49</v>
      </c>
      <c r="B56" s="257" t="s">
        <v>1483</v>
      </c>
      <c r="C56" s="276">
        <v>44561</v>
      </c>
      <c r="D56" s="257" t="s">
        <v>1257</v>
      </c>
      <c r="E56" s="256" t="s">
        <v>1815</v>
      </c>
      <c r="F56" s="256" t="s">
        <v>1871</v>
      </c>
      <c r="G56" s="258">
        <v>2555000000</v>
      </c>
      <c r="H56" s="265">
        <v>0.1</v>
      </c>
      <c r="I56" s="258">
        <v>255500000</v>
      </c>
      <c r="J56" s="258">
        <v>2810500000</v>
      </c>
      <c r="K56" s="256" t="s">
        <v>1346</v>
      </c>
    </row>
    <row r="57" spans="1:11" x14ac:dyDescent="0.3">
      <c r="A57" s="256">
        <v>50</v>
      </c>
      <c r="B57" s="257" t="s">
        <v>1469</v>
      </c>
      <c r="C57" s="276">
        <v>44561</v>
      </c>
      <c r="D57" s="257" t="s">
        <v>1301</v>
      </c>
      <c r="E57" s="256" t="s">
        <v>1781</v>
      </c>
      <c r="F57" s="256" t="s">
        <v>1871</v>
      </c>
      <c r="G57" s="258">
        <v>2618000000</v>
      </c>
      <c r="H57" s="265">
        <v>0.1</v>
      </c>
      <c r="I57" s="258">
        <v>261800000</v>
      </c>
      <c r="J57" s="258">
        <v>2879800000</v>
      </c>
      <c r="K57" s="256" t="s">
        <v>1346</v>
      </c>
    </row>
    <row r="58" spans="1:11" x14ac:dyDescent="0.3">
      <c r="A58" s="266" t="s">
        <v>1351</v>
      </c>
      <c r="B58" s="266"/>
      <c r="C58" s="266"/>
      <c r="D58" s="266"/>
      <c r="E58" s="266"/>
      <c r="F58" s="266"/>
      <c r="G58" s="267">
        <f>SUM(G8:G57)</f>
        <v>138850000000</v>
      </c>
      <c r="H58" s="266"/>
      <c r="I58" s="267">
        <f>SUM(I8:I57)</f>
        <v>11256600000</v>
      </c>
      <c r="J58" s="267">
        <f>SUM(J8:J57)</f>
        <v>150106600000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1286</v>
      </c>
      <c r="E62" s="256" t="s">
        <v>1828</v>
      </c>
      <c r="F62" s="256" t="s">
        <v>1872</v>
      </c>
      <c r="G62" s="258">
        <v>4778000000</v>
      </c>
      <c r="H62" s="265">
        <v>0.1</v>
      </c>
      <c r="I62" s="258">
        <v>477800000</v>
      </c>
      <c r="J62" s="258">
        <v>5255800000</v>
      </c>
      <c r="K62" s="256" t="s">
        <v>1348</v>
      </c>
    </row>
    <row r="63" spans="1:11" x14ac:dyDescent="0.3">
      <c r="A63" s="256">
        <v>2</v>
      </c>
      <c r="B63" s="257" t="s">
        <v>1201</v>
      </c>
      <c r="C63" s="276">
        <v>44318</v>
      </c>
      <c r="D63" s="257" t="s">
        <v>1273</v>
      </c>
      <c r="E63" s="256" t="s">
        <v>1829</v>
      </c>
      <c r="F63" s="256" t="s">
        <v>1872</v>
      </c>
      <c r="G63" s="258">
        <v>4480000000</v>
      </c>
      <c r="H63" s="265">
        <v>0</v>
      </c>
      <c r="I63" s="258">
        <v>0</v>
      </c>
      <c r="J63" s="258">
        <v>4480000000</v>
      </c>
      <c r="K63" s="256" t="s">
        <v>1346</v>
      </c>
    </row>
    <row r="64" spans="1:11" x14ac:dyDescent="0.3">
      <c r="A64" s="256">
        <v>3</v>
      </c>
      <c r="B64" s="257" t="s">
        <v>1202</v>
      </c>
      <c r="C64" s="276">
        <v>44472</v>
      </c>
      <c r="D64" s="257" t="s">
        <v>1275</v>
      </c>
      <c r="E64" s="256" t="s">
        <v>1808</v>
      </c>
      <c r="F64" s="256" t="s">
        <v>1875</v>
      </c>
      <c r="G64" s="258">
        <v>4571000000</v>
      </c>
      <c r="H64" s="265">
        <v>0.1</v>
      </c>
      <c r="I64" s="258">
        <v>457100000</v>
      </c>
      <c r="J64" s="258">
        <v>5028100000</v>
      </c>
      <c r="K64" s="256" t="s">
        <v>1348</v>
      </c>
    </row>
    <row r="65" spans="1:11" x14ac:dyDescent="0.3">
      <c r="A65" s="256">
        <v>4</v>
      </c>
      <c r="B65" s="257" t="s">
        <v>1355</v>
      </c>
      <c r="C65" s="276">
        <v>44473</v>
      </c>
      <c r="D65" s="257" t="s">
        <v>1262</v>
      </c>
      <c r="E65" s="256" t="s">
        <v>1816</v>
      </c>
      <c r="F65" s="256" t="s">
        <v>1875</v>
      </c>
      <c r="G65" s="258">
        <v>1677000000</v>
      </c>
      <c r="H65" s="265">
        <v>0.1</v>
      </c>
      <c r="I65" s="258">
        <v>167700000</v>
      </c>
      <c r="J65" s="258">
        <v>1844700000</v>
      </c>
      <c r="K65" s="256" t="s">
        <v>1346</v>
      </c>
    </row>
    <row r="66" spans="1:11" x14ac:dyDescent="0.3">
      <c r="A66" s="256">
        <v>5</v>
      </c>
      <c r="B66" s="257" t="s">
        <v>1356</v>
      </c>
      <c r="C66" s="276">
        <v>44474</v>
      </c>
      <c r="D66" s="257" t="s">
        <v>1274</v>
      </c>
      <c r="E66" s="256" t="s">
        <v>1794</v>
      </c>
      <c r="F66" s="256" t="s">
        <v>1872</v>
      </c>
      <c r="G66" s="258">
        <v>4823000000</v>
      </c>
      <c r="H66" s="265">
        <v>0.1</v>
      </c>
      <c r="I66" s="258">
        <v>482300000</v>
      </c>
      <c r="J66" s="258">
        <v>5305300000</v>
      </c>
      <c r="K66" s="256" t="s">
        <v>1346</v>
      </c>
    </row>
    <row r="67" spans="1:11" x14ac:dyDescent="0.3">
      <c r="A67" s="256">
        <v>6</v>
      </c>
      <c r="B67" s="257" t="s">
        <v>1358</v>
      </c>
      <c r="C67" s="276">
        <v>44475</v>
      </c>
      <c r="D67" s="257" t="s">
        <v>1276</v>
      </c>
      <c r="E67" s="256" t="s">
        <v>1822</v>
      </c>
      <c r="F67" s="256" t="s">
        <v>1875</v>
      </c>
      <c r="G67" s="258">
        <v>6007000000</v>
      </c>
      <c r="H67" s="265">
        <v>0.1</v>
      </c>
      <c r="I67" s="258">
        <v>600700000</v>
      </c>
      <c r="J67" s="258">
        <v>6607700000</v>
      </c>
      <c r="K67" s="256" t="s">
        <v>1346</v>
      </c>
    </row>
    <row r="68" spans="1:11" x14ac:dyDescent="0.3">
      <c r="A68" s="256">
        <v>7</v>
      </c>
      <c r="B68" s="257" t="s">
        <v>1360</v>
      </c>
      <c r="C68" s="276">
        <v>44476</v>
      </c>
      <c r="D68" s="257" t="s">
        <v>1255</v>
      </c>
      <c r="E68" s="273">
        <v>46152</v>
      </c>
      <c r="F68" s="256" t="s">
        <v>1874</v>
      </c>
      <c r="G68" s="258">
        <v>3628000000</v>
      </c>
      <c r="H68" s="265">
        <v>0</v>
      </c>
      <c r="I68" s="258">
        <v>0</v>
      </c>
      <c r="J68" s="258">
        <v>3628000000</v>
      </c>
      <c r="K68" s="256" t="s">
        <v>1346</v>
      </c>
    </row>
    <row r="69" spans="1:11" x14ac:dyDescent="0.3">
      <c r="A69" s="256">
        <v>8</v>
      </c>
      <c r="B69" s="257" t="s">
        <v>1362</v>
      </c>
      <c r="C69" s="276">
        <v>44477</v>
      </c>
      <c r="D69" s="257" t="s">
        <v>1272</v>
      </c>
      <c r="E69" s="256" t="s">
        <v>1805</v>
      </c>
      <c r="F69" s="256" t="s">
        <v>1875</v>
      </c>
      <c r="G69" s="258">
        <v>2411000000</v>
      </c>
      <c r="H69" s="265">
        <v>0.1</v>
      </c>
      <c r="I69" s="258">
        <v>241100000</v>
      </c>
      <c r="J69" s="258">
        <v>2652100000</v>
      </c>
      <c r="K69" s="256" t="s">
        <v>1348</v>
      </c>
    </row>
    <row r="70" spans="1:11" x14ac:dyDescent="0.3">
      <c r="A70" s="256">
        <v>9</v>
      </c>
      <c r="B70" s="257" t="s">
        <v>1364</v>
      </c>
      <c r="C70" s="276">
        <v>44478</v>
      </c>
      <c r="D70" s="257" t="s">
        <v>1284</v>
      </c>
      <c r="E70" s="256" t="s">
        <v>1786</v>
      </c>
      <c r="F70" s="256" t="s">
        <v>1875</v>
      </c>
      <c r="G70" s="258">
        <v>4345000000</v>
      </c>
      <c r="H70" s="265">
        <v>0.1</v>
      </c>
      <c r="I70" s="258">
        <v>434500000</v>
      </c>
      <c r="J70" s="258">
        <v>4779500000</v>
      </c>
      <c r="K70" s="256" t="s">
        <v>1346</v>
      </c>
    </row>
    <row r="71" spans="1:11" x14ac:dyDescent="0.3">
      <c r="A71" s="256">
        <v>10</v>
      </c>
      <c r="B71" s="257" t="s">
        <v>1366</v>
      </c>
      <c r="C71" s="276">
        <v>44479</v>
      </c>
      <c r="D71" s="257" t="s">
        <v>1284</v>
      </c>
      <c r="E71" s="256" t="s">
        <v>1786</v>
      </c>
      <c r="F71" s="256" t="s">
        <v>1872</v>
      </c>
      <c r="G71" s="258">
        <v>5022000000</v>
      </c>
      <c r="H71" s="265">
        <v>0.1</v>
      </c>
      <c r="I71" s="258">
        <v>502200000</v>
      </c>
      <c r="J71" s="258">
        <v>5524200000</v>
      </c>
      <c r="K71" s="256" t="s">
        <v>1346</v>
      </c>
    </row>
    <row r="72" spans="1:11" x14ac:dyDescent="0.3">
      <c r="A72" s="256">
        <v>11</v>
      </c>
      <c r="B72" s="257" t="s">
        <v>1368</v>
      </c>
      <c r="C72" s="276">
        <v>44480</v>
      </c>
      <c r="D72" s="257" t="s">
        <v>1298</v>
      </c>
      <c r="E72" s="256" t="s">
        <v>1819</v>
      </c>
      <c r="F72" s="256" t="s">
        <v>1872</v>
      </c>
      <c r="G72" s="258">
        <v>1653000000</v>
      </c>
      <c r="H72" s="265">
        <v>0.1</v>
      </c>
      <c r="I72" s="258">
        <v>165300000</v>
      </c>
      <c r="J72" s="258">
        <v>1818300000</v>
      </c>
      <c r="K72" s="256" t="s">
        <v>1346</v>
      </c>
    </row>
    <row r="73" spans="1:11" x14ac:dyDescent="0.3">
      <c r="A73" s="256">
        <v>12</v>
      </c>
      <c r="B73" s="257" t="s">
        <v>1371</v>
      </c>
      <c r="C73" s="276">
        <v>44481</v>
      </c>
      <c r="D73" s="257" t="s">
        <v>1303</v>
      </c>
      <c r="E73" s="256" t="s">
        <v>1817</v>
      </c>
      <c r="F73" s="256" t="s">
        <v>1873</v>
      </c>
      <c r="G73" s="258">
        <v>5490000000</v>
      </c>
      <c r="H73" s="265">
        <v>0.1</v>
      </c>
      <c r="I73" s="258">
        <v>549000000</v>
      </c>
      <c r="J73" s="258">
        <v>6039000000</v>
      </c>
      <c r="K73" s="256" t="s">
        <v>1346</v>
      </c>
    </row>
    <row r="74" spans="1:11" x14ac:dyDescent="0.3">
      <c r="A74" s="256">
        <v>13</v>
      </c>
      <c r="B74" s="257" t="s">
        <v>1373</v>
      </c>
      <c r="C74" s="276">
        <v>44211</v>
      </c>
      <c r="D74" s="257" t="s">
        <v>1299</v>
      </c>
      <c r="E74" s="256" t="s">
        <v>1776</v>
      </c>
      <c r="F74" s="256" t="s">
        <v>1874</v>
      </c>
      <c r="G74" s="258">
        <v>5731000000</v>
      </c>
      <c r="H74" s="265">
        <v>0.1</v>
      </c>
      <c r="I74" s="258">
        <v>573100000</v>
      </c>
      <c r="J74" s="258">
        <v>6304100000</v>
      </c>
      <c r="K74" s="256" t="s">
        <v>1346</v>
      </c>
    </row>
    <row r="75" spans="1:11" x14ac:dyDescent="0.3">
      <c r="A75" s="256">
        <v>14</v>
      </c>
      <c r="B75" s="257" t="s">
        <v>1374</v>
      </c>
      <c r="C75" s="276">
        <v>44242</v>
      </c>
      <c r="D75" s="257" t="s">
        <v>1271</v>
      </c>
      <c r="E75" s="256" t="s">
        <v>1799</v>
      </c>
      <c r="F75" s="256" t="s">
        <v>1874</v>
      </c>
      <c r="G75" s="258">
        <v>2161000000</v>
      </c>
      <c r="H75" s="265">
        <v>0.1</v>
      </c>
      <c r="I75" s="258">
        <v>216100000</v>
      </c>
      <c r="J75" s="258">
        <v>2377100000</v>
      </c>
      <c r="K75" s="256" t="s">
        <v>1346</v>
      </c>
    </row>
    <row r="76" spans="1:11" x14ac:dyDescent="0.3">
      <c r="A76" s="256">
        <v>15</v>
      </c>
      <c r="B76" s="257" t="s">
        <v>1376</v>
      </c>
      <c r="C76" s="276">
        <v>44275</v>
      </c>
      <c r="D76" s="257" t="s">
        <v>1268</v>
      </c>
      <c r="E76" s="256" t="s">
        <v>1821</v>
      </c>
      <c r="F76" s="256" t="s">
        <v>1872</v>
      </c>
      <c r="G76" s="258">
        <v>5739000000</v>
      </c>
      <c r="H76" s="265">
        <v>0.1</v>
      </c>
      <c r="I76" s="258">
        <v>573900000</v>
      </c>
      <c r="J76" s="258">
        <v>6312900000</v>
      </c>
      <c r="K76" s="256" t="s">
        <v>1346</v>
      </c>
    </row>
    <row r="77" spans="1:11" x14ac:dyDescent="0.3">
      <c r="A77" s="256">
        <v>16</v>
      </c>
      <c r="B77" s="257" t="s">
        <v>1378</v>
      </c>
      <c r="C77" s="276">
        <v>44306</v>
      </c>
      <c r="D77" s="257" t="s">
        <v>1289</v>
      </c>
      <c r="E77" s="256" t="s">
        <v>1803</v>
      </c>
      <c r="F77" s="256" t="s">
        <v>1873</v>
      </c>
      <c r="G77" s="258">
        <v>5853000000</v>
      </c>
      <c r="H77" s="265">
        <v>0.1</v>
      </c>
      <c r="I77" s="258">
        <v>585300000</v>
      </c>
      <c r="J77" s="258">
        <v>6438300000</v>
      </c>
      <c r="K77" s="256" t="s">
        <v>1346</v>
      </c>
    </row>
    <row r="78" spans="1:11" x14ac:dyDescent="0.3">
      <c r="A78" s="256">
        <v>17</v>
      </c>
      <c r="B78" s="257" t="s">
        <v>1379</v>
      </c>
      <c r="C78" s="276">
        <v>44336</v>
      </c>
      <c r="D78" s="257" t="s">
        <v>1264</v>
      </c>
      <c r="E78" s="256" t="s">
        <v>1779</v>
      </c>
      <c r="F78" s="256" t="s">
        <v>1872</v>
      </c>
      <c r="G78" s="258">
        <v>3471000000</v>
      </c>
      <c r="H78" s="265">
        <v>0.1</v>
      </c>
      <c r="I78" s="258">
        <v>347100000</v>
      </c>
      <c r="J78" s="258">
        <v>3818100000</v>
      </c>
      <c r="K78" s="256" t="s">
        <v>1346</v>
      </c>
    </row>
    <row r="79" spans="1:11" x14ac:dyDescent="0.3">
      <c r="A79" s="256">
        <v>18</v>
      </c>
      <c r="B79" s="257" t="s">
        <v>1381</v>
      </c>
      <c r="C79" s="276">
        <v>44367</v>
      </c>
      <c r="D79" s="257" t="s">
        <v>1297</v>
      </c>
      <c r="E79" s="256" t="s">
        <v>1820</v>
      </c>
      <c r="F79" s="256" t="s">
        <v>1875</v>
      </c>
      <c r="G79" s="258">
        <v>5999000000</v>
      </c>
      <c r="H79" s="265">
        <v>0.1</v>
      </c>
      <c r="I79" s="258">
        <v>599900000</v>
      </c>
      <c r="J79" s="258">
        <v>6598900000</v>
      </c>
      <c r="K79" s="256" t="s">
        <v>1346</v>
      </c>
    </row>
    <row r="80" spans="1:11" x14ac:dyDescent="0.3">
      <c r="A80" s="256">
        <v>19</v>
      </c>
      <c r="B80" s="257" t="s">
        <v>1382</v>
      </c>
      <c r="C80" s="276">
        <v>44397</v>
      </c>
      <c r="D80" s="257" t="s">
        <v>1297</v>
      </c>
      <c r="E80" s="256" t="s">
        <v>1820</v>
      </c>
      <c r="F80" s="256" t="s">
        <v>1875</v>
      </c>
      <c r="G80" s="258">
        <v>2601000000</v>
      </c>
      <c r="H80" s="265">
        <v>0.1</v>
      </c>
      <c r="I80" s="258">
        <v>260100000</v>
      </c>
      <c r="J80" s="258">
        <v>2861100000</v>
      </c>
      <c r="K80" s="256" t="s">
        <v>1346</v>
      </c>
    </row>
    <row r="81" spans="1:11" x14ac:dyDescent="0.3">
      <c r="A81" s="256">
        <v>20</v>
      </c>
      <c r="B81" s="257" t="s">
        <v>1383</v>
      </c>
      <c r="C81" s="276">
        <v>44428</v>
      </c>
      <c r="D81" s="257" t="s">
        <v>1270</v>
      </c>
      <c r="E81" s="256" t="s">
        <v>1782</v>
      </c>
      <c r="F81" s="256" t="s">
        <v>1875</v>
      </c>
      <c r="G81" s="258">
        <v>3285000000</v>
      </c>
      <c r="H81" s="265">
        <v>0.1</v>
      </c>
      <c r="I81" s="258">
        <v>328500000</v>
      </c>
      <c r="J81" s="258">
        <v>3613500000</v>
      </c>
      <c r="K81" s="256" t="s">
        <v>1346</v>
      </c>
    </row>
    <row r="82" spans="1:11" x14ac:dyDescent="0.3">
      <c r="A82" s="256">
        <v>21</v>
      </c>
      <c r="B82" s="257" t="s">
        <v>1203</v>
      </c>
      <c r="C82" s="276">
        <v>44459</v>
      </c>
      <c r="D82" s="257" t="s">
        <v>1267</v>
      </c>
      <c r="E82" s="256" t="s">
        <v>1810</v>
      </c>
      <c r="F82" s="256" t="s">
        <v>1874</v>
      </c>
      <c r="G82" s="258">
        <v>3864000000</v>
      </c>
      <c r="H82" s="265">
        <v>0.1</v>
      </c>
      <c r="I82" s="258">
        <v>386400000</v>
      </c>
      <c r="J82" s="258">
        <v>4250400000</v>
      </c>
      <c r="K82" s="256" t="s">
        <v>1346</v>
      </c>
    </row>
    <row r="83" spans="1:11" x14ac:dyDescent="0.3">
      <c r="A83" s="256">
        <v>22</v>
      </c>
      <c r="B83" s="257" t="s">
        <v>1204</v>
      </c>
      <c r="C83" s="276">
        <v>44489</v>
      </c>
      <c r="D83" s="257" t="s">
        <v>1267</v>
      </c>
      <c r="E83" s="256" t="s">
        <v>1810</v>
      </c>
      <c r="F83" s="256" t="s">
        <v>1875</v>
      </c>
      <c r="G83" s="258">
        <v>2363000000</v>
      </c>
      <c r="H83" s="265">
        <v>0.1</v>
      </c>
      <c r="I83" s="258">
        <v>236300000</v>
      </c>
      <c r="J83" s="258">
        <v>2599300000</v>
      </c>
      <c r="K83" s="256" t="s">
        <v>1346</v>
      </c>
    </row>
    <row r="84" spans="1:11" x14ac:dyDescent="0.3">
      <c r="A84" s="256">
        <v>23</v>
      </c>
      <c r="B84" s="257" t="s">
        <v>1205</v>
      </c>
      <c r="C84" s="276">
        <v>44520</v>
      </c>
      <c r="D84" s="257" t="s">
        <v>1297</v>
      </c>
      <c r="E84" s="256" t="s">
        <v>1820</v>
      </c>
      <c r="F84" s="256" t="s">
        <v>1875</v>
      </c>
      <c r="G84" s="258">
        <v>4787000000</v>
      </c>
      <c r="H84" s="265">
        <v>0.1</v>
      </c>
      <c r="I84" s="258">
        <v>478700000</v>
      </c>
      <c r="J84" s="258">
        <v>5265700000</v>
      </c>
      <c r="K84" s="256" t="s">
        <v>1346</v>
      </c>
    </row>
    <row r="85" spans="1:11" x14ac:dyDescent="0.3">
      <c r="A85" s="256">
        <v>24</v>
      </c>
      <c r="B85" s="257" t="s">
        <v>1385</v>
      </c>
      <c r="C85" s="276">
        <v>44550</v>
      </c>
      <c r="D85" s="257" t="s">
        <v>1275</v>
      </c>
      <c r="E85" s="256" t="s">
        <v>1808</v>
      </c>
      <c r="F85" s="256" t="s">
        <v>1872</v>
      </c>
      <c r="G85" s="258">
        <v>5668000000</v>
      </c>
      <c r="H85" s="265">
        <v>0</v>
      </c>
      <c r="I85" s="258">
        <v>0</v>
      </c>
      <c r="J85" s="258">
        <v>5668000000</v>
      </c>
      <c r="K85" s="256" t="s">
        <v>1346</v>
      </c>
    </row>
    <row r="86" spans="1:11" x14ac:dyDescent="0.3">
      <c r="A86" s="256">
        <v>25</v>
      </c>
      <c r="B86" s="257" t="s">
        <v>1387</v>
      </c>
      <c r="C86" s="276">
        <v>44221</v>
      </c>
      <c r="D86" s="257" t="s">
        <v>1293</v>
      </c>
      <c r="E86" s="256" t="s">
        <v>1826</v>
      </c>
      <c r="F86" s="256" t="s">
        <v>1873</v>
      </c>
      <c r="G86" s="258">
        <v>5118000000</v>
      </c>
      <c r="H86" s="265">
        <v>0.1</v>
      </c>
      <c r="I86" s="258">
        <v>511800000</v>
      </c>
      <c r="J86" s="258">
        <v>5629800000</v>
      </c>
      <c r="K86" s="256" t="s">
        <v>1346</v>
      </c>
    </row>
    <row r="87" spans="1:11" x14ac:dyDescent="0.3">
      <c r="A87" s="256">
        <v>26</v>
      </c>
      <c r="B87" s="257" t="s">
        <v>1388</v>
      </c>
      <c r="C87" s="276">
        <v>44255</v>
      </c>
      <c r="D87" s="257" t="s">
        <v>1265</v>
      </c>
      <c r="E87" s="256" t="s">
        <v>1830</v>
      </c>
      <c r="F87" s="256" t="s">
        <v>1875</v>
      </c>
      <c r="G87" s="258">
        <v>5419000000</v>
      </c>
      <c r="H87" s="265">
        <v>0.1</v>
      </c>
      <c r="I87" s="258">
        <v>541900000</v>
      </c>
      <c r="J87" s="258">
        <v>5960900000</v>
      </c>
      <c r="K87" s="256" t="s">
        <v>1346</v>
      </c>
    </row>
    <row r="88" spans="1:11" x14ac:dyDescent="0.3">
      <c r="A88" s="256">
        <v>27</v>
      </c>
      <c r="B88" s="257" t="s">
        <v>1391</v>
      </c>
      <c r="C88" s="276">
        <v>44316</v>
      </c>
      <c r="D88" s="257" t="s">
        <v>1297</v>
      </c>
      <c r="E88" s="256" t="s">
        <v>1820</v>
      </c>
      <c r="F88" s="256" t="s">
        <v>1874</v>
      </c>
      <c r="G88" s="258">
        <v>2950000000</v>
      </c>
      <c r="H88" s="265">
        <v>0.1</v>
      </c>
      <c r="I88" s="258">
        <v>295000000</v>
      </c>
      <c r="J88" s="258">
        <v>3245000000</v>
      </c>
      <c r="K88" s="256" t="s">
        <v>1346</v>
      </c>
    </row>
    <row r="89" spans="1:11" x14ac:dyDescent="0.3">
      <c r="A89" s="256">
        <v>28</v>
      </c>
      <c r="B89" s="257" t="s">
        <v>1392</v>
      </c>
      <c r="C89" s="276">
        <v>44377</v>
      </c>
      <c r="D89" s="257" t="s">
        <v>1274</v>
      </c>
      <c r="E89" s="256" t="s">
        <v>1794</v>
      </c>
      <c r="F89" s="256" t="s">
        <v>1875</v>
      </c>
      <c r="G89" s="258">
        <v>1735000000</v>
      </c>
      <c r="H89" s="265">
        <v>0.1</v>
      </c>
      <c r="I89" s="258">
        <v>173500000</v>
      </c>
      <c r="J89" s="258">
        <v>1908500000</v>
      </c>
      <c r="K89" s="256" t="s">
        <v>1348</v>
      </c>
    </row>
    <row r="90" spans="1:11" x14ac:dyDescent="0.3">
      <c r="A90" s="256">
        <v>29</v>
      </c>
      <c r="B90" s="257" t="s">
        <v>1394</v>
      </c>
      <c r="C90" s="276">
        <v>44469</v>
      </c>
      <c r="D90" s="257" t="s">
        <v>1257</v>
      </c>
      <c r="E90" s="256" t="s">
        <v>1815</v>
      </c>
      <c r="F90" s="256" t="s">
        <v>1875</v>
      </c>
      <c r="G90" s="258">
        <v>1970000000</v>
      </c>
      <c r="H90" s="265">
        <v>0.1</v>
      </c>
      <c r="I90" s="258">
        <v>197000000</v>
      </c>
      <c r="J90" s="258">
        <v>2167000000</v>
      </c>
      <c r="K90" s="256" t="s">
        <v>1346</v>
      </c>
    </row>
    <row r="91" spans="1:11" x14ac:dyDescent="0.3">
      <c r="A91" s="256">
        <v>30</v>
      </c>
      <c r="B91" s="257" t="s">
        <v>1396</v>
      </c>
      <c r="C91" s="276">
        <v>44530</v>
      </c>
      <c r="D91" s="257" t="s">
        <v>1296</v>
      </c>
      <c r="E91" s="256" t="s">
        <v>1807</v>
      </c>
      <c r="F91" s="256" t="s">
        <v>1874</v>
      </c>
      <c r="G91" s="258">
        <v>4351000000</v>
      </c>
      <c r="H91" s="265">
        <v>0.1</v>
      </c>
      <c r="I91" s="258">
        <v>435100000</v>
      </c>
      <c r="J91" s="258">
        <v>4786100000</v>
      </c>
      <c r="K91" s="256" t="s">
        <v>1346</v>
      </c>
    </row>
    <row r="92" spans="1:11" x14ac:dyDescent="0.3">
      <c r="A92" s="256">
        <v>31</v>
      </c>
      <c r="B92" s="257" t="s">
        <v>1397</v>
      </c>
      <c r="C92" s="276">
        <v>44286</v>
      </c>
      <c r="D92" s="257" t="s">
        <v>1257</v>
      </c>
      <c r="E92" s="256" t="s">
        <v>1815</v>
      </c>
      <c r="F92" s="256" t="s">
        <v>1874</v>
      </c>
      <c r="G92" s="258">
        <v>2670000000</v>
      </c>
      <c r="H92" s="265">
        <v>0.1</v>
      </c>
      <c r="I92" s="258">
        <v>267000000</v>
      </c>
      <c r="J92" s="258">
        <v>2937000000</v>
      </c>
      <c r="K92" s="256" t="s">
        <v>1346</v>
      </c>
    </row>
    <row r="93" spans="1:11" x14ac:dyDescent="0.3">
      <c r="A93" s="256">
        <v>32</v>
      </c>
      <c r="B93" s="257" t="s">
        <v>1398</v>
      </c>
      <c r="C93" s="276">
        <v>44347</v>
      </c>
      <c r="D93" s="257" t="s">
        <v>1286</v>
      </c>
      <c r="E93" s="256" t="s">
        <v>1828</v>
      </c>
      <c r="F93" s="256" t="s">
        <v>1874</v>
      </c>
      <c r="G93" s="258">
        <v>2081000000</v>
      </c>
      <c r="H93" s="265">
        <v>0</v>
      </c>
      <c r="I93" s="258">
        <v>0</v>
      </c>
      <c r="J93" s="258">
        <v>2081000000</v>
      </c>
      <c r="K93" s="256" t="s">
        <v>1346</v>
      </c>
    </row>
    <row r="94" spans="1:11" x14ac:dyDescent="0.3">
      <c r="A94" s="256">
        <v>33</v>
      </c>
      <c r="B94" s="257" t="s">
        <v>1399</v>
      </c>
      <c r="C94" s="276">
        <v>44408</v>
      </c>
      <c r="D94" s="257" t="s">
        <v>1301</v>
      </c>
      <c r="E94" s="256" t="s">
        <v>1781</v>
      </c>
      <c r="F94" s="256" t="s">
        <v>1874</v>
      </c>
      <c r="G94" s="258">
        <v>1854000000</v>
      </c>
      <c r="H94" s="265">
        <v>0.1</v>
      </c>
      <c r="I94" s="258">
        <v>185400000</v>
      </c>
      <c r="J94" s="258">
        <v>2039400000</v>
      </c>
      <c r="K94" s="256" t="s">
        <v>1348</v>
      </c>
    </row>
    <row r="95" spans="1:11" x14ac:dyDescent="0.3">
      <c r="A95" s="256">
        <v>34</v>
      </c>
      <c r="B95" s="257" t="s">
        <v>1401</v>
      </c>
      <c r="C95" s="276">
        <v>44439</v>
      </c>
      <c r="D95" s="257" t="s">
        <v>1261</v>
      </c>
      <c r="E95" s="256" t="s">
        <v>1813</v>
      </c>
      <c r="F95" s="256" t="s">
        <v>1874</v>
      </c>
      <c r="G95" s="258">
        <v>5375000000</v>
      </c>
      <c r="H95" s="265">
        <v>0.1</v>
      </c>
      <c r="I95" s="258">
        <v>537500000</v>
      </c>
      <c r="J95" s="258">
        <v>5912500000</v>
      </c>
      <c r="K95" s="256" t="s">
        <v>1346</v>
      </c>
    </row>
    <row r="96" spans="1:11" x14ac:dyDescent="0.3">
      <c r="A96" s="256">
        <v>35</v>
      </c>
      <c r="B96" s="257" t="s">
        <v>1402</v>
      </c>
      <c r="C96" s="276">
        <v>44500</v>
      </c>
      <c r="D96" s="257" t="s">
        <v>1268</v>
      </c>
      <c r="E96" s="256" t="s">
        <v>1821</v>
      </c>
      <c r="F96" s="256" t="s">
        <v>1873</v>
      </c>
      <c r="G96" s="258">
        <v>5098000000</v>
      </c>
      <c r="H96" s="265">
        <v>0.1</v>
      </c>
      <c r="I96" s="258">
        <v>509800000</v>
      </c>
      <c r="J96" s="258">
        <v>5607800000</v>
      </c>
      <c r="K96" s="256" t="s">
        <v>1346</v>
      </c>
    </row>
    <row r="97" spans="1:11" x14ac:dyDescent="0.3">
      <c r="A97" s="256">
        <v>36</v>
      </c>
      <c r="B97" s="257" t="s">
        <v>1403</v>
      </c>
      <c r="C97" s="276">
        <v>44561</v>
      </c>
      <c r="D97" s="257" t="s">
        <v>1284</v>
      </c>
      <c r="E97" s="256" t="s">
        <v>1786</v>
      </c>
      <c r="F97" s="256" t="s">
        <v>1875</v>
      </c>
      <c r="G97" s="258">
        <v>2344000000</v>
      </c>
      <c r="H97" s="265">
        <v>0.1</v>
      </c>
      <c r="I97" s="258">
        <v>234400000</v>
      </c>
      <c r="J97" s="258">
        <v>2578400000</v>
      </c>
      <c r="K97" s="256" t="s">
        <v>1346</v>
      </c>
    </row>
    <row r="98" spans="1:11" x14ac:dyDescent="0.3">
      <c r="A98" s="256">
        <v>37</v>
      </c>
      <c r="B98" s="257" t="s">
        <v>1404</v>
      </c>
      <c r="C98" s="276">
        <v>44561</v>
      </c>
      <c r="D98" s="257" t="s">
        <v>1257</v>
      </c>
      <c r="E98" s="256" t="s">
        <v>1815</v>
      </c>
      <c r="F98" s="256" t="s">
        <v>1875</v>
      </c>
      <c r="G98" s="258">
        <v>2884000000</v>
      </c>
      <c r="H98" s="265">
        <v>0.1</v>
      </c>
      <c r="I98" s="258">
        <v>288400000</v>
      </c>
      <c r="J98" s="258">
        <v>3172400000</v>
      </c>
      <c r="K98" s="256" t="s">
        <v>1346</v>
      </c>
    </row>
    <row r="99" spans="1:11" x14ac:dyDescent="0.3">
      <c r="A99" s="256">
        <v>38</v>
      </c>
      <c r="B99" s="257" t="s">
        <v>1405</v>
      </c>
      <c r="C99" s="276">
        <v>44561</v>
      </c>
      <c r="D99" s="257" t="s">
        <v>1301</v>
      </c>
      <c r="E99" s="256" t="s">
        <v>1781</v>
      </c>
      <c r="F99" s="256" t="s">
        <v>1873</v>
      </c>
      <c r="G99" s="258">
        <v>1923000000</v>
      </c>
      <c r="H99" s="265">
        <v>0.1</v>
      </c>
      <c r="I99" s="258">
        <v>192300000</v>
      </c>
      <c r="J99" s="258">
        <v>2115300000</v>
      </c>
      <c r="K99" s="256" t="s">
        <v>1346</v>
      </c>
    </row>
    <row r="100" spans="1:11" x14ac:dyDescent="0.3">
      <c r="A100" s="256">
        <v>39</v>
      </c>
      <c r="B100" s="257" t="s">
        <v>1406</v>
      </c>
      <c r="C100" s="276">
        <v>44561</v>
      </c>
      <c r="D100" s="257" t="s">
        <v>1256</v>
      </c>
      <c r="E100" s="256" t="s">
        <v>1802</v>
      </c>
      <c r="F100" s="256" t="s">
        <v>1874</v>
      </c>
      <c r="G100" s="258">
        <v>1840000000</v>
      </c>
      <c r="H100" s="265">
        <v>0</v>
      </c>
      <c r="I100" s="258">
        <v>0</v>
      </c>
      <c r="J100" s="258">
        <v>1840000000</v>
      </c>
      <c r="K100" s="256" t="s">
        <v>1348</v>
      </c>
    </row>
    <row r="101" spans="1:11" x14ac:dyDescent="0.3">
      <c r="A101" s="256">
        <v>40</v>
      </c>
      <c r="B101" s="257" t="s">
        <v>1408</v>
      </c>
      <c r="C101" s="276">
        <v>44561</v>
      </c>
      <c r="D101" s="257" t="s">
        <v>1294</v>
      </c>
      <c r="E101" s="256" t="s">
        <v>1795</v>
      </c>
      <c r="F101" s="256" t="s">
        <v>1873</v>
      </c>
      <c r="G101" s="258">
        <v>3199000000</v>
      </c>
      <c r="H101" s="265">
        <v>0.1</v>
      </c>
      <c r="I101" s="258">
        <v>319900000</v>
      </c>
      <c r="J101" s="258">
        <v>3518900000</v>
      </c>
      <c r="K101" s="256" t="s">
        <v>1346</v>
      </c>
    </row>
    <row r="102" spans="1:11" x14ac:dyDescent="0.3">
      <c r="A102" s="256">
        <v>41</v>
      </c>
      <c r="B102" s="257" t="s">
        <v>1409</v>
      </c>
      <c r="C102" s="276">
        <v>44561</v>
      </c>
      <c r="D102" s="257" t="s">
        <v>1289</v>
      </c>
      <c r="E102" s="256" t="s">
        <v>1803</v>
      </c>
      <c r="F102" s="256" t="s">
        <v>1875</v>
      </c>
      <c r="G102" s="258">
        <v>4394000000</v>
      </c>
      <c r="H102" s="265">
        <v>0.1</v>
      </c>
      <c r="I102" s="258">
        <v>439400000</v>
      </c>
      <c r="J102" s="258">
        <v>4833400000</v>
      </c>
      <c r="K102" s="256" t="s">
        <v>1346</v>
      </c>
    </row>
    <row r="103" spans="1:11" x14ac:dyDescent="0.3">
      <c r="A103" s="256">
        <v>42</v>
      </c>
      <c r="B103" s="257" t="s">
        <v>1411</v>
      </c>
      <c r="C103" s="276">
        <v>44561</v>
      </c>
      <c r="D103" s="257" t="s">
        <v>1282</v>
      </c>
      <c r="E103" s="256" t="s">
        <v>1789</v>
      </c>
      <c r="F103" s="256" t="s">
        <v>1873</v>
      </c>
      <c r="G103" s="258">
        <v>2509000000</v>
      </c>
      <c r="H103" s="265">
        <v>0.1</v>
      </c>
      <c r="I103" s="258">
        <v>250900000</v>
      </c>
      <c r="J103" s="258">
        <v>2759900000</v>
      </c>
      <c r="K103" s="256" t="s">
        <v>1348</v>
      </c>
    </row>
    <row r="104" spans="1:11" x14ac:dyDescent="0.3">
      <c r="A104" s="256">
        <v>43</v>
      </c>
      <c r="B104" s="257" t="s">
        <v>1414</v>
      </c>
      <c r="C104" s="276">
        <v>44561</v>
      </c>
      <c r="D104" s="257" t="s">
        <v>1291</v>
      </c>
      <c r="E104" s="256" t="s">
        <v>1800</v>
      </c>
      <c r="F104" s="256" t="s">
        <v>1873</v>
      </c>
      <c r="G104" s="258">
        <v>3243000000</v>
      </c>
      <c r="H104" s="265">
        <v>0.1</v>
      </c>
      <c r="I104" s="258">
        <v>324300000</v>
      </c>
      <c r="J104" s="258">
        <v>3567300000</v>
      </c>
      <c r="K104" s="256" t="s">
        <v>1346</v>
      </c>
    </row>
    <row r="105" spans="1:11" x14ac:dyDescent="0.3">
      <c r="A105" s="256">
        <v>44</v>
      </c>
      <c r="B105" s="257" t="s">
        <v>1415</v>
      </c>
      <c r="C105" s="276">
        <v>44561</v>
      </c>
      <c r="D105" s="257" t="s">
        <v>1268</v>
      </c>
      <c r="E105" s="256" t="s">
        <v>1821</v>
      </c>
      <c r="F105" s="256" t="s">
        <v>1872</v>
      </c>
      <c r="G105" s="258">
        <v>4179000000</v>
      </c>
      <c r="H105" s="265">
        <v>0</v>
      </c>
      <c r="I105" s="258">
        <v>0</v>
      </c>
      <c r="J105" s="258">
        <v>4179000000</v>
      </c>
      <c r="K105" s="256" t="s">
        <v>1346</v>
      </c>
    </row>
    <row r="106" spans="1:11" x14ac:dyDescent="0.3">
      <c r="A106" s="256">
        <v>45</v>
      </c>
      <c r="B106" s="257" t="s">
        <v>1206</v>
      </c>
      <c r="C106" s="276">
        <v>44561</v>
      </c>
      <c r="D106" s="257" t="s">
        <v>1258</v>
      </c>
      <c r="E106" s="256" t="s">
        <v>1833</v>
      </c>
      <c r="F106" s="256" t="s">
        <v>1873</v>
      </c>
      <c r="G106" s="258">
        <v>5082000000</v>
      </c>
      <c r="H106" s="265">
        <v>0.1</v>
      </c>
      <c r="I106" s="258">
        <v>508200000</v>
      </c>
      <c r="J106" s="258">
        <v>5590200000</v>
      </c>
      <c r="K106" s="256" t="s">
        <v>1346</v>
      </c>
    </row>
    <row r="107" spans="1:11" x14ac:dyDescent="0.3">
      <c r="A107" s="256">
        <v>46</v>
      </c>
      <c r="B107" s="257" t="s">
        <v>1207</v>
      </c>
      <c r="C107" s="276">
        <v>44561</v>
      </c>
      <c r="D107" s="257" t="s">
        <v>1285</v>
      </c>
      <c r="E107" s="256" t="s">
        <v>1793</v>
      </c>
      <c r="F107" s="256" t="s">
        <v>1874</v>
      </c>
      <c r="G107" s="258">
        <v>3390000000</v>
      </c>
      <c r="H107" s="265">
        <v>0</v>
      </c>
      <c r="I107" s="258">
        <v>0</v>
      </c>
      <c r="J107" s="258">
        <v>3390000000</v>
      </c>
      <c r="K107" s="256" t="s">
        <v>1346</v>
      </c>
    </row>
    <row r="108" spans="1:11" x14ac:dyDescent="0.3">
      <c r="A108" s="256">
        <v>47</v>
      </c>
      <c r="B108" s="257" t="s">
        <v>1208</v>
      </c>
      <c r="C108" s="276">
        <v>44561</v>
      </c>
      <c r="D108" s="257" t="s">
        <v>1255</v>
      </c>
      <c r="E108" s="273">
        <v>46152</v>
      </c>
      <c r="F108" s="256" t="s">
        <v>1875</v>
      </c>
      <c r="G108" s="258">
        <v>5302000000</v>
      </c>
      <c r="H108" s="265">
        <v>0.1</v>
      </c>
      <c r="I108" s="258">
        <v>530200000</v>
      </c>
      <c r="J108" s="258">
        <v>5832200000</v>
      </c>
      <c r="K108" s="256" t="s">
        <v>1348</v>
      </c>
    </row>
    <row r="109" spans="1:11" x14ac:dyDescent="0.3">
      <c r="A109" s="256">
        <v>48</v>
      </c>
      <c r="B109" s="257" t="s">
        <v>1209</v>
      </c>
      <c r="C109" s="276">
        <v>44561</v>
      </c>
      <c r="D109" s="257" t="s">
        <v>1259</v>
      </c>
      <c r="E109" s="256" t="s">
        <v>1788</v>
      </c>
      <c r="F109" s="256" t="s">
        <v>1873</v>
      </c>
      <c r="G109" s="258">
        <v>1956000000</v>
      </c>
      <c r="H109" s="265">
        <v>0.1</v>
      </c>
      <c r="I109" s="258">
        <v>195600000</v>
      </c>
      <c r="J109" s="258">
        <v>2151600000</v>
      </c>
      <c r="K109" s="256" t="s">
        <v>1346</v>
      </c>
    </row>
    <row r="110" spans="1:11" x14ac:dyDescent="0.3">
      <c r="A110" s="256">
        <v>49</v>
      </c>
      <c r="B110" s="257" t="s">
        <v>1418</v>
      </c>
      <c r="C110" s="276">
        <v>44561</v>
      </c>
      <c r="D110" s="257" t="s">
        <v>1262</v>
      </c>
      <c r="E110" s="256" t="s">
        <v>1816</v>
      </c>
      <c r="F110" s="256" t="s">
        <v>1875</v>
      </c>
      <c r="G110" s="258">
        <v>2271000000</v>
      </c>
      <c r="H110" s="265">
        <v>0.1</v>
      </c>
      <c r="I110" s="258">
        <v>227100000</v>
      </c>
      <c r="J110" s="258">
        <v>2498100000</v>
      </c>
      <c r="K110" s="256" t="s">
        <v>1346</v>
      </c>
    </row>
    <row r="111" spans="1:11" x14ac:dyDescent="0.3">
      <c r="A111" s="256">
        <v>50</v>
      </c>
      <c r="B111" s="257" t="s">
        <v>1419</v>
      </c>
      <c r="C111" s="276">
        <v>44561</v>
      </c>
      <c r="D111" s="257" t="s">
        <v>1255</v>
      </c>
      <c r="E111" s="273">
        <v>46152</v>
      </c>
      <c r="F111" s="256" t="s">
        <v>1874</v>
      </c>
      <c r="G111" s="258">
        <v>5701000000</v>
      </c>
      <c r="H111" s="265">
        <v>0.1</v>
      </c>
      <c r="I111" s="258">
        <v>570100000</v>
      </c>
      <c r="J111" s="258">
        <v>6271100000</v>
      </c>
      <c r="K111" s="256" t="s">
        <v>1346</v>
      </c>
    </row>
    <row r="112" spans="1:11" x14ac:dyDescent="0.3">
      <c r="A112" s="266" t="s">
        <v>1351</v>
      </c>
      <c r="B112" s="266"/>
      <c r="C112" s="266"/>
      <c r="D112" s="266"/>
      <c r="E112" s="266"/>
      <c r="F112" s="266"/>
      <c r="G112" s="267">
        <f>SUM(G62:G111)</f>
        <v>189245000000</v>
      </c>
      <c r="H112" s="266"/>
      <c r="I112" s="267">
        <f>SUM(I62:I111)</f>
        <v>16397900000</v>
      </c>
      <c r="J112" s="267">
        <f>SUM(J62:J111)</f>
        <v>205642900000</v>
      </c>
      <c r="K112" s="266"/>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1076</v>
      </c>
      <c r="C1" s="256"/>
      <c r="D1" s="256"/>
      <c r="E1" s="256"/>
      <c r="F1" s="256"/>
      <c r="G1" s="256"/>
      <c r="H1" s="256"/>
      <c r="I1" s="256"/>
      <c r="J1" s="256"/>
      <c r="K1" s="256"/>
    </row>
    <row r="2" spans="1:11" x14ac:dyDescent="0.3">
      <c r="A2" s="256" t="s">
        <v>1339</v>
      </c>
      <c r="B2" s="257">
        <v>109534352</v>
      </c>
      <c r="C2" s="256"/>
      <c r="D2" s="256"/>
      <c r="E2" s="256"/>
      <c r="F2" s="256"/>
      <c r="G2" s="256"/>
      <c r="H2" s="256"/>
      <c r="I2" s="256"/>
      <c r="J2" s="256"/>
      <c r="K2" s="256"/>
    </row>
    <row r="3" spans="1:11" x14ac:dyDescent="0.3">
      <c r="A3" s="256" t="s">
        <v>1343</v>
      </c>
      <c r="B3" s="258">
        <v>229583553228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1498</v>
      </c>
      <c r="C8" s="276">
        <v>44317</v>
      </c>
      <c r="D8" s="257" t="s">
        <v>1281</v>
      </c>
      <c r="E8" s="256" t="s">
        <v>1806</v>
      </c>
      <c r="F8" s="256" t="s">
        <v>1951</v>
      </c>
      <c r="G8" s="258">
        <v>3018000000</v>
      </c>
      <c r="H8" s="265">
        <v>0.1</v>
      </c>
      <c r="I8" s="258">
        <v>301800000</v>
      </c>
      <c r="J8" s="258">
        <v>3319800000</v>
      </c>
      <c r="K8" s="256" t="s">
        <v>1346</v>
      </c>
    </row>
    <row r="9" spans="1:11" x14ac:dyDescent="0.3">
      <c r="A9" s="256">
        <v>2</v>
      </c>
      <c r="B9" s="257" t="s">
        <v>1486</v>
      </c>
      <c r="C9" s="276">
        <v>44318</v>
      </c>
      <c r="D9" s="257" t="s">
        <v>1283</v>
      </c>
      <c r="E9" s="256" t="s">
        <v>1798</v>
      </c>
      <c r="F9" s="256" t="s">
        <v>1952</v>
      </c>
      <c r="G9" s="258">
        <v>4439000000</v>
      </c>
      <c r="H9" s="265">
        <v>0</v>
      </c>
      <c r="I9" s="258">
        <v>0</v>
      </c>
      <c r="J9" s="258">
        <v>4439000000</v>
      </c>
      <c r="K9" s="256" t="s">
        <v>1346</v>
      </c>
    </row>
    <row r="10" spans="1:11" x14ac:dyDescent="0.3">
      <c r="A10" s="256">
        <v>3</v>
      </c>
      <c r="B10" s="257" t="s">
        <v>1503</v>
      </c>
      <c r="C10" s="276">
        <v>44472</v>
      </c>
      <c r="D10" s="257" t="s">
        <v>1272</v>
      </c>
      <c r="E10" s="256" t="s">
        <v>1805</v>
      </c>
      <c r="F10" s="256" t="s">
        <v>1953</v>
      </c>
      <c r="G10" s="258">
        <v>2900000000</v>
      </c>
      <c r="H10" s="265">
        <v>0.1</v>
      </c>
      <c r="I10" s="258">
        <v>290000000</v>
      </c>
      <c r="J10" s="258">
        <v>3190000000</v>
      </c>
      <c r="K10" s="256" t="s">
        <v>1348</v>
      </c>
    </row>
    <row r="11" spans="1:11" x14ac:dyDescent="0.3">
      <c r="A11" s="256">
        <v>4</v>
      </c>
      <c r="B11" s="257" t="s">
        <v>1504</v>
      </c>
      <c r="C11" s="276">
        <v>44473</v>
      </c>
      <c r="D11" s="257" t="s">
        <v>1271</v>
      </c>
      <c r="E11" s="256" t="s">
        <v>1799</v>
      </c>
      <c r="F11" s="256" t="s">
        <v>1954</v>
      </c>
      <c r="G11" s="258">
        <v>3052000000</v>
      </c>
      <c r="H11" s="265">
        <v>0.1</v>
      </c>
      <c r="I11" s="258">
        <v>305200000</v>
      </c>
      <c r="J11" s="258">
        <v>3357200000</v>
      </c>
      <c r="K11" s="256" t="s">
        <v>1346</v>
      </c>
    </row>
    <row r="12" spans="1:11" x14ac:dyDescent="0.3">
      <c r="A12" s="256">
        <v>5</v>
      </c>
      <c r="B12" s="257" t="s">
        <v>1479</v>
      </c>
      <c r="C12" s="276">
        <v>44474</v>
      </c>
      <c r="D12" s="257" t="s">
        <v>1285</v>
      </c>
      <c r="E12" s="256" t="s">
        <v>1793</v>
      </c>
      <c r="F12" s="256" t="s">
        <v>1955</v>
      </c>
      <c r="G12" s="258">
        <v>4662000000</v>
      </c>
      <c r="H12" s="265">
        <v>0</v>
      </c>
      <c r="I12" s="258">
        <v>0</v>
      </c>
      <c r="J12" s="258">
        <v>4662000000</v>
      </c>
      <c r="K12" s="256" t="s">
        <v>1346</v>
      </c>
    </row>
    <row r="13" spans="1:11" x14ac:dyDescent="0.3">
      <c r="A13" s="256">
        <v>6</v>
      </c>
      <c r="B13" s="257" t="s">
        <v>1418</v>
      </c>
      <c r="C13" s="276">
        <v>44475</v>
      </c>
      <c r="D13" s="257" t="s">
        <v>1294</v>
      </c>
      <c r="E13" s="256" t="s">
        <v>1795</v>
      </c>
      <c r="F13" s="256" t="s">
        <v>1954</v>
      </c>
      <c r="G13" s="258">
        <v>4002000000</v>
      </c>
      <c r="H13" s="265">
        <v>0.1</v>
      </c>
      <c r="I13" s="258">
        <v>400200000</v>
      </c>
      <c r="J13" s="258">
        <v>4402200000</v>
      </c>
      <c r="K13" s="256" t="s">
        <v>1346</v>
      </c>
    </row>
    <row r="14" spans="1:11" x14ac:dyDescent="0.3">
      <c r="A14" s="256">
        <v>7</v>
      </c>
      <c r="B14" s="257" t="s">
        <v>1491</v>
      </c>
      <c r="C14" s="276">
        <v>44476</v>
      </c>
      <c r="D14" s="257" t="s">
        <v>1288</v>
      </c>
      <c r="E14" s="256" t="s">
        <v>1797</v>
      </c>
      <c r="F14" s="256" t="s">
        <v>1955</v>
      </c>
      <c r="G14" s="258">
        <v>2351000000</v>
      </c>
      <c r="H14" s="265">
        <v>0.1</v>
      </c>
      <c r="I14" s="258">
        <v>235100000</v>
      </c>
      <c r="J14" s="258">
        <v>2586100000</v>
      </c>
      <c r="K14" s="256" t="s">
        <v>1346</v>
      </c>
    </row>
    <row r="15" spans="1:11" x14ac:dyDescent="0.3">
      <c r="A15" s="256">
        <v>8</v>
      </c>
      <c r="B15" s="257" t="s">
        <v>1512</v>
      </c>
      <c r="C15" s="276">
        <v>44477</v>
      </c>
      <c r="D15" s="257" t="s">
        <v>1284</v>
      </c>
      <c r="E15" s="256" t="s">
        <v>1786</v>
      </c>
      <c r="F15" s="256" t="s">
        <v>1951</v>
      </c>
      <c r="G15" s="258">
        <v>2180000000</v>
      </c>
      <c r="H15" s="265">
        <v>0.1</v>
      </c>
      <c r="I15" s="258">
        <v>218000000</v>
      </c>
      <c r="J15" s="258">
        <v>2398000000</v>
      </c>
      <c r="K15" s="256" t="s">
        <v>1346</v>
      </c>
    </row>
    <row r="16" spans="1:11" x14ac:dyDescent="0.3">
      <c r="A16" s="256">
        <v>9</v>
      </c>
      <c r="B16" s="257" t="s">
        <v>1210</v>
      </c>
      <c r="C16" s="276">
        <v>44478</v>
      </c>
      <c r="D16" s="257" t="s">
        <v>1271</v>
      </c>
      <c r="E16" s="256" t="s">
        <v>1799</v>
      </c>
      <c r="F16" s="256" t="s">
        <v>1956</v>
      </c>
      <c r="G16" s="258">
        <v>3385000000</v>
      </c>
      <c r="H16" s="265">
        <v>0.1</v>
      </c>
      <c r="I16" s="258">
        <v>338500000</v>
      </c>
      <c r="J16" s="258">
        <v>3723500000</v>
      </c>
      <c r="K16" s="256" t="s">
        <v>1346</v>
      </c>
    </row>
    <row r="17" spans="1:11" x14ac:dyDescent="0.3">
      <c r="A17" s="256">
        <v>10</v>
      </c>
      <c r="B17" s="257" t="s">
        <v>1506</v>
      </c>
      <c r="C17" s="276">
        <v>44479</v>
      </c>
      <c r="D17" s="257" t="s">
        <v>1304</v>
      </c>
      <c r="E17" s="256" t="s">
        <v>1831</v>
      </c>
      <c r="F17" s="256" t="s">
        <v>1954</v>
      </c>
      <c r="G17" s="258">
        <v>2229000000</v>
      </c>
      <c r="H17" s="265">
        <v>0.1</v>
      </c>
      <c r="I17" s="258">
        <v>222900000</v>
      </c>
      <c r="J17" s="258">
        <v>2451900000</v>
      </c>
      <c r="K17" s="256" t="s">
        <v>1348</v>
      </c>
    </row>
    <row r="18" spans="1:11" x14ac:dyDescent="0.3">
      <c r="A18" s="256">
        <v>11</v>
      </c>
      <c r="B18" s="257" t="s">
        <v>1474</v>
      </c>
      <c r="C18" s="276">
        <v>44480</v>
      </c>
      <c r="D18" s="257" t="s">
        <v>1265</v>
      </c>
      <c r="E18" s="256" t="s">
        <v>1830</v>
      </c>
      <c r="F18" s="256" t="s">
        <v>1951</v>
      </c>
      <c r="G18" s="258">
        <v>2064000000</v>
      </c>
      <c r="H18" s="265">
        <v>0.1</v>
      </c>
      <c r="I18" s="258">
        <v>206400000</v>
      </c>
      <c r="J18" s="258">
        <v>2270400000</v>
      </c>
      <c r="K18" s="256" t="s">
        <v>1346</v>
      </c>
    </row>
    <row r="19" spans="1:11" x14ac:dyDescent="0.3">
      <c r="A19" s="256">
        <v>12</v>
      </c>
      <c r="B19" s="257" t="s">
        <v>1475</v>
      </c>
      <c r="C19" s="276">
        <v>44481</v>
      </c>
      <c r="D19" s="257" t="s">
        <v>1299</v>
      </c>
      <c r="E19" s="256" t="s">
        <v>1776</v>
      </c>
      <c r="F19" s="256" t="s">
        <v>1955</v>
      </c>
      <c r="G19" s="258">
        <v>2124000000</v>
      </c>
      <c r="H19" s="265">
        <v>0.1</v>
      </c>
      <c r="I19" s="258">
        <v>212400000</v>
      </c>
      <c r="J19" s="258">
        <v>2336400000</v>
      </c>
      <c r="K19" s="256" t="s">
        <v>1346</v>
      </c>
    </row>
    <row r="20" spans="1:11" x14ac:dyDescent="0.3">
      <c r="A20" s="256">
        <v>13</v>
      </c>
      <c r="B20" s="257" t="s">
        <v>1504</v>
      </c>
      <c r="C20" s="276">
        <v>44211</v>
      </c>
      <c r="D20" s="257" t="s">
        <v>1274</v>
      </c>
      <c r="E20" s="256" t="s">
        <v>1794</v>
      </c>
      <c r="F20" s="256" t="s">
        <v>1954</v>
      </c>
      <c r="G20" s="258">
        <v>3282000000</v>
      </c>
      <c r="H20" s="265">
        <v>0.1</v>
      </c>
      <c r="I20" s="258">
        <v>328200000</v>
      </c>
      <c r="J20" s="258">
        <v>3610200000</v>
      </c>
      <c r="K20" s="256" t="s">
        <v>1348</v>
      </c>
    </row>
    <row r="21" spans="1:11" x14ac:dyDescent="0.3">
      <c r="A21" s="256">
        <v>14</v>
      </c>
      <c r="B21" s="257" t="s">
        <v>1481</v>
      </c>
      <c r="C21" s="276">
        <v>44242</v>
      </c>
      <c r="D21" s="257" t="s">
        <v>1266</v>
      </c>
      <c r="E21" s="256" t="s">
        <v>1824</v>
      </c>
      <c r="F21" s="256" t="s">
        <v>1952</v>
      </c>
      <c r="G21" s="258">
        <v>4449000000</v>
      </c>
      <c r="H21" s="265">
        <v>0.1</v>
      </c>
      <c r="I21" s="258">
        <v>444900000</v>
      </c>
      <c r="J21" s="258">
        <v>4893900000</v>
      </c>
      <c r="K21" s="256" t="s">
        <v>1346</v>
      </c>
    </row>
    <row r="22" spans="1:11" x14ac:dyDescent="0.3">
      <c r="A22" s="256">
        <v>15</v>
      </c>
      <c r="B22" s="257" t="s">
        <v>1507</v>
      </c>
      <c r="C22" s="276">
        <v>44275</v>
      </c>
      <c r="D22" s="257" t="s">
        <v>1304</v>
      </c>
      <c r="E22" s="256" t="s">
        <v>1831</v>
      </c>
      <c r="F22" s="256" t="s">
        <v>1952</v>
      </c>
      <c r="G22" s="258">
        <v>3537000000</v>
      </c>
      <c r="H22" s="265">
        <v>0.1</v>
      </c>
      <c r="I22" s="258">
        <v>353700000</v>
      </c>
      <c r="J22" s="258">
        <v>3890700000</v>
      </c>
      <c r="K22" s="256" t="s">
        <v>1346</v>
      </c>
    </row>
    <row r="23" spans="1:11" x14ac:dyDescent="0.3">
      <c r="A23" s="256">
        <v>16</v>
      </c>
      <c r="B23" s="257" t="s">
        <v>1499</v>
      </c>
      <c r="C23" s="276">
        <v>44306</v>
      </c>
      <c r="D23" s="257" t="s">
        <v>1281</v>
      </c>
      <c r="E23" s="256" t="s">
        <v>1806</v>
      </c>
      <c r="F23" s="256" t="s">
        <v>1952</v>
      </c>
      <c r="G23" s="258">
        <v>4488000000</v>
      </c>
      <c r="H23" s="265">
        <v>0.1</v>
      </c>
      <c r="I23" s="258">
        <v>448800000</v>
      </c>
      <c r="J23" s="258">
        <v>4936800000</v>
      </c>
      <c r="K23" s="256" t="s">
        <v>1346</v>
      </c>
    </row>
    <row r="24" spans="1:11" x14ac:dyDescent="0.3">
      <c r="A24" s="256">
        <v>17</v>
      </c>
      <c r="B24" s="257" t="s">
        <v>1500</v>
      </c>
      <c r="C24" s="276">
        <v>44336</v>
      </c>
      <c r="D24" s="257" t="s">
        <v>1281</v>
      </c>
      <c r="E24" s="256" t="s">
        <v>1806</v>
      </c>
      <c r="F24" s="256" t="s">
        <v>1951</v>
      </c>
      <c r="G24" s="258">
        <v>2030000000</v>
      </c>
      <c r="H24" s="265">
        <v>0.1</v>
      </c>
      <c r="I24" s="258">
        <v>203000000</v>
      </c>
      <c r="J24" s="258">
        <v>2233000000</v>
      </c>
      <c r="K24" s="256" t="s">
        <v>1346</v>
      </c>
    </row>
    <row r="25" spans="1:11" x14ac:dyDescent="0.3">
      <c r="A25" s="256">
        <v>18</v>
      </c>
      <c r="B25" s="257" t="s">
        <v>1493</v>
      </c>
      <c r="C25" s="276">
        <v>44367</v>
      </c>
      <c r="D25" s="257" t="s">
        <v>1273</v>
      </c>
      <c r="E25" s="256" t="s">
        <v>1829</v>
      </c>
      <c r="F25" s="256" t="s">
        <v>1956</v>
      </c>
      <c r="G25" s="258">
        <v>3264000000</v>
      </c>
      <c r="H25" s="265">
        <v>0.1</v>
      </c>
      <c r="I25" s="258">
        <v>326400000</v>
      </c>
      <c r="J25" s="258">
        <v>3590400000</v>
      </c>
      <c r="K25" s="256" t="s">
        <v>1346</v>
      </c>
    </row>
    <row r="26" spans="1:11" x14ac:dyDescent="0.3">
      <c r="A26" s="256">
        <v>19</v>
      </c>
      <c r="B26" s="257" t="s">
        <v>1513</v>
      </c>
      <c r="C26" s="276">
        <v>44397</v>
      </c>
      <c r="D26" s="257" t="s">
        <v>1284</v>
      </c>
      <c r="E26" s="256" t="s">
        <v>1786</v>
      </c>
      <c r="F26" s="256" t="s">
        <v>1954</v>
      </c>
      <c r="G26" s="258">
        <v>1865000000</v>
      </c>
      <c r="H26" s="265">
        <v>0.1</v>
      </c>
      <c r="I26" s="258">
        <v>186500000</v>
      </c>
      <c r="J26" s="258">
        <v>2051500000</v>
      </c>
      <c r="K26" s="256" t="s">
        <v>1346</v>
      </c>
    </row>
    <row r="27" spans="1:11" x14ac:dyDescent="0.3">
      <c r="A27" s="256">
        <v>20</v>
      </c>
      <c r="B27" s="257" t="s">
        <v>1514</v>
      </c>
      <c r="C27" s="276">
        <v>44428</v>
      </c>
      <c r="D27" s="257" t="s">
        <v>1284</v>
      </c>
      <c r="E27" s="256" t="s">
        <v>1786</v>
      </c>
      <c r="F27" s="256" t="s">
        <v>1955</v>
      </c>
      <c r="G27" s="258">
        <v>4240000000</v>
      </c>
      <c r="H27" s="265">
        <v>0.1</v>
      </c>
      <c r="I27" s="258">
        <v>424000000</v>
      </c>
      <c r="J27" s="258">
        <v>4664000000</v>
      </c>
      <c r="K27" s="256" t="s">
        <v>1346</v>
      </c>
    </row>
    <row r="28" spans="1:11" x14ac:dyDescent="0.3">
      <c r="A28" s="256">
        <v>21</v>
      </c>
      <c r="B28" s="257" t="s">
        <v>1468</v>
      </c>
      <c r="C28" s="276">
        <v>44459</v>
      </c>
      <c r="D28" s="257" t="s">
        <v>1290</v>
      </c>
      <c r="E28" s="256" t="s">
        <v>1796</v>
      </c>
      <c r="F28" s="256" t="s">
        <v>1952</v>
      </c>
      <c r="G28" s="258">
        <v>3683000000</v>
      </c>
      <c r="H28" s="265">
        <v>0.1</v>
      </c>
      <c r="I28" s="258">
        <v>368300000</v>
      </c>
      <c r="J28" s="258">
        <v>4051300000</v>
      </c>
      <c r="K28" s="256" t="s">
        <v>1346</v>
      </c>
    </row>
    <row r="29" spans="1:11" x14ac:dyDescent="0.3">
      <c r="A29" s="256">
        <v>22</v>
      </c>
      <c r="B29" s="257" t="s">
        <v>1459</v>
      </c>
      <c r="C29" s="276">
        <v>44489</v>
      </c>
      <c r="D29" s="257" t="s">
        <v>1300</v>
      </c>
      <c r="E29" s="256" t="s">
        <v>1818</v>
      </c>
      <c r="F29" s="256" t="s">
        <v>1953</v>
      </c>
      <c r="G29" s="258">
        <v>4722000000</v>
      </c>
      <c r="H29" s="265">
        <v>0.1</v>
      </c>
      <c r="I29" s="258">
        <v>472200000</v>
      </c>
      <c r="J29" s="258">
        <v>5194200000</v>
      </c>
      <c r="K29" s="256" t="s">
        <v>1348</v>
      </c>
    </row>
    <row r="30" spans="1:11" x14ac:dyDescent="0.3">
      <c r="A30" s="256">
        <v>23</v>
      </c>
      <c r="B30" s="257" t="s">
        <v>1466</v>
      </c>
      <c r="C30" s="276">
        <v>44520</v>
      </c>
      <c r="D30" s="257" t="s">
        <v>1269</v>
      </c>
      <c r="E30" s="256" t="s">
        <v>1823</v>
      </c>
      <c r="F30" s="256" t="s">
        <v>1952</v>
      </c>
      <c r="G30" s="258">
        <v>4609000000</v>
      </c>
      <c r="H30" s="265">
        <v>0.1</v>
      </c>
      <c r="I30" s="258">
        <v>460900000</v>
      </c>
      <c r="J30" s="258">
        <v>5069900000</v>
      </c>
      <c r="K30" s="256" t="s">
        <v>1346</v>
      </c>
    </row>
    <row r="31" spans="1:11" x14ac:dyDescent="0.3">
      <c r="A31" s="256">
        <v>24</v>
      </c>
      <c r="B31" s="257" t="s">
        <v>1475</v>
      </c>
      <c r="C31" s="276">
        <v>44550</v>
      </c>
      <c r="D31" s="257" t="s">
        <v>1265</v>
      </c>
      <c r="E31" s="256" t="s">
        <v>1830</v>
      </c>
      <c r="F31" s="256" t="s">
        <v>1953</v>
      </c>
      <c r="G31" s="258">
        <v>1653000000</v>
      </c>
      <c r="H31" s="265">
        <v>0.1</v>
      </c>
      <c r="I31" s="258">
        <v>165300000</v>
      </c>
      <c r="J31" s="258">
        <v>1818300000</v>
      </c>
      <c r="K31" s="256" t="s">
        <v>1346</v>
      </c>
    </row>
    <row r="32" spans="1:11" x14ac:dyDescent="0.3">
      <c r="A32" s="256">
        <v>25</v>
      </c>
      <c r="B32" s="257" t="s">
        <v>1508</v>
      </c>
      <c r="C32" s="276">
        <v>44221</v>
      </c>
      <c r="D32" s="257" t="s">
        <v>1304</v>
      </c>
      <c r="E32" s="256" t="s">
        <v>1831</v>
      </c>
      <c r="F32" s="256" t="s">
        <v>1955</v>
      </c>
      <c r="G32" s="258">
        <v>4484000000</v>
      </c>
      <c r="H32" s="265">
        <v>0.1</v>
      </c>
      <c r="I32" s="258">
        <v>448400000</v>
      </c>
      <c r="J32" s="258">
        <v>4932400000</v>
      </c>
      <c r="K32" s="256" t="s">
        <v>1346</v>
      </c>
    </row>
    <row r="33" spans="1:11" x14ac:dyDescent="0.3">
      <c r="A33" s="256">
        <v>26</v>
      </c>
      <c r="B33" s="257" t="s">
        <v>1473</v>
      </c>
      <c r="C33" s="276">
        <v>44255</v>
      </c>
      <c r="D33" s="257" t="s">
        <v>1293</v>
      </c>
      <c r="E33" s="256" t="s">
        <v>1826</v>
      </c>
      <c r="F33" s="256" t="s">
        <v>1955</v>
      </c>
      <c r="G33" s="258">
        <v>4463000000</v>
      </c>
      <c r="H33" s="265">
        <v>0.1</v>
      </c>
      <c r="I33" s="258">
        <v>446300000</v>
      </c>
      <c r="J33" s="258">
        <v>4909300000</v>
      </c>
      <c r="K33" s="256" t="s">
        <v>1346</v>
      </c>
    </row>
    <row r="34" spans="1:11" x14ac:dyDescent="0.3">
      <c r="A34" s="256">
        <v>27</v>
      </c>
      <c r="B34" s="257" t="s">
        <v>1475</v>
      </c>
      <c r="C34" s="276">
        <v>44316</v>
      </c>
      <c r="D34" s="257" t="s">
        <v>1262</v>
      </c>
      <c r="E34" s="256" t="s">
        <v>1816</v>
      </c>
      <c r="F34" s="256" t="s">
        <v>1954</v>
      </c>
      <c r="G34" s="258">
        <v>4861000000</v>
      </c>
      <c r="H34" s="265">
        <v>0.1</v>
      </c>
      <c r="I34" s="258">
        <v>486100000</v>
      </c>
      <c r="J34" s="258">
        <v>5347100000</v>
      </c>
      <c r="K34" s="256" t="s">
        <v>1346</v>
      </c>
    </row>
    <row r="35" spans="1:11" x14ac:dyDescent="0.3">
      <c r="A35" s="256">
        <v>28</v>
      </c>
      <c r="B35" s="257" t="s">
        <v>1457</v>
      </c>
      <c r="C35" s="276">
        <v>44377</v>
      </c>
      <c r="D35" s="257" t="s">
        <v>1286</v>
      </c>
      <c r="E35" s="256" t="s">
        <v>1828</v>
      </c>
      <c r="F35" s="256" t="s">
        <v>1952</v>
      </c>
      <c r="G35" s="258">
        <v>1413000000</v>
      </c>
      <c r="H35" s="265">
        <v>0.1</v>
      </c>
      <c r="I35" s="258">
        <v>141300000</v>
      </c>
      <c r="J35" s="258">
        <v>1554300000</v>
      </c>
      <c r="K35" s="256" t="s">
        <v>1348</v>
      </c>
    </row>
    <row r="36" spans="1:11" x14ac:dyDescent="0.3">
      <c r="A36" s="256">
        <v>29</v>
      </c>
      <c r="B36" s="257" t="s">
        <v>1509</v>
      </c>
      <c r="C36" s="276">
        <v>44469</v>
      </c>
      <c r="D36" s="257" t="s">
        <v>1304</v>
      </c>
      <c r="E36" s="256" t="s">
        <v>1831</v>
      </c>
      <c r="F36" s="256" t="s">
        <v>1951</v>
      </c>
      <c r="G36" s="258">
        <v>4460000000</v>
      </c>
      <c r="H36" s="265">
        <v>0.1</v>
      </c>
      <c r="I36" s="258">
        <v>446000000</v>
      </c>
      <c r="J36" s="258">
        <v>4906000000</v>
      </c>
      <c r="K36" s="256" t="s">
        <v>1346</v>
      </c>
    </row>
    <row r="37" spans="1:11" x14ac:dyDescent="0.3">
      <c r="A37" s="256">
        <v>30</v>
      </c>
      <c r="B37" s="257" t="s">
        <v>1478</v>
      </c>
      <c r="C37" s="276">
        <v>44530</v>
      </c>
      <c r="D37" s="257" t="s">
        <v>1289</v>
      </c>
      <c r="E37" s="256" t="s">
        <v>1803</v>
      </c>
      <c r="F37" s="256" t="s">
        <v>1952</v>
      </c>
      <c r="G37" s="258">
        <v>2451000000</v>
      </c>
      <c r="H37" s="265">
        <v>0.1</v>
      </c>
      <c r="I37" s="258">
        <v>245100000</v>
      </c>
      <c r="J37" s="258">
        <v>2696100000</v>
      </c>
      <c r="K37" s="256" t="s">
        <v>1346</v>
      </c>
    </row>
    <row r="38" spans="1:11" x14ac:dyDescent="0.3">
      <c r="A38" s="256">
        <v>31</v>
      </c>
      <c r="B38" s="257" t="s">
        <v>1479</v>
      </c>
      <c r="C38" s="276">
        <v>44286</v>
      </c>
      <c r="D38" s="257" t="s">
        <v>1289</v>
      </c>
      <c r="E38" s="256" t="s">
        <v>1803</v>
      </c>
      <c r="F38" s="256" t="s">
        <v>1953</v>
      </c>
      <c r="G38" s="258">
        <v>4943000000</v>
      </c>
      <c r="H38" s="265">
        <v>0.1</v>
      </c>
      <c r="I38" s="258">
        <v>494300000</v>
      </c>
      <c r="J38" s="258">
        <v>5437300000</v>
      </c>
      <c r="K38" s="256" t="s">
        <v>1346</v>
      </c>
    </row>
    <row r="39" spans="1:11" x14ac:dyDescent="0.3">
      <c r="A39" s="256">
        <v>32</v>
      </c>
      <c r="B39" s="257" t="s">
        <v>1474</v>
      </c>
      <c r="C39" s="276">
        <v>44347</v>
      </c>
      <c r="D39" s="257" t="s">
        <v>1293</v>
      </c>
      <c r="E39" s="256" t="s">
        <v>1826</v>
      </c>
      <c r="F39" s="256" t="s">
        <v>1955</v>
      </c>
      <c r="G39" s="258">
        <v>3405000000</v>
      </c>
      <c r="H39" s="265">
        <v>0</v>
      </c>
      <c r="I39" s="258">
        <v>0</v>
      </c>
      <c r="J39" s="258">
        <v>3405000000</v>
      </c>
      <c r="K39" s="256" t="s">
        <v>1348</v>
      </c>
    </row>
    <row r="40" spans="1:11" x14ac:dyDescent="0.3">
      <c r="A40" s="256">
        <v>33</v>
      </c>
      <c r="B40" s="257" t="s">
        <v>1415</v>
      </c>
      <c r="C40" s="276">
        <v>44408</v>
      </c>
      <c r="D40" s="257" t="s">
        <v>1296</v>
      </c>
      <c r="E40" s="256" t="s">
        <v>1807</v>
      </c>
      <c r="F40" s="256" t="s">
        <v>1956</v>
      </c>
      <c r="G40" s="258">
        <v>2344000000</v>
      </c>
      <c r="H40" s="265">
        <v>0.1</v>
      </c>
      <c r="I40" s="258">
        <v>234400000</v>
      </c>
      <c r="J40" s="258">
        <v>2578400000</v>
      </c>
      <c r="K40" s="256" t="s">
        <v>1346</v>
      </c>
    </row>
    <row r="41" spans="1:11" x14ac:dyDescent="0.3">
      <c r="A41" s="256">
        <v>34</v>
      </c>
      <c r="B41" s="257" t="s">
        <v>1504</v>
      </c>
      <c r="C41" s="276">
        <v>44439</v>
      </c>
      <c r="D41" s="257" t="s">
        <v>1272</v>
      </c>
      <c r="E41" s="256" t="s">
        <v>1805</v>
      </c>
      <c r="F41" s="256" t="s">
        <v>1952</v>
      </c>
      <c r="G41" s="258">
        <v>3458000000</v>
      </c>
      <c r="H41" s="265">
        <v>0.1</v>
      </c>
      <c r="I41" s="258">
        <v>345800000</v>
      </c>
      <c r="J41" s="258">
        <v>3803800000</v>
      </c>
      <c r="K41" s="256" t="s">
        <v>1346</v>
      </c>
    </row>
    <row r="42" spans="1:11" x14ac:dyDescent="0.3">
      <c r="A42" s="256">
        <v>35</v>
      </c>
      <c r="B42" s="257" t="s">
        <v>1460</v>
      </c>
      <c r="C42" s="276">
        <v>44500</v>
      </c>
      <c r="D42" s="257" t="s">
        <v>1300</v>
      </c>
      <c r="E42" s="256" t="s">
        <v>1818</v>
      </c>
      <c r="F42" s="256" t="s">
        <v>1953</v>
      </c>
      <c r="G42" s="258">
        <v>4872000000</v>
      </c>
      <c r="H42" s="265">
        <v>0.1</v>
      </c>
      <c r="I42" s="258">
        <v>487200000</v>
      </c>
      <c r="J42" s="258">
        <v>5359200000</v>
      </c>
      <c r="K42" s="256" t="s">
        <v>1346</v>
      </c>
    </row>
    <row r="43" spans="1:11" x14ac:dyDescent="0.3">
      <c r="A43" s="256">
        <v>36</v>
      </c>
      <c r="B43" s="257" t="s">
        <v>1212</v>
      </c>
      <c r="C43" s="276">
        <v>44561</v>
      </c>
      <c r="D43" s="257" t="s">
        <v>1259</v>
      </c>
      <c r="E43" s="256" t="s">
        <v>1788</v>
      </c>
      <c r="F43" s="256" t="s">
        <v>1955</v>
      </c>
      <c r="G43" s="258">
        <v>4739000000</v>
      </c>
      <c r="H43" s="265">
        <v>0.1</v>
      </c>
      <c r="I43" s="258">
        <v>473900000</v>
      </c>
      <c r="J43" s="258">
        <v>5212900000</v>
      </c>
      <c r="K43" s="256" t="s">
        <v>1346</v>
      </c>
    </row>
    <row r="44" spans="1:11" x14ac:dyDescent="0.3">
      <c r="A44" s="256">
        <v>37</v>
      </c>
      <c r="B44" s="257" t="s">
        <v>1456</v>
      </c>
      <c r="C44" s="276">
        <v>44561</v>
      </c>
      <c r="D44" s="257" t="s">
        <v>1287</v>
      </c>
      <c r="E44" s="256" t="s">
        <v>1801</v>
      </c>
      <c r="F44" s="256" t="s">
        <v>1953</v>
      </c>
      <c r="G44" s="258">
        <v>5357000000</v>
      </c>
      <c r="H44" s="265">
        <v>0.1</v>
      </c>
      <c r="I44" s="258">
        <v>535700000</v>
      </c>
      <c r="J44" s="258">
        <v>5892700000</v>
      </c>
      <c r="K44" s="256" t="s">
        <v>1346</v>
      </c>
    </row>
    <row r="45" spans="1:11" x14ac:dyDescent="0.3">
      <c r="A45" s="256">
        <v>38</v>
      </c>
      <c r="B45" s="257" t="s">
        <v>1482</v>
      </c>
      <c r="C45" s="276">
        <v>44561</v>
      </c>
      <c r="D45" s="257" t="s">
        <v>1268</v>
      </c>
      <c r="E45" s="256" t="s">
        <v>1821</v>
      </c>
      <c r="F45" s="256" t="s">
        <v>1954</v>
      </c>
      <c r="G45" s="258">
        <v>4252000000</v>
      </c>
      <c r="H45" s="265">
        <v>0.1</v>
      </c>
      <c r="I45" s="258">
        <v>425200000</v>
      </c>
      <c r="J45" s="258">
        <v>4677200000</v>
      </c>
      <c r="K45" s="256" t="s">
        <v>1346</v>
      </c>
    </row>
    <row r="46" spans="1:11" x14ac:dyDescent="0.3">
      <c r="A46" s="256">
        <v>39</v>
      </c>
      <c r="B46" s="257" t="s">
        <v>1497</v>
      </c>
      <c r="C46" s="276">
        <v>44561</v>
      </c>
      <c r="D46" s="257" t="s">
        <v>1270</v>
      </c>
      <c r="E46" s="256" t="s">
        <v>1782</v>
      </c>
      <c r="F46" s="256" t="s">
        <v>1956</v>
      </c>
      <c r="G46" s="258">
        <v>3532000000</v>
      </c>
      <c r="H46" s="265">
        <v>0.1</v>
      </c>
      <c r="I46" s="258">
        <v>353200000</v>
      </c>
      <c r="J46" s="258">
        <v>3885200000</v>
      </c>
      <c r="K46" s="256" t="s">
        <v>1346</v>
      </c>
    </row>
    <row r="47" spans="1:11" x14ac:dyDescent="0.3">
      <c r="A47" s="256">
        <v>40</v>
      </c>
      <c r="B47" s="257" t="s">
        <v>1469</v>
      </c>
      <c r="C47" s="276">
        <v>44561</v>
      </c>
      <c r="D47" s="257" t="s">
        <v>1290</v>
      </c>
      <c r="E47" s="256" t="s">
        <v>1796</v>
      </c>
      <c r="F47" s="256" t="s">
        <v>1954</v>
      </c>
      <c r="G47" s="258">
        <v>3977000000</v>
      </c>
      <c r="H47" s="265">
        <v>0.1</v>
      </c>
      <c r="I47" s="258">
        <v>397700000</v>
      </c>
      <c r="J47" s="258">
        <v>4374700000</v>
      </c>
      <c r="K47" s="256" t="s">
        <v>1346</v>
      </c>
    </row>
    <row r="48" spans="1:11" x14ac:dyDescent="0.3">
      <c r="A48" s="256">
        <v>41</v>
      </c>
      <c r="B48" s="257" t="s">
        <v>1492</v>
      </c>
      <c r="C48" s="276">
        <v>44561</v>
      </c>
      <c r="D48" s="257" t="s">
        <v>1288</v>
      </c>
      <c r="E48" s="256" t="s">
        <v>1797</v>
      </c>
      <c r="F48" s="256" t="s">
        <v>1955</v>
      </c>
      <c r="G48" s="258">
        <v>2885000000</v>
      </c>
      <c r="H48" s="265">
        <v>0.1</v>
      </c>
      <c r="I48" s="258">
        <v>288500000</v>
      </c>
      <c r="J48" s="258">
        <v>3173500000</v>
      </c>
      <c r="K48" s="256" t="s">
        <v>1346</v>
      </c>
    </row>
    <row r="49" spans="1:11" x14ac:dyDescent="0.3">
      <c r="A49" s="256">
        <v>42</v>
      </c>
      <c r="B49" s="257" t="s">
        <v>1492</v>
      </c>
      <c r="C49" s="276">
        <v>44561</v>
      </c>
      <c r="D49" s="257" t="s">
        <v>1282</v>
      </c>
      <c r="E49" s="256" t="s">
        <v>1789</v>
      </c>
      <c r="F49" s="256" t="s">
        <v>1955</v>
      </c>
      <c r="G49" s="258">
        <v>5248000000</v>
      </c>
      <c r="H49" s="265">
        <v>0.1</v>
      </c>
      <c r="I49" s="258">
        <v>524800000</v>
      </c>
      <c r="J49" s="258">
        <v>5772800000</v>
      </c>
      <c r="K49" s="256" t="s">
        <v>1346</v>
      </c>
    </row>
    <row r="50" spans="1:11" x14ac:dyDescent="0.3">
      <c r="A50" s="256">
        <v>43</v>
      </c>
      <c r="B50" s="257" t="s">
        <v>1476</v>
      </c>
      <c r="C50" s="276">
        <v>44561</v>
      </c>
      <c r="D50" s="257" t="s">
        <v>1265</v>
      </c>
      <c r="E50" s="256" t="s">
        <v>1830</v>
      </c>
      <c r="F50" s="256" t="s">
        <v>1953</v>
      </c>
      <c r="G50" s="258">
        <v>1359000000</v>
      </c>
      <c r="H50" s="265">
        <v>0.1</v>
      </c>
      <c r="I50" s="258">
        <v>135900000</v>
      </c>
      <c r="J50" s="258">
        <v>1494900000</v>
      </c>
      <c r="K50" s="256" t="s">
        <v>1346</v>
      </c>
    </row>
    <row r="51" spans="1:11" x14ac:dyDescent="0.3">
      <c r="A51" s="256">
        <v>44</v>
      </c>
      <c r="B51" s="257" t="s">
        <v>1213</v>
      </c>
      <c r="C51" s="276">
        <v>44561</v>
      </c>
      <c r="D51" s="257" t="s">
        <v>1259</v>
      </c>
      <c r="E51" s="256" t="s">
        <v>1788</v>
      </c>
      <c r="F51" s="256" t="s">
        <v>1952</v>
      </c>
      <c r="G51" s="258">
        <v>3846000000</v>
      </c>
      <c r="H51" s="265">
        <v>0.1</v>
      </c>
      <c r="I51" s="258">
        <v>384600000</v>
      </c>
      <c r="J51" s="258">
        <v>4230600000</v>
      </c>
      <c r="K51" s="256" t="s">
        <v>1346</v>
      </c>
    </row>
    <row r="52" spans="1:11" x14ac:dyDescent="0.3">
      <c r="A52" s="256">
        <v>45</v>
      </c>
      <c r="B52" s="257" t="s">
        <v>1408</v>
      </c>
      <c r="C52" s="276">
        <v>44561</v>
      </c>
      <c r="D52" s="257" t="s">
        <v>1258</v>
      </c>
      <c r="E52" s="256" t="s">
        <v>1833</v>
      </c>
      <c r="F52" s="256" t="s">
        <v>1955</v>
      </c>
      <c r="G52" s="258">
        <v>4536000000</v>
      </c>
      <c r="H52" s="265">
        <v>0.1</v>
      </c>
      <c r="I52" s="258">
        <v>453600000</v>
      </c>
      <c r="J52" s="258">
        <v>4989600000</v>
      </c>
      <c r="K52" s="256" t="s">
        <v>1346</v>
      </c>
    </row>
    <row r="53" spans="1:11" x14ac:dyDescent="0.3">
      <c r="A53" s="256">
        <v>46</v>
      </c>
      <c r="B53" s="257" t="s">
        <v>1486</v>
      </c>
      <c r="C53" s="276">
        <v>44561</v>
      </c>
      <c r="D53" s="257" t="s">
        <v>1279</v>
      </c>
      <c r="E53" s="256" t="s">
        <v>1827</v>
      </c>
      <c r="F53" s="256" t="s">
        <v>1955</v>
      </c>
      <c r="G53" s="258">
        <v>2047000000</v>
      </c>
      <c r="H53" s="265">
        <v>0</v>
      </c>
      <c r="I53" s="258">
        <v>0</v>
      </c>
      <c r="J53" s="258">
        <v>2047000000</v>
      </c>
      <c r="K53" s="256" t="s">
        <v>1346</v>
      </c>
    </row>
    <row r="54" spans="1:11" x14ac:dyDescent="0.3">
      <c r="A54" s="256">
        <v>47</v>
      </c>
      <c r="B54" s="257" t="s">
        <v>1505</v>
      </c>
      <c r="C54" s="276">
        <v>44561</v>
      </c>
      <c r="D54" s="257" t="s">
        <v>1259</v>
      </c>
      <c r="E54" s="256" t="s">
        <v>1788</v>
      </c>
      <c r="F54" s="256" t="s">
        <v>1955</v>
      </c>
      <c r="G54" s="258">
        <v>3747000000</v>
      </c>
      <c r="H54" s="265">
        <v>0.1</v>
      </c>
      <c r="I54" s="258">
        <v>374700000</v>
      </c>
      <c r="J54" s="258">
        <v>4121700000</v>
      </c>
      <c r="K54" s="256" t="s">
        <v>1346</v>
      </c>
    </row>
    <row r="55" spans="1:11" x14ac:dyDescent="0.3">
      <c r="A55" s="256">
        <v>48</v>
      </c>
      <c r="B55" s="257" t="s">
        <v>1494</v>
      </c>
      <c r="C55" s="276">
        <v>44561</v>
      </c>
      <c r="D55" s="257" t="s">
        <v>1273</v>
      </c>
      <c r="E55" s="256" t="s">
        <v>1829</v>
      </c>
      <c r="F55" s="256" t="s">
        <v>1956</v>
      </c>
      <c r="G55" s="258">
        <v>3424000000</v>
      </c>
      <c r="H55" s="265">
        <v>0.1</v>
      </c>
      <c r="I55" s="258">
        <v>342400000</v>
      </c>
      <c r="J55" s="258">
        <v>3766400000</v>
      </c>
      <c r="K55" s="256" t="s">
        <v>1346</v>
      </c>
    </row>
    <row r="56" spans="1:11" x14ac:dyDescent="0.3">
      <c r="A56" s="256">
        <v>49</v>
      </c>
      <c r="B56" s="257" t="s">
        <v>1470</v>
      </c>
      <c r="C56" s="276">
        <v>44561</v>
      </c>
      <c r="D56" s="257" t="s">
        <v>1301</v>
      </c>
      <c r="E56" s="256" t="s">
        <v>1781</v>
      </c>
      <c r="F56" s="256" t="s">
        <v>1955</v>
      </c>
      <c r="G56" s="258">
        <v>2618000000</v>
      </c>
      <c r="H56" s="265">
        <v>0.1</v>
      </c>
      <c r="I56" s="258">
        <v>261800000</v>
      </c>
      <c r="J56" s="258">
        <v>2879800000</v>
      </c>
      <c r="K56" s="256" t="s">
        <v>1346</v>
      </c>
    </row>
    <row r="57" spans="1:11" x14ac:dyDescent="0.3">
      <c r="A57" s="256">
        <v>50</v>
      </c>
      <c r="B57" s="257" t="s">
        <v>1476</v>
      </c>
      <c r="C57" s="276">
        <v>44561</v>
      </c>
      <c r="D57" s="257" t="s">
        <v>1299</v>
      </c>
      <c r="E57" s="256" t="s">
        <v>1776</v>
      </c>
      <c r="F57" s="256" t="s">
        <v>1953</v>
      </c>
      <c r="G57" s="258">
        <v>2527000000</v>
      </c>
      <c r="H57" s="265">
        <v>0.1</v>
      </c>
      <c r="I57" s="258">
        <v>252700000</v>
      </c>
      <c r="J57" s="258">
        <v>2779700000</v>
      </c>
      <c r="K57" s="256" t="s">
        <v>1346</v>
      </c>
    </row>
    <row r="58" spans="1:11" x14ac:dyDescent="0.3">
      <c r="A58" s="266" t="s">
        <v>1351</v>
      </c>
      <c r="B58" s="266"/>
      <c r="C58" s="266"/>
      <c r="D58" s="266"/>
      <c r="E58" s="266"/>
      <c r="F58" s="266"/>
      <c r="G58" s="267">
        <f>SUM(G8:G57)</f>
        <v>173476000000</v>
      </c>
      <c r="H58" s="266"/>
      <c r="I58" s="267">
        <f>SUM(I8:I57)</f>
        <v>15892300000</v>
      </c>
      <c r="J58" s="267">
        <f>SUM(J8:J57)</f>
        <v>189368300000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1957</v>
      </c>
      <c r="G62" s="258">
        <v>3457000000</v>
      </c>
      <c r="H62" s="265">
        <v>0.1</v>
      </c>
      <c r="I62" s="258">
        <v>345700000</v>
      </c>
      <c r="J62" s="258">
        <v>3802700000</v>
      </c>
      <c r="K62" s="256" t="s">
        <v>1346</v>
      </c>
    </row>
    <row r="63" spans="1:11" x14ac:dyDescent="0.3">
      <c r="A63" s="256">
        <v>2</v>
      </c>
      <c r="B63" s="257" t="s">
        <v>1201</v>
      </c>
      <c r="C63" s="276">
        <v>44318</v>
      </c>
      <c r="D63" s="257" t="s">
        <v>1259</v>
      </c>
      <c r="E63" s="256" t="s">
        <v>1788</v>
      </c>
      <c r="F63" s="256" t="s">
        <v>1958</v>
      </c>
      <c r="G63" s="258">
        <v>6166000000</v>
      </c>
      <c r="H63" s="265">
        <v>0.1</v>
      </c>
      <c r="I63" s="258">
        <v>616600000</v>
      </c>
      <c r="J63" s="258">
        <v>6782600000</v>
      </c>
      <c r="K63" s="256" t="s">
        <v>1348</v>
      </c>
    </row>
    <row r="64" spans="1:11" x14ac:dyDescent="0.3">
      <c r="A64" s="256">
        <v>3</v>
      </c>
      <c r="B64" s="257" t="s">
        <v>1202</v>
      </c>
      <c r="C64" s="276">
        <v>44472</v>
      </c>
      <c r="D64" s="257" t="s">
        <v>1298</v>
      </c>
      <c r="E64" s="256" t="s">
        <v>1819</v>
      </c>
      <c r="F64" s="256" t="s">
        <v>1959</v>
      </c>
      <c r="G64" s="258">
        <v>3374000000</v>
      </c>
      <c r="H64" s="265">
        <v>0</v>
      </c>
      <c r="I64" s="258">
        <v>0</v>
      </c>
      <c r="J64" s="258">
        <v>3374000000</v>
      </c>
      <c r="K64" s="256" t="s">
        <v>1346</v>
      </c>
    </row>
    <row r="65" spans="1:11" x14ac:dyDescent="0.3">
      <c r="A65" s="256">
        <v>4</v>
      </c>
      <c r="B65" s="257" t="s">
        <v>1355</v>
      </c>
      <c r="C65" s="276">
        <v>44473</v>
      </c>
      <c r="D65" s="257" t="s">
        <v>1288</v>
      </c>
      <c r="E65" s="256" t="s">
        <v>1797</v>
      </c>
      <c r="F65" s="256" t="s">
        <v>1960</v>
      </c>
      <c r="G65" s="258">
        <v>3286000000</v>
      </c>
      <c r="H65" s="265">
        <v>0</v>
      </c>
      <c r="I65" s="258">
        <v>0</v>
      </c>
      <c r="J65" s="258">
        <v>3286000000</v>
      </c>
      <c r="K65" s="256" t="s">
        <v>1348</v>
      </c>
    </row>
    <row r="66" spans="1:11" x14ac:dyDescent="0.3">
      <c r="A66" s="256">
        <v>5</v>
      </c>
      <c r="B66" s="257" t="s">
        <v>1356</v>
      </c>
      <c r="C66" s="276">
        <v>44474</v>
      </c>
      <c r="D66" s="257" t="s">
        <v>1285</v>
      </c>
      <c r="E66" s="256" t="s">
        <v>1793</v>
      </c>
      <c r="F66" s="256" t="s">
        <v>1957</v>
      </c>
      <c r="G66" s="258">
        <v>2248000000</v>
      </c>
      <c r="H66" s="265">
        <v>0.1</v>
      </c>
      <c r="I66" s="258">
        <v>224800000</v>
      </c>
      <c r="J66" s="258">
        <v>2472800000</v>
      </c>
      <c r="K66" s="256" t="s">
        <v>1346</v>
      </c>
    </row>
    <row r="67" spans="1:11" x14ac:dyDescent="0.3">
      <c r="A67" s="256">
        <v>6</v>
      </c>
      <c r="B67" s="257" t="s">
        <v>1358</v>
      </c>
      <c r="C67" s="276">
        <v>44475</v>
      </c>
      <c r="D67" s="257" t="s">
        <v>1286</v>
      </c>
      <c r="E67" s="256" t="s">
        <v>1828</v>
      </c>
      <c r="F67" s="256" t="s">
        <v>1958</v>
      </c>
      <c r="G67" s="258">
        <v>2799000000</v>
      </c>
      <c r="H67" s="265">
        <v>0</v>
      </c>
      <c r="I67" s="258">
        <v>0</v>
      </c>
      <c r="J67" s="258">
        <v>2799000000</v>
      </c>
      <c r="K67" s="256" t="s">
        <v>1346</v>
      </c>
    </row>
    <row r="68" spans="1:11" x14ac:dyDescent="0.3">
      <c r="A68" s="256">
        <v>7</v>
      </c>
      <c r="B68" s="257" t="s">
        <v>1360</v>
      </c>
      <c r="C68" s="276">
        <v>44476</v>
      </c>
      <c r="D68" s="257" t="s">
        <v>1256</v>
      </c>
      <c r="E68" s="256" t="s">
        <v>1802</v>
      </c>
      <c r="F68" s="256" t="s">
        <v>1958</v>
      </c>
      <c r="G68" s="258">
        <v>4252000000</v>
      </c>
      <c r="H68" s="265">
        <v>0.1</v>
      </c>
      <c r="I68" s="258">
        <v>425200000</v>
      </c>
      <c r="J68" s="258">
        <v>4677200000</v>
      </c>
      <c r="K68" s="256" t="s">
        <v>1346</v>
      </c>
    </row>
    <row r="69" spans="1:11" x14ac:dyDescent="0.3">
      <c r="A69" s="256">
        <v>8</v>
      </c>
      <c r="B69" s="257" t="s">
        <v>1362</v>
      </c>
      <c r="C69" s="276">
        <v>44477</v>
      </c>
      <c r="D69" s="257" t="s">
        <v>1289</v>
      </c>
      <c r="E69" s="256" t="s">
        <v>1803</v>
      </c>
      <c r="F69" s="256" t="s">
        <v>1959</v>
      </c>
      <c r="G69" s="258">
        <v>2889000000</v>
      </c>
      <c r="H69" s="265">
        <v>0.1</v>
      </c>
      <c r="I69" s="258">
        <v>288900000</v>
      </c>
      <c r="J69" s="258">
        <v>3177900000</v>
      </c>
      <c r="K69" s="256" t="s">
        <v>1346</v>
      </c>
    </row>
    <row r="70" spans="1:11" x14ac:dyDescent="0.3">
      <c r="A70" s="256">
        <v>9</v>
      </c>
      <c r="B70" s="257" t="s">
        <v>1364</v>
      </c>
      <c r="C70" s="276">
        <v>44478</v>
      </c>
      <c r="D70" s="257" t="s">
        <v>1301</v>
      </c>
      <c r="E70" s="256" t="s">
        <v>1781</v>
      </c>
      <c r="F70" s="256" t="s">
        <v>1960</v>
      </c>
      <c r="G70" s="258">
        <v>5137000000</v>
      </c>
      <c r="H70" s="265">
        <v>0.1</v>
      </c>
      <c r="I70" s="258">
        <v>513700000</v>
      </c>
      <c r="J70" s="258">
        <v>5650700000</v>
      </c>
      <c r="K70" s="256" t="s">
        <v>1346</v>
      </c>
    </row>
    <row r="71" spans="1:11" x14ac:dyDescent="0.3">
      <c r="A71" s="256">
        <v>10</v>
      </c>
      <c r="B71" s="257" t="s">
        <v>1366</v>
      </c>
      <c r="C71" s="276">
        <v>44479</v>
      </c>
      <c r="D71" s="257" t="s">
        <v>1276</v>
      </c>
      <c r="E71" s="256" t="s">
        <v>1822</v>
      </c>
      <c r="F71" s="256" t="s">
        <v>1957</v>
      </c>
      <c r="G71" s="258">
        <v>2160000000</v>
      </c>
      <c r="H71" s="265">
        <v>0.1</v>
      </c>
      <c r="I71" s="258">
        <v>216000000</v>
      </c>
      <c r="J71" s="258">
        <v>2376000000</v>
      </c>
      <c r="K71" s="256" t="s">
        <v>1346</v>
      </c>
    </row>
    <row r="72" spans="1:11" x14ac:dyDescent="0.3">
      <c r="A72" s="256">
        <v>11</v>
      </c>
      <c r="B72" s="257" t="s">
        <v>1368</v>
      </c>
      <c r="C72" s="276">
        <v>44480</v>
      </c>
      <c r="D72" s="257" t="s">
        <v>1263</v>
      </c>
      <c r="E72" s="256" t="s">
        <v>1790</v>
      </c>
      <c r="F72" s="256" t="s">
        <v>1958</v>
      </c>
      <c r="G72" s="258">
        <v>6789000000</v>
      </c>
      <c r="H72" s="265">
        <v>0</v>
      </c>
      <c r="I72" s="258">
        <v>0</v>
      </c>
      <c r="J72" s="258">
        <v>6789000000</v>
      </c>
      <c r="K72" s="256" t="s">
        <v>1346</v>
      </c>
    </row>
    <row r="73" spans="1:11" x14ac:dyDescent="0.3">
      <c r="A73" s="256">
        <v>12</v>
      </c>
      <c r="B73" s="257" t="s">
        <v>1371</v>
      </c>
      <c r="C73" s="276">
        <v>44481</v>
      </c>
      <c r="D73" s="257" t="s">
        <v>1284</v>
      </c>
      <c r="E73" s="256" t="s">
        <v>1786</v>
      </c>
      <c r="F73" s="256" t="s">
        <v>1958</v>
      </c>
      <c r="G73" s="258">
        <v>4012000000</v>
      </c>
      <c r="H73" s="265">
        <v>0.1</v>
      </c>
      <c r="I73" s="258">
        <v>401200000</v>
      </c>
      <c r="J73" s="258">
        <v>4413200000</v>
      </c>
      <c r="K73" s="256" t="s">
        <v>1346</v>
      </c>
    </row>
    <row r="74" spans="1:11" x14ac:dyDescent="0.3">
      <c r="A74" s="256">
        <v>13</v>
      </c>
      <c r="B74" s="257" t="s">
        <v>1373</v>
      </c>
      <c r="C74" s="276">
        <v>44211</v>
      </c>
      <c r="D74" s="257" t="s">
        <v>1291</v>
      </c>
      <c r="E74" s="256" t="s">
        <v>1800</v>
      </c>
      <c r="F74" s="256" t="s">
        <v>1960</v>
      </c>
      <c r="G74" s="258">
        <v>6772000000</v>
      </c>
      <c r="H74" s="265">
        <v>0.1</v>
      </c>
      <c r="I74" s="258">
        <v>677200000</v>
      </c>
      <c r="J74" s="258">
        <v>7449200000</v>
      </c>
      <c r="K74" s="256" t="s">
        <v>1346</v>
      </c>
    </row>
    <row r="75" spans="1:11" x14ac:dyDescent="0.3">
      <c r="A75" s="256">
        <v>14</v>
      </c>
      <c r="B75" s="257" t="s">
        <v>1374</v>
      </c>
      <c r="C75" s="276">
        <v>44242</v>
      </c>
      <c r="D75" s="257" t="s">
        <v>1255</v>
      </c>
      <c r="E75" s="273">
        <v>46152</v>
      </c>
      <c r="F75" s="256" t="s">
        <v>1960</v>
      </c>
      <c r="G75" s="258">
        <v>5420000000</v>
      </c>
      <c r="H75" s="265">
        <v>0.1</v>
      </c>
      <c r="I75" s="258">
        <v>542000000</v>
      </c>
      <c r="J75" s="258">
        <v>5962000000</v>
      </c>
      <c r="K75" s="256" t="s">
        <v>1346</v>
      </c>
    </row>
    <row r="76" spans="1:11" x14ac:dyDescent="0.3">
      <c r="A76" s="256">
        <v>15</v>
      </c>
      <c r="B76" s="257" t="s">
        <v>1376</v>
      </c>
      <c r="C76" s="276">
        <v>44275</v>
      </c>
      <c r="D76" s="257" t="s">
        <v>1296</v>
      </c>
      <c r="E76" s="256" t="s">
        <v>1807</v>
      </c>
      <c r="F76" s="256" t="s">
        <v>1958</v>
      </c>
      <c r="G76" s="258">
        <v>4907000000</v>
      </c>
      <c r="H76" s="265">
        <v>0.1</v>
      </c>
      <c r="I76" s="258">
        <v>490700000</v>
      </c>
      <c r="J76" s="258">
        <v>5397700000</v>
      </c>
      <c r="K76" s="256" t="s">
        <v>1346</v>
      </c>
    </row>
    <row r="77" spans="1:11" x14ac:dyDescent="0.3">
      <c r="A77" s="256">
        <v>16</v>
      </c>
      <c r="B77" s="257" t="s">
        <v>1378</v>
      </c>
      <c r="C77" s="276">
        <v>44306</v>
      </c>
      <c r="D77" s="257" t="s">
        <v>1298</v>
      </c>
      <c r="E77" s="256" t="s">
        <v>1819</v>
      </c>
      <c r="F77" s="256" t="s">
        <v>1959</v>
      </c>
      <c r="G77" s="258">
        <v>6484000000</v>
      </c>
      <c r="H77" s="265">
        <v>0.1</v>
      </c>
      <c r="I77" s="258">
        <v>648400000</v>
      </c>
      <c r="J77" s="258">
        <v>7132400000</v>
      </c>
      <c r="K77" s="256" t="s">
        <v>1348</v>
      </c>
    </row>
    <row r="78" spans="1:11" x14ac:dyDescent="0.3">
      <c r="A78" s="256">
        <v>17</v>
      </c>
      <c r="B78" s="257" t="s">
        <v>1379</v>
      </c>
      <c r="C78" s="276">
        <v>44336</v>
      </c>
      <c r="D78" s="257" t="s">
        <v>1261</v>
      </c>
      <c r="E78" s="256" t="s">
        <v>1813</v>
      </c>
      <c r="F78" s="256" t="s">
        <v>1957</v>
      </c>
      <c r="G78" s="258">
        <v>2928000000</v>
      </c>
      <c r="H78" s="265">
        <v>0.1</v>
      </c>
      <c r="I78" s="258">
        <v>292800000</v>
      </c>
      <c r="J78" s="258">
        <v>3220800000</v>
      </c>
      <c r="K78" s="256" t="s">
        <v>1348</v>
      </c>
    </row>
    <row r="79" spans="1:11" x14ac:dyDescent="0.3">
      <c r="A79" s="256">
        <v>18</v>
      </c>
      <c r="B79" s="257" t="s">
        <v>1381</v>
      </c>
      <c r="C79" s="276">
        <v>44367</v>
      </c>
      <c r="D79" s="257" t="s">
        <v>1299</v>
      </c>
      <c r="E79" s="256" t="s">
        <v>1776</v>
      </c>
      <c r="F79" s="256" t="s">
        <v>1958</v>
      </c>
      <c r="G79" s="258">
        <v>4826000000</v>
      </c>
      <c r="H79" s="265">
        <v>0.1</v>
      </c>
      <c r="I79" s="258">
        <v>482600000</v>
      </c>
      <c r="J79" s="258">
        <v>5308600000</v>
      </c>
      <c r="K79" s="256" t="s">
        <v>1346</v>
      </c>
    </row>
    <row r="80" spans="1:11" x14ac:dyDescent="0.3">
      <c r="A80" s="256">
        <v>19</v>
      </c>
      <c r="B80" s="257" t="s">
        <v>1382</v>
      </c>
      <c r="C80" s="276">
        <v>44397</v>
      </c>
      <c r="D80" s="257" t="s">
        <v>1300</v>
      </c>
      <c r="E80" s="256" t="s">
        <v>1818</v>
      </c>
      <c r="F80" s="256" t="s">
        <v>1959</v>
      </c>
      <c r="G80" s="258">
        <v>3147000000</v>
      </c>
      <c r="H80" s="265">
        <v>0.1</v>
      </c>
      <c r="I80" s="258">
        <v>314700000</v>
      </c>
      <c r="J80" s="258">
        <v>3461700000</v>
      </c>
      <c r="K80" s="256" t="s">
        <v>1346</v>
      </c>
    </row>
    <row r="81" spans="1:11" x14ac:dyDescent="0.3">
      <c r="A81" s="256">
        <v>20</v>
      </c>
      <c r="B81" s="257" t="s">
        <v>1383</v>
      </c>
      <c r="C81" s="276">
        <v>44428</v>
      </c>
      <c r="D81" s="257" t="s">
        <v>1275</v>
      </c>
      <c r="E81" s="256" t="s">
        <v>1808</v>
      </c>
      <c r="F81" s="256" t="s">
        <v>1957</v>
      </c>
      <c r="G81" s="258">
        <v>6776000000</v>
      </c>
      <c r="H81" s="265">
        <v>0.1</v>
      </c>
      <c r="I81" s="258">
        <v>677600000</v>
      </c>
      <c r="J81" s="258">
        <v>7453600000</v>
      </c>
      <c r="K81" s="256" t="s">
        <v>1346</v>
      </c>
    </row>
    <row r="82" spans="1:11" x14ac:dyDescent="0.3">
      <c r="A82" s="256">
        <v>21</v>
      </c>
      <c r="B82" s="257" t="s">
        <v>1203</v>
      </c>
      <c r="C82" s="276">
        <v>44459</v>
      </c>
      <c r="D82" s="257" t="s">
        <v>1301</v>
      </c>
      <c r="E82" s="256" t="s">
        <v>1781</v>
      </c>
      <c r="F82" s="256" t="s">
        <v>1958</v>
      </c>
      <c r="G82" s="258">
        <v>7230000000</v>
      </c>
      <c r="H82" s="265">
        <v>0.1</v>
      </c>
      <c r="I82" s="258">
        <v>723000000</v>
      </c>
      <c r="J82" s="258">
        <v>7953000000</v>
      </c>
      <c r="K82" s="256" t="s">
        <v>1346</v>
      </c>
    </row>
    <row r="83" spans="1:11" x14ac:dyDescent="0.3">
      <c r="A83" s="256">
        <v>22</v>
      </c>
      <c r="B83" s="257" t="s">
        <v>1204</v>
      </c>
      <c r="C83" s="276">
        <v>44489</v>
      </c>
      <c r="D83" s="257" t="s">
        <v>1265</v>
      </c>
      <c r="E83" s="256" t="s">
        <v>1830</v>
      </c>
      <c r="F83" s="256" t="s">
        <v>1957</v>
      </c>
      <c r="G83" s="258">
        <v>6510000000</v>
      </c>
      <c r="H83" s="265">
        <v>0.1</v>
      </c>
      <c r="I83" s="258">
        <v>651000000</v>
      </c>
      <c r="J83" s="258">
        <v>7161000000</v>
      </c>
      <c r="K83" s="256" t="s">
        <v>1346</v>
      </c>
    </row>
    <row r="84" spans="1:11" x14ac:dyDescent="0.3">
      <c r="A84" s="256">
        <v>23</v>
      </c>
      <c r="B84" s="257" t="s">
        <v>1205</v>
      </c>
      <c r="C84" s="276">
        <v>44520</v>
      </c>
      <c r="D84" s="257" t="s">
        <v>1273</v>
      </c>
      <c r="E84" s="256" t="s">
        <v>1829</v>
      </c>
      <c r="F84" s="256" t="s">
        <v>1959</v>
      </c>
      <c r="G84" s="258">
        <v>3283000000</v>
      </c>
      <c r="H84" s="265">
        <v>0.1</v>
      </c>
      <c r="I84" s="258">
        <v>328300000</v>
      </c>
      <c r="J84" s="258">
        <v>3611300000</v>
      </c>
      <c r="K84" s="256" t="s">
        <v>1346</v>
      </c>
    </row>
    <row r="85" spans="1:11" x14ac:dyDescent="0.3">
      <c r="A85" s="256">
        <v>24</v>
      </c>
      <c r="B85" s="257" t="s">
        <v>1385</v>
      </c>
      <c r="C85" s="276">
        <v>44550</v>
      </c>
      <c r="D85" s="257" t="s">
        <v>1279</v>
      </c>
      <c r="E85" s="256" t="s">
        <v>1827</v>
      </c>
      <c r="F85" s="256" t="s">
        <v>1958</v>
      </c>
      <c r="G85" s="258">
        <v>5616000000</v>
      </c>
      <c r="H85" s="265">
        <v>0.1</v>
      </c>
      <c r="I85" s="258">
        <v>561600000</v>
      </c>
      <c r="J85" s="258">
        <v>6177600000</v>
      </c>
      <c r="K85" s="256" t="s">
        <v>1346</v>
      </c>
    </row>
    <row r="86" spans="1:11" x14ac:dyDescent="0.3">
      <c r="A86" s="256">
        <v>25</v>
      </c>
      <c r="B86" s="257" t="s">
        <v>1387</v>
      </c>
      <c r="C86" s="276">
        <v>44221</v>
      </c>
      <c r="D86" s="257" t="s">
        <v>1263</v>
      </c>
      <c r="E86" s="256" t="s">
        <v>1790</v>
      </c>
      <c r="F86" s="256" t="s">
        <v>1957</v>
      </c>
      <c r="G86" s="258">
        <v>6498000000</v>
      </c>
      <c r="H86" s="265">
        <v>0.1</v>
      </c>
      <c r="I86" s="258">
        <v>649800000</v>
      </c>
      <c r="J86" s="258">
        <v>7147800000</v>
      </c>
      <c r="K86" s="256" t="s">
        <v>1346</v>
      </c>
    </row>
    <row r="87" spans="1:11" x14ac:dyDescent="0.3">
      <c r="A87" s="256">
        <v>26</v>
      </c>
      <c r="B87" s="257" t="s">
        <v>1388</v>
      </c>
      <c r="C87" s="276">
        <v>44255</v>
      </c>
      <c r="D87" s="257" t="s">
        <v>1288</v>
      </c>
      <c r="E87" s="256" t="s">
        <v>1797</v>
      </c>
      <c r="F87" s="256" t="s">
        <v>1958</v>
      </c>
      <c r="G87" s="258">
        <v>5430000000</v>
      </c>
      <c r="H87" s="265">
        <v>0.1</v>
      </c>
      <c r="I87" s="258">
        <v>543000000</v>
      </c>
      <c r="J87" s="258">
        <v>5973000000</v>
      </c>
      <c r="K87" s="256" t="s">
        <v>1346</v>
      </c>
    </row>
    <row r="88" spans="1:11" x14ac:dyDescent="0.3">
      <c r="A88" s="256">
        <v>27</v>
      </c>
      <c r="B88" s="257" t="s">
        <v>1391</v>
      </c>
      <c r="C88" s="276">
        <v>44316</v>
      </c>
      <c r="D88" s="257" t="s">
        <v>1298</v>
      </c>
      <c r="E88" s="256" t="s">
        <v>1819</v>
      </c>
      <c r="F88" s="256" t="s">
        <v>1960</v>
      </c>
      <c r="G88" s="258">
        <v>1847000000</v>
      </c>
      <c r="H88" s="265">
        <v>0.1</v>
      </c>
      <c r="I88" s="258">
        <v>184700000</v>
      </c>
      <c r="J88" s="258">
        <v>2031700000</v>
      </c>
      <c r="K88" s="256" t="s">
        <v>1346</v>
      </c>
    </row>
    <row r="89" spans="1:11" x14ac:dyDescent="0.3">
      <c r="A89" s="256">
        <v>28</v>
      </c>
      <c r="B89" s="257" t="s">
        <v>1392</v>
      </c>
      <c r="C89" s="276">
        <v>44377</v>
      </c>
      <c r="D89" s="257" t="s">
        <v>1292</v>
      </c>
      <c r="E89" s="256" t="s">
        <v>1792</v>
      </c>
      <c r="F89" s="256" t="s">
        <v>1959</v>
      </c>
      <c r="G89" s="258">
        <v>6491000000</v>
      </c>
      <c r="H89" s="265">
        <v>0.1</v>
      </c>
      <c r="I89" s="258">
        <v>649100000</v>
      </c>
      <c r="J89" s="258">
        <v>7140100000</v>
      </c>
      <c r="K89" s="256" t="s">
        <v>1346</v>
      </c>
    </row>
    <row r="90" spans="1:11" x14ac:dyDescent="0.3">
      <c r="A90" s="256">
        <v>29</v>
      </c>
      <c r="B90" s="257" t="s">
        <v>1394</v>
      </c>
      <c r="C90" s="276">
        <v>44469</v>
      </c>
      <c r="D90" s="257" t="s">
        <v>1295</v>
      </c>
      <c r="E90" s="256" t="s">
        <v>1825</v>
      </c>
      <c r="F90" s="256" t="s">
        <v>1960</v>
      </c>
      <c r="G90" s="258">
        <v>4228000000</v>
      </c>
      <c r="H90" s="265">
        <v>0.1</v>
      </c>
      <c r="I90" s="258">
        <v>422800000</v>
      </c>
      <c r="J90" s="258">
        <v>4650800000</v>
      </c>
      <c r="K90" s="256" t="s">
        <v>1346</v>
      </c>
    </row>
    <row r="91" spans="1:11" x14ac:dyDescent="0.3">
      <c r="A91" s="256">
        <v>30</v>
      </c>
      <c r="B91" s="257" t="s">
        <v>1396</v>
      </c>
      <c r="C91" s="276">
        <v>44530</v>
      </c>
      <c r="D91" s="257" t="s">
        <v>1269</v>
      </c>
      <c r="E91" s="256" t="s">
        <v>1823</v>
      </c>
      <c r="F91" s="256" t="s">
        <v>1958</v>
      </c>
      <c r="G91" s="258">
        <v>2354000000</v>
      </c>
      <c r="H91" s="265">
        <v>0.1</v>
      </c>
      <c r="I91" s="258">
        <v>235400000</v>
      </c>
      <c r="J91" s="258">
        <v>2589400000</v>
      </c>
      <c r="K91" s="256" t="s">
        <v>1346</v>
      </c>
    </row>
    <row r="92" spans="1:11" x14ac:dyDescent="0.3">
      <c r="A92" s="256">
        <v>31</v>
      </c>
      <c r="B92" s="257" t="s">
        <v>1397</v>
      </c>
      <c r="C92" s="276">
        <v>44286</v>
      </c>
      <c r="D92" s="257" t="s">
        <v>1256</v>
      </c>
      <c r="E92" s="256" t="s">
        <v>1802</v>
      </c>
      <c r="F92" s="256" t="s">
        <v>1959</v>
      </c>
      <c r="G92" s="258">
        <v>5719000000</v>
      </c>
      <c r="H92" s="265">
        <v>0.1</v>
      </c>
      <c r="I92" s="258">
        <v>571900000</v>
      </c>
      <c r="J92" s="258">
        <v>6290900000</v>
      </c>
      <c r="K92" s="256" t="s">
        <v>1346</v>
      </c>
    </row>
    <row r="93" spans="1:11" x14ac:dyDescent="0.3">
      <c r="A93" s="256">
        <v>32</v>
      </c>
      <c r="B93" s="257" t="s">
        <v>1398</v>
      </c>
      <c r="C93" s="276">
        <v>44347</v>
      </c>
      <c r="D93" s="257" t="s">
        <v>1259</v>
      </c>
      <c r="E93" s="256" t="s">
        <v>1788</v>
      </c>
      <c r="F93" s="256" t="s">
        <v>1960</v>
      </c>
      <c r="G93" s="258">
        <v>7266000000</v>
      </c>
      <c r="H93" s="265">
        <v>0.1</v>
      </c>
      <c r="I93" s="258">
        <v>726600000</v>
      </c>
      <c r="J93" s="258">
        <v>7992600000</v>
      </c>
      <c r="K93" s="256" t="s">
        <v>1346</v>
      </c>
    </row>
    <row r="94" spans="1:11" x14ac:dyDescent="0.3">
      <c r="A94" s="256">
        <v>33</v>
      </c>
      <c r="B94" s="257" t="s">
        <v>1399</v>
      </c>
      <c r="C94" s="276">
        <v>44408</v>
      </c>
      <c r="D94" s="257" t="s">
        <v>1284</v>
      </c>
      <c r="E94" s="256" t="s">
        <v>1786</v>
      </c>
      <c r="F94" s="256" t="s">
        <v>1960</v>
      </c>
      <c r="G94" s="258">
        <v>3437000000</v>
      </c>
      <c r="H94" s="265">
        <v>0.1</v>
      </c>
      <c r="I94" s="258">
        <v>343700000</v>
      </c>
      <c r="J94" s="258">
        <v>3780700000</v>
      </c>
      <c r="K94" s="256" t="s">
        <v>1346</v>
      </c>
    </row>
    <row r="95" spans="1:11" x14ac:dyDescent="0.3">
      <c r="A95" s="256">
        <v>34</v>
      </c>
      <c r="B95" s="257" t="s">
        <v>1401</v>
      </c>
      <c r="C95" s="276">
        <v>44439</v>
      </c>
      <c r="D95" s="257" t="s">
        <v>1266</v>
      </c>
      <c r="E95" s="256" t="s">
        <v>1824</v>
      </c>
      <c r="F95" s="256" t="s">
        <v>1958</v>
      </c>
      <c r="G95" s="258">
        <v>5840000000</v>
      </c>
      <c r="H95" s="265">
        <v>0.1</v>
      </c>
      <c r="I95" s="258">
        <v>584000000</v>
      </c>
      <c r="J95" s="258">
        <v>6424000000</v>
      </c>
      <c r="K95" s="256" t="s">
        <v>1348</v>
      </c>
    </row>
    <row r="96" spans="1:11" x14ac:dyDescent="0.3">
      <c r="A96" s="256">
        <v>35</v>
      </c>
      <c r="B96" s="257" t="s">
        <v>1402</v>
      </c>
      <c r="C96" s="276">
        <v>44500</v>
      </c>
      <c r="D96" s="257" t="s">
        <v>1260</v>
      </c>
      <c r="E96" s="256" t="s">
        <v>1804</v>
      </c>
      <c r="F96" s="256" t="s">
        <v>1957</v>
      </c>
      <c r="G96" s="258">
        <v>2062000000</v>
      </c>
      <c r="H96" s="265">
        <v>0.1</v>
      </c>
      <c r="I96" s="258">
        <v>206200000</v>
      </c>
      <c r="J96" s="258">
        <v>2268200000</v>
      </c>
      <c r="K96" s="256" t="s">
        <v>1346</v>
      </c>
    </row>
    <row r="97" spans="1:11" x14ac:dyDescent="0.3">
      <c r="A97" s="256">
        <v>36</v>
      </c>
      <c r="B97" s="257" t="s">
        <v>1403</v>
      </c>
      <c r="C97" s="276">
        <v>44561</v>
      </c>
      <c r="D97" s="257" t="s">
        <v>1257</v>
      </c>
      <c r="E97" s="256" t="s">
        <v>1815</v>
      </c>
      <c r="F97" s="256" t="s">
        <v>1960</v>
      </c>
      <c r="G97" s="258">
        <v>3020000000</v>
      </c>
      <c r="H97" s="265">
        <v>0</v>
      </c>
      <c r="I97" s="258">
        <v>0</v>
      </c>
      <c r="J97" s="258">
        <v>3020000000</v>
      </c>
      <c r="K97" s="256" t="s">
        <v>1346</v>
      </c>
    </row>
    <row r="98" spans="1:11" x14ac:dyDescent="0.3">
      <c r="A98" s="256">
        <v>37</v>
      </c>
      <c r="B98" s="257" t="s">
        <v>1404</v>
      </c>
      <c r="C98" s="276">
        <v>44561</v>
      </c>
      <c r="D98" s="257" t="s">
        <v>1295</v>
      </c>
      <c r="E98" s="256" t="s">
        <v>1825</v>
      </c>
      <c r="F98" s="256" t="s">
        <v>1958</v>
      </c>
      <c r="G98" s="258">
        <v>3531000000</v>
      </c>
      <c r="H98" s="265">
        <v>0.1</v>
      </c>
      <c r="I98" s="258">
        <v>353100000</v>
      </c>
      <c r="J98" s="258">
        <v>3884100000</v>
      </c>
      <c r="K98" s="256" t="s">
        <v>1346</v>
      </c>
    </row>
    <row r="99" spans="1:11" x14ac:dyDescent="0.3">
      <c r="A99" s="256">
        <v>38</v>
      </c>
      <c r="B99" s="257" t="s">
        <v>1405</v>
      </c>
      <c r="C99" s="276">
        <v>44561</v>
      </c>
      <c r="D99" s="257" t="s">
        <v>1292</v>
      </c>
      <c r="E99" s="256" t="s">
        <v>1792</v>
      </c>
      <c r="F99" s="256" t="s">
        <v>1959</v>
      </c>
      <c r="G99" s="258">
        <v>5321000000</v>
      </c>
      <c r="H99" s="265">
        <v>0.1</v>
      </c>
      <c r="I99" s="258">
        <v>532100000</v>
      </c>
      <c r="J99" s="258">
        <v>5853100000</v>
      </c>
      <c r="K99" s="256" t="s">
        <v>1346</v>
      </c>
    </row>
    <row r="100" spans="1:11" x14ac:dyDescent="0.3">
      <c r="A100" s="256">
        <v>39</v>
      </c>
      <c r="B100" s="257" t="s">
        <v>1406</v>
      </c>
      <c r="C100" s="276">
        <v>44561</v>
      </c>
      <c r="D100" s="257" t="s">
        <v>1263</v>
      </c>
      <c r="E100" s="256" t="s">
        <v>1790</v>
      </c>
      <c r="F100" s="256" t="s">
        <v>1957</v>
      </c>
      <c r="G100" s="258">
        <v>3855000000</v>
      </c>
      <c r="H100" s="265">
        <v>0.1</v>
      </c>
      <c r="I100" s="258">
        <v>385500000</v>
      </c>
      <c r="J100" s="258">
        <v>4240500000</v>
      </c>
      <c r="K100" s="256" t="s">
        <v>1346</v>
      </c>
    </row>
    <row r="101" spans="1:11" x14ac:dyDescent="0.3">
      <c r="A101" s="256">
        <v>40</v>
      </c>
      <c r="B101" s="257" t="s">
        <v>1408</v>
      </c>
      <c r="C101" s="276">
        <v>44561</v>
      </c>
      <c r="D101" s="257" t="s">
        <v>1268</v>
      </c>
      <c r="E101" s="256" t="s">
        <v>1821</v>
      </c>
      <c r="F101" s="256" t="s">
        <v>1959</v>
      </c>
      <c r="G101" s="258">
        <v>4982000000</v>
      </c>
      <c r="H101" s="265">
        <v>0.1</v>
      </c>
      <c r="I101" s="258">
        <v>498200000</v>
      </c>
      <c r="J101" s="258">
        <v>5480200000</v>
      </c>
      <c r="K101" s="256" t="s">
        <v>1346</v>
      </c>
    </row>
    <row r="102" spans="1:11" x14ac:dyDescent="0.3">
      <c r="A102" s="256">
        <v>41</v>
      </c>
      <c r="B102" s="257" t="s">
        <v>1409</v>
      </c>
      <c r="C102" s="276">
        <v>44561</v>
      </c>
      <c r="D102" s="257" t="s">
        <v>1258</v>
      </c>
      <c r="E102" s="256" t="s">
        <v>1833</v>
      </c>
      <c r="F102" s="256" t="s">
        <v>1957</v>
      </c>
      <c r="G102" s="258">
        <v>4314000000</v>
      </c>
      <c r="H102" s="265">
        <v>0.1</v>
      </c>
      <c r="I102" s="258">
        <v>431400000</v>
      </c>
      <c r="J102" s="258">
        <v>4745400000</v>
      </c>
      <c r="K102" s="256" t="s">
        <v>1346</v>
      </c>
    </row>
    <row r="103" spans="1:11" x14ac:dyDescent="0.3">
      <c r="A103" s="256">
        <v>42</v>
      </c>
      <c r="B103" s="257" t="s">
        <v>1411</v>
      </c>
      <c r="C103" s="276">
        <v>44561</v>
      </c>
      <c r="D103" s="257" t="s">
        <v>1257</v>
      </c>
      <c r="E103" s="256" t="s">
        <v>1815</v>
      </c>
      <c r="F103" s="256" t="s">
        <v>1957</v>
      </c>
      <c r="G103" s="258">
        <v>2129000000</v>
      </c>
      <c r="H103" s="265">
        <v>0</v>
      </c>
      <c r="I103" s="258">
        <v>0</v>
      </c>
      <c r="J103" s="258">
        <v>2129000000</v>
      </c>
      <c r="K103" s="256" t="s">
        <v>1346</v>
      </c>
    </row>
    <row r="104" spans="1:11" x14ac:dyDescent="0.3">
      <c r="A104" s="256">
        <v>43</v>
      </c>
      <c r="B104" s="257" t="s">
        <v>1414</v>
      </c>
      <c r="C104" s="276">
        <v>44561</v>
      </c>
      <c r="D104" s="257" t="s">
        <v>1272</v>
      </c>
      <c r="E104" s="256" t="s">
        <v>1805</v>
      </c>
      <c r="F104" s="256" t="s">
        <v>1960</v>
      </c>
      <c r="G104" s="258">
        <v>6648000000</v>
      </c>
      <c r="H104" s="265">
        <v>0.1</v>
      </c>
      <c r="I104" s="258">
        <v>664800000</v>
      </c>
      <c r="J104" s="258">
        <v>7312800000</v>
      </c>
      <c r="K104" s="256" t="s">
        <v>1346</v>
      </c>
    </row>
    <row r="105" spans="1:11" x14ac:dyDescent="0.3">
      <c r="A105" s="256">
        <v>44</v>
      </c>
      <c r="B105" s="257" t="s">
        <v>1415</v>
      </c>
      <c r="C105" s="276">
        <v>44561</v>
      </c>
      <c r="D105" s="257" t="s">
        <v>1284</v>
      </c>
      <c r="E105" s="256" t="s">
        <v>1786</v>
      </c>
      <c r="F105" s="256" t="s">
        <v>1958</v>
      </c>
      <c r="G105" s="258">
        <v>6488000000</v>
      </c>
      <c r="H105" s="265">
        <v>0.1</v>
      </c>
      <c r="I105" s="258">
        <v>648800000</v>
      </c>
      <c r="J105" s="258">
        <v>7136800000</v>
      </c>
      <c r="K105" s="256" t="s">
        <v>1346</v>
      </c>
    </row>
    <row r="106" spans="1:11" x14ac:dyDescent="0.3">
      <c r="A106" s="256">
        <v>45</v>
      </c>
      <c r="B106" s="257" t="s">
        <v>1206</v>
      </c>
      <c r="C106" s="276">
        <v>44561</v>
      </c>
      <c r="D106" s="257" t="s">
        <v>1264</v>
      </c>
      <c r="E106" s="256" t="s">
        <v>1779</v>
      </c>
      <c r="F106" s="256" t="s">
        <v>1958</v>
      </c>
      <c r="G106" s="258">
        <v>4408000000</v>
      </c>
      <c r="H106" s="265">
        <v>0</v>
      </c>
      <c r="I106" s="258">
        <v>0</v>
      </c>
      <c r="J106" s="258">
        <v>4408000000</v>
      </c>
      <c r="K106" s="256" t="s">
        <v>1346</v>
      </c>
    </row>
    <row r="107" spans="1:11" x14ac:dyDescent="0.3">
      <c r="A107" s="256">
        <v>46</v>
      </c>
      <c r="B107" s="257" t="s">
        <v>1207</v>
      </c>
      <c r="C107" s="276">
        <v>44561</v>
      </c>
      <c r="D107" s="257" t="s">
        <v>1272</v>
      </c>
      <c r="E107" s="256" t="s">
        <v>1805</v>
      </c>
      <c r="F107" s="256" t="s">
        <v>1960</v>
      </c>
      <c r="G107" s="258">
        <v>4633000000</v>
      </c>
      <c r="H107" s="265">
        <v>0.1</v>
      </c>
      <c r="I107" s="258">
        <v>463300000</v>
      </c>
      <c r="J107" s="258">
        <v>5096300000</v>
      </c>
      <c r="K107" s="256" t="s">
        <v>1346</v>
      </c>
    </row>
    <row r="108" spans="1:11" x14ac:dyDescent="0.3">
      <c r="A108" s="256">
        <v>47</v>
      </c>
      <c r="B108" s="257" t="s">
        <v>1208</v>
      </c>
      <c r="C108" s="276">
        <v>44561</v>
      </c>
      <c r="D108" s="257" t="s">
        <v>1282</v>
      </c>
      <c r="E108" s="256" t="s">
        <v>1789</v>
      </c>
      <c r="F108" s="256" t="s">
        <v>1960</v>
      </c>
      <c r="G108" s="258">
        <v>2036000000</v>
      </c>
      <c r="H108" s="265">
        <v>0.1</v>
      </c>
      <c r="I108" s="258">
        <v>203600000</v>
      </c>
      <c r="J108" s="258">
        <v>2239600000</v>
      </c>
      <c r="K108" s="256" t="s">
        <v>1346</v>
      </c>
    </row>
    <row r="109" spans="1:11" x14ac:dyDescent="0.3">
      <c r="A109" s="256">
        <v>48</v>
      </c>
      <c r="B109" s="257" t="s">
        <v>1209</v>
      </c>
      <c r="C109" s="276">
        <v>44561</v>
      </c>
      <c r="D109" s="257" t="s">
        <v>1292</v>
      </c>
      <c r="E109" s="256" t="s">
        <v>1792</v>
      </c>
      <c r="F109" s="256" t="s">
        <v>1959</v>
      </c>
      <c r="G109" s="258">
        <v>5594000000</v>
      </c>
      <c r="H109" s="265">
        <v>0.1</v>
      </c>
      <c r="I109" s="258">
        <v>559400000</v>
      </c>
      <c r="J109" s="258">
        <v>6153400000</v>
      </c>
      <c r="K109" s="256" t="s">
        <v>1346</v>
      </c>
    </row>
    <row r="110" spans="1:11" x14ac:dyDescent="0.3">
      <c r="A110" s="256">
        <v>49</v>
      </c>
      <c r="B110" s="257" t="s">
        <v>1418</v>
      </c>
      <c r="C110" s="276">
        <v>44561</v>
      </c>
      <c r="D110" s="257" t="s">
        <v>1274</v>
      </c>
      <c r="E110" s="256" t="s">
        <v>1794</v>
      </c>
      <c r="F110" s="256" t="s">
        <v>1958</v>
      </c>
      <c r="G110" s="258">
        <v>2210000000</v>
      </c>
      <c r="H110" s="265">
        <v>0.1</v>
      </c>
      <c r="I110" s="258">
        <v>221000000</v>
      </c>
      <c r="J110" s="258">
        <v>2431000000</v>
      </c>
      <c r="K110" s="256" t="s">
        <v>1346</v>
      </c>
    </row>
    <row r="111" spans="1:11" x14ac:dyDescent="0.3">
      <c r="A111" s="256">
        <v>50</v>
      </c>
      <c r="B111" s="257" t="s">
        <v>1419</v>
      </c>
      <c r="C111" s="276">
        <v>44561</v>
      </c>
      <c r="D111" s="257" t="s">
        <v>1294</v>
      </c>
      <c r="E111" s="256" t="s">
        <v>1795</v>
      </c>
      <c r="F111" s="256" t="s">
        <v>1960</v>
      </c>
      <c r="G111" s="258">
        <v>4198000000</v>
      </c>
      <c r="H111" s="265">
        <v>0</v>
      </c>
      <c r="I111" s="258">
        <v>0</v>
      </c>
      <c r="J111" s="258">
        <v>4198000000</v>
      </c>
      <c r="K111" s="256" t="s">
        <v>1348</v>
      </c>
    </row>
    <row r="112" spans="1:11" x14ac:dyDescent="0.3">
      <c r="A112" s="266" t="s">
        <v>1351</v>
      </c>
      <c r="B112" s="266"/>
      <c r="C112" s="266"/>
      <c r="D112" s="266"/>
      <c r="E112" s="266"/>
      <c r="F112" s="266"/>
      <c r="G112" s="267">
        <f>SUM(G62:G111)</f>
        <v>225007000000</v>
      </c>
      <c r="H112" s="266"/>
      <c r="I112" s="267">
        <f>SUM(I62:I111)</f>
        <v>19500400000</v>
      </c>
      <c r="J112" s="267">
        <f>SUM(J62:J111)</f>
        <v>244507400000</v>
      </c>
      <c r="K112" s="266"/>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1086</v>
      </c>
      <c r="C1" s="256"/>
      <c r="D1" s="256"/>
      <c r="E1" s="256"/>
      <c r="F1" s="256"/>
      <c r="G1" s="256"/>
      <c r="H1" s="256"/>
      <c r="I1" s="256"/>
      <c r="J1" s="256"/>
      <c r="K1" s="256"/>
    </row>
    <row r="2" spans="1:11" x14ac:dyDescent="0.3">
      <c r="A2" s="256" t="s">
        <v>1339</v>
      </c>
      <c r="B2" s="257">
        <v>500415210</v>
      </c>
      <c r="C2" s="256"/>
      <c r="D2" s="256"/>
      <c r="E2" s="256"/>
      <c r="F2" s="256"/>
      <c r="G2" s="256"/>
      <c r="H2" s="256"/>
      <c r="I2" s="256"/>
      <c r="J2" s="256"/>
      <c r="K2" s="256"/>
    </row>
    <row r="3" spans="1:11" x14ac:dyDescent="0.3">
      <c r="A3" s="256" t="s">
        <v>1343</v>
      </c>
      <c r="B3" s="258">
        <v>428883718714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1510</v>
      </c>
      <c r="C8" s="276">
        <v>44317</v>
      </c>
      <c r="D8" s="257" t="s">
        <v>1271</v>
      </c>
      <c r="E8" s="256" t="s">
        <v>1799</v>
      </c>
      <c r="F8" s="256" t="s">
        <v>1961</v>
      </c>
      <c r="G8" s="258">
        <v>3278000000</v>
      </c>
      <c r="H8" s="265">
        <v>0.1</v>
      </c>
      <c r="I8" s="258">
        <v>327800000</v>
      </c>
      <c r="J8" s="258">
        <v>3605800000</v>
      </c>
      <c r="K8" s="256" t="s">
        <v>1346</v>
      </c>
    </row>
    <row r="9" spans="1:11" x14ac:dyDescent="0.3">
      <c r="A9" s="256">
        <v>2</v>
      </c>
      <c r="B9" s="257" t="s">
        <v>1483</v>
      </c>
      <c r="C9" s="276">
        <v>44318</v>
      </c>
      <c r="D9" s="257" t="s">
        <v>1289</v>
      </c>
      <c r="E9" s="256" t="s">
        <v>1803</v>
      </c>
      <c r="F9" s="256" t="s">
        <v>1962</v>
      </c>
      <c r="G9" s="258">
        <v>4678000000</v>
      </c>
      <c r="H9" s="265">
        <v>0.1</v>
      </c>
      <c r="I9" s="258">
        <v>467800000</v>
      </c>
      <c r="J9" s="258">
        <v>5145800000</v>
      </c>
      <c r="K9" s="256" t="s">
        <v>1348</v>
      </c>
    </row>
    <row r="10" spans="1:11" x14ac:dyDescent="0.3">
      <c r="A10" s="256">
        <v>3</v>
      </c>
      <c r="B10" s="257" t="s">
        <v>1461</v>
      </c>
      <c r="C10" s="276">
        <v>44472</v>
      </c>
      <c r="D10" s="257" t="s">
        <v>1267</v>
      </c>
      <c r="E10" s="256" t="s">
        <v>1810</v>
      </c>
      <c r="F10" s="256" t="s">
        <v>1731</v>
      </c>
      <c r="G10" s="258">
        <v>6257000000</v>
      </c>
      <c r="H10" s="265">
        <v>0.1</v>
      </c>
      <c r="I10" s="258">
        <v>625700000</v>
      </c>
      <c r="J10" s="258">
        <v>6882700000</v>
      </c>
      <c r="K10" s="256" t="s">
        <v>1348</v>
      </c>
    </row>
    <row r="11" spans="1:11" x14ac:dyDescent="0.3">
      <c r="A11" s="256">
        <v>4</v>
      </c>
      <c r="B11" s="257" t="s">
        <v>1481</v>
      </c>
      <c r="C11" s="276">
        <v>44473</v>
      </c>
      <c r="D11" s="257" t="s">
        <v>1299</v>
      </c>
      <c r="E11" s="256" t="s">
        <v>1776</v>
      </c>
      <c r="F11" s="256" t="s">
        <v>1962</v>
      </c>
      <c r="G11" s="258">
        <v>9808000000</v>
      </c>
      <c r="H11" s="265">
        <v>0.1</v>
      </c>
      <c r="I11" s="258">
        <v>980800000</v>
      </c>
      <c r="J11" s="258">
        <v>10788800000</v>
      </c>
      <c r="K11" s="256" t="s">
        <v>1346</v>
      </c>
    </row>
    <row r="12" spans="1:11" x14ac:dyDescent="0.3">
      <c r="A12" s="256">
        <v>5</v>
      </c>
      <c r="B12" s="257" t="s">
        <v>1463</v>
      </c>
      <c r="C12" s="276">
        <v>44474</v>
      </c>
      <c r="D12" s="257" t="s">
        <v>1300</v>
      </c>
      <c r="E12" s="256" t="s">
        <v>1818</v>
      </c>
      <c r="F12" s="256" t="s">
        <v>1961</v>
      </c>
      <c r="G12" s="258">
        <v>4424000000</v>
      </c>
      <c r="H12" s="265">
        <v>0.1</v>
      </c>
      <c r="I12" s="258">
        <v>442400000</v>
      </c>
      <c r="J12" s="258">
        <v>4866400000</v>
      </c>
      <c r="K12" s="256" t="s">
        <v>1346</v>
      </c>
    </row>
    <row r="13" spans="1:11" x14ac:dyDescent="0.3">
      <c r="A13" s="256">
        <v>6</v>
      </c>
      <c r="B13" s="257" t="s">
        <v>1479</v>
      </c>
      <c r="C13" s="276">
        <v>44475</v>
      </c>
      <c r="D13" s="257" t="s">
        <v>1302</v>
      </c>
      <c r="E13" s="256" t="s">
        <v>1784</v>
      </c>
      <c r="F13" s="256" t="s">
        <v>1687</v>
      </c>
      <c r="G13" s="258">
        <v>6557000000</v>
      </c>
      <c r="H13" s="265">
        <v>0</v>
      </c>
      <c r="I13" s="258">
        <v>0</v>
      </c>
      <c r="J13" s="258">
        <v>6557000000</v>
      </c>
      <c r="K13" s="256" t="s">
        <v>1346</v>
      </c>
    </row>
    <row r="14" spans="1:11" x14ac:dyDescent="0.3">
      <c r="A14" s="256">
        <v>7</v>
      </c>
      <c r="B14" s="257" t="s">
        <v>1210</v>
      </c>
      <c r="C14" s="276">
        <v>44476</v>
      </c>
      <c r="D14" s="257" t="s">
        <v>1260</v>
      </c>
      <c r="E14" s="256" t="s">
        <v>1804</v>
      </c>
      <c r="F14" s="256" t="s">
        <v>1962</v>
      </c>
      <c r="G14" s="258">
        <v>8366000000</v>
      </c>
      <c r="H14" s="265">
        <v>0.1</v>
      </c>
      <c r="I14" s="258">
        <v>836600000</v>
      </c>
      <c r="J14" s="258">
        <v>9202600000</v>
      </c>
      <c r="K14" s="256" t="s">
        <v>1346</v>
      </c>
    </row>
    <row r="15" spans="1:11" x14ac:dyDescent="0.3">
      <c r="A15" s="256">
        <v>8</v>
      </c>
      <c r="B15" s="257" t="s">
        <v>1411</v>
      </c>
      <c r="C15" s="276">
        <v>44477</v>
      </c>
      <c r="D15" s="257" t="s">
        <v>1303</v>
      </c>
      <c r="E15" s="256" t="s">
        <v>1817</v>
      </c>
      <c r="F15" s="256" t="s">
        <v>1731</v>
      </c>
      <c r="G15" s="258">
        <v>3552000000</v>
      </c>
      <c r="H15" s="265">
        <v>0.1</v>
      </c>
      <c r="I15" s="258">
        <v>355200000</v>
      </c>
      <c r="J15" s="258">
        <v>3907200000</v>
      </c>
      <c r="K15" s="256" t="s">
        <v>1346</v>
      </c>
    </row>
    <row r="16" spans="1:11" x14ac:dyDescent="0.3">
      <c r="A16" s="256">
        <v>9</v>
      </c>
      <c r="B16" s="257" t="s">
        <v>1480</v>
      </c>
      <c r="C16" s="276">
        <v>44478</v>
      </c>
      <c r="D16" s="257" t="s">
        <v>1302</v>
      </c>
      <c r="E16" s="256" t="s">
        <v>1784</v>
      </c>
      <c r="F16" s="256" t="s">
        <v>1741</v>
      </c>
      <c r="G16" s="258">
        <v>3882000000</v>
      </c>
      <c r="H16" s="265">
        <v>0</v>
      </c>
      <c r="I16" s="258">
        <v>0</v>
      </c>
      <c r="J16" s="258">
        <v>3882000000</v>
      </c>
      <c r="K16" s="256" t="s">
        <v>1348</v>
      </c>
    </row>
    <row r="17" spans="1:11" x14ac:dyDescent="0.3">
      <c r="A17" s="256">
        <v>10</v>
      </c>
      <c r="B17" s="257" t="s">
        <v>1500</v>
      </c>
      <c r="C17" s="276">
        <v>44479</v>
      </c>
      <c r="D17" s="257" t="s">
        <v>1270</v>
      </c>
      <c r="E17" s="256" t="s">
        <v>1782</v>
      </c>
      <c r="F17" s="256" t="s">
        <v>1962</v>
      </c>
      <c r="G17" s="258">
        <v>8691000000</v>
      </c>
      <c r="H17" s="265">
        <v>0.1</v>
      </c>
      <c r="I17" s="258">
        <v>869100000</v>
      </c>
      <c r="J17" s="258">
        <v>9560100000</v>
      </c>
      <c r="K17" s="256" t="s">
        <v>1346</v>
      </c>
    </row>
    <row r="18" spans="1:11" x14ac:dyDescent="0.3">
      <c r="A18" s="256">
        <v>11</v>
      </c>
      <c r="B18" s="257" t="s">
        <v>1211</v>
      </c>
      <c r="C18" s="276">
        <v>44480</v>
      </c>
      <c r="D18" s="257" t="s">
        <v>1260</v>
      </c>
      <c r="E18" s="256" t="s">
        <v>1804</v>
      </c>
      <c r="F18" s="256" t="s">
        <v>1687</v>
      </c>
      <c r="G18" s="258">
        <v>9632000000</v>
      </c>
      <c r="H18" s="265">
        <v>0.1</v>
      </c>
      <c r="I18" s="258">
        <v>963200000</v>
      </c>
      <c r="J18" s="258">
        <v>10595200000</v>
      </c>
      <c r="K18" s="256" t="s">
        <v>1346</v>
      </c>
    </row>
    <row r="19" spans="1:11" x14ac:dyDescent="0.3">
      <c r="A19" s="256">
        <v>12</v>
      </c>
      <c r="B19" s="257" t="s">
        <v>1491</v>
      </c>
      <c r="C19" s="276">
        <v>44481</v>
      </c>
      <c r="D19" s="257" t="s">
        <v>1256</v>
      </c>
      <c r="E19" s="256" t="s">
        <v>1802</v>
      </c>
      <c r="F19" s="256" t="s">
        <v>1910</v>
      </c>
      <c r="G19" s="258">
        <v>4612000000</v>
      </c>
      <c r="H19" s="265">
        <v>0.1</v>
      </c>
      <c r="I19" s="258">
        <v>461200000</v>
      </c>
      <c r="J19" s="258">
        <v>5073200000</v>
      </c>
      <c r="K19" s="256" t="s">
        <v>1346</v>
      </c>
    </row>
    <row r="20" spans="1:11" x14ac:dyDescent="0.3">
      <c r="A20" s="256">
        <v>13</v>
      </c>
      <c r="B20" s="257" t="s">
        <v>1461</v>
      </c>
      <c r="C20" s="276">
        <v>44211</v>
      </c>
      <c r="D20" s="257" t="s">
        <v>1287</v>
      </c>
      <c r="E20" s="256" t="s">
        <v>1801</v>
      </c>
      <c r="F20" s="256" t="s">
        <v>1962</v>
      </c>
      <c r="G20" s="258">
        <v>3569000000</v>
      </c>
      <c r="H20" s="265">
        <v>0.1</v>
      </c>
      <c r="I20" s="258">
        <v>356900000</v>
      </c>
      <c r="J20" s="258">
        <v>3925900000</v>
      </c>
      <c r="K20" s="256" t="s">
        <v>1346</v>
      </c>
    </row>
    <row r="21" spans="1:11" x14ac:dyDescent="0.3">
      <c r="A21" s="256">
        <v>14</v>
      </c>
      <c r="B21" s="257" t="s">
        <v>1478</v>
      </c>
      <c r="C21" s="276">
        <v>44242</v>
      </c>
      <c r="D21" s="257" t="s">
        <v>1264</v>
      </c>
      <c r="E21" s="256" t="s">
        <v>1779</v>
      </c>
      <c r="F21" s="256" t="s">
        <v>1687</v>
      </c>
      <c r="G21" s="258">
        <v>6796000000</v>
      </c>
      <c r="H21" s="265">
        <v>0.1</v>
      </c>
      <c r="I21" s="258">
        <v>679600000</v>
      </c>
      <c r="J21" s="258">
        <v>7475600000</v>
      </c>
      <c r="K21" s="256" t="s">
        <v>1346</v>
      </c>
    </row>
    <row r="22" spans="1:11" x14ac:dyDescent="0.3">
      <c r="A22" s="256">
        <v>15</v>
      </c>
      <c r="B22" s="257" t="s">
        <v>1513</v>
      </c>
      <c r="C22" s="276">
        <v>44275</v>
      </c>
      <c r="D22" s="257" t="s">
        <v>1304</v>
      </c>
      <c r="E22" s="256" t="s">
        <v>1831</v>
      </c>
      <c r="F22" s="256" t="s">
        <v>1962</v>
      </c>
      <c r="G22" s="258">
        <v>3083000000</v>
      </c>
      <c r="H22" s="265">
        <v>0.1</v>
      </c>
      <c r="I22" s="258">
        <v>308300000</v>
      </c>
      <c r="J22" s="258">
        <v>3391300000</v>
      </c>
      <c r="K22" s="256" t="s">
        <v>1346</v>
      </c>
    </row>
    <row r="23" spans="1:11" x14ac:dyDescent="0.3">
      <c r="A23" s="256">
        <v>16</v>
      </c>
      <c r="B23" s="257" t="s">
        <v>1504</v>
      </c>
      <c r="C23" s="276">
        <v>44306</v>
      </c>
      <c r="D23" s="257" t="s">
        <v>1281</v>
      </c>
      <c r="E23" s="256" t="s">
        <v>1806</v>
      </c>
      <c r="F23" s="256" t="s">
        <v>1910</v>
      </c>
      <c r="G23" s="258">
        <v>9568000000</v>
      </c>
      <c r="H23" s="265">
        <v>0</v>
      </c>
      <c r="I23" s="258">
        <v>0</v>
      </c>
      <c r="J23" s="258">
        <v>9568000000</v>
      </c>
      <c r="K23" s="256" t="s">
        <v>1346</v>
      </c>
    </row>
    <row r="24" spans="1:11" x14ac:dyDescent="0.3">
      <c r="A24" s="256">
        <v>17</v>
      </c>
      <c r="B24" s="257" t="s">
        <v>1418</v>
      </c>
      <c r="C24" s="276">
        <v>44336</v>
      </c>
      <c r="D24" s="257" t="s">
        <v>1298</v>
      </c>
      <c r="E24" s="256" t="s">
        <v>1819</v>
      </c>
      <c r="F24" s="256" t="s">
        <v>1741</v>
      </c>
      <c r="G24" s="258">
        <v>3406000000</v>
      </c>
      <c r="H24" s="265">
        <v>0.1</v>
      </c>
      <c r="I24" s="258">
        <v>340600000</v>
      </c>
      <c r="J24" s="258">
        <v>3746600000</v>
      </c>
      <c r="K24" s="256" t="s">
        <v>1348</v>
      </c>
    </row>
    <row r="25" spans="1:11" x14ac:dyDescent="0.3">
      <c r="A25" s="256">
        <v>18</v>
      </c>
      <c r="B25" s="257" t="s">
        <v>1411</v>
      </c>
      <c r="C25" s="276">
        <v>44367</v>
      </c>
      <c r="D25" s="257" t="s">
        <v>1261</v>
      </c>
      <c r="E25" s="256" t="s">
        <v>1813</v>
      </c>
      <c r="F25" s="256" t="s">
        <v>1687</v>
      </c>
      <c r="G25" s="258">
        <v>4603000000</v>
      </c>
      <c r="H25" s="265">
        <v>0.1</v>
      </c>
      <c r="I25" s="258">
        <v>460300000</v>
      </c>
      <c r="J25" s="258">
        <v>5063300000</v>
      </c>
      <c r="K25" s="256" t="s">
        <v>1346</v>
      </c>
    </row>
    <row r="26" spans="1:11" x14ac:dyDescent="0.3">
      <c r="A26" s="256">
        <v>19</v>
      </c>
      <c r="B26" s="257" t="s">
        <v>1477</v>
      </c>
      <c r="C26" s="276">
        <v>44397</v>
      </c>
      <c r="D26" s="257" t="s">
        <v>1265</v>
      </c>
      <c r="E26" s="256" t="s">
        <v>1830</v>
      </c>
      <c r="F26" s="256" t="s">
        <v>1741</v>
      </c>
      <c r="G26" s="258">
        <v>7074000000</v>
      </c>
      <c r="H26" s="265">
        <v>0.1</v>
      </c>
      <c r="I26" s="258">
        <v>707400000</v>
      </c>
      <c r="J26" s="258">
        <v>7781400000</v>
      </c>
      <c r="K26" s="256" t="s">
        <v>1346</v>
      </c>
    </row>
    <row r="27" spans="1:11" x14ac:dyDescent="0.3">
      <c r="A27" s="256">
        <v>20</v>
      </c>
      <c r="B27" s="257" t="s">
        <v>1494</v>
      </c>
      <c r="C27" s="276">
        <v>44428</v>
      </c>
      <c r="D27" s="257" t="s">
        <v>1276</v>
      </c>
      <c r="E27" s="256" t="s">
        <v>1822</v>
      </c>
      <c r="F27" s="256" t="s">
        <v>1910</v>
      </c>
      <c r="G27" s="258">
        <v>2549000000</v>
      </c>
      <c r="H27" s="265">
        <v>0.1</v>
      </c>
      <c r="I27" s="258">
        <v>254900000</v>
      </c>
      <c r="J27" s="258">
        <v>2803900000</v>
      </c>
      <c r="K27" s="256" t="s">
        <v>1348</v>
      </c>
    </row>
    <row r="28" spans="1:11" x14ac:dyDescent="0.3">
      <c r="A28" s="256">
        <v>21</v>
      </c>
      <c r="B28" s="257" t="s">
        <v>1459</v>
      </c>
      <c r="C28" s="276">
        <v>44459</v>
      </c>
      <c r="D28" s="257" t="s">
        <v>1297</v>
      </c>
      <c r="E28" s="256" t="s">
        <v>1820</v>
      </c>
      <c r="F28" s="256" t="s">
        <v>1687</v>
      </c>
      <c r="G28" s="258">
        <v>6164000000</v>
      </c>
      <c r="H28" s="265">
        <v>0.1</v>
      </c>
      <c r="I28" s="258">
        <v>616400000</v>
      </c>
      <c r="J28" s="258">
        <v>6780400000</v>
      </c>
      <c r="K28" s="256" t="s">
        <v>1346</v>
      </c>
    </row>
    <row r="29" spans="1:11" x14ac:dyDescent="0.3">
      <c r="A29" s="256">
        <v>22</v>
      </c>
      <c r="B29" s="257" t="s">
        <v>1508</v>
      </c>
      <c r="C29" s="276">
        <v>44489</v>
      </c>
      <c r="D29" s="257" t="s">
        <v>1259</v>
      </c>
      <c r="E29" s="256" t="s">
        <v>1788</v>
      </c>
      <c r="F29" s="256" t="s">
        <v>1961</v>
      </c>
      <c r="G29" s="258">
        <v>4886000000</v>
      </c>
      <c r="H29" s="265">
        <v>0</v>
      </c>
      <c r="I29" s="258">
        <v>0</v>
      </c>
      <c r="J29" s="258">
        <v>4886000000</v>
      </c>
      <c r="K29" s="256" t="s">
        <v>1346</v>
      </c>
    </row>
    <row r="30" spans="1:11" x14ac:dyDescent="0.3">
      <c r="A30" s="256">
        <v>23</v>
      </c>
      <c r="B30" s="257" t="s">
        <v>1212</v>
      </c>
      <c r="C30" s="276">
        <v>44520</v>
      </c>
      <c r="D30" s="257" t="s">
        <v>1272</v>
      </c>
      <c r="E30" s="256" t="s">
        <v>1805</v>
      </c>
      <c r="F30" s="256" t="s">
        <v>1910</v>
      </c>
      <c r="G30" s="258">
        <v>6240000000</v>
      </c>
      <c r="H30" s="265">
        <v>0.1</v>
      </c>
      <c r="I30" s="258">
        <v>624000000</v>
      </c>
      <c r="J30" s="258">
        <v>6864000000</v>
      </c>
      <c r="K30" s="256" t="s">
        <v>1346</v>
      </c>
    </row>
    <row r="31" spans="1:11" x14ac:dyDescent="0.3">
      <c r="A31" s="256">
        <v>24</v>
      </c>
      <c r="B31" s="257" t="s">
        <v>1497</v>
      </c>
      <c r="C31" s="276">
        <v>44550</v>
      </c>
      <c r="D31" s="257" t="s">
        <v>1273</v>
      </c>
      <c r="E31" s="256" t="s">
        <v>1829</v>
      </c>
      <c r="F31" s="256" t="s">
        <v>1962</v>
      </c>
      <c r="G31" s="258">
        <v>3635000000</v>
      </c>
      <c r="H31" s="265">
        <v>0.1</v>
      </c>
      <c r="I31" s="258">
        <v>363500000</v>
      </c>
      <c r="J31" s="258">
        <v>3998500000</v>
      </c>
      <c r="K31" s="256" t="s">
        <v>1346</v>
      </c>
    </row>
    <row r="32" spans="1:11" x14ac:dyDescent="0.3">
      <c r="A32" s="256">
        <v>25</v>
      </c>
      <c r="B32" s="257" t="s">
        <v>1490</v>
      </c>
      <c r="C32" s="276">
        <v>44221</v>
      </c>
      <c r="D32" s="257" t="s">
        <v>1266</v>
      </c>
      <c r="E32" s="256" t="s">
        <v>1824</v>
      </c>
      <c r="F32" s="256" t="s">
        <v>1687</v>
      </c>
      <c r="G32" s="258">
        <v>7692000000</v>
      </c>
      <c r="H32" s="265">
        <v>0.1</v>
      </c>
      <c r="I32" s="258">
        <v>769200000</v>
      </c>
      <c r="J32" s="258">
        <v>8461200000</v>
      </c>
      <c r="K32" s="256" t="s">
        <v>1346</v>
      </c>
    </row>
    <row r="33" spans="1:11" x14ac:dyDescent="0.3">
      <c r="A33" s="256">
        <v>26</v>
      </c>
      <c r="B33" s="257" t="s">
        <v>1492</v>
      </c>
      <c r="C33" s="276">
        <v>44255</v>
      </c>
      <c r="D33" s="257" t="s">
        <v>1256</v>
      </c>
      <c r="E33" s="256" t="s">
        <v>1802</v>
      </c>
      <c r="F33" s="256" t="s">
        <v>1731</v>
      </c>
      <c r="G33" s="258">
        <v>9245000000</v>
      </c>
      <c r="H33" s="265">
        <v>0.1</v>
      </c>
      <c r="I33" s="258">
        <v>924500000</v>
      </c>
      <c r="J33" s="258">
        <v>10169500000</v>
      </c>
      <c r="K33" s="256" t="s">
        <v>1346</v>
      </c>
    </row>
    <row r="34" spans="1:11" x14ac:dyDescent="0.3">
      <c r="A34" s="256">
        <v>27</v>
      </c>
      <c r="B34" s="257" t="s">
        <v>1495</v>
      </c>
      <c r="C34" s="276">
        <v>44316</v>
      </c>
      <c r="D34" s="257" t="s">
        <v>1276</v>
      </c>
      <c r="E34" s="256" t="s">
        <v>1822</v>
      </c>
      <c r="F34" s="256" t="s">
        <v>1962</v>
      </c>
      <c r="G34" s="258">
        <v>5848000000</v>
      </c>
      <c r="H34" s="265">
        <v>0.1</v>
      </c>
      <c r="I34" s="258">
        <v>584800000</v>
      </c>
      <c r="J34" s="258">
        <v>6432800000</v>
      </c>
      <c r="K34" s="256" t="s">
        <v>1346</v>
      </c>
    </row>
    <row r="35" spans="1:11" x14ac:dyDescent="0.3">
      <c r="A35" s="256">
        <v>28</v>
      </c>
      <c r="B35" s="257" t="s">
        <v>1213</v>
      </c>
      <c r="C35" s="276">
        <v>44377</v>
      </c>
      <c r="D35" s="257" t="s">
        <v>1272</v>
      </c>
      <c r="E35" s="256" t="s">
        <v>1805</v>
      </c>
      <c r="F35" s="256" t="s">
        <v>1731</v>
      </c>
      <c r="G35" s="258">
        <v>9642000000</v>
      </c>
      <c r="H35" s="265">
        <v>0</v>
      </c>
      <c r="I35" s="258">
        <v>0</v>
      </c>
      <c r="J35" s="258">
        <v>9642000000</v>
      </c>
      <c r="K35" s="256" t="s">
        <v>1346</v>
      </c>
    </row>
    <row r="36" spans="1:11" x14ac:dyDescent="0.3">
      <c r="A36" s="256">
        <v>29</v>
      </c>
      <c r="B36" s="257" t="s">
        <v>1491</v>
      </c>
      <c r="C36" s="276">
        <v>44469</v>
      </c>
      <c r="D36" s="257" t="s">
        <v>1266</v>
      </c>
      <c r="E36" s="256" t="s">
        <v>1824</v>
      </c>
      <c r="F36" s="256" t="s">
        <v>1910</v>
      </c>
      <c r="G36" s="258">
        <v>5871000000</v>
      </c>
      <c r="H36" s="265">
        <v>0.1</v>
      </c>
      <c r="I36" s="258">
        <v>587100000</v>
      </c>
      <c r="J36" s="258">
        <v>6458100000</v>
      </c>
      <c r="K36" s="256" t="s">
        <v>1348</v>
      </c>
    </row>
    <row r="37" spans="1:11" x14ac:dyDescent="0.3">
      <c r="A37" s="256">
        <v>30</v>
      </c>
      <c r="B37" s="257" t="s">
        <v>1511</v>
      </c>
      <c r="C37" s="276">
        <v>44530</v>
      </c>
      <c r="D37" s="257" t="s">
        <v>1271</v>
      </c>
      <c r="E37" s="256" t="s">
        <v>1799</v>
      </c>
      <c r="F37" s="256" t="s">
        <v>1910</v>
      </c>
      <c r="G37" s="258">
        <v>6898000000</v>
      </c>
      <c r="H37" s="265">
        <v>0.1</v>
      </c>
      <c r="I37" s="258">
        <v>689800000</v>
      </c>
      <c r="J37" s="258">
        <v>7587800000</v>
      </c>
      <c r="K37" s="256" t="s">
        <v>1346</v>
      </c>
    </row>
    <row r="38" spans="1:11" x14ac:dyDescent="0.3">
      <c r="A38" s="256">
        <v>31</v>
      </c>
      <c r="B38" s="257" t="s">
        <v>1479</v>
      </c>
      <c r="C38" s="276">
        <v>44286</v>
      </c>
      <c r="D38" s="257" t="s">
        <v>1293</v>
      </c>
      <c r="E38" s="256" t="s">
        <v>1826</v>
      </c>
      <c r="F38" s="256" t="s">
        <v>1741</v>
      </c>
      <c r="G38" s="258">
        <v>9502000000</v>
      </c>
      <c r="H38" s="265">
        <v>0.1</v>
      </c>
      <c r="I38" s="258">
        <v>950200000</v>
      </c>
      <c r="J38" s="258">
        <v>10452200000</v>
      </c>
      <c r="K38" s="256" t="s">
        <v>1346</v>
      </c>
    </row>
    <row r="39" spans="1:11" x14ac:dyDescent="0.3">
      <c r="A39" s="256">
        <v>32</v>
      </c>
      <c r="B39" s="257" t="s">
        <v>1459</v>
      </c>
      <c r="C39" s="276">
        <v>44347</v>
      </c>
      <c r="D39" s="257" t="s">
        <v>1291</v>
      </c>
      <c r="E39" s="256" t="s">
        <v>1800</v>
      </c>
      <c r="F39" s="256" t="s">
        <v>1731</v>
      </c>
      <c r="G39" s="258">
        <v>2582000000</v>
      </c>
      <c r="H39" s="265">
        <v>0.1</v>
      </c>
      <c r="I39" s="258">
        <v>258200000</v>
      </c>
      <c r="J39" s="258">
        <v>2840200000</v>
      </c>
      <c r="K39" s="256" t="s">
        <v>1346</v>
      </c>
    </row>
    <row r="40" spans="1:11" x14ac:dyDescent="0.3">
      <c r="A40" s="256">
        <v>33</v>
      </c>
      <c r="B40" s="257" t="s">
        <v>1492</v>
      </c>
      <c r="C40" s="276">
        <v>44408</v>
      </c>
      <c r="D40" s="257" t="s">
        <v>1266</v>
      </c>
      <c r="E40" s="256" t="s">
        <v>1824</v>
      </c>
      <c r="F40" s="256" t="s">
        <v>1731</v>
      </c>
      <c r="G40" s="258">
        <v>8600000000</v>
      </c>
      <c r="H40" s="265">
        <v>0.1</v>
      </c>
      <c r="I40" s="258">
        <v>860000000</v>
      </c>
      <c r="J40" s="258">
        <v>9460000000</v>
      </c>
      <c r="K40" s="256" t="s">
        <v>1346</v>
      </c>
    </row>
    <row r="41" spans="1:11" x14ac:dyDescent="0.3">
      <c r="A41" s="256">
        <v>34</v>
      </c>
      <c r="B41" s="257" t="s">
        <v>1487</v>
      </c>
      <c r="C41" s="276">
        <v>44439</v>
      </c>
      <c r="D41" s="257" t="s">
        <v>1268</v>
      </c>
      <c r="E41" s="256" t="s">
        <v>1821</v>
      </c>
      <c r="F41" s="256" t="s">
        <v>1910</v>
      </c>
      <c r="G41" s="258">
        <v>4302000000</v>
      </c>
      <c r="H41" s="265">
        <v>0.1</v>
      </c>
      <c r="I41" s="258">
        <v>430200000</v>
      </c>
      <c r="J41" s="258">
        <v>4732200000</v>
      </c>
      <c r="K41" s="256" t="s">
        <v>1346</v>
      </c>
    </row>
    <row r="42" spans="1:11" x14ac:dyDescent="0.3">
      <c r="A42" s="256">
        <v>35</v>
      </c>
      <c r="B42" s="257" t="s">
        <v>1504</v>
      </c>
      <c r="C42" s="276">
        <v>44500</v>
      </c>
      <c r="D42" s="257" t="s">
        <v>1275</v>
      </c>
      <c r="E42" s="256" t="s">
        <v>1808</v>
      </c>
      <c r="F42" s="256" t="s">
        <v>1910</v>
      </c>
      <c r="G42" s="258">
        <v>7521000000</v>
      </c>
      <c r="H42" s="265">
        <v>0.1</v>
      </c>
      <c r="I42" s="258">
        <v>752100000</v>
      </c>
      <c r="J42" s="258">
        <v>8273100000</v>
      </c>
      <c r="K42" s="256" t="s">
        <v>1348</v>
      </c>
    </row>
    <row r="43" spans="1:11" x14ac:dyDescent="0.3">
      <c r="A43" s="256">
        <v>36</v>
      </c>
      <c r="B43" s="257" t="s">
        <v>1497</v>
      </c>
      <c r="C43" s="276">
        <v>44561</v>
      </c>
      <c r="D43" s="257" t="s">
        <v>1282</v>
      </c>
      <c r="E43" s="256" t="s">
        <v>1789</v>
      </c>
      <c r="F43" s="256" t="s">
        <v>1910</v>
      </c>
      <c r="G43" s="258">
        <v>9324000000</v>
      </c>
      <c r="H43" s="265">
        <v>0.1</v>
      </c>
      <c r="I43" s="258">
        <v>932400000</v>
      </c>
      <c r="J43" s="258">
        <v>10256400000</v>
      </c>
      <c r="K43" s="256" t="s">
        <v>1346</v>
      </c>
    </row>
    <row r="44" spans="1:11" x14ac:dyDescent="0.3">
      <c r="A44" s="256">
        <v>37</v>
      </c>
      <c r="B44" s="257" t="s">
        <v>1481</v>
      </c>
      <c r="C44" s="276">
        <v>44561</v>
      </c>
      <c r="D44" s="257" t="s">
        <v>1302</v>
      </c>
      <c r="E44" s="256" t="s">
        <v>1784</v>
      </c>
      <c r="F44" s="256" t="s">
        <v>1962</v>
      </c>
      <c r="G44" s="258">
        <v>7437000000</v>
      </c>
      <c r="H44" s="265">
        <v>0.1</v>
      </c>
      <c r="I44" s="258">
        <v>743700000</v>
      </c>
      <c r="J44" s="258">
        <v>8180700000</v>
      </c>
      <c r="K44" s="256" t="s">
        <v>1346</v>
      </c>
    </row>
    <row r="45" spans="1:11" x14ac:dyDescent="0.3">
      <c r="A45" s="256">
        <v>38</v>
      </c>
      <c r="B45" s="257" t="s">
        <v>1484</v>
      </c>
      <c r="C45" s="276">
        <v>44561</v>
      </c>
      <c r="D45" s="257" t="s">
        <v>1289</v>
      </c>
      <c r="E45" s="256" t="s">
        <v>1803</v>
      </c>
      <c r="F45" s="256" t="s">
        <v>1910</v>
      </c>
      <c r="G45" s="258">
        <v>8156000000</v>
      </c>
      <c r="H45" s="265">
        <v>0.1</v>
      </c>
      <c r="I45" s="258">
        <v>815600000</v>
      </c>
      <c r="J45" s="258">
        <v>8971600000</v>
      </c>
      <c r="K45" s="256" t="s">
        <v>1346</v>
      </c>
    </row>
    <row r="46" spans="1:11" x14ac:dyDescent="0.3">
      <c r="A46" s="256">
        <v>39</v>
      </c>
      <c r="B46" s="257" t="s">
        <v>1493</v>
      </c>
      <c r="C46" s="276">
        <v>44561</v>
      </c>
      <c r="D46" s="257" t="s">
        <v>1256</v>
      </c>
      <c r="E46" s="256" t="s">
        <v>1802</v>
      </c>
      <c r="F46" s="256" t="s">
        <v>1962</v>
      </c>
      <c r="G46" s="258">
        <v>3417000000</v>
      </c>
      <c r="H46" s="265">
        <v>0.1</v>
      </c>
      <c r="I46" s="258">
        <v>341700000</v>
      </c>
      <c r="J46" s="258">
        <v>3758700000</v>
      </c>
      <c r="K46" s="256" t="s">
        <v>1346</v>
      </c>
    </row>
    <row r="47" spans="1:11" x14ac:dyDescent="0.3">
      <c r="A47" s="256">
        <v>40</v>
      </c>
      <c r="B47" s="257" t="s">
        <v>1512</v>
      </c>
      <c r="C47" s="276">
        <v>44561</v>
      </c>
      <c r="D47" s="257" t="s">
        <v>1271</v>
      </c>
      <c r="E47" s="256" t="s">
        <v>1799</v>
      </c>
      <c r="F47" s="256" t="s">
        <v>1731</v>
      </c>
      <c r="G47" s="258">
        <v>2854000000</v>
      </c>
      <c r="H47" s="265">
        <v>0</v>
      </c>
      <c r="I47" s="258">
        <v>0</v>
      </c>
      <c r="J47" s="258">
        <v>2854000000</v>
      </c>
      <c r="K47" s="256" t="s">
        <v>1348</v>
      </c>
    </row>
    <row r="48" spans="1:11" x14ac:dyDescent="0.3">
      <c r="A48" s="256">
        <v>41</v>
      </c>
      <c r="B48" s="257" t="s">
        <v>1480</v>
      </c>
      <c r="C48" s="276">
        <v>44561</v>
      </c>
      <c r="D48" s="257" t="s">
        <v>1293</v>
      </c>
      <c r="E48" s="256" t="s">
        <v>1826</v>
      </c>
      <c r="F48" s="256" t="s">
        <v>1910</v>
      </c>
      <c r="G48" s="258">
        <v>8050000000</v>
      </c>
      <c r="H48" s="265">
        <v>0.1</v>
      </c>
      <c r="I48" s="258">
        <v>805000000</v>
      </c>
      <c r="J48" s="258">
        <v>8855000000</v>
      </c>
      <c r="K48" s="256" t="s">
        <v>1346</v>
      </c>
    </row>
    <row r="49" spans="1:11" x14ac:dyDescent="0.3">
      <c r="A49" s="256">
        <v>42</v>
      </c>
      <c r="B49" s="257" t="s">
        <v>1509</v>
      </c>
      <c r="C49" s="276">
        <v>44561</v>
      </c>
      <c r="D49" s="257" t="s">
        <v>1259</v>
      </c>
      <c r="E49" s="256" t="s">
        <v>1788</v>
      </c>
      <c r="F49" s="256" t="s">
        <v>1961</v>
      </c>
      <c r="G49" s="258">
        <v>4501000000</v>
      </c>
      <c r="H49" s="265">
        <v>0</v>
      </c>
      <c r="I49" s="258">
        <v>0</v>
      </c>
      <c r="J49" s="258">
        <v>4501000000</v>
      </c>
      <c r="K49" s="256" t="s">
        <v>1346</v>
      </c>
    </row>
    <row r="50" spans="1:11" x14ac:dyDescent="0.3">
      <c r="A50" s="256">
        <v>43</v>
      </c>
      <c r="B50" s="257" t="s">
        <v>1473</v>
      </c>
      <c r="C50" s="276">
        <v>44561</v>
      </c>
      <c r="D50" s="257" t="s">
        <v>1301</v>
      </c>
      <c r="E50" s="256" t="s">
        <v>1781</v>
      </c>
      <c r="F50" s="256" t="s">
        <v>1741</v>
      </c>
      <c r="G50" s="258">
        <v>2954000000</v>
      </c>
      <c r="H50" s="265">
        <v>0.1</v>
      </c>
      <c r="I50" s="258">
        <v>295400000</v>
      </c>
      <c r="J50" s="258">
        <v>3249400000</v>
      </c>
      <c r="K50" s="256" t="s">
        <v>1348</v>
      </c>
    </row>
    <row r="51" spans="1:11" x14ac:dyDescent="0.3">
      <c r="A51" s="256">
        <v>44</v>
      </c>
      <c r="B51" s="257" t="s">
        <v>1482</v>
      </c>
      <c r="C51" s="276">
        <v>44561</v>
      </c>
      <c r="D51" s="257" t="s">
        <v>1302</v>
      </c>
      <c r="E51" s="256" t="s">
        <v>1784</v>
      </c>
      <c r="F51" s="256" t="s">
        <v>1741</v>
      </c>
      <c r="G51" s="258">
        <v>4240000000</v>
      </c>
      <c r="H51" s="265">
        <v>0.1</v>
      </c>
      <c r="I51" s="258">
        <v>424000000</v>
      </c>
      <c r="J51" s="258">
        <v>4664000000</v>
      </c>
      <c r="K51" s="256" t="s">
        <v>1346</v>
      </c>
    </row>
    <row r="52" spans="1:11" x14ac:dyDescent="0.3">
      <c r="A52" s="256">
        <v>45</v>
      </c>
      <c r="B52" s="257" t="s">
        <v>1493</v>
      </c>
      <c r="C52" s="276">
        <v>44561</v>
      </c>
      <c r="D52" s="257" t="s">
        <v>1266</v>
      </c>
      <c r="E52" s="256" t="s">
        <v>1824</v>
      </c>
      <c r="F52" s="256" t="s">
        <v>1687</v>
      </c>
      <c r="G52" s="258">
        <v>6624000000</v>
      </c>
      <c r="H52" s="265">
        <v>0.1</v>
      </c>
      <c r="I52" s="258">
        <v>662400000</v>
      </c>
      <c r="J52" s="258">
        <v>7286400000</v>
      </c>
      <c r="K52" s="256" t="s">
        <v>1346</v>
      </c>
    </row>
    <row r="53" spans="1:11" x14ac:dyDescent="0.3">
      <c r="A53" s="256">
        <v>46</v>
      </c>
      <c r="B53" s="257" t="s">
        <v>1419</v>
      </c>
      <c r="C53" s="276">
        <v>44561</v>
      </c>
      <c r="D53" s="257" t="s">
        <v>1298</v>
      </c>
      <c r="E53" s="256" t="s">
        <v>1819</v>
      </c>
      <c r="F53" s="256" t="s">
        <v>1910</v>
      </c>
      <c r="G53" s="258">
        <v>2793000000</v>
      </c>
      <c r="H53" s="265">
        <v>0</v>
      </c>
      <c r="I53" s="258">
        <v>0</v>
      </c>
      <c r="J53" s="258">
        <v>2793000000</v>
      </c>
      <c r="K53" s="256" t="s">
        <v>1346</v>
      </c>
    </row>
    <row r="54" spans="1:11" x14ac:dyDescent="0.3">
      <c r="A54" s="256">
        <v>47</v>
      </c>
      <c r="B54" s="257" t="s">
        <v>1457</v>
      </c>
      <c r="C54" s="276">
        <v>44561</v>
      </c>
      <c r="D54" s="257" t="s">
        <v>1294</v>
      </c>
      <c r="E54" s="256" t="s">
        <v>1795</v>
      </c>
      <c r="F54" s="256" t="s">
        <v>1961</v>
      </c>
      <c r="G54" s="258">
        <v>7378000000</v>
      </c>
      <c r="H54" s="265">
        <v>0.1</v>
      </c>
      <c r="I54" s="258">
        <v>737800000</v>
      </c>
      <c r="J54" s="258">
        <v>8115800000</v>
      </c>
      <c r="K54" s="256" t="s">
        <v>1346</v>
      </c>
    </row>
    <row r="55" spans="1:11" x14ac:dyDescent="0.3">
      <c r="A55" s="256">
        <v>48</v>
      </c>
      <c r="B55" s="257" t="s">
        <v>1415</v>
      </c>
      <c r="C55" s="276">
        <v>44561</v>
      </c>
      <c r="D55" s="257" t="s">
        <v>1258</v>
      </c>
      <c r="E55" s="256" t="s">
        <v>1833</v>
      </c>
      <c r="F55" s="256" t="s">
        <v>1910</v>
      </c>
      <c r="G55" s="258">
        <v>7141000000</v>
      </c>
      <c r="H55" s="265">
        <v>0.1</v>
      </c>
      <c r="I55" s="258">
        <v>714100000</v>
      </c>
      <c r="J55" s="258">
        <v>7855100000</v>
      </c>
      <c r="K55" s="256" t="s">
        <v>1346</v>
      </c>
    </row>
    <row r="56" spans="1:11" x14ac:dyDescent="0.3">
      <c r="A56" s="256">
        <v>49</v>
      </c>
      <c r="B56" s="257" t="s">
        <v>1492</v>
      </c>
      <c r="C56" s="276">
        <v>44561</v>
      </c>
      <c r="D56" s="257" t="s">
        <v>1279</v>
      </c>
      <c r="E56" s="256" t="s">
        <v>1827</v>
      </c>
      <c r="F56" s="256" t="s">
        <v>1731</v>
      </c>
      <c r="G56" s="258">
        <v>8495000000</v>
      </c>
      <c r="H56" s="265">
        <v>0.1</v>
      </c>
      <c r="I56" s="258">
        <v>849500000</v>
      </c>
      <c r="J56" s="258">
        <v>9344500000</v>
      </c>
      <c r="K56" s="256" t="s">
        <v>1346</v>
      </c>
    </row>
    <row r="57" spans="1:11" x14ac:dyDescent="0.3">
      <c r="A57" s="256">
        <v>50</v>
      </c>
      <c r="B57" s="257" t="s">
        <v>1460</v>
      </c>
      <c r="C57" s="276">
        <v>44561</v>
      </c>
      <c r="D57" s="257" t="s">
        <v>1291</v>
      </c>
      <c r="E57" s="256" t="s">
        <v>1800</v>
      </c>
      <c r="F57" s="256" t="s">
        <v>1961</v>
      </c>
      <c r="G57" s="258">
        <v>8105000000</v>
      </c>
      <c r="H57" s="265">
        <v>0.1</v>
      </c>
      <c r="I57" s="258">
        <v>810500000</v>
      </c>
      <c r="J57" s="258">
        <v>8915500000</v>
      </c>
      <c r="K57" s="256" t="s">
        <v>1346</v>
      </c>
    </row>
    <row r="58" spans="1:11" x14ac:dyDescent="0.3">
      <c r="A58" s="266" t="s">
        <v>1351</v>
      </c>
      <c r="B58" s="266"/>
      <c r="C58" s="266"/>
      <c r="D58" s="266"/>
      <c r="E58" s="266"/>
      <c r="F58" s="266"/>
      <c r="G58" s="267">
        <f>SUM(G8:G57)</f>
        <v>304482000000</v>
      </c>
      <c r="H58" s="266"/>
      <c r="I58" s="267">
        <f>SUM(I8:I57)</f>
        <v>25979900000</v>
      </c>
      <c r="J58" s="267">
        <f>SUM(J8:J57)</f>
        <v>330461900000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1304</v>
      </c>
      <c r="E62" s="256" t="s">
        <v>1831</v>
      </c>
      <c r="F62" s="256" t="s">
        <v>1963</v>
      </c>
      <c r="G62" s="258">
        <v>4168000000</v>
      </c>
      <c r="H62" s="265">
        <v>0</v>
      </c>
      <c r="I62" s="258">
        <v>0</v>
      </c>
      <c r="J62" s="258">
        <v>4168000000</v>
      </c>
      <c r="K62" s="256" t="s">
        <v>1346</v>
      </c>
    </row>
    <row r="63" spans="1:11" x14ac:dyDescent="0.3">
      <c r="A63" s="256">
        <v>2</v>
      </c>
      <c r="B63" s="257" t="s">
        <v>1201</v>
      </c>
      <c r="C63" s="276">
        <v>44318</v>
      </c>
      <c r="D63" s="257" t="s">
        <v>1285</v>
      </c>
      <c r="E63" s="256" t="s">
        <v>1793</v>
      </c>
      <c r="F63" s="256" t="s">
        <v>1964</v>
      </c>
      <c r="G63" s="258">
        <v>9541000000</v>
      </c>
      <c r="H63" s="265">
        <v>0.1</v>
      </c>
      <c r="I63" s="258">
        <v>954100000</v>
      </c>
      <c r="J63" s="258">
        <v>10495100000</v>
      </c>
      <c r="K63" s="256" t="s">
        <v>1348</v>
      </c>
    </row>
    <row r="64" spans="1:11" x14ac:dyDescent="0.3">
      <c r="A64" s="256">
        <v>3</v>
      </c>
      <c r="B64" s="257" t="s">
        <v>1202</v>
      </c>
      <c r="C64" s="276">
        <v>44472</v>
      </c>
      <c r="D64" s="257" t="s">
        <v>1257</v>
      </c>
      <c r="E64" s="256" t="s">
        <v>1815</v>
      </c>
      <c r="F64" s="256" t="s">
        <v>1964</v>
      </c>
      <c r="G64" s="258">
        <v>9637000000</v>
      </c>
      <c r="H64" s="265">
        <v>0.1</v>
      </c>
      <c r="I64" s="258">
        <v>963700000</v>
      </c>
      <c r="J64" s="258">
        <v>10600700000</v>
      </c>
      <c r="K64" s="256" t="s">
        <v>1346</v>
      </c>
    </row>
    <row r="65" spans="1:11" x14ac:dyDescent="0.3">
      <c r="A65" s="256">
        <v>4</v>
      </c>
      <c r="B65" s="257" t="s">
        <v>1355</v>
      </c>
      <c r="C65" s="276">
        <v>44473</v>
      </c>
      <c r="D65" s="257" t="s">
        <v>1271</v>
      </c>
      <c r="E65" s="256" t="s">
        <v>1799</v>
      </c>
      <c r="F65" s="256" t="s">
        <v>1963</v>
      </c>
      <c r="G65" s="258">
        <v>13076000000</v>
      </c>
      <c r="H65" s="265">
        <v>0.1</v>
      </c>
      <c r="I65" s="258">
        <v>1307600000</v>
      </c>
      <c r="J65" s="258">
        <v>14383600000</v>
      </c>
      <c r="K65" s="256" t="s">
        <v>1346</v>
      </c>
    </row>
    <row r="66" spans="1:11" x14ac:dyDescent="0.3">
      <c r="A66" s="256">
        <v>5</v>
      </c>
      <c r="B66" s="257" t="s">
        <v>1356</v>
      </c>
      <c r="C66" s="276">
        <v>44474</v>
      </c>
      <c r="D66" s="257" t="s">
        <v>1287</v>
      </c>
      <c r="E66" s="256" t="s">
        <v>1801</v>
      </c>
      <c r="F66" s="256" t="s">
        <v>1965</v>
      </c>
      <c r="G66" s="258">
        <v>4384000000</v>
      </c>
      <c r="H66" s="265">
        <v>0.1</v>
      </c>
      <c r="I66" s="258">
        <v>438400000</v>
      </c>
      <c r="J66" s="258">
        <v>4822400000</v>
      </c>
      <c r="K66" s="256" t="s">
        <v>1346</v>
      </c>
    </row>
    <row r="67" spans="1:11" x14ac:dyDescent="0.3">
      <c r="A67" s="256">
        <v>6</v>
      </c>
      <c r="B67" s="257" t="s">
        <v>1358</v>
      </c>
      <c r="C67" s="276">
        <v>44475</v>
      </c>
      <c r="D67" s="257" t="s">
        <v>1294</v>
      </c>
      <c r="E67" s="256" t="s">
        <v>1795</v>
      </c>
      <c r="F67" s="256" t="s">
        <v>1964</v>
      </c>
      <c r="G67" s="258">
        <v>6080000000</v>
      </c>
      <c r="H67" s="265">
        <v>0.1</v>
      </c>
      <c r="I67" s="258">
        <v>608000000</v>
      </c>
      <c r="J67" s="258">
        <v>6688000000</v>
      </c>
      <c r="K67" s="256" t="s">
        <v>1346</v>
      </c>
    </row>
    <row r="68" spans="1:11" x14ac:dyDescent="0.3">
      <c r="A68" s="256">
        <v>7</v>
      </c>
      <c r="B68" s="257" t="s">
        <v>1360</v>
      </c>
      <c r="C68" s="276">
        <v>44476</v>
      </c>
      <c r="D68" s="257" t="s">
        <v>1283</v>
      </c>
      <c r="E68" s="256" t="s">
        <v>1798</v>
      </c>
      <c r="F68" s="256" t="s">
        <v>1963</v>
      </c>
      <c r="G68" s="258">
        <v>10971000000</v>
      </c>
      <c r="H68" s="265">
        <v>0.1</v>
      </c>
      <c r="I68" s="258">
        <v>1097100000</v>
      </c>
      <c r="J68" s="258">
        <v>12068100000</v>
      </c>
      <c r="K68" s="256" t="s">
        <v>1346</v>
      </c>
    </row>
    <row r="69" spans="1:11" x14ac:dyDescent="0.3">
      <c r="A69" s="256">
        <v>8</v>
      </c>
      <c r="B69" s="257" t="s">
        <v>1362</v>
      </c>
      <c r="C69" s="276">
        <v>44477</v>
      </c>
      <c r="D69" s="257" t="s">
        <v>1279</v>
      </c>
      <c r="E69" s="256" t="s">
        <v>1827</v>
      </c>
      <c r="F69" s="256" t="s">
        <v>1963</v>
      </c>
      <c r="G69" s="258">
        <v>12255000000</v>
      </c>
      <c r="H69" s="265">
        <v>0.1</v>
      </c>
      <c r="I69" s="258">
        <v>1225500000</v>
      </c>
      <c r="J69" s="258">
        <v>13480500000</v>
      </c>
      <c r="K69" s="256" t="s">
        <v>1346</v>
      </c>
    </row>
    <row r="70" spans="1:11" x14ac:dyDescent="0.3">
      <c r="A70" s="256">
        <v>9</v>
      </c>
      <c r="B70" s="257" t="s">
        <v>1364</v>
      </c>
      <c r="C70" s="276">
        <v>44478</v>
      </c>
      <c r="D70" s="257" t="s">
        <v>1262</v>
      </c>
      <c r="E70" s="256" t="s">
        <v>1816</v>
      </c>
      <c r="F70" s="256" t="s">
        <v>1965</v>
      </c>
      <c r="G70" s="258">
        <v>7746000000</v>
      </c>
      <c r="H70" s="265">
        <v>0.1</v>
      </c>
      <c r="I70" s="258">
        <v>774600000</v>
      </c>
      <c r="J70" s="258">
        <v>8520600000</v>
      </c>
      <c r="K70" s="256" t="s">
        <v>1346</v>
      </c>
    </row>
    <row r="71" spans="1:11" x14ac:dyDescent="0.3">
      <c r="A71" s="256">
        <v>10</v>
      </c>
      <c r="B71" s="257" t="s">
        <v>1366</v>
      </c>
      <c r="C71" s="276">
        <v>44479</v>
      </c>
      <c r="D71" s="257" t="s">
        <v>1277</v>
      </c>
      <c r="E71" s="256" t="s">
        <v>1783</v>
      </c>
      <c r="F71" s="256" t="s">
        <v>1964</v>
      </c>
      <c r="G71" s="258">
        <v>8020000000</v>
      </c>
      <c r="H71" s="265">
        <v>0.1</v>
      </c>
      <c r="I71" s="258">
        <v>802000000</v>
      </c>
      <c r="J71" s="258">
        <v>8822000000</v>
      </c>
      <c r="K71" s="256" t="s">
        <v>1346</v>
      </c>
    </row>
    <row r="72" spans="1:11" x14ac:dyDescent="0.3">
      <c r="A72" s="256">
        <v>11</v>
      </c>
      <c r="B72" s="257" t="s">
        <v>1368</v>
      </c>
      <c r="C72" s="276">
        <v>44480</v>
      </c>
      <c r="D72" s="257" t="s">
        <v>1274</v>
      </c>
      <c r="E72" s="256" t="s">
        <v>1794</v>
      </c>
      <c r="F72" s="256" t="s">
        <v>1966</v>
      </c>
      <c r="G72" s="258">
        <v>12144000000</v>
      </c>
      <c r="H72" s="265">
        <v>0.1</v>
      </c>
      <c r="I72" s="258">
        <v>1214400000</v>
      </c>
      <c r="J72" s="258">
        <v>13358400000</v>
      </c>
      <c r="K72" s="256" t="s">
        <v>1346</v>
      </c>
    </row>
    <row r="73" spans="1:11" x14ac:dyDescent="0.3">
      <c r="A73" s="256">
        <v>12</v>
      </c>
      <c r="B73" s="257" t="s">
        <v>1371</v>
      </c>
      <c r="C73" s="276">
        <v>44481</v>
      </c>
      <c r="D73" s="257" t="s">
        <v>1255</v>
      </c>
      <c r="E73" s="273">
        <v>46152</v>
      </c>
      <c r="F73" s="256" t="s">
        <v>1963</v>
      </c>
      <c r="G73" s="258">
        <v>12829000000</v>
      </c>
      <c r="H73" s="265">
        <v>0.1</v>
      </c>
      <c r="I73" s="258">
        <v>1282900000</v>
      </c>
      <c r="J73" s="258">
        <v>14111900000</v>
      </c>
      <c r="K73" s="256" t="s">
        <v>1346</v>
      </c>
    </row>
    <row r="74" spans="1:11" x14ac:dyDescent="0.3">
      <c r="A74" s="256">
        <v>13</v>
      </c>
      <c r="B74" s="257" t="s">
        <v>1373</v>
      </c>
      <c r="C74" s="276">
        <v>44211</v>
      </c>
      <c r="D74" s="257" t="s">
        <v>1299</v>
      </c>
      <c r="E74" s="256" t="s">
        <v>1776</v>
      </c>
      <c r="F74" s="256" t="s">
        <v>1966</v>
      </c>
      <c r="G74" s="258">
        <v>9007000000</v>
      </c>
      <c r="H74" s="265">
        <v>0</v>
      </c>
      <c r="I74" s="258">
        <v>0</v>
      </c>
      <c r="J74" s="258">
        <v>9007000000</v>
      </c>
      <c r="K74" s="256" t="s">
        <v>1348</v>
      </c>
    </row>
    <row r="75" spans="1:11" x14ac:dyDescent="0.3">
      <c r="A75" s="256">
        <v>14</v>
      </c>
      <c r="B75" s="257" t="s">
        <v>1374</v>
      </c>
      <c r="C75" s="276">
        <v>44242</v>
      </c>
      <c r="D75" s="257" t="s">
        <v>1301</v>
      </c>
      <c r="E75" s="256" t="s">
        <v>1781</v>
      </c>
      <c r="F75" s="256" t="s">
        <v>1965</v>
      </c>
      <c r="G75" s="258">
        <v>10516000000</v>
      </c>
      <c r="H75" s="265">
        <v>0.1</v>
      </c>
      <c r="I75" s="258">
        <v>1051600000</v>
      </c>
      <c r="J75" s="258">
        <v>11567600000</v>
      </c>
      <c r="K75" s="256" t="s">
        <v>1346</v>
      </c>
    </row>
    <row r="76" spans="1:11" x14ac:dyDescent="0.3">
      <c r="A76" s="256">
        <v>15</v>
      </c>
      <c r="B76" s="257" t="s">
        <v>1376</v>
      </c>
      <c r="C76" s="276">
        <v>44275</v>
      </c>
      <c r="D76" s="257" t="s">
        <v>1299</v>
      </c>
      <c r="E76" s="256" t="s">
        <v>1776</v>
      </c>
      <c r="F76" s="256" t="s">
        <v>1963</v>
      </c>
      <c r="G76" s="258">
        <v>10747000000</v>
      </c>
      <c r="H76" s="265">
        <v>0.1</v>
      </c>
      <c r="I76" s="258">
        <v>1074700000</v>
      </c>
      <c r="J76" s="258">
        <v>11821700000</v>
      </c>
      <c r="K76" s="256" t="s">
        <v>1346</v>
      </c>
    </row>
    <row r="77" spans="1:11" x14ac:dyDescent="0.3">
      <c r="A77" s="256">
        <v>16</v>
      </c>
      <c r="B77" s="257" t="s">
        <v>1378</v>
      </c>
      <c r="C77" s="276">
        <v>44306</v>
      </c>
      <c r="D77" s="257" t="s">
        <v>1304</v>
      </c>
      <c r="E77" s="256" t="s">
        <v>1831</v>
      </c>
      <c r="F77" s="256" t="s">
        <v>1965</v>
      </c>
      <c r="G77" s="258">
        <v>4552000000</v>
      </c>
      <c r="H77" s="265">
        <v>0.1</v>
      </c>
      <c r="I77" s="258">
        <v>455200000</v>
      </c>
      <c r="J77" s="258">
        <v>5007200000</v>
      </c>
      <c r="K77" s="256" t="s">
        <v>1346</v>
      </c>
    </row>
    <row r="78" spans="1:11" x14ac:dyDescent="0.3">
      <c r="A78" s="256">
        <v>17</v>
      </c>
      <c r="B78" s="257" t="s">
        <v>1379</v>
      </c>
      <c r="C78" s="276">
        <v>44336</v>
      </c>
      <c r="D78" s="257" t="s">
        <v>1284</v>
      </c>
      <c r="E78" s="256" t="s">
        <v>1786</v>
      </c>
      <c r="F78" s="256" t="s">
        <v>1963</v>
      </c>
      <c r="G78" s="258">
        <v>13373000000</v>
      </c>
      <c r="H78" s="265">
        <v>0.1</v>
      </c>
      <c r="I78" s="258">
        <v>1337300000</v>
      </c>
      <c r="J78" s="258">
        <v>14710300000</v>
      </c>
      <c r="K78" s="256" t="s">
        <v>1346</v>
      </c>
    </row>
    <row r="79" spans="1:11" x14ac:dyDescent="0.3">
      <c r="A79" s="256">
        <v>18</v>
      </c>
      <c r="B79" s="257" t="s">
        <v>1381</v>
      </c>
      <c r="C79" s="276">
        <v>44367</v>
      </c>
      <c r="D79" s="257" t="s">
        <v>1262</v>
      </c>
      <c r="E79" s="256" t="s">
        <v>1816</v>
      </c>
      <c r="F79" s="256" t="s">
        <v>1965</v>
      </c>
      <c r="G79" s="258">
        <v>10981000000</v>
      </c>
      <c r="H79" s="265">
        <v>0.1</v>
      </c>
      <c r="I79" s="258">
        <v>1098100000</v>
      </c>
      <c r="J79" s="258">
        <v>12079100000</v>
      </c>
      <c r="K79" s="256" t="s">
        <v>1346</v>
      </c>
    </row>
    <row r="80" spans="1:11" x14ac:dyDescent="0.3">
      <c r="A80" s="256">
        <v>19</v>
      </c>
      <c r="B80" s="257" t="s">
        <v>1382</v>
      </c>
      <c r="C80" s="276">
        <v>44397</v>
      </c>
      <c r="D80" s="257" t="s">
        <v>1294</v>
      </c>
      <c r="E80" s="256" t="s">
        <v>1795</v>
      </c>
      <c r="F80" s="256" t="s">
        <v>1965</v>
      </c>
      <c r="G80" s="258">
        <v>5876000000</v>
      </c>
      <c r="H80" s="265">
        <v>0.1</v>
      </c>
      <c r="I80" s="258">
        <v>587600000</v>
      </c>
      <c r="J80" s="258">
        <v>6463600000</v>
      </c>
      <c r="K80" s="256" t="s">
        <v>1346</v>
      </c>
    </row>
    <row r="81" spans="1:11" x14ac:dyDescent="0.3">
      <c r="A81" s="256">
        <v>20</v>
      </c>
      <c r="B81" s="257" t="s">
        <v>1383</v>
      </c>
      <c r="C81" s="276">
        <v>44428</v>
      </c>
      <c r="D81" s="257" t="s">
        <v>1262</v>
      </c>
      <c r="E81" s="256" t="s">
        <v>1816</v>
      </c>
      <c r="F81" s="256" t="s">
        <v>1966</v>
      </c>
      <c r="G81" s="258">
        <v>6590000000</v>
      </c>
      <c r="H81" s="265">
        <v>0.1</v>
      </c>
      <c r="I81" s="258">
        <v>659000000</v>
      </c>
      <c r="J81" s="258">
        <v>7249000000</v>
      </c>
      <c r="K81" s="256" t="s">
        <v>1346</v>
      </c>
    </row>
    <row r="82" spans="1:11" x14ac:dyDescent="0.3">
      <c r="A82" s="256">
        <v>21</v>
      </c>
      <c r="B82" s="257" t="s">
        <v>1203</v>
      </c>
      <c r="C82" s="276">
        <v>44459</v>
      </c>
      <c r="D82" s="257" t="s">
        <v>1304</v>
      </c>
      <c r="E82" s="256" t="s">
        <v>1831</v>
      </c>
      <c r="F82" s="256" t="s">
        <v>1965</v>
      </c>
      <c r="G82" s="258">
        <v>10076000000</v>
      </c>
      <c r="H82" s="265">
        <v>0.1</v>
      </c>
      <c r="I82" s="258">
        <v>1007600000</v>
      </c>
      <c r="J82" s="258">
        <v>11083600000</v>
      </c>
      <c r="K82" s="256" t="s">
        <v>1346</v>
      </c>
    </row>
    <row r="83" spans="1:11" x14ac:dyDescent="0.3">
      <c r="A83" s="256">
        <v>22</v>
      </c>
      <c r="B83" s="257" t="s">
        <v>1204</v>
      </c>
      <c r="C83" s="276">
        <v>44489</v>
      </c>
      <c r="D83" s="257" t="s">
        <v>1272</v>
      </c>
      <c r="E83" s="256" t="s">
        <v>1805</v>
      </c>
      <c r="F83" s="256" t="s">
        <v>1963</v>
      </c>
      <c r="G83" s="258">
        <v>4131000000</v>
      </c>
      <c r="H83" s="265">
        <v>0.1</v>
      </c>
      <c r="I83" s="258">
        <v>413100000</v>
      </c>
      <c r="J83" s="258">
        <v>4544100000</v>
      </c>
      <c r="K83" s="256" t="s">
        <v>1346</v>
      </c>
    </row>
    <row r="84" spans="1:11" x14ac:dyDescent="0.3">
      <c r="A84" s="256">
        <v>23</v>
      </c>
      <c r="B84" s="257" t="s">
        <v>1205</v>
      </c>
      <c r="C84" s="276">
        <v>44520</v>
      </c>
      <c r="D84" s="257" t="s">
        <v>1297</v>
      </c>
      <c r="E84" s="256" t="s">
        <v>1820</v>
      </c>
      <c r="F84" s="256" t="s">
        <v>1965</v>
      </c>
      <c r="G84" s="258">
        <v>9894000000</v>
      </c>
      <c r="H84" s="265">
        <v>0.1</v>
      </c>
      <c r="I84" s="258">
        <v>989400000</v>
      </c>
      <c r="J84" s="258">
        <v>10883400000</v>
      </c>
      <c r="K84" s="256" t="s">
        <v>1346</v>
      </c>
    </row>
    <row r="85" spans="1:11" x14ac:dyDescent="0.3">
      <c r="A85" s="256">
        <v>24</v>
      </c>
      <c r="B85" s="257" t="s">
        <v>1385</v>
      </c>
      <c r="C85" s="276">
        <v>44550</v>
      </c>
      <c r="D85" s="257" t="s">
        <v>1263</v>
      </c>
      <c r="E85" s="256" t="s">
        <v>1790</v>
      </c>
      <c r="F85" s="256" t="s">
        <v>1963</v>
      </c>
      <c r="G85" s="258">
        <v>11343000000</v>
      </c>
      <c r="H85" s="265">
        <v>0.1</v>
      </c>
      <c r="I85" s="258">
        <v>1134300000</v>
      </c>
      <c r="J85" s="258">
        <v>12477300000</v>
      </c>
      <c r="K85" s="256" t="s">
        <v>1348</v>
      </c>
    </row>
    <row r="86" spans="1:11" x14ac:dyDescent="0.3">
      <c r="A86" s="256">
        <v>25</v>
      </c>
      <c r="B86" s="257" t="s">
        <v>1387</v>
      </c>
      <c r="C86" s="276">
        <v>44221</v>
      </c>
      <c r="D86" s="257" t="s">
        <v>1298</v>
      </c>
      <c r="E86" s="256" t="s">
        <v>1819</v>
      </c>
      <c r="F86" s="256" t="s">
        <v>1966</v>
      </c>
      <c r="G86" s="258">
        <v>11498000000</v>
      </c>
      <c r="H86" s="265">
        <v>0.1</v>
      </c>
      <c r="I86" s="258">
        <v>1149800000</v>
      </c>
      <c r="J86" s="258">
        <v>12647800000</v>
      </c>
      <c r="K86" s="256" t="s">
        <v>1346</v>
      </c>
    </row>
    <row r="87" spans="1:11" x14ac:dyDescent="0.3">
      <c r="A87" s="256">
        <v>26</v>
      </c>
      <c r="B87" s="257" t="s">
        <v>1388</v>
      </c>
      <c r="C87" s="276">
        <v>44255</v>
      </c>
      <c r="D87" s="257" t="s">
        <v>1260</v>
      </c>
      <c r="E87" s="256" t="s">
        <v>1804</v>
      </c>
      <c r="F87" s="256" t="s">
        <v>1966</v>
      </c>
      <c r="G87" s="258">
        <v>9837000000</v>
      </c>
      <c r="H87" s="265">
        <v>0.1</v>
      </c>
      <c r="I87" s="258">
        <v>983700000</v>
      </c>
      <c r="J87" s="258">
        <v>10820700000</v>
      </c>
      <c r="K87" s="256" t="s">
        <v>1346</v>
      </c>
    </row>
    <row r="88" spans="1:11" x14ac:dyDescent="0.3">
      <c r="A88" s="256">
        <v>27</v>
      </c>
      <c r="B88" s="257" t="s">
        <v>1391</v>
      </c>
      <c r="C88" s="276">
        <v>44316</v>
      </c>
      <c r="D88" s="257" t="s">
        <v>1289</v>
      </c>
      <c r="E88" s="256" t="s">
        <v>1803</v>
      </c>
      <c r="F88" s="256" t="s">
        <v>1963</v>
      </c>
      <c r="G88" s="258">
        <v>10846000000</v>
      </c>
      <c r="H88" s="265">
        <v>0.1</v>
      </c>
      <c r="I88" s="258">
        <v>1084600000</v>
      </c>
      <c r="J88" s="258">
        <v>11930600000</v>
      </c>
      <c r="K88" s="256" t="s">
        <v>1346</v>
      </c>
    </row>
    <row r="89" spans="1:11" x14ac:dyDescent="0.3">
      <c r="A89" s="256">
        <v>28</v>
      </c>
      <c r="B89" s="257" t="s">
        <v>1392</v>
      </c>
      <c r="C89" s="276">
        <v>44377</v>
      </c>
      <c r="D89" s="257" t="s">
        <v>1255</v>
      </c>
      <c r="E89" s="273">
        <v>46152</v>
      </c>
      <c r="F89" s="256" t="s">
        <v>1964</v>
      </c>
      <c r="G89" s="258">
        <v>7468000000</v>
      </c>
      <c r="H89" s="265">
        <v>0.1</v>
      </c>
      <c r="I89" s="258">
        <v>746800000</v>
      </c>
      <c r="J89" s="258">
        <v>8214800000</v>
      </c>
      <c r="K89" s="256" t="s">
        <v>1348</v>
      </c>
    </row>
    <row r="90" spans="1:11" x14ac:dyDescent="0.3">
      <c r="A90" s="256">
        <v>29</v>
      </c>
      <c r="B90" s="257" t="s">
        <v>1394</v>
      </c>
      <c r="C90" s="276">
        <v>44469</v>
      </c>
      <c r="D90" s="257" t="s">
        <v>1298</v>
      </c>
      <c r="E90" s="256" t="s">
        <v>1819</v>
      </c>
      <c r="F90" s="256" t="s">
        <v>1964</v>
      </c>
      <c r="G90" s="258">
        <v>10135000000</v>
      </c>
      <c r="H90" s="265">
        <v>0.1</v>
      </c>
      <c r="I90" s="258">
        <v>1013500000</v>
      </c>
      <c r="J90" s="258">
        <v>11148500000</v>
      </c>
      <c r="K90" s="256" t="s">
        <v>1346</v>
      </c>
    </row>
    <row r="91" spans="1:11" x14ac:dyDescent="0.3">
      <c r="A91" s="256">
        <v>30</v>
      </c>
      <c r="B91" s="257" t="s">
        <v>1396</v>
      </c>
      <c r="C91" s="276">
        <v>44530</v>
      </c>
      <c r="D91" s="257" t="s">
        <v>1262</v>
      </c>
      <c r="E91" s="256" t="s">
        <v>1816</v>
      </c>
      <c r="F91" s="256" t="s">
        <v>1963</v>
      </c>
      <c r="G91" s="258">
        <v>9113000000</v>
      </c>
      <c r="H91" s="265">
        <v>0.1</v>
      </c>
      <c r="I91" s="258">
        <v>911300000</v>
      </c>
      <c r="J91" s="258">
        <v>10024300000</v>
      </c>
      <c r="K91" s="256" t="s">
        <v>1346</v>
      </c>
    </row>
    <row r="92" spans="1:11" x14ac:dyDescent="0.3">
      <c r="A92" s="256">
        <v>31</v>
      </c>
      <c r="B92" s="257" t="s">
        <v>1397</v>
      </c>
      <c r="C92" s="276">
        <v>44286</v>
      </c>
      <c r="D92" s="257" t="s">
        <v>1255</v>
      </c>
      <c r="E92" s="273">
        <v>46152</v>
      </c>
      <c r="F92" s="256" t="s">
        <v>1963</v>
      </c>
      <c r="G92" s="258">
        <v>4368000000</v>
      </c>
      <c r="H92" s="265">
        <v>0.1</v>
      </c>
      <c r="I92" s="258">
        <v>436800000</v>
      </c>
      <c r="J92" s="258">
        <v>4804800000</v>
      </c>
      <c r="K92" s="256" t="s">
        <v>1346</v>
      </c>
    </row>
    <row r="93" spans="1:11" x14ac:dyDescent="0.3">
      <c r="A93" s="256">
        <v>32</v>
      </c>
      <c r="B93" s="257" t="s">
        <v>1398</v>
      </c>
      <c r="C93" s="276">
        <v>44347</v>
      </c>
      <c r="D93" s="257" t="s">
        <v>1288</v>
      </c>
      <c r="E93" s="256" t="s">
        <v>1797</v>
      </c>
      <c r="F93" s="256" t="s">
        <v>1966</v>
      </c>
      <c r="G93" s="258">
        <v>10042000000</v>
      </c>
      <c r="H93" s="265">
        <v>0.1</v>
      </c>
      <c r="I93" s="258">
        <v>1004200000</v>
      </c>
      <c r="J93" s="258">
        <v>11046200000</v>
      </c>
      <c r="K93" s="256" t="s">
        <v>1346</v>
      </c>
    </row>
    <row r="94" spans="1:11" x14ac:dyDescent="0.3">
      <c r="A94" s="256">
        <v>33</v>
      </c>
      <c r="B94" s="257" t="s">
        <v>1399</v>
      </c>
      <c r="C94" s="276">
        <v>44408</v>
      </c>
      <c r="D94" s="257" t="s">
        <v>1288</v>
      </c>
      <c r="E94" s="256" t="s">
        <v>1797</v>
      </c>
      <c r="F94" s="256" t="s">
        <v>1966</v>
      </c>
      <c r="G94" s="258">
        <v>10663000000</v>
      </c>
      <c r="H94" s="265">
        <v>0.1</v>
      </c>
      <c r="I94" s="258">
        <v>1066300000</v>
      </c>
      <c r="J94" s="258">
        <v>11729300000</v>
      </c>
      <c r="K94" s="256" t="s">
        <v>1346</v>
      </c>
    </row>
    <row r="95" spans="1:11" x14ac:dyDescent="0.3">
      <c r="A95" s="256">
        <v>34</v>
      </c>
      <c r="B95" s="257" t="s">
        <v>1401</v>
      </c>
      <c r="C95" s="276">
        <v>44439</v>
      </c>
      <c r="D95" s="257" t="s">
        <v>1266</v>
      </c>
      <c r="E95" s="256" t="s">
        <v>1824</v>
      </c>
      <c r="F95" s="256" t="s">
        <v>1966</v>
      </c>
      <c r="G95" s="258">
        <v>3887000000</v>
      </c>
      <c r="H95" s="265">
        <v>0.1</v>
      </c>
      <c r="I95" s="258">
        <v>388700000</v>
      </c>
      <c r="J95" s="258">
        <v>4275700000</v>
      </c>
      <c r="K95" s="256" t="s">
        <v>1346</v>
      </c>
    </row>
    <row r="96" spans="1:11" x14ac:dyDescent="0.3">
      <c r="A96" s="256">
        <v>35</v>
      </c>
      <c r="B96" s="257" t="s">
        <v>1402</v>
      </c>
      <c r="C96" s="276">
        <v>44500</v>
      </c>
      <c r="D96" s="257" t="s">
        <v>1274</v>
      </c>
      <c r="E96" s="256" t="s">
        <v>1794</v>
      </c>
      <c r="F96" s="256" t="s">
        <v>1966</v>
      </c>
      <c r="G96" s="258">
        <v>7033000000</v>
      </c>
      <c r="H96" s="265">
        <v>0.1</v>
      </c>
      <c r="I96" s="258">
        <v>703300000</v>
      </c>
      <c r="J96" s="258">
        <v>7736300000</v>
      </c>
      <c r="K96" s="256" t="s">
        <v>1348</v>
      </c>
    </row>
    <row r="97" spans="1:11" x14ac:dyDescent="0.3">
      <c r="A97" s="256">
        <v>36</v>
      </c>
      <c r="B97" s="257" t="s">
        <v>1403</v>
      </c>
      <c r="C97" s="276">
        <v>44561</v>
      </c>
      <c r="D97" s="257" t="s">
        <v>1273</v>
      </c>
      <c r="E97" s="256" t="s">
        <v>1829</v>
      </c>
      <c r="F97" s="256" t="s">
        <v>1964</v>
      </c>
      <c r="G97" s="258">
        <v>5942000000</v>
      </c>
      <c r="H97" s="265">
        <v>0.1</v>
      </c>
      <c r="I97" s="258">
        <v>594200000</v>
      </c>
      <c r="J97" s="258">
        <v>6536200000</v>
      </c>
      <c r="K97" s="256" t="s">
        <v>1346</v>
      </c>
    </row>
    <row r="98" spans="1:11" x14ac:dyDescent="0.3">
      <c r="A98" s="256">
        <v>37</v>
      </c>
      <c r="B98" s="257" t="s">
        <v>1404</v>
      </c>
      <c r="C98" s="276">
        <v>44561</v>
      </c>
      <c r="D98" s="257" t="s">
        <v>1263</v>
      </c>
      <c r="E98" s="256" t="s">
        <v>1790</v>
      </c>
      <c r="F98" s="256" t="s">
        <v>1963</v>
      </c>
      <c r="G98" s="258">
        <v>6502000000</v>
      </c>
      <c r="H98" s="265">
        <v>0.1</v>
      </c>
      <c r="I98" s="258">
        <v>650200000</v>
      </c>
      <c r="J98" s="258">
        <v>7152200000</v>
      </c>
      <c r="K98" s="256" t="s">
        <v>1346</v>
      </c>
    </row>
    <row r="99" spans="1:11" x14ac:dyDescent="0.3">
      <c r="A99" s="256">
        <v>38</v>
      </c>
      <c r="B99" s="257" t="s">
        <v>1405</v>
      </c>
      <c r="C99" s="276">
        <v>44561</v>
      </c>
      <c r="D99" s="257" t="s">
        <v>1283</v>
      </c>
      <c r="E99" s="256" t="s">
        <v>1798</v>
      </c>
      <c r="F99" s="256" t="s">
        <v>1963</v>
      </c>
      <c r="G99" s="258">
        <v>5724000000</v>
      </c>
      <c r="H99" s="265">
        <v>0.1</v>
      </c>
      <c r="I99" s="258">
        <v>572400000</v>
      </c>
      <c r="J99" s="258">
        <v>6296400000</v>
      </c>
      <c r="K99" s="256" t="s">
        <v>1346</v>
      </c>
    </row>
    <row r="100" spans="1:11" x14ac:dyDescent="0.3">
      <c r="A100" s="256">
        <v>39</v>
      </c>
      <c r="B100" s="257" t="s">
        <v>1406</v>
      </c>
      <c r="C100" s="276">
        <v>44561</v>
      </c>
      <c r="D100" s="257" t="s">
        <v>1273</v>
      </c>
      <c r="E100" s="256" t="s">
        <v>1829</v>
      </c>
      <c r="F100" s="256" t="s">
        <v>1965</v>
      </c>
      <c r="G100" s="258">
        <v>8317000000</v>
      </c>
      <c r="H100" s="265">
        <v>0.1</v>
      </c>
      <c r="I100" s="258">
        <v>831700000</v>
      </c>
      <c r="J100" s="258">
        <v>9148700000</v>
      </c>
      <c r="K100" s="256" t="s">
        <v>1348</v>
      </c>
    </row>
    <row r="101" spans="1:11" x14ac:dyDescent="0.3">
      <c r="A101" s="256">
        <v>40</v>
      </c>
      <c r="B101" s="257" t="s">
        <v>1408</v>
      </c>
      <c r="C101" s="276">
        <v>44561</v>
      </c>
      <c r="D101" s="257" t="s">
        <v>1258</v>
      </c>
      <c r="E101" s="256" t="s">
        <v>1833</v>
      </c>
      <c r="F101" s="256" t="s">
        <v>1963</v>
      </c>
      <c r="G101" s="258">
        <v>10153000000</v>
      </c>
      <c r="H101" s="265">
        <v>0.1</v>
      </c>
      <c r="I101" s="258">
        <v>1015300000</v>
      </c>
      <c r="J101" s="258">
        <v>11168300000</v>
      </c>
      <c r="K101" s="256" t="s">
        <v>1346</v>
      </c>
    </row>
    <row r="102" spans="1:11" x14ac:dyDescent="0.3">
      <c r="A102" s="256">
        <v>41</v>
      </c>
      <c r="B102" s="257" t="s">
        <v>1409</v>
      </c>
      <c r="C102" s="276">
        <v>44561</v>
      </c>
      <c r="D102" s="257" t="s">
        <v>1262</v>
      </c>
      <c r="E102" s="256" t="s">
        <v>1816</v>
      </c>
      <c r="F102" s="256" t="s">
        <v>1964</v>
      </c>
      <c r="G102" s="258">
        <v>8963000000</v>
      </c>
      <c r="H102" s="265">
        <v>0</v>
      </c>
      <c r="I102" s="258">
        <v>0</v>
      </c>
      <c r="J102" s="258">
        <v>8963000000</v>
      </c>
      <c r="K102" s="256" t="s">
        <v>1348</v>
      </c>
    </row>
    <row r="103" spans="1:11" x14ac:dyDescent="0.3">
      <c r="A103" s="256">
        <v>42</v>
      </c>
      <c r="B103" s="257" t="s">
        <v>1411</v>
      </c>
      <c r="C103" s="276">
        <v>44561</v>
      </c>
      <c r="D103" s="257" t="s">
        <v>1266</v>
      </c>
      <c r="E103" s="256" t="s">
        <v>1824</v>
      </c>
      <c r="F103" s="256" t="s">
        <v>1963</v>
      </c>
      <c r="G103" s="258">
        <v>7817000000</v>
      </c>
      <c r="H103" s="265">
        <v>0.1</v>
      </c>
      <c r="I103" s="258">
        <v>781700000</v>
      </c>
      <c r="J103" s="258">
        <v>8598700000</v>
      </c>
      <c r="K103" s="256" t="s">
        <v>1346</v>
      </c>
    </row>
    <row r="104" spans="1:11" x14ac:dyDescent="0.3">
      <c r="A104" s="256">
        <v>43</v>
      </c>
      <c r="B104" s="257" t="s">
        <v>1414</v>
      </c>
      <c r="C104" s="276">
        <v>44561</v>
      </c>
      <c r="D104" s="257" t="s">
        <v>1289</v>
      </c>
      <c r="E104" s="256" t="s">
        <v>1803</v>
      </c>
      <c r="F104" s="256" t="s">
        <v>1966</v>
      </c>
      <c r="G104" s="258">
        <v>13082000000</v>
      </c>
      <c r="H104" s="265">
        <v>0.1</v>
      </c>
      <c r="I104" s="258">
        <v>1308200000</v>
      </c>
      <c r="J104" s="258">
        <v>14390200000</v>
      </c>
      <c r="K104" s="256" t="s">
        <v>1346</v>
      </c>
    </row>
    <row r="105" spans="1:11" x14ac:dyDescent="0.3">
      <c r="A105" s="256">
        <v>44</v>
      </c>
      <c r="B105" s="257" t="s">
        <v>1415</v>
      </c>
      <c r="C105" s="276">
        <v>44561</v>
      </c>
      <c r="D105" s="257" t="s">
        <v>1277</v>
      </c>
      <c r="E105" s="256" t="s">
        <v>1783</v>
      </c>
      <c r="F105" s="256" t="s">
        <v>1966</v>
      </c>
      <c r="G105" s="258">
        <v>11913000000</v>
      </c>
      <c r="H105" s="265">
        <v>0.1</v>
      </c>
      <c r="I105" s="258">
        <v>1191300000</v>
      </c>
      <c r="J105" s="258">
        <v>13104300000</v>
      </c>
      <c r="K105" s="256" t="s">
        <v>1348</v>
      </c>
    </row>
    <row r="106" spans="1:11" x14ac:dyDescent="0.3">
      <c r="A106" s="256">
        <v>45</v>
      </c>
      <c r="B106" s="257" t="s">
        <v>1206</v>
      </c>
      <c r="C106" s="276">
        <v>44561</v>
      </c>
      <c r="D106" s="257" t="s">
        <v>1301</v>
      </c>
      <c r="E106" s="256" t="s">
        <v>1781</v>
      </c>
      <c r="F106" s="256" t="s">
        <v>1965</v>
      </c>
      <c r="G106" s="258">
        <v>8262000000</v>
      </c>
      <c r="H106" s="265">
        <v>0.1</v>
      </c>
      <c r="I106" s="258">
        <v>826200000</v>
      </c>
      <c r="J106" s="258">
        <v>9088200000</v>
      </c>
      <c r="K106" s="256" t="s">
        <v>1346</v>
      </c>
    </row>
    <row r="107" spans="1:11" x14ac:dyDescent="0.3">
      <c r="A107" s="256">
        <v>46</v>
      </c>
      <c r="B107" s="257" t="s">
        <v>1207</v>
      </c>
      <c r="C107" s="276">
        <v>44561</v>
      </c>
      <c r="D107" s="257" t="s">
        <v>1285</v>
      </c>
      <c r="E107" s="256" t="s">
        <v>1793</v>
      </c>
      <c r="F107" s="256" t="s">
        <v>1963</v>
      </c>
      <c r="G107" s="258">
        <v>13597000000</v>
      </c>
      <c r="H107" s="265">
        <v>0.1</v>
      </c>
      <c r="I107" s="258">
        <v>1359700000</v>
      </c>
      <c r="J107" s="258">
        <v>14956700000</v>
      </c>
      <c r="K107" s="256" t="s">
        <v>1346</v>
      </c>
    </row>
    <row r="108" spans="1:11" x14ac:dyDescent="0.3">
      <c r="A108" s="256">
        <v>47</v>
      </c>
      <c r="B108" s="257" t="s">
        <v>1208</v>
      </c>
      <c r="C108" s="276">
        <v>44561</v>
      </c>
      <c r="D108" s="257" t="s">
        <v>1283</v>
      </c>
      <c r="E108" s="256" t="s">
        <v>1798</v>
      </c>
      <c r="F108" s="256" t="s">
        <v>1964</v>
      </c>
      <c r="G108" s="258">
        <v>13293000000</v>
      </c>
      <c r="H108" s="265">
        <v>0.1</v>
      </c>
      <c r="I108" s="258">
        <v>1329300000</v>
      </c>
      <c r="J108" s="258">
        <v>14622300000</v>
      </c>
      <c r="K108" s="256" t="s">
        <v>1346</v>
      </c>
    </row>
    <row r="109" spans="1:11" x14ac:dyDescent="0.3">
      <c r="A109" s="256">
        <v>48</v>
      </c>
      <c r="B109" s="257" t="s">
        <v>1209</v>
      </c>
      <c r="C109" s="276">
        <v>44561</v>
      </c>
      <c r="D109" s="257" t="s">
        <v>1282</v>
      </c>
      <c r="E109" s="256" t="s">
        <v>1789</v>
      </c>
      <c r="F109" s="256" t="s">
        <v>1964</v>
      </c>
      <c r="G109" s="258">
        <v>9448000000</v>
      </c>
      <c r="H109" s="265">
        <v>0.1</v>
      </c>
      <c r="I109" s="258">
        <v>944800000</v>
      </c>
      <c r="J109" s="258">
        <v>10392800000</v>
      </c>
      <c r="K109" s="256" t="s">
        <v>1346</v>
      </c>
    </row>
    <row r="110" spans="1:11" x14ac:dyDescent="0.3">
      <c r="A110" s="256">
        <v>49</v>
      </c>
      <c r="B110" s="257" t="s">
        <v>1418</v>
      </c>
      <c r="C110" s="276">
        <v>44561</v>
      </c>
      <c r="D110" s="257" t="s">
        <v>1257</v>
      </c>
      <c r="E110" s="256" t="s">
        <v>1815</v>
      </c>
      <c r="F110" s="256" t="s">
        <v>1965</v>
      </c>
      <c r="G110" s="258">
        <v>7840000000</v>
      </c>
      <c r="H110" s="265">
        <v>0.1</v>
      </c>
      <c r="I110" s="258">
        <v>784000000</v>
      </c>
      <c r="J110" s="258">
        <v>8624000000</v>
      </c>
      <c r="K110" s="256" t="s">
        <v>1346</v>
      </c>
    </row>
    <row r="111" spans="1:11" x14ac:dyDescent="0.3">
      <c r="A111" s="256">
        <v>50</v>
      </c>
      <c r="B111" s="257" t="s">
        <v>1419</v>
      </c>
      <c r="C111" s="276">
        <v>44561</v>
      </c>
      <c r="D111" s="257" t="s">
        <v>1296</v>
      </c>
      <c r="E111" s="256" t="s">
        <v>1807</v>
      </c>
      <c r="F111" s="256" t="s">
        <v>1965</v>
      </c>
      <c r="G111" s="258">
        <v>4673000000</v>
      </c>
      <c r="H111" s="265">
        <v>0.1</v>
      </c>
      <c r="I111" s="258">
        <v>467300000</v>
      </c>
      <c r="J111" s="258">
        <v>5140300000</v>
      </c>
      <c r="K111" s="256" t="s">
        <v>1346</v>
      </c>
    </row>
    <row r="112" spans="1:11" x14ac:dyDescent="0.3">
      <c r="A112" s="266" t="s">
        <v>1351</v>
      </c>
      <c r="B112" s="266"/>
      <c r="C112" s="266"/>
      <c r="D112" s="266"/>
      <c r="E112" s="266"/>
      <c r="F112" s="266"/>
      <c r="G112" s="267">
        <f>SUM(G62:G111)</f>
        <v>448353000000</v>
      </c>
      <c r="H112" s="266"/>
      <c r="I112" s="267">
        <f>SUM(I62:I111)</f>
        <v>42621500000</v>
      </c>
      <c r="J112" s="267">
        <f>SUM(J62:J111)</f>
        <v>490974500000</v>
      </c>
      <c r="K112" s="266"/>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1095</v>
      </c>
      <c r="C1" s="256"/>
      <c r="D1" s="256"/>
      <c r="E1" s="256"/>
      <c r="F1" s="256"/>
      <c r="G1" s="256"/>
      <c r="H1" s="256"/>
      <c r="I1" s="256"/>
      <c r="J1" s="256"/>
      <c r="K1" s="256"/>
    </row>
    <row r="2" spans="1:11" x14ac:dyDescent="0.3">
      <c r="A2" s="256" t="s">
        <v>1339</v>
      </c>
      <c r="B2" s="257">
        <v>500416750</v>
      </c>
      <c r="C2" s="256"/>
      <c r="D2" s="256"/>
      <c r="E2" s="256"/>
      <c r="F2" s="256"/>
      <c r="G2" s="256"/>
      <c r="H2" s="256"/>
      <c r="I2" s="256"/>
      <c r="J2" s="256"/>
      <c r="K2" s="256"/>
    </row>
    <row r="3" spans="1:11" x14ac:dyDescent="0.3">
      <c r="A3" s="256" t="s">
        <v>1343</v>
      </c>
      <c r="B3" s="258">
        <v>825220325364</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1461</v>
      </c>
      <c r="C8" s="276">
        <v>44317</v>
      </c>
      <c r="D8" s="257" t="s">
        <v>1286</v>
      </c>
      <c r="E8" s="256" t="s">
        <v>1828</v>
      </c>
      <c r="F8" s="256" t="s">
        <v>1741</v>
      </c>
      <c r="G8" s="258">
        <v>7790000000</v>
      </c>
      <c r="H8" s="265">
        <v>0.1</v>
      </c>
      <c r="I8" s="258">
        <v>779000000</v>
      </c>
      <c r="J8" s="258">
        <v>8569000000</v>
      </c>
      <c r="K8" s="256" t="s">
        <v>1346</v>
      </c>
    </row>
    <row r="9" spans="1:11" x14ac:dyDescent="0.3">
      <c r="A9" s="256">
        <v>2</v>
      </c>
      <c r="B9" s="257" t="s">
        <v>1458</v>
      </c>
      <c r="C9" s="276">
        <v>44318</v>
      </c>
      <c r="D9" s="257" t="s">
        <v>1294</v>
      </c>
      <c r="E9" s="256" t="s">
        <v>1795</v>
      </c>
      <c r="F9" s="256" t="s">
        <v>1891</v>
      </c>
      <c r="G9" s="258">
        <v>10941000000</v>
      </c>
      <c r="H9" s="265">
        <v>0.1</v>
      </c>
      <c r="I9" s="258">
        <v>1094100000</v>
      </c>
      <c r="J9" s="258">
        <v>12035100000</v>
      </c>
      <c r="K9" s="256" t="s">
        <v>1346</v>
      </c>
    </row>
    <row r="10" spans="1:11" x14ac:dyDescent="0.3">
      <c r="A10" s="256">
        <v>3</v>
      </c>
      <c r="B10" s="257" t="s">
        <v>1510</v>
      </c>
      <c r="C10" s="276">
        <v>44472</v>
      </c>
      <c r="D10" s="257" t="s">
        <v>1259</v>
      </c>
      <c r="E10" s="256" t="s">
        <v>1788</v>
      </c>
      <c r="F10" s="256" t="s">
        <v>1891</v>
      </c>
      <c r="G10" s="258">
        <v>7317000000</v>
      </c>
      <c r="H10" s="265">
        <v>0.1</v>
      </c>
      <c r="I10" s="258">
        <v>731700000</v>
      </c>
      <c r="J10" s="258">
        <v>8048700000</v>
      </c>
      <c r="K10" s="256" t="s">
        <v>1346</v>
      </c>
    </row>
    <row r="11" spans="1:11" x14ac:dyDescent="0.3">
      <c r="A11" s="256">
        <v>4</v>
      </c>
      <c r="B11" s="257" t="s">
        <v>1467</v>
      </c>
      <c r="C11" s="276">
        <v>44473</v>
      </c>
      <c r="D11" s="257" t="s">
        <v>1269</v>
      </c>
      <c r="E11" s="256" t="s">
        <v>1823</v>
      </c>
      <c r="F11" s="256" t="s">
        <v>1890</v>
      </c>
      <c r="G11" s="258">
        <v>8518000000</v>
      </c>
      <c r="H11" s="265">
        <v>0.1</v>
      </c>
      <c r="I11" s="258">
        <v>851800000</v>
      </c>
      <c r="J11" s="258">
        <v>9369800000</v>
      </c>
      <c r="K11" s="256" t="s">
        <v>1348</v>
      </c>
    </row>
    <row r="12" spans="1:11" x14ac:dyDescent="0.3">
      <c r="A12" s="256">
        <v>5</v>
      </c>
      <c r="B12" s="257" t="s">
        <v>1458</v>
      </c>
      <c r="C12" s="276">
        <v>44474</v>
      </c>
      <c r="D12" s="257" t="s">
        <v>1292</v>
      </c>
      <c r="E12" s="256" t="s">
        <v>1792</v>
      </c>
      <c r="F12" s="256" t="s">
        <v>1734</v>
      </c>
      <c r="G12" s="258">
        <v>9217000000</v>
      </c>
      <c r="H12" s="265">
        <v>0.1</v>
      </c>
      <c r="I12" s="258">
        <v>921700000</v>
      </c>
      <c r="J12" s="258">
        <v>10138700000</v>
      </c>
      <c r="K12" s="256" t="s">
        <v>1348</v>
      </c>
    </row>
    <row r="13" spans="1:11" x14ac:dyDescent="0.3">
      <c r="A13" s="256">
        <v>6</v>
      </c>
      <c r="B13" s="257" t="s">
        <v>1494</v>
      </c>
      <c r="C13" s="276">
        <v>44475</v>
      </c>
      <c r="D13" s="257" t="s">
        <v>1256</v>
      </c>
      <c r="E13" s="256" t="s">
        <v>1802</v>
      </c>
      <c r="F13" s="256" t="s">
        <v>1890</v>
      </c>
      <c r="G13" s="258">
        <v>15669000000</v>
      </c>
      <c r="H13" s="265">
        <v>0.1</v>
      </c>
      <c r="I13" s="258">
        <v>1566900000</v>
      </c>
      <c r="J13" s="258">
        <v>17235900000</v>
      </c>
      <c r="K13" s="256" t="s">
        <v>1346</v>
      </c>
    </row>
    <row r="14" spans="1:11" x14ac:dyDescent="0.3">
      <c r="A14" s="256">
        <v>7</v>
      </c>
      <c r="B14" s="257" t="s">
        <v>1498</v>
      </c>
      <c r="C14" s="276">
        <v>44476</v>
      </c>
      <c r="D14" s="257" t="s">
        <v>1282</v>
      </c>
      <c r="E14" s="256" t="s">
        <v>1789</v>
      </c>
      <c r="F14" s="256" t="s">
        <v>1890</v>
      </c>
      <c r="G14" s="258">
        <v>17139000000</v>
      </c>
      <c r="H14" s="265">
        <v>0.1</v>
      </c>
      <c r="I14" s="258">
        <v>1713900000</v>
      </c>
      <c r="J14" s="258">
        <v>18852900000</v>
      </c>
      <c r="K14" s="256" t="s">
        <v>1346</v>
      </c>
    </row>
    <row r="15" spans="1:11" x14ac:dyDescent="0.3">
      <c r="A15" s="256">
        <v>8</v>
      </c>
      <c r="B15" s="257" t="s">
        <v>1513</v>
      </c>
      <c r="C15" s="276">
        <v>44477</v>
      </c>
      <c r="D15" s="257" t="s">
        <v>1271</v>
      </c>
      <c r="E15" s="256" t="s">
        <v>1799</v>
      </c>
      <c r="F15" s="256" t="s">
        <v>1734</v>
      </c>
      <c r="G15" s="258">
        <v>7297000000</v>
      </c>
      <c r="H15" s="265">
        <v>0</v>
      </c>
      <c r="I15" s="258">
        <v>0</v>
      </c>
      <c r="J15" s="258">
        <v>7297000000</v>
      </c>
      <c r="K15" s="256" t="s">
        <v>1346</v>
      </c>
    </row>
    <row r="16" spans="1:11" x14ac:dyDescent="0.3">
      <c r="A16" s="256">
        <v>9</v>
      </c>
      <c r="B16" s="257" t="s">
        <v>1502</v>
      </c>
      <c r="C16" s="276">
        <v>44478</v>
      </c>
      <c r="D16" s="257" t="s">
        <v>1288</v>
      </c>
      <c r="E16" s="256" t="s">
        <v>1797</v>
      </c>
      <c r="F16" s="256" t="s">
        <v>1888</v>
      </c>
      <c r="G16" s="258">
        <v>11652000000</v>
      </c>
      <c r="H16" s="265">
        <v>0.1</v>
      </c>
      <c r="I16" s="258">
        <v>1165200000</v>
      </c>
      <c r="J16" s="258">
        <v>12817200000</v>
      </c>
      <c r="K16" s="256" t="s">
        <v>1346</v>
      </c>
    </row>
    <row r="17" spans="1:11" x14ac:dyDescent="0.3">
      <c r="A17" s="256">
        <v>10</v>
      </c>
      <c r="B17" s="257" t="s">
        <v>1498</v>
      </c>
      <c r="C17" s="276">
        <v>44479</v>
      </c>
      <c r="D17" s="257" t="s">
        <v>1273</v>
      </c>
      <c r="E17" s="256" t="s">
        <v>1829</v>
      </c>
      <c r="F17" s="256" t="s">
        <v>1889</v>
      </c>
      <c r="G17" s="258">
        <v>16290000000</v>
      </c>
      <c r="H17" s="265">
        <v>0</v>
      </c>
      <c r="I17" s="258">
        <v>0</v>
      </c>
      <c r="J17" s="258">
        <v>16290000000</v>
      </c>
      <c r="K17" s="256" t="s">
        <v>1346</v>
      </c>
    </row>
    <row r="18" spans="1:11" x14ac:dyDescent="0.3">
      <c r="A18" s="256">
        <v>11</v>
      </c>
      <c r="B18" s="257" t="s">
        <v>1501</v>
      </c>
      <c r="C18" s="276">
        <v>44480</v>
      </c>
      <c r="D18" s="257" t="s">
        <v>1270</v>
      </c>
      <c r="E18" s="256" t="s">
        <v>1782</v>
      </c>
      <c r="F18" s="256" t="s">
        <v>1889</v>
      </c>
      <c r="G18" s="258">
        <v>15876000000</v>
      </c>
      <c r="H18" s="265">
        <v>0.1</v>
      </c>
      <c r="I18" s="258">
        <v>1587600000</v>
      </c>
      <c r="J18" s="258">
        <v>17463600000</v>
      </c>
      <c r="K18" s="256" t="s">
        <v>1346</v>
      </c>
    </row>
    <row r="19" spans="1:11" x14ac:dyDescent="0.3">
      <c r="A19" s="256">
        <v>12</v>
      </c>
      <c r="B19" s="257" t="s">
        <v>1456</v>
      </c>
      <c r="C19" s="276">
        <v>44481</v>
      </c>
      <c r="D19" s="257" t="s">
        <v>1298</v>
      </c>
      <c r="E19" s="256" t="s">
        <v>1819</v>
      </c>
      <c r="F19" s="256" t="s">
        <v>1888</v>
      </c>
      <c r="G19" s="258">
        <v>12299000000</v>
      </c>
      <c r="H19" s="265">
        <v>0.1</v>
      </c>
      <c r="I19" s="258">
        <v>1229900000</v>
      </c>
      <c r="J19" s="258">
        <v>13528900000</v>
      </c>
      <c r="K19" s="256" t="s">
        <v>1346</v>
      </c>
    </row>
    <row r="20" spans="1:11" x14ac:dyDescent="0.3">
      <c r="A20" s="256">
        <v>13</v>
      </c>
      <c r="B20" s="257" t="s">
        <v>1503</v>
      </c>
      <c r="C20" s="276">
        <v>44211</v>
      </c>
      <c r="D20" s="257" t="s">
        <v>1288</v>
      </c>
      <c r="E20" s="256" t="s">
        <v>1797</v>
      </c>
      <c r="F20" s="256" t="s">
        <v>1889</v>
      </c>
      <c r="G20" s="258">
        <v>12398000000</v>
      </c>
      <c r="H20" s="265">
        <v>0.1</v>
      </c>
      <c r="I20" s="258">
        <v>1239800000</v>
      </c>
      <c r="J20" s="258">
        <v>13637800000</v>
      </c>
      <c r="K20" s="256" t="s">
        <v>1346</v>
      </c>
    </row>
    <row r="21" spans="1:11" x14ac:dyDescent="0.3">
      <c r="A21" s="256">
        <v>14</v>
      </c>
      <c r="B21" s="257" t="s">
        <v>1502</v>
      </c>
      <c r="C21" s="276">
        <v>44242</v>
      </c>
      <c r="D21" s="257" t="s">
        <v>1270</v>
      </c>
      <c r="E21" s="256" t="s">
        <v>1782</v>
      </c>
      <c r="F21" s="256" t="s">
        <v>1889</v>
      </c>
      <c r="G21" s="258">
        <v>16538000000</v>
      </c>
      <c r="H21" s="265">
        <v>0.1</v>
      </c>
      <c r="I21" s="258">
        <v>1653800000</v>
      </c>
      <c r="J21" s="258">
        <v>18191800000</v>
      </c>
      <c r="K21" s="256" t="s">
        <v>1346</v>
      </c>
    </row>
    <row r="22" spans="1:11" x14ac:dyDescent="0.3">
      <c r="A22" s="256">
        <v>15</v>
      </c>
      <c r="B22" s="257" t="s">
        <v>1499</v>
      </c>
      <c r="C22" s="276">
        <v>44275</v>
      </c>
      <c r="D22" s="257" t="s">
        <v>1273</v>
      </c>
      <c r="E22" s="256" t="s">
        <v>1829</v>
      </c>
      <c r="F22" s="256" t="s">
        <v>1889</v>
      </c>
      <c r="G22" s="258">
        <v>6120000000</v>
      </c>
      <c r="H22" s="265">
        <v>0.1</v>
      </c>
      <c r="I22" s="258">
        <v>612000000</v>
      </c>
      <c r="J22" s="258">
        <v>6732000000</v>
      </c>
      <c r="K22" s="256" t="s">
        <v>1348</v>
      </c>
    </row>
    <row r="23" spans="1:11" x14ac:dyDescent="0.3">
      <c r="A23" s="256">
        <v>16</v>
      </c>
      <c r="B23" s="257" t="s">
        <v>1487</v>
      </c>
      <c r="C23" s="276">
        <v>44306</v>
      </c>
      <c r="D23" s="257" t="s">
        <v>1283</v>
      </c>
      <c r="E23" s="256" t="s">
        <v>1798</v>
      </c>
      <c r="F23" s="256" t="s">
        <v>1890</v>
      </c>
      <c r="G23" s="258">
        <v>13118000000</v>
      </c>
      <c r="H23" s="265">
        <v>0.1</v>
      </c>
      <c r="I23" s="258">
        <v>1311800000</v>
      </c>
      <c r="J23" s="258">
        <v>14429800000</v>
      </c>
      <c r="K23" s="256" t="s">
        <v>1346</v>
      </c>
    </row>
    <row r="24" spans="1:11" x14ac:dyDescent="0.3">
      <c r="A24" s="256">
        <v>17</v>
      </c>
      <c r="B24" s="257" t="s">
        <v>1461</v>
      </c>
      <c r="C24" s="276">
        <v>44336</v>
      </c>
      <c r="D24" s="257" t="s">
        <v>1291</v>
      </c>
      <c r="E24" s="256" t="s">
        <v>1800</v>
      </c>
      <c r="F24" s="256" t="s">
        <v>1734</v>
      </c>
      <c r="G24" s="258">
        <v>7362000000</v>
      </c>
      <c r="H24" s="265">
        <v>0.1</v>
      </c>
      <c r="I24" s="258">
        <v>736200000</v>
      </c>
      <c r="J24" s="258">
        <v>8098200000</v>
      </c>
      <c r="K24" s="256" t="s">
        <v>1346</v>
      </c>
    </row>
    <row r="25" spans="1:11" x14ac:dyDescent="0.3">
      <c r="A25" s="256">
        <v>18</v>
      </c>
      <c r="B25" s="257" t="s">
        <v>1471</v>
      </c>
      <c r="C25" s="276">
        <v>44367</v>
      </c>
      <c r="D25" s="257" t="s">
        <v>1290</v>
      </c>
      <c r="E25" s="256" t="s">
        <v>1796</v>
      </c>
      <c r="F25" s="256" t="s">
        <v>1888</v>
      </c>
      <c r="G25" s="258">
        <v>8563000000</v>
      </c>
      <c r="H25" s="265">
        <v>0.1</v>
      </c>
      <c r="I25" s="258">
        <v>856300000</v>
      </c>
      <c r="J25" s="258">
        <v>9419300000</v>
      </c>
      <c r="K25" s="256" t="s">
        <v>1346</v>
      </c>
    </row>
    <row r="26" spans="1:11" x14ac:dyDescent="0.3">
      <c r="A26" s="256">
        <v>19</v>
      </c>
      <c r="B26" s="257" t="s">
        <v>1481</v>
      </c>
      <c r="C26" s="276">
        <v>44397</v>
      </c>
      <c r="D26" s="257" t="s">
        <v>1293</v>
      </c>
      <c r="E26" s="256" t="s">
        <v>1826</v>
      </c>
      <c r="F26" s="256" t="s">
        <v>1734</v>
      </c>
      <c r="G26" s="258">
        <v>14281000000</v>
      </c>
      <c r="H26" s="265">
        <v>0.1</v>
      </c>
      <c r="I26" s="258">
        <v>1428100000</v>
      </c>
      <c r="J26" s="258">
        <v>15709100000</v>
      </c>
      <c r="K26" s="256" t="s">
        <v>1348</v>
      </c>
    </row>
    <row r="27" spans="1:11" x14ac:dyDescent="0.3">
      <c r="A27" s="256">
        <v>20</v>
      </c>
      <c r="B27" s="257" t="s">
        <v>1503</v>
      </c>
      <c r="C27" s="276">
        <v>44428</v>
      </c>
      <c r="D27" s="257" t="s">
        <v>1270</v>
      </c>
      <c r="E27" s="256" t="s">
        <v>1782</v>
      </c>
      <c r="F27" s="256" t="s">
        <v>1889</v>
      </c>
      <c r="G27" s="258">
        <v>18175000000</v>
      </c>
      <c r="H27" s="265">
        <v>0.1</v>
      </c>
      <c r="I27" s="258">
        <v>1817500000</v>
      </c>
      <c r="J27" s="258">
        <v>19992500000</v>
      </c>
      <c r="K27" s="256" t="s">
        <v>1346</v>
      </c>
    </row>
    <row r="28" spans="1:11" x14ac:dyDescent="0.3">
      <c r="A28" s="256">
        <v>21</v>
      </c>
      <c r="B28" s="257" t="s">
        <v>1483</v>
      </c>
      <c r="C28" s="276">
        <v>44459</v>
      </c>
      <c r="D28" s="257" t="s">
        <v>1302</v>
      </c>
      <c r="E28" s="256" t="s">
        <v>1784</v>
      </c>
      <c r="F28" s="256" t="s">
        <v>1890</v>
      </c>
      <c r="G28" s="258">
        <v>18151000000</v>
      </c>
      <c r="H28" s="265">
        <v>0.1</v>
      </c>
      <c r="I28" s="258">
        <v>1815100000</v>
      </c>
      <c r="J28" s="258">
        <v>19966100000</v>
      </c>
      <c r="K28" s="256" t="s">
        <v>1346</v>
      </c>
    </row>
    <row r="29" spans="1:11" x14ac:dyDescent="0.3">
      <c r="A29" s="256">
        <v>22</v>
      </c>
      <c r="B29" s="257" t="s">
        <v>1462</v>
      </c>
      <c r="C29" s="276">
        <v>44489</v>
      </c>
      <c r="D29" s="257" t="s">
        <v>1286</v>
      </c>
      <c r="E29" s="256" t="s">
        <v>1828</v>
      </c>
      <c r="F29" s="256" t="s">
        <v>1891</v>
      </c>
      <c r="G29" s="258">
        <v>10241000000</v>
      </c>
      <c r="H29" s="265">
        <v>0.1</v>
      </c>
      <c r="I29" s="258">
        <v>1024100000</v>
      </c>
      <c r="J29" s="258">
        <v>11265100000</v>
      </c>
      <c r="K29" s="256" t="s">
        <v>1346</v>
      </c>
    </row>
    <row r="30" spans="1:11" x14ac:dyDescent="0.3">
      <c r="A30" s="256">
        <v>23</v>
      </c>
      <c r="B30" s="257" t="s">
        <v>1496</v>
      </c>
      <c r="C30" s="276">
        <v>44520</v>
      </c>
      <c r="D30" s="257" t="s">
        <v>1277</v>
      </c>
      <c r="E30" s="256" t="s">
        <v>1783</v>
      </c>
      <c r="F30" s="256" t="s">
        <v>1734</v>
      </c>
      <c r="G30" s="258">
        <v>19239000000</v>
      </c>
      <c r="H30" s="265">
        <v>0.1</v>
      </c>
      <c r="I30" s="258">
        <v>1923900000</v>
      </c>
      <c r="J30" s="258">
        <v>21162900000</v>
      </c>
      <c r="K30" s="256" t="s">
        <v>1346</v>
      </c>
    </row>
    <row r="31" spans="1:11" x14ac:dyDescent="0.3">
      <c r="A31" s="256">
        <v>24</v>
      </c>
      <c r="B31" s="257" t="s">
        <v>1485</v>
      </c>
      <c r="C31" s="276">
        <v>44550</v>
      </c>
      <c r="D31" s="257" t="s">
        <v>1289</v>
      </c>
      <c r="E31" s="256" t="s">
        <v>1803</v>
      </c>
      <c r="F31" s="256" t="s">
        <v>1888</v>
      </c>
      <c r="G31" s="258">
        <v>9648000000</v>
      </c>
      <c r="H31" s="265">
        <v>0.1</v>
      </c>
      <c r="I31" s="258">
        <v>964800000</v>
      </c>
      <c r="J31" s="258">
        <v>10612800000</v>
      </c>
      <c r="K31" s="256" t="s">
        <v>1346</v>
      </c>
    </row>
    <row r="32" spans="1:11" x14ac:dyDescent="0.3">
      <c r="A32" s="256">
        <v>25</v>
      </c>
      <c r="B32" s="257" t="s">
        <v>1212</v>
      </c>
      <c r="C32" s="276">
        <v>44221</v>
      </c>
      <c r="D32" s="257" t="s">
        <v>1260</v>
      </c>
      <c r="E32" s="256" t="s">
        <v>1804</v>
      </c>
      <c r="F32" s="256" t="s">
        <v>1741</v>
      </c>
      <c r="G32" s="258">
        <v>7933000000</v>
      </c>
      <c r="H32" s="265">
        <v>0.1</v>
      </c>
      <c r="I32" s="258">
        <v>793300000</v>
      </c>
      <c r="J32" s="258">
        <v>8726300000</v>
      </c>
      <c r="K32" s="256" t="s">
        <v>1346</v>
      </c>
    </row>
    <row r="33" spans="1:11" x14ac:dyDescent="0.3">
      <c r="A33" s="256">
        <v>26</v>
      </c>
      <c r="B33" s="257" t="s">
        <v>1472</v>
      </c>
      <c r="C33" s="276">
        <v>44255</v>
      </c>
      <c r="D33" s="257" t="s">
        <v>1290</v>
      </c>
      <c r="E33" s="256" t="s">
        <v>1796</v>
      </c>
      <c r="F33" s="256" t="s">
        <v>1734</v>
      </c>
      <c r="G33" s="258">
        <v>17107000000</v>
      </c>
      <c r="H33" s="265">
        <v>0.1</v>
      </c>
      <c r="I33" s="258">
        <v>1710700000</v>
      </c>
      <c r="J33" s="258">
        <v>18817700000</v>
      </c>
      <c r="K33" s="256" t="s">
        <v>1346</v>
      </c>
    </row>
    <row r="34" spans="1:11" x14ac:dyDescent="0.3">
      <c r="A34" s="256">
        <v>27</v>
      </c>
      <c r="B34" s="257" t="s">
        <v>1206</v>
      </c>
      <c r="C34" s="276">
        <v>44316</v>
      </c>
      <c r="D34" s="257" t="s">
        <v>1258</v>
      </c>
      <c r="E34" s="256" t="s">
        <v>1833</v>
      </c>
      <c r="F34" s="256" t="s">
        <v>1891</v>
      </c>
      <c r="G34" s="258">
        <v>11130000000</v>
      </c>
      <c r="H34" s="265">
        <v>0.1</v>
      </c>
      <c r="I34" s="258">
        <v>1113000000</v>
      </c>
      <c r="J34" s="258">
        <v>12243000000</v>
      </c>
      <c r="K34" s="256" t="s">
        <v>1346</v>
      </c>
    </row>
    <row r="35" spans="1:11" x14ac:dyDescent="0.3">
      <c r="A35" s="256">
        <v>28</v>
      </c>
      <c r="B35" s="257" t="s">
        <v>1500</v>
      </c>
      <c r="C35" s="276">
        <v>44377</v>
      </c>
      <c r="D35" s="257" t="s">
        <v>1273</v>
      </c>
      <c r="E35" s="256" t="s">
        <v>1829</v>
      </c>
      <c r="F35" s="256" t="s">
        <v>1734</v>
      </c>
      <c r="G35" s="258">
        <v>10492000000</v>
      </c>
      <c r="H35" s="265">
        <v>0.1</v>
      </c>
      <c r="I35" s="258">
        <v>1049200000</v>
      </c>
      <c r="J35" s="258">
        <v>11541200000</v>
      </c>
      <c r="K35" s="256" t="s">
        <v>1346</v>
      </c>
    </row>
    <row r="36" spans="1:11" x14ac:dyDescent="0.3">
      <c r="A36" s="256">
        <v>29</v>
      </c>
      <c r="B36" s="257" t="s">
        <v>1210</v>
      </c>
      <c r="C36" s="276">
        <v>44469</v>
      </c>
      <c r="D36" s="257" t="s">
        <v>1275</v>
      </c>
      <c r="E36" s="256" t="s">
        <v>1808</v>
      </c>
      <c r="F36" s="256" t="s">
        <v>1734</v>
      </c>
      <c r="G36" s="258">
        <v>18946000000</v>
      </c>
      <c r="H36" s="265">
        <v>0.1</v>
      </c>
      <c r="I36" s="258">
        <v>1894600000</v>
      </c>
      <c r="J36" s="258">
        <v>20840600000</v>
      </c>
      <c r="K36" s="256" t="s">
        <v>1346</v>
      </c>
    </row>
    <row r="37" spans="1:11" x14ac:dyDescent="0.3">
      <c r="A37" s="256">
        <v>30</v>
      </c>
      <c r="B37" s="257" t="s">
        <v>1504</v>
      </c>
      <c r="C37" s="276">
        <v>44530</v>
      </c>
      <c r="D37" s="257" t="s">
        <v>1288</v>
      </c>
      <c r="E37" s="256" t="s">
        <v>1797</v>
      </c>
      <c r="F37" s="256" t="s">
        <v>1741</v>
      </c>
      <c r="G37" s="258">
        <v>9562000000</v>
      </c>
      <c r="H37" s="265">
        <v>0.1</v>
      </c>
      <c r="I37" s="258">
        <v>956200000</v>
      </c>
      <c r="J37" s="258">
        <v>10518200000</v>
      </c>
      <c r="K37" s="256" t="s">
        <v>1346</v>
      </c>
    </row>
    <row r="38" spans="1:11" x14ac:dyDescent="0.3">
      <c r="A38" s="256">
        <v>31</v>
      </c>
      <c r="B38" s="257" t="s">
        <v>1210</v>
      </c>
      <c r="C38" s="276">
        <v>44286</v>
      </c>
      <c r="D38" s="257" t="s">
        <v>1288</v>
      </c>
      <c r="E38" s="256" t="s">
        <v>1797</v>
      </c>
      <c r="F38" s="256" t="s">
        <v>1891</v>
      </c>
      <c r="G38" s="258">
        <v>10877000000</v>
      </c>
      <c r="H38" s="265">
        <v>0.1</v>
      </c>
      <c r="I38" s="258">
        <v>1087700000</v>
      </c>
      <c r="J38" s="258">
        <v>11964700000</v>
      </c>
      <c r="K38" s="256" t="s">
        <v>1346</v>
      </c>
    </row>
    <row r="39" spans="1:11" x14ac:dyDescent="0.3">
      <c r="A39" s="256">
        <v>32</v>
      </c>
      <c r="B39" s="257" t="s">
        <v>1462</v>
      </c>
      <c r="C39" s="276">
        <v>44347</v>
      </c>
      <c r="D39" s="257" t="s">
        <v>1267</v>
      </c>
      <c r="E39" s="256" t="s">
        <v>1810</v>
      </c>
      <c r="F39" s="256" t="s">
        <v>1734</v>
      </c>
      <c r="G39" s="258">
        <v>18180000000</v>
      </c>
      <c r="H39" s="265">
        <v>0.1</v>
      </c>
      <c r="I39" s="258">
        <v>1818000000</v>
      </c>
      <c r="J39" s="258">
        <v>19998000000</v>
      </c>
      <c r="K39" s="256" t="s">
        <v>1348</v>
      </c>
    </row>
    <row r="40" spans="1:11" x14ac:dyDescent="0.3">
      <c r="A40" s="256">
        <v>33</v>
      </c>
      <c r="B40" s="257" t="s">
        <v>1459</v>
      </c>
      <c r="C40" s="276">
        <v>44408</v>
      </c>
      <c r="D40" s="257" t="s">
        <v>1292</v>
      </c>
      <c r="E40" s="256" t="s">
        <v>1792</v>
      </c>
      <c r="F40" s="256" t="s">
        <v>1889</v>
      </c>
      <c r="G40" s="258">
        <v>11225000000</v>
      </c>
      <c r="H40" s="265">
        <v>0.1</v>
      </c>
      <c r="I40" s="258">
        <v>1122500000</v>
      </c>
      <c r="J40" s="258">
        <v>12347500000</v>
      </c>
      <c r="K40" s="256" t="s">
        <v>1346</v>
      </c>
    </row>
    <row r="41" spans="1:11" x14ac:dyDescent="0.3">
      <c r="A41" s="256">
        <v>34</v>
      </c>
      <c r="B41" s="257" t="s">
        <v>1414</v>
      </c>
      <c r="C41" s="276">
        <v>44439</v>
      </c>
      <c r="D41" s="257" t="s">
        <v>1261</v>
      </c>
      <c r="E41" s="256" t="s">
        <v>1813</v>
      </c>
      <c r="F41" s="256" t="s">
        <v>1741</v>
      </c>
      <c r="G41" s="258">
        <v>16450000000</v>
      </c>
      <c r="H41" s="265">
        <v>0.1</v>
      </c>
      <c r="I41" s="258">
        <v>1645000000</v>
      </c>
      <c r="J41" s="258">
        <v>18095000000</v>
      </c>
      <c r="K41" s="256" t="s">
        <v>1346</v>
      </c>
    </row>
    <row r="42" spans="1:11" x14ac:dyDescent="0.3">
      <c r="A42" s="256">
        <v>35</v>
      </c>
      <c r="B42" s="257" t="s">
        <v>1211</v>
      </c>
      <c r="C42" s="276">
        <v>44500</v>
      </c>
      <c r="D42" s="257" t="s">
        <v>1275</v>
      </c>
      <c r="E42" s="256" t="s">
        <v>1808</v>
      </c>
      <c r="F42" s="256" t="s">
        <v>1888</v>
      </c>
      <c r="G42" s="258">
        <v>17818000000</v>
      </c>
      <c r="H42" s="265">
        <v>0.1</v>
      </c>
      <c r="I42" s="258">
        <v>1781800000</v>
      </c>
      <c r="J42" s="258">
        <v>19599800000</v>
      </c>
      <c r="K42" s="256" t="s">
        <v>1348</v>
      </c>
    </row>
    <row r="43" spans="1:11" x14ac:dyDescent="0.3">
      <c r="A43" s="256">
        <v>36</v>
      </c>
      <c r="B43" s="257" t="s">
        <v>1457</v>
      </c>
      <c r="C43" s="276">
        <v>44561</v>
      </c>
      <c r="D43" s="257" t="s">
        <v>1298</v>
      </c>
      <c r="E43" s="256" t="s">
        <v>1819</v>
      </c>
      <c r="F43" s="256" t="s">
        <v>1889</v>
      </c>
      <c r="G43" s="258">
        <v>9683000000</v>
      </c>
      <c r="H43" s="265">
        <v>0.1</v>
      </c>
      <c r="I43" s="258">
        <v>968300000</v>
      </c>
      <c r="J43" s="258">
        <v>10651300000</v>
      </c>
      <c r="K43" s="256" t="s">
        <v>1346</v>
      </c>
    </row>
    <row r="44" spans="1:11" x14ac:dyDescent="0.3">
      <c r="A44" s="256">
        <v>37</v>
      </c>
      <c r="B44" s="257" t="s">
        <v>1207</v>
      </c>
      <c r="C44" s="276">
        <v>44561</v>
      </c>
      <c r="D44" s="257" t="s">
        <v>1296</v>
      </c>
      <c r="E44" s="256" t="s">
        <v>1807</v>
      </c>
      <c r="F44" s="256" t="s">
        <v>1888</v>
      </c>
      <c r="G44" s="258">
        <v>16836000000</v>
      </c>
      <c r="H44" s="265">
        <v>0.1</v>
      </c>
      <c r="I44" s="258">
        <v>1683600000</v>
      </c>
      <c r="J44" s="258">
        <v>18519600000</v>
      </c>
      <c r="K44" s="256" t="s">
        <v>1346</v>
      </c>
    </row>
    <row r="45" spans="1:11" x14ac:dyDescent="0.3">
      <c r="A45" s="256">
        <v>38</v>
      </c>
      <c r="B45" s="257" t="s">
        <v>1495</v>
      </c>
      <c r="C45" s="276">
        <v>44561</v>
      </c>
      <c r="D45" s="257" t="s">
        <v>1256</v>
      </c>
      <c r="E45" s="256" t="s">
        <v>1802</v>
      </c>
      <c r="F45" s="256" t="s">
        <v>1741</v>
      </c>
      <c r="G45" s="258">
        <v>9229000000</v>
      </c>
      <c r="H45" s="265">
        <v>0.1</v>
      </c>
      <c r="I45" s="258">
        <v>922900000</v>
      </c>
      <c r="J45" s="258">
        <v>10151900000</v>
      </c>
      <c r="K45" s="256" t="s">
        <v>1346</v>
      </c>
    </row>
    <row r="46" spans="1:11" x14ac:dyDescent="0.3">
      <c r="A46" s="256">
        <v>39</v>
      </c>
      <c r="B46" s="257" t="s">
        <v>1212</v>
      </c>
      <c r="C46" s="276">
        <v>44561</v>
      </c>
      <c r="D46" s="257" t="s">
        <v>1274</v>
      </c>
      <c r="E46" s="256" t="s">
        <v>1794</v>
      </c>
      <c r="F46" s="256" t="s">
        <v>1741</v>
      </c>
      <c r="G46" s="258">
        <v>14456000000</v>
      </c>
      <c r="H46" s="265">
        <v>0.1</v>
      </c>
      <c r="I46" s="258">
        <v>1445600000</v>
      </c>
      <c r="J46" s="258">
        <v>15901600000</v>
      </c>
      <c r="K46" s="256" t="s">
        <v>1346</v>
      </c>
    </row>
    <row r="47" spans="1:11" x14ac:dyDescent="0.3">
      <c r="A47" s="256">
        <v>40</v>
      </c>
      <c r="B47" s="257" t="s">
        <v>1496</v>
      </c>
      <c r="C47" s="276">
        <v>44561</v>
      </c>
      <c r="D47" s="257" t="s">
        <v>1256</v>
      </c>
      <c r="E47" s="256" t="s">
        <v>1802</v>
      </c>
      <c r="F47" s="256" t="s">
        <v>1741</v>
      </c>
      <c r="G47" s="258">
        <v>7710000000</v>
      </c>
      <c r="H47" s="265">
        <v>0.1</v>
      </c>
      <c r="I47" s="258">
        <v>771000000</v>
      </c>
      <c r="J47" s="258">
        <v>8481000000</v>
      </c>
      <c r="K47" s="256" t="s">
        <v>1346</v>
      </c>
    </row>
    <row r="48" spans="1:11" x14ac:dyDescent="0.3">
      <c r="A48" s="256">
        <v>41</v>
      </c>
      <c r="B48" s="257" t="s">
        <v>1519</v>
      </c>
      <c r="C48" s="276">
        <v>44561</v>
      </c>
      <c r="D48" s="257" t="s">
        <v>1284</v>
      </c>
      <c r="E48" s="256" t="s">
        <v>1786</v>
      </c>
      <c r="F48" s="256" t="s">
        <v>1734</v>
      </c>
      <c r="G48" s="258">
        <v>14431000000</v>
      </c>
      <c r="H48" s="265">
        <v>0.1</v>
      </c>
      <c r="I48" s="258">
        <v>1443100000</v>
      </c>
      <c r="J48" s="258">
        <v>15874100000</v>
      </c>
      <c r="K48" s="256" t="s">
        <v>1348</v>
      </c>
    </row>
    <row r="49" spans="1:11" x14ac:dyDescent="0.3">
      <c r="A49" s="256">
        <v>42</v>
      </c>
      <c r="B49" s="257" t="s">
        <v>1460</v>
      </c>
      <c r="C49" s="276">
        <v>44561</v>
      </c>
      <c r="D49" s="257" t="s">
        <v>1297</v>
      </c>
      <c r="E49" s="256" t="s">
        <v>1820</v>
      </c>
      <c r="F49" s="256" t="s">
        <v>1888</v>
      </c>
      <c r="G49" s="258">
        <v>7795000000</v>
      </c>
      <c r="H49" s="265">
        <v>0.1</v>
      </c>
      <c r="I49" s="258">
        <v>779500000</v>
      </c>
      <c r="J49" s="258">
        <v>8574500000</v>
      </c>
      <c r="K49" s="256" t="s">
        <v>1346</v>
      </c>
    </row>
    <row r="50" spans="1:11" x14ac:dyDescent="0.3">
      <c r="A50" s="256">
        <v>43</v>
      </c>
      <c r="B50" s="257" t="s">
        <v>1499</v>
      </c>
      <c r="C50" s="276">
        <v>44561</v>
      </c>
      <c r="D50" s="257" t="s">
        <v>1282</v>
      </c>
      <c r="E50" s="256" t="s">
        <v>1789</v>
      </c>
      <c r="F50" s="256" t="s">
        <v>1888</v>
      </c>
      <c r="G50" s="258">
        <v>14097000000</v>
      </c>
      <c r="H50" s="265">
        <v>0.1</v>
      </c>
      <c r="I50" s="258">
        <v>1409700000</v>
      </c>
      <c r="J50" s="258">
        <v>15506700000</v>
      </c>
      <c r="K50" s="256" t="s">
        <v>1346</v>
      </c>
    </row>
    <row r="51" spans="1:11" x14ac:dyDescent="0.3">
      <c r="A51" s="256">
        <v>44</v>
      </c>
      <c r="B51" s="257" t="s">
        <v>1505</v>
      </c>
      <c r="C51" s="276">
        <v>44561</v>
      </c>
      <c r="D51" s="257" t="s">
        <v>1272</v>
      </c>
      <c r="E51" s="256" t="s">
        <v>1805</v>
      </c>
      <c r="F51" s="256" t="s">
        <v>1890</v>
      </c>
      <c r="G51" s="258">
        <v>14340000000</v>
      </c>
      <c r="H51" s="265">
        <v>0.1</v>
      </c>
      <c r="I51" s="258">
        <v>1434000000</v>
      </c>
      <c r="J51" s="258">
        <v>15774000000</v>
      </c>
      <c r="K51" s="256" t="s">
        <v>1346</v>
      </c>
    </row>
    <row r="52" spans="1:11" x14ac:dyDescent="0.3">
      <c r="A52" s="256">
        <v>45</v>
      </c>
      <c r="B52" s="257" t="s">
        <v>1493</v>
      </c>
      <c r="C52" s="276">
        <v>44561</v>
      </c>
      <c r="D52" s="257" t="s">
        <v>1279</v>
      </c>
      <c r="E52" s="256" t="s">
        <v>1827</v>
      </c>
      <c r="F52" s="256" t="s">
        <v>1741</v>
      </c>
      <c r="G52" s="258">
        <v>17486000000</v>
      </c>
      <c r="H52" s="265">
        <v>0.1</v>
      </c>
      <c r="I52" s="258">
        <v>1748600000</v>
      </c>
      <c r="J52" s="258">
        <v>19234600000</v>
      </c>
      <c r="K52" s="256" t="s">
        <v>1346</v>
      </c>
    </row>
    <row r="53" spans="1:11" x14ac:dyDescent="0.3">
      <c r="A53" s="256">
        <v>46</v>
      </c>
      <c r="B53" s="257" t="s">
        <v>1213</v>
      </c>
      <c r="C53" s="276">
        <v>44561</v>
      </c>
      <c r="D53" s="257" t="s">
        <v>1260</v>
      </c>
      <c r="E53" s="256" t="s">
        <v>1804</v>
      </c>
      <c r="F53" s="256" t="s">
        <v>1891</v>
      </c>
      <c r="G53" s="258">
        <v>15262000000</v>
      </c>
      <c r="H53" s="265">
        <v>0.1</v>
      </c>
      <c r="I53" s="258">
        <v>1526200000</v>
      </c>
      <c r="J53" s="258">
        <v>16788200000</v>
      </c>
      <c r="K53" s="256" t="s">
        <v>1346</v>
      </c>
    </row>
    <row r="54" spans="1:11" x14ac:dyDescent="0.3">
      <c r="A54" s="256">
        <v>47</v>
      </c>
      <c r="B54" s="257" t="s">
        <v>1460</v>
      </c>
      <c r="C54" s="276">
        <v>44561</v>
      </c>
      <c r="D54" s="257" t="s">
        <v>1292</v>
      </c>
      <c r="E54" s="256" t="s">
        <v>1792</v>
      </c>
      <c r="F54" s="256" t="s">
        <v>1888</v>
      </c>
      <c r="G54" s="258">
        <v>17255000000</v>
      </c>
      <c r="H54" s="265">
        <v>0.1</v>
      </c>
      <c r="I54" s="258">
        <v>1725500000</v>
      </c>
      <c r="J54" s="258">
        <v>18980500000</v>
      </c>
      <c r="K54" s="256" t="s">
        <v>1346</v>
      </c>
    </row>
    <row r="55" spans="1:11" x14ac:dyDescent="0.3">
      <c r="A55" s="256">
        <v>48</v>
      </c>
      <c r="B55" s="257" t="s">
        <v>1506</v>
      </c>
      <c r="C55" s="276">
        <v>44561</v>
      </c>
      <c r="D55" s="257" t="s">
        <v>1272</v>
      </c>
      <c r="E55" s="256" t="s">
        <v>1805</v>
      </c>
      <c r="F55" s="256" t="s">
        <v>1734</v>
      </c>
      <c r="G55" s="258">
        <v>13190000000</v>
      </c>
      <c r="H55" s="265">
        <v>0.1</v>
      </c>
      <c r="I55" s="258">
        <v>1319000000</v>
      </c>
      <c r="J55" s="258">
        <v>14509000000</v>
      </c>
      <c r="K55" s="256" t="s">
        <v>1346</v>
      </c>
    </row>
    <row r="56" spans="1:11" x14ac:dyDescent="0.3">
      <c r="A56" s="256">
        <v>49</v>
      </c>
      <c r="B56" s="257" t="s">
        <v>1501</v>
      </c>
      <c r="C56" s="276">
        <v>44561</v>
      </c>
      <c r="D56" s="257" t="s">
        <v>1273</v>
      </c>
      <c r="E56" s="256" t="s">
        <v>1829</v>
      </c>
      <c r="F56" s="256" t="s">
        <v>1889</v>
      </c>
      <c r="G56" s="258">
        <v>13938000000</v>
      </c>
      <c r="H56" s="265">
        <v>0.1</v>
      </c>
      <c r="I56" s="258">
        <v>1393800000</v>
      </c>
      <c r="J56" s="258">
        <v>15331800000</v>
      </c>
      <c r="K56" s="256" t="s">
        <v>1346</v>
      </c>
    </row>
    <row r="57" spans="1:11" x14ac:dyDescent="0.3">
      <c r="A57" s="256">
        <v>50</v>
      </c>
      <c r="B57" s="257" t="s">
        <v>1494</v>
      </c>
      <c r="C57" s="276">
        <v>44561</v>
      </c>
      <c r="D57" s="257" t="s">
        <v>1279</v>
      </c>
      <c r="E57" s="256" t="s">
        <v>1827</v>
      </c>
      <c r="F57" s="256" t="s">
        <v>1888</v>
      </c>
      <c r="G57" s="258">
        <v>14083000000</v>
      </c>
      <c r="H57" s="265">
        <v>0.1</v>
      </c>
      <c r="I57" s="258">
        <v>1408300000</v>
      </c>
      <c r="J57" s="258">
        <v>15491300000</v>
      </c>
      <c r="K57" s="256" t="s">
        <v>1346</v>
      </c>
    </row>
    <row r="58" spans="1:11" x14ac:dyDescent="0.3">
      <c r="A58" s="266" t="s">
        <v>1351</v>
      </c>
      <c r="B58" s="266"/>
      <c r="C58" s="266"/>
      <c r="D58" s="266"/>
      <c r="E58" s="266"/>
      <c r="F58" s="266"/>
      <c r="G58" s="267">
        <f>SUM(G8:G57)</f>
        <v>643350000000</v>
      </c>
      <c r="H58" s="266"/>
      <c r="I58" s="267">
        <f>SUM(I8:I57)</f>
        <v>61976300000</v>
      </c>
      <c r="J58" s="267">
        <f>SUM(J8:J57)</f>
        <v>705326300000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1892</v>
      </c>
      <c r="G62" s="258">
        <v>22952000000</v>
      </c>
      <c r="H62" s="265">
        <v>0</v>
      </c>
      <c r="I62" s="258">
        <v>0</v>
      </c>
      <c r="J62" s="258">
        <v>22952000000</v>
      </c>
      <c r="K62" s="256" t="s">
        <v>1346</v>
      </c>
    </row>
    <row r="63" spans="1:11" x14ac:dyDescent="0.3">
      <c r="A63" s="256">
        <v>2</v>
      </c>
      <c r="B63" s="257" t="s">
        <v>1201</v>
      </c>
      <c r="C63" s="276">
        <v>44318</v>
      </c>
      <c r="D63" s="257" t="s">
        <v>1277</v>
      </c>
      <c r="E63" s="256" t="s">
        <v>1783</v>
      </c>
      <c r="F63" s="256" t="s">
        <v>1892</v>
      </c>
      <c r="G63" s="258">
        <v>23466000000</v>
      </c>
      <c r="H63" s="265">
        <v>0.1</v>
      </c>
      <c r="I63" s="258">
        <v>2346600000</v>
      </c>
      <c r="J63" s="258">
        <v>25812600000</v>
      </c>
      <c r="K63" s="256" t="s">
        <v>1346</v>
      </c>
    </row>
    <row r="64" spans="1:11" x14ac:dyDescent="0.3">
      <c r="A64" s="256">
        <v>3</v>
      </c>
      <c r="B64" s="257" t="s">
        <v>1202</v>
      </c>
      <c r="C64" s="276">
        <v>44472</v>
      </c>
      <c r="D64" s="257" t="s">
        <v>1276</v>
      </c>
      <c r="E64" s="256" t="s">
        <v>1822</v>
      </c>
      <c r="F64" s="256" t="s">
        <v>1893</v>
      </c>
      <c r="G64" s="258">
        <v>20132000000</v>
      </c>
      <c r="H64" s="265">
        <v>0.1</v>
      </c>
      <c r="I64" s="258">
        <v>2013200000</v>
      </c>
      <c r="J64" s="258">
        <v>22145200000</v>
      </c>
      <c r="K64" s="256" t="s">
        <v>1346</v>
      </c>
    </row>
    <row r="65" spans="1:11" x14ac:dyDescent="0.3">
      <c r="A65" s="256">
        <v>4</v>
      </c>
      <c r="B65" s="257" t="s">
        <v>1355</v>
      </c>
      <c r="C65" s="276">
        <v>44473</v>
      </c>
      <c r="D65" s="257" t="s">
        <v>1269</v>
      </c>
      <c r="E65" s="256" t="s">
        <v>1823</v>
      </c>
      <c r="F65" s="256" t="s">
        <v>1893</v>
      </c>
      <c r="G65" s="258">
        <v>21966000000</v>
      </c>
      <c r="H65" s="265">
        <v>0.1</v>
      </c>
      <c r="I65" s="258">
        <v>2196600000</v>
      </c>
      <c r="J65" s="258">
        <v>24162600000</v>
      </c>
      <c r="K65" s="256" t="s">
        <v>1346</v>
      </c>
    </row>
    <row r="66" spans="1:11" x14ac:dyDescent="0.3">
      <c r="A66" s="256">
        <v>5</v>
      </c>
      <c r="B66" s="257" t="s">
        <v>1356</v>
      </c>
      <c r="C66" s="276">
        <v>44474</v>
      </c>
      <c r="D66" s="257" t="s">
        <v>1274</v>
      </c>
      <c r="E66" s="256" t="s">
        <v>1794</v>
      </c>
      <c r="F66" s="256" t="s">
        <v>1892</v>
      </c>
      <c r="G66" s="258">
        <v>11793000000</v>
      </c>
      <c r="H66" s="265">
        <v>0.1</v>
      </c>
      <c r="I66" s="258">
        <v>1179300000</v>
      </c>
      <c r="J66" s="258">
        <v>12972300000</v>
      </c>
      <c r="K66" s="256" t="s">
        <v>1346</v>
      </c>
    </row>
    <row r="67" spans="1:11" x14ac:dyDescent="0.3">
      <c r="A67" s="256">
        <v>6</v>
      </c>
      <c r="B67" s="257" t="s">
        <v>1358</v>
      </c>
      <c r="C67" s="276">
        <v>44475</v>
      </c>
      <c r="D67" s="257" t="s">
        <v>1267</v>
      </c>
      <c r="E67" s="256" t="s">
        <v>1810</v>
      </c>
      <c r="F67" s="256" t="s">
        <v>1676</v>
      </c>
      <c r="G67" s="258">
        <v>23099000000</v>
      </c>
      <c r="H67" s="265">
        <v>0.1</v>
      </c>
      <c r="I67" s="258">
        <v>2309900000</v>
      </c>
      <c r="J67" s="258">
        <v>25408900000</v>
      </c>
      <c r="K67" s="256" t="s">
        <v>1346</v>
      </c>
    </row>
    <row r="68" spans="1:11" x14ac:dyDescent="0.3">
      <c r="A68" s="256">
        <v>7</v>
      </c>
      <c r="B68" s="257" t="s">
        <v>1360</v>
      </c>
      <c r="C68" s="276">
        <v>44476</v>
      </c>
      <c r="D68" s="257" t="s">
        <v>1292</v>
      </c>
      <c r="E68" s="256" t="s">
        <v>1792</v>
      </c>
      <c r="F68" s="256" t="s">
        <v>1676</v>
      </c>
      <c r="G68" s="258">
        <v>19228000000</v>
      </c>
      <c r="H68" s="265">
        <v>0.1</v>
      </c>
      <c r="I68" s="258">
        <v>1922800000</v>
      </c>
      <c r="J68" s="258">
        <v>21150800000</v>
      </c>
      <c r="K68" s="256" t="s">
        <v>1346</v>
      </c>
    </row>
    <row r="69" spans="1:11" x14ac:dyDescent="0.3">
      <c r="A69" s="256">
        <v>8</v>
      </c>
      <c r="B69" s="257" t="s">
        <v>1362</v>
      </c>
      <c r="C69" s="276">
        <v>44477</v>
      </c>
      <c r="D69" s="257" t="s">
        <v>1287</v>
      </c>
      <c r="E69" s="256" t="s">
        <v>1801</v>
      </c>
      <c r="F69" s="256" t="s">
        <v>1892</v>
      </c>
      <c r="G69" s="258">
        <v>26145000000</v>
      </c>
      <c r="H69" s="265">
        <v>0.1</v>
      </c>
      <c r="I69" s="258">
        <v>2614500000</v>
      </c>
      <c r="J69" s="258">
        <v>28759500000</v>
      </c>
      <c r="K69" s="256" t="s">
        <v>1346</v>
      </c>
    </row>
    <row r="70" spans="1:11" x14ac:dyDescent="0.3">
      <c r="A70" s="256">
        <v>9</v>
      </c>
      <c r="B70" s="257" t="s">
        <v>1364</v>
      </c>
      <c r="C70" s="276">
        <v>44478</v>
      </c>
      <c r="D70" s="257" t="s">
        <v>1260</v>
      </c>
      <c r="E70" s="256" t="s">
        <v>1804</v>
      </c>
      <c r="F70" s="256" t="s">
        <v>1676</v>
      </c>
      <c r="G70" s="258">
        <v>25474000000</v>
      </c>
      <c r="H70" s="265">
        <v>0</v>
      </c>
      <c r="I70" s="258">
        <v>0</v>
      </c>
      <c r="J70" s="258">
        <v>25474000000</v>
      </c>
      <c r="K70" s="256" t="s">
        <v>1346</v>
      </c>
    </row>
    <row r="71" spans="1:11" x14ac:dyDescent="0.3">
      <c r="A71" s="256">
        <v>10</v>
      </c>
      <c r="B71" s="257" t="s">
        <v>1366</v>
      </c>
      <c r="C71" s="276">
        <v>44479</v>
      </c>
      <c r="D71" s="257" t="s">
        <v>1287</v>
      </c>
      <c r="E71" s="256" t="s">
        <v>1801</v>
      </c>
      <c r="F71" s="256" t="s">
        <v>1676</v>
      </c>
      <c r="G71" s="258">
        <v>10182000000</v>
      </c>
      <c r="H71" s="265">
        <v>0.1</v>
      </c>
      <c r="I71" s="258">
        <v>1018200000</v>
      </c>
      <c r="J71" s="258">
        <v>11200200000</v>
      </c>
      <c r="K71" s="256" t="s">
        <v>1348</v>
      </c>
    </row>
    <row r="72" spans="1:11" x14ac:dyDescent="0.3">
      <c r="A72" s="256">
        <v>11</v>
      </c>
      <c r="B72" s="257" t="s">
        <v>1368</v>
      </c>
      <c r="C72" s="276">
        <v>44480</v>
      </c>
      <c r="D72" s="257" t="s">
        <v>1267</v>
      </c>
      <c r="E72" s="256" t="s">
        <v>1810</v>
      </c>
      <c r="F72" s="256" t="s">
        <v>1676</v>
      </c>
      <c r="G72" s="258">
        <v>21660000000</v>
      </c>
      <c r="H72" s="265">
        <v>0.1</v>
      </c>
      <c r="I72" s="258">
        <v>2166000000</v>
      </c>
      <c r="J72" s="258">
        <v>23826000000</v>
      </c>
      <c r="K72" s="256" t="s">
        <v>1346</v>
      </c>
    </row>
    <row r="73" spans="1:11" x14ac:dyDescent="0.3">
      <c r="A73" s="256">
        <v>12</v>
      </c>
      <c r="B73" s="257" t="s">
        <v>1371</v>
      </c>
      <c r="C73" s="276">
        <v>44481</v>
      </c>
      <c r="D73" s="257" t="s">
        <v>1275</v>
      </c>
      <c r="E73" s="256" t="s">
        <v>1808</v>
      </c>
      <c r="F73" s="256" t="s">
        <v>1892</v>
      </c>
      <c r="G73" s="258">
        <v>22890000000</v>
      </c>
      <c r="H73" s="265">
        <v>0.1</v>
      </c>
      <c r="I73" s="258">
        <v>2289000000</v>
      </c>
      <c r="J73" s="258">
        <v>25179000000</v>
      </c>
      <c r="K73" s="256" t="s">
        <v>1346</v>
      </c>
    </row>
    <row r="74" spans="1:11" x14ac:dyDescent="0.3">
      <c r="A74" s="256">
        <v>13</v>
      </c>
      <c r="B74" s="257" t="s">
        <v>1373</v>
      </c>
      <c r="C74" s="276">
        <v>44211</v>
      </c>
      <c r="D74" s="257" t="s">
        <v>1262</v>
      </c>
      <c r="E74" s="256" t="s">
        <v>1816</v>
      </c>
      <c r="F74" s="256" t="s">
        <v>1893</v>
      </c>
      <c r="G74" s="258">
        <v>9384000000</v>
      </c>
      <c r="H74" s="265">
        <v>0.1</v>
      </c>
      <c r="I74" s="258">
        <v>938400000</v>
      </c>
      <c r="J74" s="258">
        <v>10322400000</v>
      </c>
      <c r="K74" s="256" t="s">
        <v>1346</v>
      </c>
    </row>
    <row r="75" spans="1:11" x14ac:dyDescent="0.3">
      <c r="A75" s="256">
        <v>14</v>
      </c>
      <c r="B75" s="257" t="s">
        <v>1374</v>
      </c>
      <c r="C75" s="276">
        <v>44242</v>
      </c>
      <c r="D75" s="257" t="s">
        <v>1274</v>
      </c>
      <c r="E75" s="256" t="s">
        <v>1794</v>
      </c>
      <c r="F75" s="256" t="s">
        <v>1676</v>
      </c>
      <c r="G75" s="258">
        <v>24149000000</v>
      </c>
      <c r="H75" s="265">
        <v>0.1</v>
      </c>
      <c r="I75" s="258">
        <v>2414900000</v>
      </c>
      <c r="J75" s="258">
        <v>26563900000</v>
      </c>
      <c r="K75" s="256" t="s">
        <v>1346</v>
      </c>
    </row>
    <row r="76" spans="1:11" x14ac:dyDescent="0.3">
      <c r="A76" s="256">
        <v>15</v>
      </c>
      <c r="B76" s="257" t="s">
        <v>1376</v>
      </c>
      <c r="C76" s="276">
        <v>44275</v>
      </c>
      <c r="D76" s="257" t="s">
        <v>1274</v>
      </c>
      <c r="E76" s="256" t="s">
        <v>1794</v>
      </c>
      <c r="F76" s="256" t="s">
        <v>1892</v>
      </c>
      <c r="G76" s="258">
        <v>18481000000</v>
      </c>
      <c r="H76" s="265">
        <v>0.1</v>
      </c>
      <c r="I76" s="258">
        <v>1848100000</v>
      </c>
      <c r="J76" s="258">
        <v>20329100000</v>
      </c>
      <c r="K76" s="256" t="s">
        <v>1346</v>
      </c>
    </row>
    <row r="77" spans="1:11" x14ac:dyDescent="0.3">
      <c r="A77" s="256">
        <v>16</v>
      </c>
      <c r="B77" s="257" t="s">
        <v>1378</v>
      </c>
      <c r="C77" s="276">
        <v>44306</v>
      </c>
      <c r="D77" s="257" t="s">
        <v>1286</v>
      </c>
      <c r="E77" s="256" t="s">
        <v>1828</v>
      </c>
      <c r="F77" s="256" t="s">
        <v>1676</v>
      </c>
      <c r="G77" s="258">
        <v>21333000000</v>
      </c>
      <c r="H77" s="265">
        <v>0.1</v>
      </c>
      <c r="I77" s="258">
        <v>2133300000</v>
      </c>
      <c r="J77" s="258">
        <v>23466300000</v>
      </c>
      <c r="K77" s="256" t="s">
        <v>1346</v>
      </c>
    </row>
    <row r="78" spans="1:11" x14ac:dyDescent="0.3">
      <c r="A78" s="256">
        <v>17</v>
      </c>
      <c r="B78" s="257" t="s">
        <v>1379</v>
      </c>
      <c r="C78" s="276">
        <v>44336</v>
      </c>
      <c r="D78" s="257" t="s">
        <v>1264</v>
      </c>
      <c r="E78" s="256" t="s">
        <v>1779</v>
      </c>
      <c r="F78" s="256" t="s">
        <v>1676</v>
      </c>
      <c r="G78" s="258">
        <v>12357000000</v>
      </c>
      <c r="H78" s="265">
        <v>0.1</v>
      </c>
      <c r="I78" s="258">
        <v>1235700000</v>
      </c>
      <c r="J78" s="258">
        <v>13592700000</v>
      </c>
      <c r="K78" s="256" t="s">
        <v>1346</v>
      </c>
    </row>
    <row r="79" spans="1:11" x14ac:dyDescent="0.3">
      <c r="A79" s="256">
        <v>18</v>
      </c>
      <c r="B79" s="257" t="s">
        <v>1381</v>
      </c>
      <c r="C79" s="276">
        <v>44367</v>
      </c>
      <c r="D79" s="257" t="s">
        <v>1271</v>
      </c>
      <c r="E79" s="256" t="s">
        <v>1799</v>
      </c>
      <c r="F79" s="256" t="s">
        <v>1893</v>
      </c>
      <c r="G79" s="258">
        <v>8415000000</v>
      </c>
      <c r="H79" s="265">
        <v>0.1</v>
      </c>
      <c r="I79" s="258">
        <v>841500000</v>
      </c>
      <c r="J79" s="258">
        <v>9256500000</v>
      </c>
      <c r="K79" s="256" t="s">
        <v>1346</v>
      </c>
    </row>
    <row r="80" spans="1:11" x14ac:dyDescent="0.3">
      <c r="A80" s="256">
        <v>19</v>
      </c>
      <c r="B80" s="257" t="s">
        <v>1382</v>
      </c>
      <c r="C80" s="276">
        <v>44397</v>
      </c>
      <c r="D80" s="257" t="s">
        <v>1278</v>
      </c>
      <c r="E80" s="256" t="s">
        <v>1785</v>
      </c>
      <c r="F80" s="256" t="s">
        <v>1892</v>
      </c>
      <c r="G80" s="258">
        <v>16297000000</v>
      </c>
      <c r="H80" s="265">
        <v>0.1</v>
      </c>
      <c r="I80" s="258">
        <v>1629700000</v>
      </c>
      <c r="J80" s="258">
        <v>17926700000</v>
      </c>
      <c r="K80" s="256" t="s">
        <v>1346</v>
      </c>
    </row>
    <row r="81" spans="1:11" x14ac:dyDescent="0.3">
      <c r="A81" s="256">
        <v>20</v>
      </c>
      <c r="B81" s="257" t="s">
        <v>1383</v>
      </c>
      <c r="C81" s="276">
        <v>44428</v>
      </c>
      <c r="D81" s="257" t="s">
        <v>1255</v>
      </c>
      <c r="E81" s="273">
        <v>46152</v>
      </c>
      <c r="F81" s="256" t="s">
        <v>1893</v>
      </c>
      <c r="G81" s="258">
        <v>13810000000</v>
      </c>
      <c r="H81" s="265">
        <v>0.1</v>
      </c>
      <c r="I81" s="258">
        <v>1381000000</v>
      </c>
      <c r="J81" s="258">
        <v>15191000000</v>
      </c>
      <c r="K81" s="256" t="s">
        <v>1346</v>
      </c>
    </row>
    <row r="82" spans="1:11" x14ac:dyDescent="0.3">
      <c r="A82" s="256">
        <v>21</v>
      </c>
      <c r="B82" s="257" t="s">
        <v>1203</v>
      </c>
      <c r="C82" s="276">
        <v>44459</v>
      </c>
      <c r="D82" s="257" t="s">
        <v>1295</v>
      </c>
      <c r="E82" s="256" t="s">
        <v>1825</v>
      </c>
      <c r="F82" s="256" t="s">
        <v>1892</v>
      </c>
      <c r="G82" s="258">
        <v>11807000000</v>
      </c>
      <c r="H82" s="265">
        <v>0.1</v>
      </c>
      <c r="I82" s="258">
        <v>1180700000</v>
      </c>
      <c r="J82" s="258">
        <v>12987700000</v>
      </c>
      <c r="K82" s="256" t="s">
        <v>1346</v>
      </c>
    </row>
    <row r="83" spans="1:11" x14ac:dyDescent="0.3">
      <c r="A83" s="256">
        <v>22</v>
      </c>
      <c r="B83" s="257" t="s">
        <v>1204</v>
      </c>
      <c r="C83" s="276">
        <v>44489</v>
      </c>
      <c r="D83" s="257" t="s">
        <v>1283</v>
      </c>
      <c r="E83" s="256" t="s">
        <v>1798</v>
      </c>
      <c r="F83" s="256" t="s">
        <v>1676</v>
      </c>
      <c r="G83" s="258">
        <v>17489000000</v>
      </c>
      <c r="H83" s="265">
        <v>0.1</v>
      </c>
      <c r="I83" s="258">
        <v>1748900000</v>
      </c>
      <c r="J83" s="258">
        <v>19237900000</v>
      </c>
      <c r="K83" s="256" t="s">
        <v>1346</v>
      </c>
    </row>
    <row r="84" spans="1:11" x14ac:dyDescent="0.3">
      <c r="A84" s="256">
        <v>23</v>
      </c>
      <c r="B84" s="257" t="s">
        <v>1205</v>
      </c>
      <c r="C84" s="276">
        <v>44520</v>
      </c>
      <c r="D84" s="257" t="s">
        <v>1265</v>
      </c>
      <c r="E84" s="256" t="s">
        <v>1830</v>
      </c>
      <c r="F84" s="256" t="s">
        <v>1676</v>
      </c>
      <c r="G84" s="258">
        <v>9993000000</v>
      </c>
      <c r="H84" s="265">
        <v>0.1</v>
      </c>
      <c r="I84" s="258">
        <v>999300000</v>
      </c>
      <c r="J84" s="258">
        <v>10992300000</v>
      </c>
      <c r="K84" s="256" t="s">
        <v>1346</v>
      </c>
    </row>
    <row r="85" spans="1:11" x14ac:dyDescent="0.3">
      <c r="A85" s="256">
        <v>24</v>
      </c>
      <c r="B85" s="257" t="s">
        <v>1385</v>
      </c>
      <c r="C85" s="276">
        <v>44550</v>
      </c>
      <c r="D85" s="257" t="s">
        <v>1259</v>
      </c>
      <c r="E85" s="256" t="s">
        <v>1788</v>
      </c>
      <c r="F85" s="256" t="s">
        <v>1893</v>
      </c>
      <c r="G85" s="258">
        <v>9431000000</v>
      </c>
      <c r="H85" s="265">
        <v>0.1</v>
      </c>
      <c r="I85" s="258">
        <v>943100000</v>
      </c>
      <c r="J85" s="258">
        <v>10374100000</v>
      </c>
      <c r="K85" s="256" t="s">
        <v>1346</v>
      </c>
    </row>
    <row r="86" spans="1:11" x14ac:dyDescent="0.3">
      <c r="A86" s="256">
        <v>25</v>
      </c>
      <c r="B86" s="257" t="s">
        <v>1387</v>
      </c>
      <c r="C86" s="276">
        <v>44221</v>
      </c>
      <c r="D86" s="257" t="s">
        <v>1276</v>
      </c>
      <c r="E86" s="256" t="s">
        <v>1822</v>
      </c>
      <c r="F86" s="256" t="s">
        <v>1676</v>
      </c>
      <c r="G86" s="258">
        <v>11340000000</v>
      </c>
      <c r="H86" s="265">
        <v>0.1</v>
      </c>
      <c r="I86" s="258">
        <v>1134000000</v>
      </c>
      <c r="J86" s="258">
        <v>12474000000</v>
      </c>
      <c r="K86" s="256" t="s">
        <v>1346</v>
      </c>
    </row>
    <row r="87" spans="1:11" x14ac:dyDescent="0.3">
      <c r="A87" s="256">
        <v>26</v>
      </c>
      <c r="B87" s="257" t="s">
        <v>1388</v>
      </c>
      <c r="C87" s="276">
        <v>44255</v>
      </c>
      <c r="D87" s="257" t="s">
        <v>1293</v>
      </c>
      <c r="E87" s="256" t="s">
        <v>1826</v>
      </c>
      <c r="F87" s="256" t="s">
        <v>1676</v>
      </c>
      <c r="G87" s="258">
        <v>20845000000</v>
      </c>
      <c r="H87" s="265">
        <v>0.1</v>
      </c>
      <c r="I87" s="258">
        <v>2084500000</v>
      </c>
      <c r="J87" s="258">
        <v>22929500000</v>
      </c>
      <c r="K87" s="256" t="s">
        <v>1346</v>
      </c>
    </row>
    <row r="88" spans="1:11" x14ac:dyDescent="0.3">
      <c r="A88" s="256">
        <v>27</v>
      </c>
      <c r="B88" s="257" t="s">
        <v>1391</v>
      </c>
      <c r="C88" s="276">
        <v>44316</v>
      </c>
      <c r="D88" s="257" t="s">
        <v>1286</v>
      </c>
      <c r="E88" s="256" t="s">
        <v>1828</v>
      </c>
      <c r="F88" s="256" t="s">
        <v>1893</v>
      </c>
      <c r="G88" s="258">
        <v>23265000000</v>
      </c>
      <c r="H88" s="265">
        <v>0.1</v>
      </c>
      <c r="I88" s="258">
        <v>2326500000</v>
      </c>
      <c r="J88" s="258">
        <v>25591500000</v>
      </c>
      <c r="K88" s="256" t="s">
        <v>1346</v>
      </c>
    </row>
    <row r="89" spans="1:11" x14ac:dyDescent="0.3">
      <c r="A89" s="256">
        <v>28</v>
      </c>
      <c r="B89" s="257" t="s">
        <v>1392</v>
      </c>
      <c r="C89" s="276">
        <v>44377</v>
      </c>
      <c r="D89" s="257" t="s">
        <v>1261</v>
      </c>
      <c r="E89" s="256" t="s">
        <v>1813</v>
      </c>
      <c r="F89" s="256" t="s">
        <v>1893</v>
      </c>
      <c r="G89" s="258">
        <v>12458000000</v>
      </c>
      <c r="H89" s="265">
        <v>0.1</v>
      </c>
      <c r="I89" s="258">
        <v>1245800000</v>
      </c>
      <c r="J89" s="258">
        <v>13703800000</v>
      </c>
      <c r="K89" s="256" t="s">
        <v>1346</v>
      </c>
    </row>
    <row r="90" spans="1:11" x14ac:dyDescent="0.3">
      <c r="A90" s="256">
        <v>29</v>
      </c>
      <c r="B90" s="257" t="s">
        <v>1394</v>
      </c>
      <c r="C90" s="276">
        <v>44469</v>
      </c>
      <c r="D90" s="257" t="s">
        <v>1274</v>
      </c>
      <c r="E90" s="256" t="s">
        <v>1794</v>
      </c>
      <c r="F90" s="256" t="s">
        <v>1892</v>
      </c>
      <c r="G90" s="258">
        <v>9999000000</v>
      </c>
      <c r="H90" s="265">
        <v>0.1</v>
      </c>
      <c r="I90" s="258">
        <v>999900000</v>
      </c>
      <c r="J90" s="258">
        <v>10998900000</v>
      </c>
      <c r="K90" s="256" t="s">
        <v>1346</v>
      </c>
    </row>
    <row r="91" spans="1:11" x14ac:dyDescent="0.3">
      <c r="A91" s="256">
        <v>30</v>
      </c>
      <c r="B91" s="257" t="s">
        <v>1396</v>
      </c>
      <c r="C91" s="276">
        <v>44530</v>
      </c>
      <c r="D91" s="257" t="s">
        <v>1264</v>
      </c>
      <c r="E91" s="256" t="s">
        <v>1779</v>
      </c>
      <c r="F91" s="256" t="s">
        <v>1892</v>
      </c>
      <c r="G91" s="258">
        <v>22297000000</v>
      </c>
      <c r="H91" s="265">
        <v>0.1</v>
      </c>
      <c r="I91" s="258">
        <v>2229700000</v>
      </c>
      <c r="J91" s="258">
        <v>24526700000</v>
      </c>
      <c r="K91" s="256" t="s">
        <v>1346</v>
      </c>
    </row>
    <row r="92" spans="1:11" x14ac:dyDescent="0.3">
      <c r="A92" s="256">
        <v>31</v>
      </c>
      <c r="B92" s="257" t="s">
        <v>1397</v>
      </c>
      <c r="C92" s="276">
        <v>44286</v>
      </c>
      <c r="D92" s="257" t="s">
        <v>1256</v>
      </c>
      <c r="E92" s="256" t="s">
        <v>1802</v>
      </c>
      <c r="F92" s="256" t="s">
        <v>1892</v>
      </c>
      <c r="G92" s="258">
        <v>19565000000</v>
      </c>
      <c r="H92" s="265">
        <v>0.1</v>
      </c>
      <c r="I92" s="258">
        <v>1956500000</v>
      </c>
      <c r="J92" s="258">
        <v>21521500000</v>
      </c>
      <c r="K92" s="256" t="s">
        <v>1346</v>
      </c>
    </row>
    <row r="93" spans="1:11" x14ac:dyDescent="0.3">
      <c r="A93" s="256">
        <v>32</v>
      </c>
      <c r="B93" s="257" t="s">
        <v>1398</v>
      </c>
      <c r="C93" s="276">
        <v>44347</v>
      </c>
      <c r="D93" s="257" t="s">
        <v>1277</v>
      </c>
      <c r="E93" s="256" t="s">
        <v>1783</v>
      </c>
      <c r="F93" s="256" t="s">
        <v>1676</v>
      </c>
      <c r="G93" s="258">
        <v>23999000000</v>
      </c>
      <c r="H93" s="265">
        <v>0.1</v>
      </c>
      <c r="I93" s="258">
        <v>2399900000</v>
      </c>
      <c r="J93" s="258">
        <v>26398900000</v>
      </c>
      <c r="K93" s="256" t="s">
        <v>1348</v>
      </c>
    </row>
    <row r="94" spans="1:11" x14ac:dyDescent="0.3">
      <c r="A94" s="256">
        <v>33</v>
      </c>
      <c r="B94" s="257" t="s">
        <v>1399</v>
      </c>
      <c r="C94" s="276">
        <v>44408</v>
      </c>
      <c r="D94" s="257" t="s">
        <v>1276</v>
      </c>
      <c r="E94" s="256" t="s">
        <v>1822</v>
      </c>
      <c r="F94" s="256" t="s">
        <v>1892</v>
      </c>
      <c r="G94" s="258">
        <v>8542000000</v>
      </c>
      <c r="H94" s="265">
        <v>0.1</v>
      </c>
      <c r="I94" s="258">
        <v>854200000</v>
      </c>
      <c r="J94" s="258">
        <v>9396200000</v>
      </c>
      <c r="K94" s="256" t="s">
        <v>1346</v>
      </c>
    </row>
    <row r="95" spans="1:11" x14ac:dyDescent="0.3">
      <c r="A95" s="256">
        <v>34</v>
      </c>
      <c r="B95" s="257" t="s">
        <v>1401</v>
      </c>
      <c r="C95" s="276">
        <v>44439</v>
      </c>
      <c r="D95" s="257" t="s">
        <v>1267</v>
      </c>
      <c r="E95" s="256" t="s">
        <v>1810</v>
      </c>
      <c r="F95" s="256" t="s">
        <v>1893</v>
      </c>
      <c r="G95" s="258">
        <v>11847000000</v>
      </c>
      <c r="H95" s="265">
        <v>0.1</v>
      </c>
      <c r="I95" s="258">
        <v>1184700000</v>
      </c>
      <c r="J95" s="258">
        <v>13031700000</v>
      </c>
      <c r="K95" s="256" t="s">
        <v>1348</v>
      </c>
    </row>
    <row r="96" spans="1:11" x14ac:dyDescent="0.3">
      <c r="A96" s="256">
        <v>35</v>
      </c>
      <c r="B96" s="257" t="s">
        <v>1402</v>
      </c>
      <c r="C96" s="276">
        <v>44500</v>
      </c>
      <c r="D96" s="257" t="s">
        <v>1257</v>
      </c>
      <c r="E96" s="256" t="s">
        <v>1815</v>
      </c>
      <c r="F96" s="256" t="s">
        <v>1892</v>
      </c>
      <c r="G96" s="258">
        <v>7427000000</v>
      </c>
      <c r="H96" s="265">
        <v>0.1</v>
      </c>
      <c r="I96" s="258">
        <v>742700000</v>
      </c>
      <c r="J96" s="258">
        <v>8169700000</v>
      </c>
      <c r="K96" s="256" t="s">
        <v>1346</v>
      </c>
    </row>
    <row r="97" spans="1:11" x14ac:dyDescent="0.3">
      <c r="A97" s="256">
        <v>36</v>
      </c>
      <c r="B97" s="257" t="s">
        <v>1403</v>
      </c>
      <c r="C97" s="276">
        <v>44561</v>
      </c>
      <c r="D97" s="257" t="s">
        <v>1299</v>
      </c>
      <c r="E97" s="256" t="s">
        <v>1776</v>
      </c>
      <c r="F97" s="256" t="s">
        <v>1893</v>
      </c>
      <c r="G97" s="258">
        <v>15663000000</v>
      </c>
      <c r="H97" s="265">
        <v>0.1</v>
      </c>
      <c r="I97" s="258">
        <v>1566300000</v>
      </c>
      <c r="J97" s="258">
        <v>17229300000</v>
      </c>
      <c r="K97" s="256" t="s">
        <v>1346</v>
      </c>
    </row>
    <row r="98" spans="1:11" x14ac:dyDescent="0.3">
      <c r="A98" s="256">
        <v>37</v>
      </c>
      <c r="B98" s="257" t="s">
        <v>1404</v>
      </c>
      <c r="C98" s="276">
        <v>44561</v>
      </c>
      <c r="D98" s="257" t="s">
        <v>1260</v>
      </c>
      <c r="E98" s="256" t="s">
        <v>1804</v>
      </c>
      <c r="F98" s="256" t="s">
        <v>1676</v>
      </c>
      <c r="G98" s="258">
        <v>10274000000</v>
      </c>
      <c r="H98" s="265">
        <v>0.1</v>
      </c>
      <c r="I98" s="258">
        <v>1027400000</v>
      </c>
      <c r="J98" s="258">
        <v>11301400000</v>
      </c>
      <c r="K98" s="256" t="s">
        <v>1346</v>
      </c>
    </row>
    <row r="99" spans="1:11" x14ac:dyDescent="0.3">
      <c r="A99" s="256">
        <v>38</v>
      </c>
      <c r="B99" s="257" t="s">
        <v>1405</v>
      </c>
      <c r="C99" s="276">
        <v>44561</v>
      </c>
      <c r="D99" s="257" t="s">
        <v>1273</v>
      </c>
      <c r="E99" s="256" t="s">
        <v>1829</v>
      </c>
      <c r="F99" s="256" t="s">
        <v>1676</v>
      </c>
      <c r="G99" s="258">
        <v>13818000000</v>
      </c>
      <c r="H99" s="265">
        <v>0.1</v>
      </c>
      <c r="I99" s="258">
        <v>1381800000</v>
      </c>
      <c r="J99" s="258">
        <v>15199800000</v>
      </c>
      <c r="K99" s="256" t="s">
        <v>1346</v>
      </c>
    </row>
    <row r="100" spans="1:11" x14ac:dyDescent="0.3">
      <c r="A100" s="256">
        <v>39</v>
      </c>
      <c r="B100" s="257" t="s">
        <v>1406</v>
      </c>
      <c r="C100" s="276">
        <v>44561</v>
      </c>
      <c r="D100" s="257" t="s">
        <v>1282</v>
      </c>
      <c r="E100" s="256" t="s">
        <v>1789</v>
      </c>
      <c r="F100" s="256" t="s">
        <v>1676</v>
      </c>
      <c r="G100" s="258">
        <v>13618000000</v>
      </c>
      <c r="H100" s="265">
        <v>0.1</v>
      </c>
      <c r="I100" s="258">
        <v>1361800000</v>
      </c>
      <c r="J100" s="258">
        <v>14979800000</v>
      </c>
      <c r="K100" s="256" t="s">
        <v>1346</v>
      </c>
    </row>
    <row r="101" spans="1:11" x14ac:dyDescent="0.3">
      <c r="A101" s="256">
        <v>40</v>
      </c>
      <c r="B101" s="257" t="s">
        <v>1408</v>
      </c>
      <c r="C101" s="276">
        <v>44561</v>
      </c>
      <c r="D101" s="257" t="s">
        <v>1255</v>
      </c>
      <c r="E101" s="273">
        <v>46152</v>
      </c>
      <c r="F101" s="256" t="s">
        <v>1892</v>
      </c>
      <c r="G101" s="258">
        <v>23063000000</v>
      </c>
      <c r="H101" s="265">
        <v>0.1</v>
      </c>
      <c r="I101" s="258">
        <v>2306300000</v>
      </c>
      <c r="J101" s="258">
        <v>25369300000</v>
      </c>
      <c r="K101" s="256" t="s">
        <v>1348</v>
      </c>
    </row>
    <row r="102" spans="1:11" x14ac:dyDescent="0.3">
      <c r="A102" s="256">
        <v>41</v>
      </c>
      <c r="B102" s="257" t="s">
        <v>1409</v>
      </c>
      <c r="C102" s="276">
        <v>44561</v>
      </c>
      <c r="D102" s="257" t="s">
        <v>1290</v>
      </c>
      <c r="E102" s="256" t="s">
        <v>1796</v>
      </c>
      <c r="F102" s="256" t="s">
        <v>1893</v>
      </c>
      <c r="G102" s="258">
        <v>24515000000</v>
      </c>
      <c r="H102" s="265">
        <v>0.1</v>
      </c>
      <c r="I102" s="258">
        <v>2451500000</v>
      </c>
      <c r="J102" s="258">
        <v>26966500000</v>
      </c>
      <c r="K102" s="256" t="s">
        <v>1346</v>
      </c>
    </row>
    <row r="103" spans="1:11" x14ac:dyDescent="0.3">
      <c r="A103" s="256">
        <v>42</v>
      </c>
      <c r="B103" s="257" t="s">
        <v>1411</v>
      </c>
      <c r="C103" s="276">
        <v>44561</v>
      </c>
      <c r="D103" s="257" t="s">
        <v>1292</v>
      </c>
      <c r="E103" s="256" t="s">
        <v>1792</v>
      </c>
      <c r="F103" s="256" t="s">
        <v>1892</v>
      </c>
      <c r="G103" s="258">
        <v>7917000000</v>
      </c>
      <c r="H103" s="265">
        <v>0.1</v>
      </c>
      <c r="I103" s="258">
        <v>791700000</v>
      </c>
      <c r="J103" s="258">
        <v>8708700000</v>
      </c>
      <c r="K103" s="256" t="s">
        <v>1348</v>
      </c>
    </row>
    <row r="104" spans="1:11" x14ac:dyDescent="0.3">
      <c r="A104" s="256">
        <v>43</v>
      </c>
      <c r="B104" s="257" t="s">
        <v>1414</v>
      </c>
      <c r="C104" s="276">
        <v>44561</v>
      </c>
      <c r="D104" s="257" t="s">
        <v>1267</v>
      </c>
      <c r="E104" s="256" t="s">
        <v>1810</v>
      </c>
      <c r="F104" s="256" t="s">
        <v>1893</v>
      </c>
      <c r="G104" s="258">
        <v>9692000000</v>
      </c>
      <c r="H104" s="265">
        <v>0.1</v>
      </c>
      <c r="I104" s="258">
        <v>969200000</v>
      </c>
      <c r="J104" s="258">
        <v>10661200000</v>
      </c>
      <c r="K104" s="256" t="s">
        <v>1346</v>
      </c>
    </row>
    <row r="105" spans="1:11" x14ac:dyDescent="0.3">
      <c r="A105" s="256">
        <v>44</v>
      </c>
      <c r="B105" s="257" t="s">
        <v>1415</v>
      </c>
      <c r="C105" s="276">
        <v>44561</v>
      </c>
      <c r="D105" s="257" t="s">
        <v>1290</v>
      </c>
      <c r="E105" s="256" t="s">
        <v>1796</v>
      </c>
      <c r="F105" s="256" t="s">
        <v>1893</v>
      </c>
      <c r="G105" s="258">
        <v>16862000000</v>
      </c>
      <c r="H105" s="265">
        <v>0.1</v>
      </c>
      <c r="I105" s="258">
        <v>1686200000</v>
      </c>
      <c r="J105" s="258">
        <v>18548200000</v>
      </c>
      <c r="K105" s="256" t="s">
        <v>1346</v>
      </c>
    </row>
    <row r="106" spans="1:11" x14ac:dyDescent="0.3">
      <c r="A106" s="256">
        <v>45</v>
      </c>
      <c r="B106" s="257" t="s">
        <v>1206</v>
      </c>
      <c r="C106" s="276">
        <v>44561</v>
      </c>
      <c r="D106" s="257" t="s">
        <v>1273</v>
      </c>
      <c r="E106" s="256" t="s">
        <v>1829</v>
      </c>
      <c r="F106" s="256" t="s">
        <v>1676</v>
      </c>
      <c r="G106" s="258">
        <v>10000000000</v>
      </c>
      <c r="H106" s="265">
        <v>0.1</v>
      </c>
      <c r="I106" s="258">
        <v>1000000000</v>
      </c>
      <c r="J106" s="258">
        <v>11000000000</v>
      </c>
      <c r="K106" s="256" t="s">
        <v>1346</v>
      </c>
    </row>
    <row r="107" spans="1:11" x14ac:dyDescent="0.3">
      <c r="A107" s="256">
        <v>46</v>
      </c>
      <c r="B107" s="257" t="s">
        <v>1207</v>
      </c>
      <c r="C107" s="276">
        <v>44561</v>
      </c>
      <c r="D107" s="257" t="s">
        <v>1298</v>
      </c>
      <c r="E107" s="256" t="s">
        <v>1819</v>
      </c>
      <c r="F107" s="256" t="s">
        <v>1892</v>
      </c>
      <c r="G107" s="258">
        <v>16342000000</v>
      </c>
      <c r="H107" s="265">
        <v>0.1</v>
      </c>
      <c r="I107" s="258">
        <v>1634200000</v>
      </c>
      <c r="J107" s="258">
        <v>17976200000</v>
      </c>
      <c r="K107" s="256" t="s">
        <v>1346</v>
      </c>
    </row>
    <row r="108" spans="1:11" x14ac:dyDescent="0.3">
      <c r="A108" s="256">
        <v>47</v>
      </c>
      <c r="B108" s="257" t="s">
        <v>1208</v>
      </c>
      <c r="C108" s="276">
        <v>44561</v>
      </c>
      <c r="D108" s="257" t="s">
        <v>1294</v>
      </c>
      <c r="E108" s="256" t="s">
        <v>1795</v>
      </c>
      <c r="F108" s="256" t="s">
        <v>1892</v>
      </c>
      <c r="G108" s="258">
        <v>7526000000</v>
      </c>
      <c r="H108" s="265">
        <v>0.1</v>
      </c>
      <c r="I108" s="258">
        <v>752600000</v>
      </c>
      <c r="J108" s="258">
        <v>8278600000</v>
      </c>
      <c r="K108" s="256" t="s">
        <v>1346</v>
      </c>
    </row>
    <row r="109" spans="1:11" x14ac:dyDescent="0.3">
      <c r="A109" s="256">
        <v>48</v>
      </c>
      <c r="B109" s="257" t="s">
        <v>1209</v>
      </c>
      <c r="C109" s="276">
        <v>44561</v>
      </c>
      <c r="D109" s="257" t="s">
        <v>1302</v>
      </c>
      <c r="E109" s="256" t="s">
        <v>1784</v>
      </c>
      <c r="F109" s="256" t="s">
        <v>1676</v>
      </c>
      <c r="G109" s="258">
        <v>8545000000</v>
      </c>
      <c r="H109" s="265">
        <v>0.1</v>
      </c>
      <c r="I109" s="258">
        <v>854500000</v>
      </c>
      <c r="J109" s="258">
        <v>9399500000</v>
      </c>
      <c r="K109" s="256" t="s">
        <v>1348</v>
      </c>
    </row>
    <row r="110" spans="1:11" x14ac:dyDescent="0.3">
      <c r="A110" s="256">
        <v>49</v>
      </c>
      <c r="B110" s="257" t="s">
        <v>1418</v>
      </c>
      <c r="C110" s="276">
        <v>44561</v>
      </c>
      <c r="D110" s="257" t="s">
        <v>1282</v>
      </c>
      <c r="E110" s="256" t="s">
        <v>1789</v>
      </c>
      <c r="F110" s="256" t="s">
        <v>1676</v>
      </c>
      <c r="G110" s="258">
        <v>13435000000</v>
      </c>
      <c r="H110" s="265">
        <v>0.1</v>
      </c>
      <c r="I110" s="258">
        <v>1343500000</v>
      </c>
      <c r="J110" s="258">
        <v>14778500000</v>
      </c>
      <c r="K110" s="256" t="s">
        <v>1346</v>
      </c>
    </row>
    <row r="111" spans="1:11" x14ac:dyDescent="0.3">
      <c r="A111" s="256">
        <v>50</v>
      </c>
      <c r="B111" s="257" t="s">
        <v>1419</v>
      </c>
      <c r="C111" s="276">
        <v>44561</v>
      </c>
      <c r="D111" s="257" t="s">
        <v>1304</v>
      </c>
      <c r="E111" s="256" t="s">
        <v>1831</v>
      </c>
      <c r="F111" s="256" t="s">
        <v>1893</v>
      </c>
      <c r="G111" s="258">
        <v>25960000000</v>
      </c>
      <c r="H111" s="265">
        <v>0.1</v>
      </c>
      <c r="I111" s="258">
        <v>2596000000</v>
      </c>
      <c r="J111" s="258">
        <v>28556000000</v>
      </c>
      <c r="K111" s="256" t="s">
        <v>1348</v>
      </c>
    </row>
    <row r="112" spans="1:11" x14ac:dyDescent="0.3">
      <c r="A112" s="266" t="s">
        <v>1351</v>
      </c>
      <c r="B112" s="266"/>
      <c r="C112" s="266"/>
      <c r="D112" s="266"/>
      <c r="E112" s="266"/>
      <c r="F112" s="266"/>
      <c r="G112" s="267">
        <f>SUM(G62:G111)</f>
        <v>810747000000</v>
      </c>
      <c r="H112" s="266"/>
      <c r="I112" s="267">
        <f>SUM(I62:I111)</f>
        <v>76232100000</v>
      </c>
      <c r="J112" s="267">
        <f>SUM(J62:J111)</f>
        <v>886979100000</v>
      </c>
      <c r="K112" s="266"/>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1104</v>
      </c>
      <c r="C1" s="256"/>
      <c r="D1" s="256"/>
      <c r="E1" s="256"/>
      <c r="F1" s="256"/>
      <c r="G1" s="256"/>
      <c r="H1" s="256"/>
      <c r="I1" s="256"/>
      <c r="J1" s="256"/>
      <c r="K1" s="256"/>
    </row>
    <row r="2" spans="1:11" x14ac:dyDescent="0.3">
      <c r="A2" s="256" t="s">
        <v>1339</v>
      </c>
      <c r="B2" s="257">
        <v>500436556</v>
      </c>
      <c r="C2" s="256"/>
      <c r="D2" s="256"/>
      <c r="E2" s="256"/>
      <c r="F2" s="256"/>
      <c r="G2" s="256"/>
      <c r="H2" s="256"/>
      <c r="I2" s="256"/>
      <c r="J2" s="256"/>
      <c r="K2" s="256"/>
    </row>
    <row r="3" spans="1:11" x14ac:dyDescent="0.3">
      <c r="A3" s="256" t="s">
        <v>1343</v>
      </c>
      <c r="B3" s="258">
        <v>965259825990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1212</v>
      </c>
      <c r="C8" s="276">
        <v>44317</v>
      </c>
      <c r="D8" s="257" t="s">
        <v>1275</v>
      </c>
      <c r="E8" s="256" t="s">
        <v>1808</v>
      </c>
      <c r="F8" s="256" t="s">
        <v>1837</v>
      </c>
      <c r="G8" s="258">
        <v>18152000000</v>
      </c>
      <c r="H8" s="265">
        <v>0.1</v>
      </c>
      <c r="I8" s="258">
        <v>1815200000</v>
      </c>
      <c r="J8" s="258">
        <v>19967200000</v>
      </c>
      <c r="K8" s="256" t="s">
        <v>1346</v>
      </c>
    </row>
    <row r="9" spans="1:11" x14ac:dyDescent="0.3">
      <c r="A9" s="256">
        <v>2</v>
      </c>
      <c r="B9" s="257" t="s">
        <v>1500</v>
      </c>
      <c r="C9" s="276">
        <v>44318</v>
      </c>
      <c r="D9" s="257" t="s">
        <v>1282</v>
      </c>
      <c r="E9" s="256" t="s">
        <v>1789</v>
      </c>
      <c r="F9" s="256" t="s">
        <v>1834</v>
      </c>
      <c r="G9" s="258">
        <v>6128000000</v>
      </c>
      <c r="H9" s="265">
        <v>0.1</v>
      </c>
      <c r="I9" s="258">
        <v>612800000</v>
      </c>
      <c r="J9" s="258">
        <v>6740800000</v>
      </c>
      <c r="K9" s="256" t="s">
        <v>1346</v>
      </c>
    </row>
    <row r="10" spans="1:11" x14ac:dyDescent="0.3">
      <c r="A10" s="256">
        <v>3</v>
      </c>
      <c r="B10" s="257" t="s">
        <v>1462</v>
      </c>
      <c r="C10" s="276">
        <v>44472</v>
      </c>
      <c r="D10" s="257" t="s">
        <v>1255</v>
      </c>
      <c r="E10" s="273">
        <v>46152</v>
      </c>
      <c r="F10" s="256" t="s">
        <v>1835</v>
      </c>
      <c r="G10" s="258">
        <v>14800000000</v>
      </c>
      <c r="H10" s="265">
        <v>0.1</v>
      </c>
      <c r="I10" s="258">
        <v>1480000000</v>
      </c>
      <c r="J10" s="258">
        <v>16280000000</v>
      </c>
      <c r="K10" s="256" t="s">
        <v>1346</v>
      </c>
    </row>
    <row r="11" spans="1:11" x14ac:dyDescent="0.3">
      <c r="A11" s="256">
        <v>4</v>
      </c>
      <c r="B11" s="257" t="s">
        <v>1497</v>
      </c>
      <c r="C11" s="276">
        <v>44473</v>
      </c>
      <c r="D11" s="257" t="s">
        <v>1256</v>
      </c>
      <c r="E11" s="256" t="s">
        <v>1802</v>
      </c>
      <c r="F11" s="256" t="s">
        <v>1837</v>
      </c>
      <c r="G11" s="258">
        <v>11331000000</v>
      </c>
      <c r="H11" s="265">
        <v>0.1</v>
      </c>
      <c r="I11" s="258">
        <v>1133100000</v>
      </c>
      <c r="J11" s="258">
        <v>12464100000</v>
      </c>
      <c r="K11" s="256" t="s">
        <v>1348</v>
      </c>
    </row>
    <row r="12" spans="1:11" x14ac:dyDescent="0.3">
      <c r="A12" s="256">
        <v>5</v>
      </c>
      <c r="B12" s="257" t="s">
        <v>1462</v>
      </c>
      <c r="C12" s="276">
        <v>44474</v>
      </c>
      <c r="D12" s="257" t="s">
        <v>1287</v>
      </c>
      <c r="E12" s="256" t="s">
        <v>1801</v>
      </c>
      <c r="F12" s="256" t="s">
        <v>1734</v>
      </c>
      <c r="G12" s="258">
        <v>16908000000</v>
      </c>
      <c r="H12" s="265">
        <v>0.1</v>
      </c>
      <c r="I12" s="258">
        <v>1690800000</v>
      </c>
      <c r="J12" s="258">
        <v>18598800000</v>
      </c>
      <c r="K12" s="256" t="s">
        <v>1346</v>
      </c>
    </row>
    <row r="13" spans="1:11" x14ac:dyDescent="0.3">
      <c r="A13" s="256">
        <v>6</v>
      </c>
      <c r="B13" s="257" t="s">
        <v>1486</v>
      </c>
      <c r="C13" s="276">
        <v>44475</v>
      </c>
      <c r="D13" s="257" t="s">
        <v>1257</v>
      </c>
      <c r="E13" s="256" t="s">
        <v>1815</v>
      </c>
      <c r="F13" s="256" t="s">
        <v>1837</v>
      </c>
      <c r="G13" s="258">
        <v>12044000000</v>
      </c>
      <c r="H13" s="265">
        <v>0.1</v>
      </c>
      <c r="I13" s="258">
        <v>1204400000</v>
      </c>
      <c r="J13" s="258">
        <v>13248400000</v>
      </c>
      <c r="K13" s="256" t="s">
        <v>1348</v>
      </c>
    </row>
    <row r="14" spans="1:11" x14ac:dyDescent="0.3">
      <c r="A14" s="256">
        <v>7</v>
      </c>
      <c r="B14" s="257" t="s">
        <v>1211</v>
      </c>
      <c r="C14" s="276">
        <v>44476</v>
      </c>
      <c r="D14" s="257" t="s">
        <v>1288</v>
      </c>
      <c r="E14" s="256" t="s">
        <v>1797</v>
      </c>
      <c r="F14" s="256" t="s">
        <v>1837</v>
      </c>
      <c r="G14" s="258">
        <v>10774000000</v>
      </c>
      <c r="H14" s="265">
        <v>0.1</v>
      </c>
      <c r="I14" s="258">
        <v>1077400000</v>
      </c>
      <c r="J14" s="258">
        <v>11851400000</v>
      </c>
      <c r="K14" s="256" t="s">
        <v>1346</v>
      </c>
    </row>
    <row r="15" spans="1:11" x14ac:dyDescent="0.3">
      <c r="A15" s="256">
        <v>8</v>
      </c>
      <c r="B15" s="257" t="s">
        <v>1463</v>
      </c>
      <c r="C15" s="276">
        <v>44477</v>
      </c>
      <c r="D15" s="257" t="s">
        <v>1255</v>
      </c>
      <c r="E15" s="273">
        <v>46152</v>
      </c>
      <c r="F15" s="256" t="s">
        <v>1835</v>
      </c>
      <c r="G15" s="258">
        <v>20313000000</v>
      </c>
      <c r="H15" s="265">
        <v>0.1</v>
      </c>
      <c r="I15" s="258">
        <v>2031300000</v>
      </c>
      <c r="J15" s="258">
        <v>22344300000</v>
      </c>
      <c r="K15" s="256" t="s">
        <v>1346</v>
      </c>
    </row>
    <row r="16" spans="1:11" x14ac:dyDescent="0.3">
      <c r="A16" s="256">
        <v>9</v>
      </c>
      <c r="B16" s="257" t="s">
        <v>1486</v>
      </c>
      <c r="C16" s="276">
        <v>44478</v>
      </c>
      <c r="D16" s="257" t="s">
        <v>1263</v>
      </c>
      <c r="E16" s="256" t="s">
        <v>1790</v>
      </c>
      <c r="F16" s="256" t="s">
        <v>1741</v>
      </c>
      <c r="G16" s="258">
        <v>16886000000</v>
      </c>
      <c r="H16" s="265">
        <v>0.1</v>
      </c>
      <c r="I16" s="258">
        <v>1688600000</v>
      </c>
      <c r="J16" s="258">
        <v>18574600000</v>
      </c>
      <c r="K16" s="256" t="s">
        <v>1346</v>
      </c>
    </row>
    <row r="17" spans="1:11" x14ac:dyDescent="0.3">
      <c r="A17" s="256">
        <v>10</v>
      </c>
      <c r="B17" s="257" t="s">
        <v>1213</v>
      </c>
      <c r="C17" s="276">
        <v>44479</v>
      </c>
      <c r="D17" s="257" t="s">
        <v>1274</v>
      </c>
      <c r="E17" s="256" t="s">
        <v>1794</v>
      </c>
      <c r="F17" s="256" t="s">
        <v>1835</v>
      </c>
      <c r="G17" s="258">
        <v>10733000000</v>
      </c>
      <c r="H17" s="265">
        <v>0.1</v>
      </c>
      <c r="I17" s="258">
        <v>1073300000</v>
      </c>
      <c r="J17" s="258">
        <v>11806300000</v>
      </c>
      <c r="K17" s="256" t="s">
        <v>1346</v>
      </c>
    </row>
    <row r="18" spans="1:11" x14ac:dyDescent="0.3">
      <c r="A18" s="256">
        <v>11</v>
      </c>
      <c r="B18" s="257" t="s">
        <v>1514</v>
      </c>
      <c r="C18" s="276">
        <v>44480</v>
      </c>
      <c r="D18" s="257" t="s">
        <v>1271</v>
      </c>
      <c r="E18" s="256" t="s">
        <v>1799</v>
      </c>
      <c r="F18" s="256" t="s">
        <v>1741</v>
      </c>
      <c r="G18" s="258">
        <v>12055000000</v>
      </c>
      <c r="H18" s="265">
        <v>0.1</v>
      </c>
      <c r="I18" s="258">
        <v>1205500000</v>
      </c>
      <c r="J18" s="258">
        <v>13260500000</v>
      </c>
      <c r="K18" s="256" t="s">
        <v>1346</v>
      </c>
    </row>
    <row r="19" spans="1:11" x14ac:dyDescent="0.3">
      <c r="A19" s="256">
        <v>12</v>
      </c>
      <c r="B19" s="257" t="s">
        <v>1511</v>
      </c>
      <c r="C19" s="276">
        <v>44481</v>
      </c>
      <c r="D19" s="257" t="s">
        <v>1259</v>
      </c>
      <c r="E19" s="256" t="s">
        <v>1788</v>
      </c>
      <c r="F19" s="256" t="s">
        <v>1834</v>
      </c>
      <c r="G19" s="258">
        <v>15335000000</v>
      </c>
      <c r="H19" s="265">
        <v>0.1</v>
      </c>
      <c r="I19" s="258">
        <v>1533500000</v>
      </c>
      <c r="J19" s="258">
        <v>16868500000</v>
      </c>
      <c r="K19" s="256" t="s">
        <v>1346</v>
      </c>
    </row>
    <row r="20" spans="1:11" x14ac:dyDescent="0.3">
      <c r="A20" s="256">
        <v>13</v>
      </c>
      <c r="B20" s="257" t="s">
        <v>1504</v>
      </c>
      <c r="C20" s="276">
        <v>44211</v>
      </c>
      <c r="D20" s="257" t="s">
        <v>1270</v>
      </c>
      <c r="E20" s="256" t="s">
        <v>1782</v>
      </c>
      <c r="F20" s="256" t="s">
        <v>1835</v>
      </c>
      <c r="G20" s="258">
        <v>18046000000</v>
      </c>
      <c r="H20" s="265">
        <v>0.1</v>
      </c>
      <c r="I20" s="258">
        <v>1804600000</v>
      </c>
      <c r="J20" s="258">
        <v>19850600000</v>
      </c>
      <c r="K20" s="256" t="s">
        <v>1346</v>
      </c>
    </row>
    <row r="21" spans="1:11" x14ac:dyDescent="0.3">
      <c r="A21" s="256">
        <v>14</v>
      </c>
      <c r="B21" s="257" t="s">
        <v>1487</v>
      </c>
      <c r="C21" s="276">
        <v>44242</v>
      </c>
      <c r="D21" s="257" t="s">
        <v>1263</v>
      </c>
      <c r="E21" s="256" t="s">
        <v>1790</v>
      </c>
      <c r="F21" s="256" t="s">
        <v>1741</v>
      </c>
      <c r="G21" s="258">
        <v>17598000000</v>
      </c>
      <c r="H21" s="265">
        <v>0.1</v>
      </c>
      <c r="I21" s="258">
        <v>1759800000</v>
      </c>
      <c r="J21" s="258">
        <v>19357800000</v>
      </c>
      <c r="K21" s="256" t="s">
        <v>1346</v>
      </c>
    </row>
    <row r="22" spans="1:11" x14ac:dyDescent="0.3">
      <c r="A22" s="256">
        <v>15</v>
      </c>
      <c r="B22" s="257" t="s">
        <v>1481</v>
      </c>
      <c r="C22" s="276">
        <v>44275</v>
      </c>
      <c r="D22" s="257" t="s">
        <v>1278</v>
      </c>
      <c r="E22" s="256" t="s">
        <v>1785</v>
      </c>
      <c r="F22" s="256" t="s">
        <v>1837</v>
      </c>
      <c r="G22" s="258">
        <v>18597000000</v>
      </c>
      <c r="H22" s="265">
        <v>0.1</v>
      </c>
      <c r="I22" s="258">
        <v>1859700000</v>
      </c>
      <c r="J22" s="258">
        <v>20456700000</v>
      </c>
      <c r="K22" s="256" t="s">
        <v>1346</v>
      </c>
    </row>
    <row r="23" spans="1:11" x14ac:dyDescent="0.3">
      <c r="A23" s="256">
        <v>16</v>
      </c>
      <c r="B23" s="257" t="s">
        <v>1207</v>
      </c>
      <c r="C23" s="276">
        <v>44306</v>
      </c>
      <c r="D23" s="257" t="s">
        <v>1258</v>
      </c>
      <c r="E23" s="256" t="s">
        <v>1833</v>
      </c>
      <c r="F23" s="256" t="s">
        <v>1837</v>
      </c>
      <c r="G23" s="258">
        <v>10935000000</v>
      </c>
      <c r="H23" s="265">
        <v>0.1</v>
      </c>
      <c r="I23" s="258">
        <v>1093500000</v>
      </c>
      <c r="J23" s="258">
        <v>12028500000</v>
      </c>
      <c r="K23" s="256" t="s">
        <v>1346</v>
      </c>
    </row>
    <row r="24" spans="1:11" x14ac:dyDescent="0.3">
      <c r="A24" s="256">
        <v>17</v>
      </c>
      <c r="B24" s="257" t="s">
        <v>1468</v>
      </c>
      <c r="C24" s="276">
        <v>44336</v>
      </c>
      <c r="D24" s="257" t="s">
        <v>1269</v>
      </c>
      <c r="E24" s="256" t="s">
        <v>1823</v>
      </c>
      <c r="F24" s="256" t="s">
        <v>1834</v>
      </c>
      <c r="G24" s="258">
        <v>21733000000</v>
      </c>
      <c r="H24" s="265">
        <v>0.1</v>
      </c>
      <c r="I24" s="258">
        <v>2173300000</v>
      </c>
      <c r="J24" s="258">
        <v>23906300000</v>
      </c>
      <c r="K24" s="256" t="s">
        <v>1346</v>
      </c>
    </row>
    <row r="25" spans="1:11" x14ac:dyDescent="0.3">
      <c r="A25" s="256">
        <v>18</v>
      </c>
      <c r="B25" s="257" t="s">
        <v>1502</v>
      </c>
      <c r="C25" s="276">
        <v>44367</v>
      </c>
      <c r="D25" s="257" t="s">
        <v>1273</v>
      </c>
      <c r="E25" s="256" t="s">
        <v>1829</v>
      </c>
      <c r="F25" s="256" t="s">
        <v>1837</v>
      </c>
      <c r="G25" s="258">
        <v>16397000000</v>
      </c>
      <c r="H25" s="265">
        <v>0.1</v>
      </c>
      <c r="I25" s="258">
        <v>1639700000</v>
      </c>
      <c r="J25" s="258">
        <v>18036700000</v>
      </c>
      <c r="K25" s="256" t="s">
        <v>1346</v>
      </c>
    </row>
    <row r="26" spans="1:11" x14ac:dyDescent="0.3">
      <c r="A26" s="256">
        <v>19</v>
      </c>
      <c r="B26" s="257" t="s">
        <v>1488</v>
      </c>
      <c r="C26" s="276">
        <v>44397</v>
      </c>
      <c r="D26" s="257" t="s">
        <v>1268</v>
      </c>
      <c r="E26" s="256" t="s">
        <v>1821</v>
      </c>
      <c r="F26" s="256" t="s">
        <v>1837</v>
      </c>
      <c r="G26" s="258">
        <v>13331000000</v>
      </c>
      <c r="H26" s="265">
        <v>0.1</v>
      </c>
      <c r="I26" s="258">
        <v>1333100000</v>
      </c>
      <c r="J26" s="258">
        <v>14664100000</v>
      </c>
      <c r="K26" s="256" t="s">
        <v>1346</v>
      </c>
    </row>
    <row r="27" spans="1:11" x14ac:dyDescent="0.3">
      <c r="A27" s="256">
        <v>20</v>
      </c>
      <c r="B27" s="257" t="s">
        <v>1488</v>
      </c>
      <c r="C27" s="276">
        <v>44428</v>
      </c>
      <c r="D27" s="257" t="s">
        <v>1263</v>
      </c>
      <c r="E27" s="256" t="s">
        <v>1790</v>
      </c>
      <c r="F27" s="256" t="s">
        <v>1734</v>
      </c>
      <c r="G27" s="258">
        <v>17288000000</v>
      </c>
      <c r="H27" s="265">
        <v>0.1</v>
      </c>
      <c r="I27" s="258">
        <v>1728800000</v>
      </c>
      <c r="J27" s="258">
        <v>19016800000</v>
      </c>
      <c r="K27" s="256" t="s">
        <v>1346</v>
      </c>
    </row>
    <row r="28" spans="1:11" x14ac:dyDescent="0.3">
      <c r="A28" s="256">
        <v>21</v>
      </c>
      <c r="B28" s="257" t="s">
        <v>1414</v>
      </c>
      <c r="C28" s="276">
        <v>44459</v>
      </c>
      <c r="D28" s="257" t="s">
        <v>1303</v>
      </c>
      <c r="E28" s="256" t="s">
        <v>1817</v>
      </c>
      <c r="F28" s="256" t="s">
        <v>1741</v>
      </c>
      <c r="G28" s="258">
        <v>7474000000</v>
      </c>
      <c r="H28" s="265">
        <v>0.1</v>
      </c>
      <c r="I28" s="258">
        <v>747400000</v>
      </c>
      <c r="J28" s="258">
        <v>8221400000</v>
      </c>
      <c r="K28" s="256" t="s">
        <v>1346</v>
      </c>
    </row>
    <row r="29" spans="1:11" x14ac:dyDescent="0.3">
      <c r="A29" s="256">
        <v>22</v>
      </c>
      <c r="B29" s="257" t="s">
        <v>1462</v>
      </c>
      <c r="C29" s="276">
        <v>44489</v>
      </c>
      <c r="D29" s="257" t="s">
        <v>1291</v>
      </c>
      <c r="E29" s="256" t="s">
        <v>1800</v>
      </c>
      <c r="F29" s="256" t="s">
        <v>1835</v>
      </c>
      <c r="G29" s="258">
        <v>17580000000</v>
      </c>
      <c r="H29" s="265">
        <v>0.1</v>
      </c>
      <c r="I29" s="258">
        <v>1758000000</v>
      </c>
      <c r="J29" s="258">
        <v>19338000000</v>
      </c>
      <c r="K29" s="256" t="s">
        <v>1346</v>
      </c>
    </row>
    <row r="30" spans="1:11" x14ac:dyDescent="0.3">
      <c r="A30" s="256">
        <v>23</v>
      </c>
      <c r="B30" s="257" t="s">
        <v>1520</v>
      </c>
      <c r="C30" s="276">
        <v>44520</v>
      </c>
      <c r="D30" s="257" t="s">
        <v>1284</v>
      </c>
      <c r="E30" s="256" t="s">
        <v>1786</v>
      </c>
      <c r="F30" s="256" t="s">
        <v>1835</v>
      </c>
      <c r="G30" s="258">
        <v>6954000000</v>
      </c>
      <c r="H30" s="265">
        <v>0.1</v>
      </c>
      <c r="I30" s="258">
        <v>695400000</v>
      </c>
      <c r="J30" s="258">
        <v>7649400000</v>
      </c>
      <c r="K30" s="256" t="s">
        <v>1346</v>
      </c>
    </row>
    <row r="31" spans="1:11" x14ac:dyDescent="0.3">
      <c r="A31" s="256">
        <v>24</v>
      </c>
      <c r="B31" s="257" t="s">
        <v>1479</v>
      </c>
      <c r="C31" s="276">
        <v>44550</v>
      </c>
      <c r="D31" s="257" t="s">
        <v>1264</v>
      </c>
      <c r="E31" s="256" t="s">
        <v>1779</v>
      </c>
      <c r="F31" s="256" t="s">
        <v>1741</v>
      </c>
      <c r="G31" s="258">
        <v>11789000000</v>
      </c>
      <c r="H31" s="265">
        <v>0.1</v>
      </c>
      <c r="I31" s="258">
        <v>1178900000</v>
      </c>
      <c r="J31" s="258">
        <v>12967900000</v>
      </c>
      <c r="K31" s="256" t="s">
        <v>1346</v>
      </c>
    </row>
    <row r="32" spans="1:11" x14ac:dyDescent="0.3">
      <c r="A32" s="256">
        <v>25</v>
      </c>
      <c r="B32" s="257" t="s">
        <v>1415</v>
      </c>
      <c r="C32" s="276">
        <v>44221</v>
      </c>
      <c r="D32" s="257" t="s">
        <v>1261</v>
      </c>
      <c r="E32" s="256" t="s">
        <v>1813</v>
      </c>
      <c r="F32" s="256" t="s">
        <v>1734</v>
      </c>
      <c r="G32" s="258">
        <v>12431000000</v>
      </c>
      <c r="H32" s="265">
        <v>0.1</v>
      </c>
      <c r="I32" s="258">
        <v>1243100000</v>
      </c>
      <c r="J32" s="258">
        <v>13674100000</v>
      </c>
      <c r="K32" s="256" t="s">
        <v>1346</v>
      </c>
    </row>
    <row r="33" spans="1:11" x14ac:dyDescent="0.3">
      <c r="A33" s="256">
        <v>26</v>
      </c>
      <c r="B33" s="257" t="s">
        <v>1210</v>
      </c>
      <c r="C33" s="276">
        <v>44255</v>
      </c>
      <c r="D33" s="257" t="s">
        <v>1270</v>
      </c>
      <c r="E33" s="256" t="s">
        <v>1782</v>
      </c>
      <c r="F33" s="256" t="s">
        <v>1836</v>
      </c>
      <c r="G33" s="258">
        <v>16906000000</v>
      </c>
      <c r="H33" s="265">
        <v>0.1</v>
      </c>
      <c r="I33" s="258">
        <v>1690600000</v>
      </c>
      <c r="J33" s="258">
        <v>18596600000</v>
      </c>
      <c r="K33" s="256" t="s">
        <v>1346</v>
      </c>
    </row>
    <row r="34" spans="1:11" x14ac:dyDescent="0.3">
      <c r="A34" s="256">
        <v>27</v>
      </c>
      <c r="B34" s="257" t="s">
        <v>1482</v>
      </c>
      <c r="C34" s="276">
        <v>44316</v>
      </c>
      <c r="D34" s="257" t="s">
        <v>1278</v>
      </c>
      <c r="E34" s="256" t="s">
        <v>1785</v>
      </c>
      <c r="F34" s="256" t="s">
        <v>1837</v>
      </c>
      <c r="G34" s="258">
        <v>17014000000</v>
      </c>
      <c r="H34" s="265">
        <v>0.1</v>
      </c>
      <c r="I34" s="258">
        <v>1701400000</v>
      </c>
      <c r="J34" s="258">
        <v>18715400000</v>
      </c>
      <c r="K34" s="256" t="s">
        <v>1346</v>
      </c>
    </row>
    <row r="35" spans="1:11" x14ac:dyDescent="0.3">
      <c r="A35" s="256">
        <v>28</v>
      </c>
      <c r="B35" s="257" t="s">
        <v>1463</v>
      </c>
      <c r="C35" s="276">
        <v>44377</v>
      </c>
      <c r="D35" s="257" t="s">
        <v>1267</v>
      </c>
      <c r="E35" s="256" t="s">
        <v>1810</v>
      </c>
      <c r="F35" s="256" t="s">
        <v>1741</v>
      </c>
      <c r="G35" s="258">
        <v>9973000000</v>
      </c>
      <c r="H35" s="265">
        <v>0.1</v>
      </c>
      <c r="I35" s="258">
        <v>997300000</v>
      </c>
      <c r="J35" s="258">
        <v>10970300000</v>
      </c>
      <c r="K35" s="256" t="s">
        <v>1346</v>
      </c>
    </row>
    <row r="36" spans="1:11" x14ac:dyDescent="0.3">
      <c r="A36" s="256">
        <v>29</v>
      </c>
      <c r="B36" s="257" t="s">
        <v>1415</v>
      </c>
      <c r="C36" s="276">
        <v>44469</v>
      </c>
      <c r="D36" s="257" t="s">
        <v>1295</v>
      </c>
      <c r="E36" s="256" t="s">
        <v>1825</v>
      </c>
      <c r="F36" s="256" t="s">
        <v>1734</v>
      </c>
      <c r="G36" s="258">
        <v>18280000000</v>
      </c>
      <c r="H36" s="265">
        <v>0.1</v>
      </c>
      <c r="I36" s="258">
        <v>1828000000</v>
      </c>
      <c r="J36" s="258">
        <v>20108000000</v>
      </c>
      <c r="K36" s="256" t="s">
        <v>1346</v>
      </c>
    </row>
    <row r="37" spans="1:11" x14ac:dyDescent="0.3">
      <c r="A37" s="256">
        <v>30</v>
      </c>
      <c r="B37" s="257" t="s">
        <v>1498</v>
      </c>
      <c r="C37" s="276">
        <v>44530</v>
      </c>
      <c r="D37" s="257" t="s">
        <v>1256</v>
      </c>
      <c r="E37" s="256" t="s">
        <v>1802</v>
      </c>
      <c r="F37" s="256" t="s">
        <v>1734</v>
      </c>
      <c r="G37" s="258">
        <v>7941000000</v>
      </c>
      <c r="H37" s="265">
        <v>0.1</v>
      </c>
      <c r="I37" s="258">
        <v>794100000</v>
      </c>
      <c r="J37" s="258">
        <v>8735100000</v>
      </c>
      <c r="K37" s="256" t="s">
        <v>1348</v>
      </c>
    </row>
    <row r="38" spans="1:11" x14ac:dyDescent="0.3">
      <c r="A38" s="256">
        <v>31</v>
      </c>
      <c r="B38" s="257" t="s">
        <v>1489</v>
      </c>
      <c r="C38" s="276">
        <v>44286</v>
      </c>
      <c r="D38" s="257" t="s">
        <v>1268</v>
      </c>
      <c r="E38" s="256" t="s">
        <v>1821</v>
      </c>
      <c r="F38" s="256" t="s">
        <v>1734</v>
      </c>
      <c r="G38" s="258">
        <v>12514000000</v>
      </c>
      <c r="H38" s="265">
        <v>0.1</v>
      </c>
      <c r="I38" s="258">
        <v>1251400000</v>
      </c>
      <c r="J38" s="258">
        <v>13765400000</v>
      </c>
      <c r="K38" s="256" t="s">
        <v>1346</v>
      </c>
    </row>
    <row r="39" spans="1:11" x14ac:dyDescent="0.3">
      <c r="A39" s="256">
        <v>32</v>
      </c>
      <c r="B39" s="257" t="s">
        <v>1501</v>
      </c>
      <c r="C39" s="276">
        <v>44347</v>
      </c>
      <c r="D39" s="257" t="s">
        <v>1282</v>
      </c>
      <c r="E39" s="256" t="s">
        <v>1789</v>
      </c>
      <c r="F39" s="256" t="s">
        <v>1734</v>
      </c>
      <c r="G39" s="258">
        <v>20257000000</v>
      </c>
      <c r="H39" s="265">
        <v>0.1</v>
      </c>
      <c r="I39" s="258">
        <v>2025700000</v>
      </c>
      <c r="J39" s="258">
        <v>22282700000</v>
      </c>
      <c r="K39" s="256" t="s">
        <v>1346</v>
      </c>
    </row>
    <row r="40" spans="1:11" x14ac:dyDescent="0.3">
      <c r="A40" s="256">
        <v>33</v>
      </c>
      <c r="B40" s="257" t="s">
        <v>1469</v>
      </c>
      <c r="C40" s="276">
        <v>44408</v>
      </c>
      <c r="D40" s="257" t="s">
        <v>1269</v>
      </c>
      <c r="E40" s="256" t="s">
        <v>1823</v>
      </c>
      <c r="F40" s="256" t="s">
        <v>1834</v>
      </c>
      <c r="G40" s="258">
        <v>19512000000</v>
      </c>
      <c r="H40" s="265">
        <v>0.1</v>
      </c>
      <c r="I40" s="258">
        <v>1951200000</v>
      </c>
      <c r="J40" s="258">
        <v>21463200000</v>
      </c>
      <c r="K40" s="256" t="s">
        <v>1346</v>
      </c>
    </row>
    <row r="41" spans="1:11" x14ac:dyDescent="0.3">
      <c r="A41" s="256">
        <v>34</v>
      </c>
      <c r="B41" s="257" t="s">
        <v>1464</v>
      </c>
      <c r="C41" s="276">
        <v>44439</v>
      </c>
      <c r="D41" s="257" t="s">
        <v>1267</v>
      </c>
      <c r="E41" s="256" t="s">
        <v>1810</v>
      </c>
      <c r="F41" s="256" t="s">
        <v>1741</v>
      </c>
      <c r="G41" s="258">
        <v>6272000000</v>
      </c>
      <c r="H41" s="265">
        <v>0.1</v>
      </c>
      <c r="I41" s="258">
        <v>627200000</v>
      </c>
      <c r="J41" s="258">
        <v>6899200000</v>
      </c>
      <c r="K41" s="256" t="s">
        <v>1346</v>
      </c>
    </row>
    <row r="42" spans="1:11" x14ac:dyDescent="0.3">
      <c r="A42" s="256">
        <v>35</v>
      </c>
      <c r="B42" s="257" t="s">
        <v>1515</v>
      </c>
      <c r="C42" s="276">
        <v>44500</v>
      </c>
      <c r="D42" s="257" t="s">
        <v>1271</v>
      </c>
      <c r="E42" s="256" t="s">
        <v>1799</v>
      </c>
      <c r="F42" s="256" t="s">
        <v>1836</v>
      </c>
      <c r="G42" s="258">
        <v>12300000000</v>
      </c>
      <c r="H42" s="265">
        <v>0.1</v>
      </c>
      <c r="I42" s="258">
        <v>1230000000</v>
      </c>
      <c r="J42" s="258">
        <v>13530000000</v>
      </c>
      <c r="K42" s="256" t="s">
        <v>1346</v>
      </c>
    </row>
    <row r="43" spans="1:11" x14ac:dyDescent="0.3">
      <c r="A43" s="256">
        <v>36</v>
      </c>
      <c r="B43" s="257" t="s">
        <v>1415</v>
      </c>
      <c r="C43" s="276">
        <v>44561</v>
      </c>
      <c r="D43" s="257" t="s">
        <v>1303</v>
      </c>
      <c r="E43" s="256" t="s">
        <v>1817</v>
      </c>
      <c r="F43" s="256" t="s">
        <v>1837</v>
      </c>
      <c r="G43" s="258">
        <v>6211000000</v>
      </c>
      <c r="H43" s="265">
        <v>0.1</v>
      </c>
      <c r="I43" s="258">
        <v>621100000</v>
      </c>
      <c r="J43" s="258">
        <v>6832100000</v>
      </c>
      <c r="K43" s="256" t="s">
        <v>1346</v>
      </c>
    </row>
    <row r="44" spans="1:11" x14ac:dyDescent="0.3">
      <c r="A44" s="256">
        <v>37</v>
      </c>
      <c r="B44" s="257" t="s">
        <v>1481</v>
      </c>
      <c r="C44" s="276">
        <v>44561</v>
      </c>
      <c r="D44" s="257" t="s">
        <v>1280</v>
      </c>
      <c r="E44" s="256" t="s">
        <v>1777</v>
      </c>
      <c r="F44" s="256" t="s">
        <v>1835</v>
      </c>
      <c r="G44" s="258">
        <v>15709000000</v>
      </c>
      <c r="H44" s="265">
        <v>0.1</v>
      </c>
      <c r="I44" s="258">
        <v>1570900000</v>
      </c>
      <c r="J44" s="258">
        <v>17279900000</v>
      </c>
      <c r="K44" s="256" t="s">
        <v>1346</v>
      </c>
    </row>
    <row r="45" spans="1:11" x14ac:dyDescent="0.3">
      <c r="A45" s="256">
        <v>38</v>
      </c>
      <c r="B45" s="257" t="s">
        <v>1489</v>
      </c>
      <c r="C45" s="276">
        <v>44561</v>
      </c>
      <c r="D45" s="257" t="s">
        <v>1263</v>
      </c>
      <c r="E45" s="256" t="s">
        <v>1790</v>
      </c>
      <c r="F45" s="256" t="s">
        <v>1835</v>
      </c>
      <c r="G45" s="258">
        <v>20044000000</v>
      </c>
      <c r="H45" s="265">
        <v>0.1</v>
      </c>
      <c r="I45" s="258">
        <v>2004400000</v>
      </c>
      <c r="J45" s="258">
        <v>22048400000</v>
      </c>
      <c r="K45" s="256" t="s">
        <v>1346</v>
      </c>
    </row>
    <row r="46" spans="1:11" x14ac:dyDescent="0.3">
      <c r="A46" s="256">
        <v>39</v>
      </c>
      <c r="B46" s="257" t="s">
        <v>1211</v>
      </c>
      <c r="C46" s="276">
        <v>44561</v>
      </c>
      <c r="D46" s="257" t="s">
        <v>1270</v>
      </c>
      <c r="E46" s="256" t="s">
        <v>1782</v>
      </c>
      <c r="F46" s="256" t="s">
        <v>1734</v>
      </c>
      <c r="G46" s="258">
        <v>14783000000</v>
      </c>
      <c r="H46" s="265">
        <v>0.1</v>
      </c>
      <c r="I46" s="258">
        <v>1478300000</v>
      </c>
      <c r="J46" s="258">
        <v>16261300000</v>
      </c>
      <c r="K46" s="256" t="s">
        <v>1346</v>
      </c>
    </row>
    <row r="47" spans="1:11" x14ac:dyDescent="0.3">
      <c r="A47" s="256">
        <v>40</v>
      </c>
      <c r="B47" s="257" t="s">
        <v>1465</v>
      </c>
      <c r="C47" s="276">
        <v>44561</v>
      </c>
      <c r="D47" s="257" t="s">
        <v>1267</v>
      </c>
      <c r="E47" s="256" t="s">
        <v>1810</v>
      </c>
      <c r="F47" s="256" t="s">
        <v>1734</v>
      </c>
      <c r="G47" s="258">
        <v>11424000000</v>
      </c>
      <c r="H47" s="265">
        <v>0.1</v>
      </c>
      <c r="I47" s="258">
        <v>1142400000</v>
      </c>
      <c r="J47" s="258">
        <v>12566400000</v>
      </c>
      <c r="K47" s="256" t="s">
        <v>1346</v>
      </c>
    </row>
    <row r="48" spans="1:11" x14ac:dyDescent="0.3">
      <c r="A48" s="256">
        <v>41</v>
      </c>
      <c r="B48" s="257" t="s">
        <v>1210</v>
      </c>
      <c r="C48" s="276">
        <v>44561</v>
      </c>
      <c r="D48" s="257" t="s">
        <v>1281</v>
      </c>
      <c r="E48" s="256" t="s">
        <v>1806</v>
      </c>
      <c r="F48" s="256" t="s">
        <v>1837</v>
      </c>
      <c r="G48" s="258">
        <v>13817000000</v>
      </c>
      <c r="H48" s="265">
        <v>0.1</v>
      </c>
      <c r="I48" s="258">
        <v>1381700000</v>
      </c>
      <c r="J48" s="258">
        <v>15198700000</v>
      </c>
      <c r="K48" s="256" t="s">
        <v>1346</v>
      </c>
    </row>
    <row r="49" spans="1:11" x14ac:dyDescent="0.3">
      <c r="A49" s="256">
        <v>42</v>
      </c>
      <c r="B49" s="257" t="s">
        <v>1213</v>
      </c>
      <c r="C49" s="276">
        <v>44561</v>
      </c>
      <c r="D49" s="257" t="s">
        <v>1275</v>
      </c>
      <c r="E49" s="256" t="s">
        <v>1808</v>
      </c>
      <c r="F49" s="256" t="s">
        <v>1835</v>
      </c>
      <c r="G49" s="258">
        <v>7508000000</v>
      </c>
      <c r="H49" s="265">
        <v>0.1</v>
      </c>
      <c r="I49" s="258">
        <v>750800000</v>
      </c>
      <c r="J49" s="258">
        <v>8258800000</v>
      </c>
      <c r="K49" s="256" t="s">
        <v>1346</v>
      </c>
    </row>
    <row r="50" spans="1:11" x14ac:dyDescent="0.3">
      <c r="A50" s="256">
        <v>43</v>
      </c>
      <c r="B50" s="257" t="s">
        <v>1490</v>
      </c>
      <c r="C50" s="276">
        <v>44561</v>
      </c>
      <c r="D50" s="257" t="s">
        <v>1268</v>
      </c>
      <c r="E50" s="256" t="s">
        <v>1821</v>
      </c>
      <c r="F50" s="256" t="s">
        <v>1836</v>
      </c>
      <c r="G50" s="258">
        <v>18213000000</v>
      </c>
      <c r="H50" s="265">
        <v>0.1</v>
      </c>
      <c r="I50" s="258">
        <v>1821300000</v>
      </c>
      <c r="J50" s="258">
        <v>20034300000</v>
      </c>
      <c r="K50" s="256" t="s">
        <v>1346</v>
      </c>
    </row>
    <row r="51" spans="1:11" x14ac:dyDescent="0.3">
      <c r="A51" s="256">
        <v>44</v>
      </c>
      <c r="B51" s="257" t="s">
        <v>1212</v>
      </c>
      <c r="C51" s="276">
        <v>44561</v>
      </c>
      <c r="D51" s="257" t="s">
        <v>1288</v>
      </c>
      <c r="E51" s="256" t="s">
        <v>1797</v>
      </c>
      <c r="F51" s="256" t="s">
        <v>1836</v>
      </c>
      <c r="G51" s="258">
        <v>11713000000</v>
      </c>
      <c r="H51" s="265">
        <v>0.1</v>
      </c>
      <c r="I51" s="258">
        <v>1171300000</v>
      </c>
      <c r="J51" s="258">
        <v>12884300000</v>
      </c>
      <c r="K51" s="256" t="s">
        <v>1346</v>
      </c>
    </row>
    <row r="52" spans="1:11" x14ac:dyDescent="0.3">
      <c r="A52" s="256">
        <v>45</v>
      </c>
      <c r="B52" s="257" t="s">
        <v>1484</v>
      </c>
      <c r="C52" s="276">
        <v>44561</v>
      </c>
      <c r="D52" s="257" t="s">
        <v>1285</v>
      </c>
      <c r="E52" s="256" t="s">
        <v>1793</v>
      </c>
      <c r="F52" s="256" t="s">
        <v>1834</v>
      </c>
      <c r="G52" s="258">
        <v>11906000000</v>
      </c>
      <c r="H52" s="265">
        <v>0.1</v>
      </c>
      <c r="I52" s="258">
        <v>1190600000</v>
      </c>
      <c r="J52" s="258">
        <v>13096600000</v>
      </c>
      <c r="K52" s="256" t="s">
        <v>1346</v>
      </c>
    </row>
    <row r="53" spans="1:11" x14ac:dyDescent="0.3">
      <c r="A53" s="256">
        <v>46</v>
      </c>
      <c r="B53" s="257" t="s">
        <v>1516</v>
      </c>
      <c r="C53" s="276">
        <v>44561</v>
      </c>
      <c r="D53" s="257" t="s">
        <v>1271</v>
      </c>
      <c r="E53" s="256" t="s">
        <v>1799</v>
      </c>
      <c r="F53" s="256" t="s">
        <v>1836</v>
      </c>
      <c r="G53" s="258">
        <v>14009000000</v>
      </c>
      <c r="H53" s="265">
        <v>0.1</v>
      </c>
      <c r="I53" s="258">
        <v>1400900000</v>
      </c>
      <c r="J53" s="258">
        <v>15409900000</v>
      </c>
      <c r="K53" s="256" t="s">
        <v>1346</v>
      </c>
    </row>
    <row r="54" spans="1:11" x14ac:dyDescent="0.3">
      <c r="A54" s="256">
        <v>47</v>
      </c>
      <c r="B54" s="257" t="s">
        <v>1499</v>
      </c>
      <c r="C54" s="276">
        <v>44561</v>
      </c>
      <c r="D54" s="257" t="s">
        <v>1256</v>
      </c>
      <c r="E54" s="256" t="s">
        <v>1802</v>
      </c>
      <c r="F54" s="256" t="s">
        <v>1834</v>
      </c>
      <c r="G54" s="258">
        <v>20036000000</v>
      </c>
      <c r="H54" s="265">
        <v>0.1</v>
      </c>
      <c r="I54" s="258">
        <v>2003600000</v>
      </c>
      <c r="J54" s="258">
        <v>22039600000</v>
      </c>
      <c r="K54" s="256" t="s">
        <v>1346</v>
      </c>
    </row>
    <row r="55" spans="1:11" x14ac:dyDescent="0.3">
      <c r="A55" s="256">
        <v>48</v>
      </c>
      <c r="B55" s="257" t="s">
        <v>1502</v>
      </c>
      <c r="C55" s="276">
        <v>44561</v>
      </c>
      <c r="D55" s="257" t="s">
        <v>1282</v>
      </c>
      <c r="E55" s="256" t="s">
        <v>1789</v>
      </c>
      <c r="F55" s="256" t="s">
        <v>1741</v>
      </c>
      <c r="G55" s="258">
        <v>12246000000</v>
      </c>
      <c r="H55" s="265">
        <v>0.1</v>
      </c>
      <c r="I55" s="258">
        <v>1224600000</v>
      </c>
      <c r="J55" s="258">
        <v>13470600000</v>
      </c>
      <c r="K55" s="256" t="s">
        <v>1348</v>
      </c>
    </row>
    <row r="56" spans="1:11" x14ac:dyDescent="0.3">
      <c r="A56" s="256">
        <v>49</v>
      </c>
      <c r="B56" s="257" t="s">
        <v>1482</v>
      </c>
      <c r="C56" s="276">
        <v>44561</v>
      </c>
      <c r="D56" s="257" t="s">
        <v>1299</v>
      </c>
      <c r="E56" s="256" t="s">
        <v>1776</v>
      </c>
      <c r="F56" s="256" t="s">
        <v>1741</v>
      </c>
      <c r="G56" s="258">
        <v>7662000000</v>
      </c>
      <c r="H56" s="265">
        <v>0.1</v>
      </c>
      <c r="I56" s="258">
        <v>766200000</v>
      </c>
      <c r="J56" s="258">
        <v>8428200000</v>
      </c>
      <c r="K56" s="256" t="s">
        <v>1348</v>
      </c>
    </row>
    <row r="57" spans="1:11" x14ac:dyDescent="0.3">
      <c r="A57" s="256">
        <v>50</v>
      </c>
      <c r="B57" s="257" t="s">
        <v>1521</v>
      </c>
      <c r="C57" s="276">
        <v>44561</v>
      </c>
      <c r="D57" s="257" t="s">
        <v>1284</v>
      </c>
      <c r="E57" s="256" t="s">
        <v>1786</v>
      </c>
      <c r="F57" s="256" t="s">
        <v>1837</v>
      </c>
      <c r="G57" s="258">
        <v>16432000000</v>
      </c>
      <c r="H57" s="265">
        <v>0.1</v>
      </c>
      <c r="I57" s="258">
        <v>1643200000</v>
      </c>
      <c r="J57" s="258">
        <v>18075200000</v>
      </c>
      <c r="K57" s="256" t="s">
        <v>1346</v>
      </c>
    </row>
    <row r="58" spans="1:11" x14ac:dyDescent="0.3">
      <c r="A58" s="266" t="s">
        <v>1351</v>
      </c>
      <c r="B58" s="266"/>
      <c r="C58" s="266"/>
      <c r="D58" s="266"/>
      <c r="E58" s="266"/>
      <c r="F58" s="266"/>
      <c r="G58" s="267">
        <f>SUM(G8:G57)</f>
        <v>698294000000</v>
      </c>
      <c r="H58" s="266"/>
      <c r="I58" s="267">
        <f>SUM(I8:I57)</f>
        <v>69829400000</v>
      </c>
      <c r="J58" s="267">
        <f>SUM(J8:J57)</f>
        <v>768123400000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1270</v>
      </c>
      <c r="E62" s="256" t="s">
        <v>1782</v>
      </c>
      <c r="F62" s="256" t="s">
        <v>1841</v>
      </c>
      <c r="G62" s="258">
        <v>10740000000</v>
      </c>
      <c r="H62" s="265">
        <v>0.1</v>
      </c>
      <c r="I62" s="258">
        <v>1074000000</v>
      </c>
      <c r="J62" s="258">
        <v>11814000000</v>
      </c>
      <c r="K62" s="256" t="s">
        <v>1346</v>
      </c>
    </row>
    <row r="63" spans="1:11" x14ac:dyDescent="0.3">
      <c r="A63" s="256">
        <v>2</v>
      </c>
      <c r="B63" s="257" t="s">
        <v>1201</v>
      </c>
      <c r="C63" s="276">
        <v>44318</v>
      </c>
      <c r="D63" s="257" t="s">
        <v>1280</v>
      </c>
      <c r="E63" s="256" t="s">
        <v>1777</v>
      </c>
      <c r="F63" s="256" t="s">
        <v>1841</v>
      </c>
      <c r="G63" s="258">
        <v>20042000000</v>
      </c>
      <c r="H63" s="265">
        <v>0.1</v>
      </c>
      <c r="I63" s="258">
        <v>2004200000</v>
      </c>
      <c r="J63" s="258">
        <v>22046200000</v>
      </c>
      <c r="K63" s="256" t="s">
        <v>1346</v>
      </c>
    </row>
    <row r="64" spans="1:11" x14ac:dyDescent="0.3">
      <c r="A64" s="256">
        <v>3</v>
      </c>
      <c r="B64" s="257" t="s">
        <v>1202</v>
      </c>
      <c r="C64" s="276">
        <v>44472</v>
      </c>
      <c r="D64" s="257" t="s">
        <v>1258</v>
      </c>
      <c r="E64" s="256" t="s">
        <v>1833</v>
      </c>
      <c r="F64" s="256" t="s">
        <v>1840</v>
      </c>
      <c r="G64" s="258">
        <v>24473000000</v>
      </c>
      <c r="H64" s="265">
        <v>0.1</v>
      </c>
      <c r="I64" s="258">
        <v>2447300000</v>
      </c>
      <c r="J64" s="258">
        <v>26920300000</v>
      </c>
      <c r="K64" s="256" t="s">
        <v>1346</v>
      </c>
    </row>
    <row r="65" spans="1:11" x14ac:dyDescent="0.3">
      <c r="A65" s="256">
        <v>4</v>
      </c>
      <c r="B65" s="257" t="s">
        <v>1355</v>
      </c>
      <c r="C65" s="276">
        <v>44473</v>
      </c>
      <c r="D65" s="257" t="s">
        <v>1297</v>
      </c>
      <c r="E65" s="256" t="s">
        <v>1820</v>
      </c>
      <c r="F65" s="256" t="s">
        <v>1840</v>
      </c>
      <c r="G65" s="258">
        <v>9006000000</v>
      </c>
      <c r="H65" s="265">
        <v>0.1</v>
      </c>
      <c r="I65" s="258">
        <v>900600000</v>
      </c>
      <c r="J65" s="258">
        <v>9906600000</v>
      </c>
      <c r="K65" s="256" t="s">
        <v>1346</v>
      </c>
    </row>
    <row r="66" spans="1:11" x14ac:dyDescent="0.3">
      <c r="A66" s="256">
        <v>5</v>
      </c>
      <c r="B66" s="257" t="s">
        <v>1356</v>
      </c>
      <c r="C66" s="276">
        <v>44474</v>
      </c>
      <c r="D66" s="257" t="s">
        <v>1260</v>
      </c>
      <c r="E66" s="256" t="s">
        <v>1804</v>
      </c>
      <c r="F66" s="256" t="s">
        <v>1839</v>
      </c>
      <c r="G66" s="258">
        <v>21504000000</v>
      </c>
      <c r="H66" s="265">
        <v>0.1</v>
      </c>
      <c r="I66" s="258">
        <v>2150400000</v>
      </c>
      <c r="J66" s="258">
        <v>23654400000</v>
      </c>
      <c r="K66" s="256" t="s">
        <v>1346</v>
      </c>
    </row>
    <row r="67" spans="1:11" x14ac:dyDescent="0.3">
      <c r="A67" s="256">
        <v>6</v>
      </c>
      <c r="B67" s="257" t="s">
        <v>1358</v>
      </c>
      <c r="C67" s="276">
        <v>44475</v>
      </c>
      <c r="D67" s="257" t="s">
        <v>1274</v>
      </c>
      <c r="E67" s="256" t="s">
        <v>1794</v>
      </c>
      <c r="F67" s="256" t="s">
        <v>1839</v>
      </c>
      <c r="G67" s="258">
        <v>17639000000</v>
      </c>
      <c r="H67" s="265">
        <v>0.1</v>
      </c>
      <c r="I67" s="258">
        <v>1763900000</v>
      </c>
      <c r="J67" s="258">
        <v>19402900000</v>
      </c>
      <c r="K67" s="256" t="s">
        <v>1346</v>
      </c>
    </row>
    <row r="68" spans="1:11" x14ac:dyDescent="0.3">
      <c r="A68" s="256">
        <v>7</v>
      </c>
      <c r="B68" s="257" t="s">
        <v>1360</v>
      </c>
      <c r="C68" s="276">
        <v>44476</v>
      </c>
      <c r="D68" s="257" t="s">
        <v>1298</v>
      </c>
      <c r="E68" s="256" t="s">
        <v>1819</v>
      </c>
      <c r="F68" s="256" t="s">
        <v>1839</v>
      </c>
      <c r="G68" s="258">
        <v>18388000000</v>
      </c>
      <c r="H68" s="265">
        <v>0.1</v>
      </c>
      <c r="I68" s="258">
        <v>1838800000</v>
      </c>
      <c r="J68" s="258">
        <v>20226800000</v>
      </c>
      <c r="K68" s="256" t="s">
        <v>1346</v>
      </c>
    </row>
    <row r="69" spans="1:11" x14ac:dyDescent="0.3">
      <c r="A69" s="256">
        <v>8</v>
      </c>
      <c r="B69" s="257" t="s">
        <v>1362</v>
      </c>
      <c r="C69" s="276">
        <v>44477</v>
      </c>
      <c r="D69" s="257" t="s">
        <v>1276</v>
      </c>
      <c r="E69" s="256" t="s">
        <v>1822</v>
      </c>
      <c r="F69" s="256" t="s">
        <v>1838</v>
      </c>
      <c r="G69" s="258">
        <v>27846000000</v>
      </c>
      <c r="H69" s="265">
        <v>0.1</v>
      </c>
      <c r="I69" s="258">
        <v>2784600000</v>
      </c>
      <c r="J69" s="258">
        <v>30630600000</v>
      </c>
      <c r="K69" s="256" t="s">
        <v>1346</v>
      </c>
    </row>
    <row r="70" spans="1:11" x14ac:dyDescent="0.3">
      <c r="A70" s="256">
        <v>9</v>
      </c>
      <c r="B70" s="257" t="s">
        <v>1364</v>
      </c>
      <c r="C70" s="276">
        <v>44478</v>
      </c>
      <c r="D70" s="257" t="s">
        <v>1298</v>
      </c>
      <c r="E70" s="256" t="s">
        <v>1819</v>
      </c>
      <c r="F70" s="256" t="s">
        <v>1840</v>
      </c>
      <c r="G70" s="258">
        <v>27805000000</v>
      </c>
      <c r="H70" s="265">
        <v>0.1</v>
      </c>
      <c r="I70" s="258">
        <v>2780500000</v>
      </c>
      <c r="J70" s="258">
        <v>30585500000</v>
      </c>
      <c r="K70" s="256" t="s">
        <v>1346</v>
      </c>
    </row>
    <row r="71" spans="1:11" x14ac:dyDescent="0.3">
      <c r="A71" s="256">
        <v>10</v>
      </c>
      <c r="B71" s="257" t="s">
        <v>1366</v>
      </c>
      <c r="C71" s="276">
        <v>44479</v>
      </c>
      <c r="D71" s="257" t="s">
        <v>1277</v>
      </c>
      <c r="E71" s="256" t="s">
        <v>1783</v>
      </c>
      <c r="F71" s="256" t="s">
        <v>1839</v>
      </c>
      <c r="G71" s="258">
        <v>13862000000</v>
      </c>
      <c r="H71" s="265">
        <v>0.1</v>
      </c>
      <c r="I71" s="258">
        <v>1386200000</v>
      </c>
      <c r="J71" s="258">
        <v>15248200000</v>
      </c>
      <c r="K71" s="256" t="s">
        <v>1346</v>
      </c>
    </row>
    <row r="72" spans="1:11" x14ac:dyDescent="0.3">
      <c r="A72" s="256">
        <v>11</v>
      </c>
      <c r="B72" s="257" t="s">
        <v>1368</v>
      </c>
      <c r="C72" s="276">
        <v>44480</v>
      </c>
      <c r="D72" s="257" t="s">
        <v>1278</v>
      </c>
      <c r="E72" s="256" t="s">
        <v>1785</v>
      </c>
      <c r="F72" s="256" t="s">
        <v>1838</v>
      </c>
      <c r="G72" s="258">
        <v>9508000000</v>
      </c>
      <c r="H72" s="265">
        <v>0.1</v>
      </c>
      <c r="I72" s="258">
        <v>950800000</v>
      </c>
      <c r="J72" s="258">
        <v>10458800000</v>
      </c>
      <c r="K72" s="256" t="s">
        <v>1346</v>
      </c>
    </row>
    <row r="73" spans="1:11" x14ac:dyDescent="0.3">
      <c r="A73" s="256">
        <v>12</v>
      </c>
      <c r="B73" s="257" t="s">
        <v>1371</v>
      </c>
      <c r="C73" s="276">
        <v>44481</v>
      </c>
      <c r="D73" s="257" t="s">
        <v>1263</v>
      </c>
      <c r="E73" s="256" t="s">
        <v>1790</v>
      </c>
      <c r="F73" s="256" t="s">
        <v>1841</v>
      </c>
      <c r="G73" s="258">
        <v>8689000000</v>
      </c>
      <c r="H73" s="265">
        <v>0.1</v>
      </c>
      <c r="I73" s="258">
        <v>868900000</v>
      </c>
      <c r="J73" s="258">
        <v>9557900000</v>
      </c>
      <c r="K73" s="256" t="s">
        <v>1346</v>
      </c>
    </row>
    <row r="74" spans="1:11" x14ac:dyDescent="0.3">
      <c r="A74" s="256">
        <v>13</v>
      </c>
      <c r="B74" s="257" t="s">
        <v>1373</v>
      </c>
      <c r="C74" s="276">
        <v>44211</v>
      </c>
      <c r="D74" s="257" t="s">
        <v>1274</v>
      </c>
      <c r="E74" s="256" t="s">
        <v>1794</v>
      </c>
      <c r="F74" s="256" t="s">
        <v>1839</v>
      </c>
      <c r="G74" s="258">
        <v>13200000000</v>
      </c>
      <c r="H74" s="265">
        <v>0.1</v>
      </c>
      <c r="I74" s="258">
        <v>1320000000</v>
      </c>
      <c r="J74" s="258">
        <v>14520000000</v>
      </c>
      <c r="K74" s="256" t="s">
        <v>1346</v>
      </c>
    </row>
    <row r="75" spans="1:11" x14ac:dyDescent="0.3">
      <c r="A75" s="256">
        <v>14</v>
      </c>
      <c r="B75" s="257" t="s">
        <v>1374</v>
      </c>
      <c r="C75" s="276">
        <v>44242</v>
      </c>
      <c r="D75" s="257" t="s">
        <v>1301</v>
      </c>
      <c r="E75" s="256" t="s">
        <v>1781</v>
      </c>
      <c r="F75" s="256" t="s">
        <v>1838</v>
      </c>
      <c r="G75" s="258">
        <v>30474000000</v>
      </c>
      <c r="H75" s="265">
        <v>0.1</v>
      </c>
      <c r="I75" s="258">
        <v>3047400000</v>
      </c>
      <c r="J75" s="258">
        <v>33521400000</v>
      </c>
      <c r="K75" s="256" t="s">
        <v>1346</v>
      </c>
    </row>
    <row r="76" spans="1:11" x14ac:dyDescent="0.3">
      <c r="A76" s="256">
        <v>15</v>
      </c>
      <c r="B76" s="257" t="s">
        <v>1376</v>
      </c>
      <c r="C76" s="276">
        <v>44275</v>
      </c>
      <c r="D76" s="257" t="s">
        <v>1270</v>
      </c>
      <c r="E76" s="256" t="s">
        <v>1782</v>
      </c>
      <c r="F76" s="256" t="s">
        <v>1839</v>
      </c>
      <c r="G76" s="258">
        <v>9080000000</v>
      </c>
      <c r="H76" s="265">
        <v>0.1</v>
      </c>
      <c r="I76" s="258">
        <v>908000000</v>
      </c>
      <c r="J76" s="258">
        <v>9988000000</v>
      </c>
      <c r="K76" s="256" t="s">
        <v>1346</v>
      </c>
    </row>
    <row r="77" spans="1:11" x14ac:dyDescent="0.3">
      <c r="A77" s="256">
        <v>16</v>
      </c>
      <c r="B77" s="257" t="s">
        <v>1378</v>
      </c>
      <c r="C77" s="276">
        <v>44306</v>
      </c>
      <c r="D77" s="257" t="s">
        <v>1294</v>
      </c>
      <c r="E77" s="256" t="s">
        <v>1795</v>
      </c>
      <c r="F77" s="256" t="s">
        <v>1840</v>
      </c>
      <c r="G77" s="258">
        <v>27386000000</v>
      </c>
      <c r="H77" s="265">
        <v>0.1</v>
      </c>
      <c r="I77" s="258">
        <v>2738600000</v>
      </c>
      <c r="J77" s="258">
        <v>30124600000</v>
      </c>
      <c r="K77" s="256" t="s">
        <v>1346</v>
      </c>
    </row>
    <row r="78" spans="1:11" x14ac:dyDescent="0.3">
      <c r="A78" s="256">
        <v>17</v>
      </c>
      <c r="B78" s="257" t="s">
        <v>1379</v>
      </c>
      <c r="C78" s="276">
        <v>44336</v>
      </c>
      <c r="D78" s="257" t="s">
        <v>1260</v>
      </c>
      <c r="E78" s="256" t="s">
        <v>1804</v>
      </c>
      <c r="F78" s="256" t="s">
        <v>1840</v>
      </c>
      <c r="G78" s="258">
        <v>11198000000</v>
      </c>
      <c r="H78" s="265">
        <v>0</v>
      </c>
      <c r="I78" s="258">
        <v>0</v>
      </c>
      <c r="J78" s="258">
        <v>11198000000</v>
      </c>
      <c r="K78" s="256" t="s">
        <v>1346</v>
      </c>
    </row>
    <row r="79" spans="1:11" x14ac:dyDescent="0.3">
      <c r="A79" s="256">
        <v>18</v>
      </c>
      <c r="B79" s="257" t="s">
        <v>1381</v>
      </c>
      <c r="C79" s="276">
        <v>44367</v>
      </c>
      <c r="D79" s="257" t="s">
        <v>1255</v>
      </c>
      <c r="E79" s="273">
        <v>46152</v>
      </c>
      <c r="F79" s="256" t="s">
        <v>1839</v>
      </c>
      <c r="G79" s="258">
        <v>22694000000</v>
      </c>
      <c r="H79" s="265">
        <v>0.1</v>
      </c>
      <c r="I79" s="258">
        <v>2269400000</v>
      </c>
      <c r="J79" s="258">
        <v>24963400000</v>
      </c>
      <c r="K79" s="256" t="s">
        <v>1346</v>
      </c>
    </row>
    <row r="80" spans="1:11" x14ac:dyDescent="0.3">
      <c r="A80" s="256">
        <v>19</v>
      </c>
      <c r="B80" s="257" t="s">
        <v>1382</v>
      </c>
      <c r="C80" s="276">
        <v>44397</v>
      </c>
      <c r="D80" s="257" t="s">
        <v>1294</v>
      </c>
      <c r="E80" s="256" t="s">
        <v>1795</v>
      </c>
      <c r="F80" s="256" t="s">
        <v>1839</v>
      </c>
      <c r="G80" s="258">
        <v>9478000000</v>
      </c>
      <c r="H80" s="265">
        <v>0.1</v>
      </c>
      <c r="I80" s="258">
        <v>947800000</v>
      </c>
      <c r="J80" s="258">
        <v>10425800000</v>
      </c>
      <c r="K80" s="256" t="s">
        <v>1346</v>
      </c>
    </row>
    <row r="81" spans="1:11" x14ac:dyDescent="0.3">
      <c r="A81" s="256">
        <v>20</v>
      </c>
      <c r="B81" s="257" t="s">
        <v>1383</v>
      </c>
      <c r="C81" s="276">
        <v>44428</v>
      </c>
      <c r="D81" s="257" t="s">
        <v>1291</v>
      </c>
      <c r="E81" s="256" t="s">
        <v>1800</v>
      </c>
      <c r="F81" s="256" t="s">
        <v>1841</v>
      </c>
      <c r="G81" s="258">
        <v>13145000000</v>
      </c>
      <c r="H81" s="265">
        <v>0.1</v>
      </c>
      <c r="I81" s="258">
        <v>1314500000</v>
      </c>
      <c r="J81" s="258">
        <v>14459500000</v>
      </c>
      <c r="K81" s="256" t="s">
        <v>1346</v>
      </c>
    </row>
    <row r="82" spans="1:11" x14ac:dyDescent="0.3">
      <c r="A82" s="256">
        <v>21</v>
      </c>
      <c r="B82" s="257" t="s">
        <v>1203</v>
      </c>
      <c r="C82" s="276">
        <v>44459</v>
      </c>
      <c r="D82" s="257" t="s">
        <v>1283</v>
      </c>
      <c r="E82" s="256" t="s">
        <v>1798</v>
      </c>
      <c r="F82" s="256" t="s">
        <v>1839</v>
      </c>
      <c r="G82" s="258">
        <v>9211000000</v>
      </c>
      <c r="H82" s="265">
        <v>0.1</v>
      </c>
      <c r="I82" s="258">
        <v>921100000</v>
      </c>
      <c r="J82" s="258">
        <v>10132100000</v>
      </c>
      <c r="K82" s="256" t="s">
        <v>1346</v>
      </c>
    </row>
    <row r="83" spans="1:11" x14ac:dyDescent="0.3">
      <c r="A83" s="256">
        <v>22</v>
      </c>
      <c r="B83" s="257" t="s">
        <v>1204</v>
      </c>
      <c r="C83" s="276">
        <v>44489</v>
      </c>
      <c r="D83" s="257" t="s">
        <v>1297</v>
      </c>
      <c r="E83" s="256" t="s">
        <v>1820</v>
      </c>
      <c r="F83" s="256" t="s">
        <v>1839</v>
      </c>
      <c r="G83" s="258">
        <v>27024000000</v>
      </c>
      <c r="H83" s="265">
        <v>0.1</v>
      </c>
      <c r="I83" s="258">
        <v>2702400000</v>
      </c>
      <c r="J83" s="258">
        <v>29726400000</v>
      </c>
      <c r="K83" s="256" t="s">
        <v>1346</v>
      </c>
    </row>
    <row r="84" spans="1:11" x14ac:dyDescent="0.3">
      <c r="A84" s="256">
        <v>23</v>
      </c>
      <c r="B84" s="257" t="s">
        <v>1205</v>
      </c>
      <c r="C84" s="276">
        <v>44520</v>
      </c>
      <c r="D84" s="257" t="s">
        <v>1303</v>
      </c>
      <c r="E84" s="256" t="s">
        <v>1817</v>
      </c>
      <c r="F84" s="256" t="s">
        <v>1838</v>
      </c>
      <c r="G84" s="258">
        <v>29405000000</v>
      </c>
      <c r="H84" s="265">
        <v>0.1</v>
      </c>
      <c r="I84" s="258">
        <v>2940500000</v>
      </c>
      <c r="J84" s="258">
        <v>32345500000</v>
      </c>
      <c r="K84" s="256" t="s">
        <v>1348</v>
      </c>
    </row>
    <row r="85" spans="1:11" x14ac:dyDescent="0.3">
      <c r="A85" s="256">
        <v>24</v>
      </c>
      <c r="B85" s="257" t="s">
        <v>1385</v>
      </c>
      <c r="C85" s="276">
        <v>44550</v>
      </c>
      <c r="D85" s="257" t="s">
        <v>1264</v>
      </c>
      <c r="E85" s="256" t="s">
        <v>1779</v>
      </c>
      <c r="F85" s="256" t="s">
        <v>1839</v>
      </c>
      <c r="G85" s="258">
        <v>27214000000</v>
      </c>
      <c r="H85" s="265">
        <v>0.1</v>
      </c>
      <c r="I85" s="258">
        <v>2721400000</v>
      </c>
      <c r="J85" s="258">
        <v>29935400000</v>
      </c>
      <c r="K85" s="256" t="s">
        <v>1348</v>
      </c>
    </row>
    <row r="86" spans="1:11" x14ac:dyDescent="0.3">
      <c r="A86" s="256">
        <v>25</v>
      </c>
      <c r="B86" s="257" t="s">
        <v>1387</v>
      </c>
      <c r="C86" s="276">
        <v>44221</v>
      </c>
      <c r="D86" s="257" t="s">
        <v>1263</v>
      </c>
      <c r="E86" s="256" t="s">
        <v>1790</v>
      </c>
      <c r="F86" s="256" t="s">
        <v>1839</v>
      </c>
      <c r="G86" s="258">
        <v>28803000000</v>
      </c>
      <c r="H86" s="265">
        <v>0.1</v>
      </c>
      <c r="I86" s="258">
        <v>2880300000</v>
      </c>
      <c r="J86" s="258">
        <v>31683300000</v>
      </c>
      <c r="K86" s="256" t="s">
        <v>1346</v>
      </c>
    </row>
    <row r="87" spans="1:11" x14ac:dyDescent="0.3">
      <c r="A87" s="256">
        <v>26</v>
      </c>
      <c r="B87" s="257" t="s">
        <v>1388</v>
      </c>
      <c r="C87" s="276">
        <v>44255</v>
      </c>
      <c r="D87" s="257" t="s">
        <v>1264</v>
      </c>
      <c r="E87" s="256" t="s">
        <v>1779</v>
      </c>
      <c r="F87" s="256" t="s">
        <v>1838</v>
      </c>
      <c r="G87" s="258">
        <v>16699000000</v>
      </c>
      <c r="H87" s="265">
        <v>0.1</v>
      </c>
      <c r="I87" s="258">
        <v>1669900000</v>
      </c>
      <c r="J87" s="258">
        <v>18368900000</v>
      </c>
      <c r="K87" s="256" t="s">
        <v>1346</v>
      </c>
    </row>
    <row r="88" spans="1:11" x14ac:dyDescent="0.3">
      <c r="A88" s="256">
        <v>27</v>
      </c>
      <c r="B88" s="257" t="s">
        <v>1391</v>
      </c>
      <c r="C88" s="276">
        <v>44316</v>
      </c>
      <c r="D88" s="257" t="s">
        <v>1261</v>
      </c>
      <c r="E88" s="256" t="s">
        <v>1813</v>
      </c>
      <c r="F88" s="256" t="s">
        <v>1841</v>
      </c>
      <c r="G88" s="258">
        <v>30419000000</v>
      </c>
      <c r="H88" s="265">
        <v>0.1</v>
      </c>
      <c r="I88" s="258">
        <v>3041900000</v>
      </c>
      <c r="J88" s="258">
        <v>33460900000</v>
      </c>
      <c r="K88" s="256" t="s">
        <v>1346</v>
      </c>
    </row>
    <row r="89" spans="1:11" x14ac:dyDescent="0.3">
      <c r="A89" s="256">
        <v>28</v>
      </c>
      <c r="B89" s="257" t="s">
        <v>1392</v>
      </c>
      <c r="C89" s="276">
        <v>44377</v>
      </c>
      <c r="D89" s="257" t="s">
        <v>1290</v>
      </c>
      <c r="E89" s="256" t="s">
        <v>1796</v>
      </c>
      <c r="F89" s="256" t="s">
        <v>1838</v>
      </c>
      <c r="G89" s="258">
        <v>13586000000</v>
      </c>
      <c r="H89" s="265">
        <v>0.1</v>
      </c>
      <c r="I89" s="258">
        <v>1358600000</v>
      </c>
      <c r="J89" s="258">
        <v>14944600000</v>
      </c>
      <c r="K89" s="256" t="s">
        <v>1346</v>
      </c>
    </row>
    <row r="90" spans="1:11" x14ac:dyDescent="0.3">
      <c r="A90" s="256">
        <v>29</v>
      </c>
      <c r="B90" s="257" t="s">
        <v>1394</v>
      </c>
      <c r="C90" s="276">
        <v>44469</v>
      </c>
      <c r="D90" s="257" t="s">
        <v>1294</v>
      </c>
      <c r="E90" s="256" t="s">
        <v>1795</v>
      </c>
      <c r="F90" s="256" t="s">
        <v>1841</v>
      </c>
      <c r="G90" s="258">
        <v>8599000000</v>
      </c>
      <c r="H90" s="265">
        <v>0.1</v>
      </c>
      <c r="I90" s="258">
        <v>859900000</v>
      </c>
      <c r="J90" s="258">
        <v>9458900000</v>
      </c>
      <c r="K90" s="256" t="s">
        <v>1346</v>
      </c>
    </row>
    <row r="91" spans="1:11" x14ac:dyDescent="0.3">
      <c r="A91" s="256">
        <v>30</v>
      </c>
      <c r="B91" s="257" t="s">
        <v>1396</v>
      </c>
      <c r="C91" s="276">
        <v>44530</v>
      </c>
      <c r="D91" s="257" t="s">
        <v>1293</v>
      </c>
      <c r="E91" s="256" t="s">
        <v>1826</v>
      </c>
      <c r="F91" s="256" t="s">
        <v>1838</v>
      </c>
      <c r="G91" s="258">
        <v>22474000000</v>
      </c>
      <c r="H91" s="265">
        <v>0.1</v>
      </c>
      <c r="I91" s="258">
        <v>2247400000</v>
      </c>
      <c r="J91" s="258">
        <v>24721400000</v>
      </c>
      <c r="K91" s="256" t="s">
        <v>1346</v>
      </c>
    </row>
    <row r="92" spans="1:11" x14ac:dyDescent="0.3">
      <c r="A92" s="256">
        <v>31</v>
      </c>
      <c r="B92" s="257" t="s">
        <v>1397</v>
      </c>
      <c r="C92" s="276">
        <v>44286</v>
      </c>
      <c r="D92" s="257" t="s">
        <v>1273</v>
      </c>
      <c r="E92" s="256" t="s">
        <v>1829</v>
      </c>
      <c r="F92" s="256" t="s">
        <v>1841</v>
      </c>
      <c r="G92" s="258">
        <v>28137000000</v>
      </c>
      <c r="H92" s="265">
        <v>0.1</v>
      </c>
      <c r="I92" s="258">
        <v>2813700000</v>
      </c>
      <c r="J92" s="258">
        <v>30950700000</v>
      </c>
      <c r="K92" s="256" t="s">
        <v>1346</v>
      </c>
    </row>
    <row r="93" spans="1:11" x14ac:dyDescent="0.3">
      <c r="A93" s="256">
        <v>32</v>
      </c>
      <c r="B93" s="257" t="s">
        <v>1398</v>
      </c>
      <c r="C93" s="276">
        <v>44347</v>
      </c>
      <c r="D93" s="257" t="s">
        <v>1297</v>
      </c>
      <c r="E93" s="256" t="s">
        <v>1820</v>
      </c>
      <c r="F93" s="256" t="s">
        <v>1839</v>
      </c>
      <c r="G93" s="258">
        <v>24364000000</v>
      </c>
      <c r="H93" s="265">
        <v>0.1</v>
      </c>
      <c r="I93" s="258">
        <v>2436400000</v>
      </c>
      <c r="J93" s="258">
        <v>26800400000</v>
      </c>
      <c r="K93" s="256" t="s">
        <v>1348</v>
      </c>
    </row>
    <row r="94" spans="1:11" x14ac:dyDescent="0.3">
      <c r="A94" s="256">
        <v>33</v>
      </c>
      <c r="B94" s="257" t="s">
        <v>1399</v>
      </c>
      <c r="C94" s="276">
        <v>44408</v>
      </c>
      <c r="D94" s="257" t="s">
        <v>1282</v>
      </c>
      <c r="E94" s="256" t="s">
        <v>1789</v>
      </c>
      <c r="F94" s="256" t="s">
        <v>1839</v>
      </c>
      <c r="G94" s="258">
        <v>8187000000</v>
      </c>
      <c r="H94" s="265">
        <v>0.1</v>
      </c>
      <c r="I94" s="258">
        <v>818700000</v>
      </c>
      <c r="J94" s="258">
        <v>9005700000</v>
      </c>
      <c r="K94" s="256" t="s">
        <v>1346</v>
      </c>
    </row>
    <row r="95" spans="1:11" x14ac:dyDescent="0.3">
      <c r="A95" s="256">
        <v>34</v>
      </c>
      <c r="B95" s="257" t="s">
        <v>1401</v>
      </c>
      <c r="C95" s="276">
        <v>44439</v>
      </c>
      <c r="D95" s="257" t="s">
        <v>1294</v>
      </c>
      <c r="E95" s="256" t="s">
        <v>1795</v>
      </c>
      <c r="F95" s="256" t="s">
        <v>1841</v>
      </c>
      <c r="G95" s="258">
        <v>22524000000</v>
      </c>
      <c r="H95" s="265">
        <v>0.1</v>
      </c>
      <c r="I95" s="258">
        <v>2252400000</v>
      </c>
      <c r="J95" s="258">
        <v>24776400000</v>
      </c>
      <c r="K95" s="256" t="s">
        <v>1346</v>
      </c>
    </row>
    <row r="96" spans="1:11" x14ac:dyDescent="0.3">
      <c r="A96" s="256">
        <v>35</v>
      </c>
      <c r="B96" s="257" t="s">
        <v>1402</v>
      </c>
      <c r="C96" s="276">
        <v>44500</v>
      </c>
      <c r="D96" s="257" t="s">
        <v>1259</v>
      </c>
      <c r="E96" s="256" t="s">
        <v>1788</v>
      </c>
      <c r="F96" s="256" t="s">
        <v>1840</v>
      </c>
      <c r="G96" s="258">
        <v>26268000000</v>
      </c>
      <c r="H96" s="265">
        <v>0.1</v>
      </c>
      <c r="I96" s="258">
        <v>2626800000</v>
      </c>
      <c r="J96" s="258">
        <v>28894800000</v>
      </c>
      <c r="K96" s="256" t="s">
        <v>1346</v>
      </c>
    </row>
    <row r="97" spans="1:11" x14ac:dyDescent="0.3">
      <c r="A97" s="256">
        <v>36</v>
      </c>
      <c r="B97" s="257" t="s">
        <v>1403</v>
      </c>
      <c r="C97" s="276">
        <v>44561</v>
      </c>
      <c r="D97" s="257" t="s">
        <v>1266</v>
      </c>
      <c r="E97" s="256" t="s">
        <v>1824</v>
      </c>
      <c r="F97" s="256" t="s">
        <v>1840</v>
      </c>
      <c r="G97" s="258">
        <v>30585000000</v>
      </c>
      <c r="H97" s="265">
        <v>0.1</v>
      </c>
      <c r="I97" s="258">
        <v>3058500000</v>
      </c>
      <c r="J97" s="258">
        <v>33643500000</v>
      </c>
      <c r="K97" s="256" t="s">
        <v>1346</v>
      </c>
    </row>
    <row r="98" spans="1:11" x14ac:dyDescent="0.3">
      <c r="A98" s="256">
        <v>37</v>
      </c>
      <c r="B98" s="257" t="s">
        <v>1404</v>
      </c>
      <c r="C98" s="276">
        <v>44561</v>
      </c>
      <c r="D98" s="257" t="s">
        <v>1268</v>
      </c>
      <c r="E98" s="256" t="s">
        <v>1821</v>
      </c>
      <c r="F98" s="256" t="s">
        <v>1841</v>
      </c>
      <c r="G98" s="258">
        <v>15893000000</v>
      </c>
      <c r="H98" s="265">
        <v>0.1</v>
      </c>
      <c r="I98" s="258">
        <v>1589300000</v>
      </c>
      <c r="J98" s="258">
        <v>17482300000</v>
      </c>
      <c r="K98" s="256" t="s">
        <v>1346</v>
      </c>
    </row>
    <row r="99" spans="1:11" x14ac:dyDescent="0.3">
      <c r="A99" s="256">
        <v>38</v>
      </c>
      <c r="B99" s="257" t="s">
        <v>1405</v>
      </c>
      <c r="C99" s="276">
        <v>44561</v>
      </c>
      <c r="D99" s="257" t="s">
        <v>1292</v>
      </c>
      <c r="E99" s="256" t="s">
        <v>1792</v>
      </c>
      <c r="F99" s="256" t="s">
        <v>1840</v>
      </c>
      <c r="G99" s="258">
        <v>16865000000</v>
      </c>
      <c r="H99" s="265">
        <v>0.1</v>
      </c>
      <c r="I99" s="258">
        <v>1686500000</v>
      </c>
      <c r="J99" s="258">
        <v>18551500000</v>
      </c>
      <c r="K99" s="256" t="s">
        <v>1346</v>
      </c>
    </row>
    <row r="100" spans="1:11" x14ac:dyDescent="0.3">
      <c r="A100" s="256">
        <v>39</v>
      </c>
      <c r="B100" s="257" t="s">
        <v>1406</v>
      </c>
      <c r="C100" s="276">
        <v>44561</v>
      </c>
      <c r="D100" s="257" t="s">
        <v>1281</v>
      </c>
      <c r="E100" s="256" t="s">
        <v>1806</v>
      </c>
      <c r="F100" s="256" t="s">
        <v>1840</v>
      </c>
      <c r="G100" s="258">
        <v>28092000000</v>
      </c>
      <c r="H100" s="265">
        <v>0.1</v>
      </c>
      <c r="I100" s="258">
        <v>2809200000</v>
      </c>
      <c r="J100" s="258">
        <v>30901200000</v>
      </c>
      <c r="K100" s="256" t="s">
        <v>1348</v>
      </c>
    </row>
    <row r="101" spans="1:11" x14ac:dyDescent="0.3">
      <c r="A101" s="256">
        <v>40</v>
      </c>
      <c r="B101" s="257" t="s">
        <v>1408</v>
      </c>
      <c r="C101" s="276">
        <v>44561</v>
      </c>
      <c r="D101" s="257" t="s">
        <v>1280</v>
      </c>
      <c r="E101" s="256" t="s">
        <v>1777</v>
      </c>
      <c r="F101" s="256" t="s">
        <v>1839</v>
      </c>
      <c r="G101" s="258">
        <v>14630000000</v>
      </c>
      <c r="H101" s="265">
        <v>0.1</v>
      </c>
      <c r="I101" s="258">
        <v>1463000000</v>
      </c>
      <c r="J101" s="258">
        <v>16093000000</v>
      </c>
      <c r="K101" s="256" t="s">
        <v>1348</v>
      </c>
    </row>
    <row r="102" spans="1:11" x14ac:dyDescent="0.3">
      <c r="A102" s="256">
        <v>41</v>
      </c>
      <c r="B102" s="257" t="s">
        <v>1409</v>
      </c>
      <c r="C102" s="276">
        <v>44561</v>
      </c>
      <c r="D102" s="257" t="s">
        <v>1275</v>
      </c>
      <c r="E102" s="256" t="s">
        <v>1808</v>
      </c>
      <c r="F102" s="256" t="s">
        <v>1841</v>
      </c>
      <c r="G102" s="258">
        <v>30440000000</v>
      </c>
      <c r="H102" s="265">
        <v>0.1</v>
      </c>
      <c r="I102" s="258">
        <v>3044000000</v>
      </c>
      <c r="J102" s="258">
        <v>33484000000</v>
      </c>
      <c r="K102" s="256" t="s">
        <v>1346</v>
      </c>
    </row>
    <row r="103" spans="1:11" x14ac:dyDescent="0.3">
      <c r="A103" s="256">
        <v>42</v>
      </c>
      <c r="B103" s="257" t="s">
        <v>1411</v>
      </c>
      <c r="C103" s="276">
        <v>44561</v>
      </c>
      <c r="D103" s="257" t="s">
        <v>1275</v>
      </c>
      <c r="E103" s="256" t="s">
        <v>1808</v>
      </c>
      <c r="F103" s="256" t="s">
        <v>1838</v>
      </c>
      <c r="G103" s="258">
        <v>9757000000</v>
      </c>
      <c r="H103" s="265">
        <v>0.1</v>
      </c>
      <c r="I103" s="258">
        <v>975700000</v>
      </c>
      <c r="J103" s="258">
        <v>10732700000</v>
      </c>
      <c r="K103" s="256" t="s">
        <v>1346</v>
      </c>
    </row>
    <row r="104" spans="1:11" x14ac:dyDescent="0.3">
      <c r="A104" s="256">
        <v>43</v>
      </c>
      <c r="B104" s="257" t="s">
        <v>1414</v>
      </c>
      <c r="C104" s="276">
        <v>44561</v>
      </c>
      <c r="D104" s="257" t="s">
        <v>1301</v>
      </c>
      <c r="E104" s="256" t="s">
        <v>1781</v>
      </c>
      <c r="F104" s="256" t="s">
        <v>1841</v>
      </c>
      <c r="G104" s="258">
        <v>10021000000</v>
      </c>
      <c r="H104" s="265">
        <v>0.1</v>
      </c>
      <c r="I104" s="258">
        <v>1002100000</v>
      </c>
      <c r="J104" s="258">
        <v>11023100000</v>
      </c>
      <c r="K104" s="256" t="s">
        <v>1346</v>
      </c>
    </row>
    <row r="105" spans="1:11" x14ac:dyDescent="0.3">
      <c r="A105" s="256">
        <v>44</v>
      </c>
      <c r="B105" s="257" t="s">
        <v>1415</v>
      </c>
      <c r="C105" s="276">
        <v>44561</v>
      </c>
      <c r="D105" s="257" t="s">
        <v>1294</v>
      </c>
      <c r="E105" s="256" t="s">
        <v>1795</v>
      </c>
      <c r="F105" s="256" t="s">
        <v>1840</v>
      </c>
      <c r="G105" s="258">
        <v>15109000000</v>
      </c>
      <c r="H105" s="265">
        <v>0</v>
      </c>
      <c r="I105" s="258">
        <v>0</v>
      </c>
      <c r="J105" s="258">
        <v>15109000000</v>
      </c>
      <c r="K105" s="256" t="s">
        <v>1346</v>
      </c>
    </row>
    <row r="106" spans="1:11" x14ac:dyDescent="0.3">
      <c r="A106" s="256">
        <v>45</v>
      </c>
      <c r="B106" s="257" t="s">
        <v>1206</v>
      </c>
      <c r="C106" s="276">
        <v>44561</v>
      </c>
      <c r="D106" s="257" t="s">
        <v>1264</v>
      </c>
      <c r="E106" s="256" t="s">
        <v>1779</v>
      </c>
      <c r="F106" s="256" t="s">
        <v>1841</v>
      </c>
      <c r="G106" s="258">
        <v>16319000000</v>
      </c>
      <c r="H106" s="265">
        <v>0.1</v>
      </c>
      <c r="I106" s="258">
        <v>1631900000</v>
      </c>
      <c r="J106" s="258">
        <v>17950900000</v>
      </c>
      <c r="K106" s="256" t="s">
        <v>1346</v>
      </c>
    </row>
    <row r="107" spans="1:11" x14ac:dyDescent="0.3">
      <c r="A107" s="256">
        <v>46</v>
      </c>
      <c r="B107" s="257" t="s">
        <v>1207</v>
      </c>
      <c r="C107" s="276">
        <v>44561</v>
      </c>
      <c r="D107" s="257" t="s">
        <v>1288</v>
      </c>
      <c r="E107" s="256" t="s">
        <v>1797</v>
      </c>
      <c r="F107" s="256" t="s">
        <v>1838</v>
      </c>
      <c r="G107" s="258">
        <v>22406000000</v>
      </c>
      <c r="H107" s="265">
        <v>0</v>
      </c>
      <c r="I107" s="258">
        <v>0</v>
      </c>
      <c r="J107" s="258">
        <v>22406000000</v>
      </c>
      <c r="K107" s="256" t="s">
        <v>1346</v>
      </c>
    </row>
    <row r="108" spans="1:11" x14ac:dyDescent="0.3">
      <c r="A108" s="256">
        <v>47</v>
      </c>
      <c r="B108" s="257" t="s">
        <v>1208</v>
      </c>
      <c r="C108" s="276">
        <v>44561</v>
      </c>
      <c r="D108" s="257" t="s">
        <v>1272</v>
      </c>
      <c r="E108" s="256" t="s">
        <v>1805</v>
      </c>
      <c r="F108" s="256" t="s">
        <v>1840</v>
      </c>
      <c r="G108" s="258">
        <v>29860000000</v>
      </c>
      <c r="H108" s="265">
        <v>0.1</v>
      </c>
      <c r="I108" s="258">
        <v>2986000000</v>
      </c>
      <c r="J108" s="258">
        <v>32846000000</v>
      </c>
      <c r="K108" s="256" t="s">
        <v>1346</v>
      </c>
    </row>
    <row r="109" spans="1:11" x14ac:dyDescent="0.3">
      <c r="A109" s="256">
        <v>48</v>
      </c>
      <c r="B109" s="257" t="s">
        <v>1209</v>
      </c>
      <c r="C109" s="276">
        <v>44561</v>
      </c>
      <c r="D109" s="257" t="s">
        <v>1279</v>
      </c>
      <c r="E109" s="256" t="s">
        <v>1827</v>
      </c>
      <c r="F109" s="256" t="s">
        <v>1841</v>
      </c>
      <c r="G109" s="258">
        <v>8630000000</v>
      </c>
      <c r="H109" s="265">
        <v>0.1</v>
      </c>
      <c r="I109" s="258">
        <v>863000000</v>
      </c>
      <c r="J109" s="258">
        <v>9493000000</v>
      </c>
      <c r="K109" s="256" t="s">
        <v>1346</v>
      </c>
    </row>
    <row r="110" spans="1:11" x14ac:dyDescent="0.3">
      <c r="A110" s="256">
        <v>49</v>
      </c>
      <c r="B110" s="257" t="s">
        <v>1418</v>
      </c>
      <c r="C110" s="276">
        <v>44561</v>
      </c>
      <c r="D110" s="257" t="s">
        <v>1293</v>
      </c>
      <c r="E110" s="256" t="s">
        <v>1826</v>
      </c>
      <c r="F110" s="256" t="s">
        <v>1840</v>
      </c>
      <c r="G110" s="258">
        <v>17663000000</v>
      </c>
      <c r="H110" s="265">
        <v>0.1</v>
      </c>
      <c r="I110" s="258">
        <v>1766300000</v>
      </c>
      <c r="J110" s="258">
        <v>19429300000</v>
      </c>
      <c r="K110" s="256" t="s">
        <v>1348</v>
      </c>
    </row>
    <row r="111" spans="1:11" x14ac:dyDescent="0.3">
      <c r="A111" s="256">
        <v>50</v>
      </c>
      <c r="B111" s="257" t="s">
        <v>1419</v>
      </c>
      <c r="C111" s="276">
        <v>44561</v>
      </c>
      <c r="D111" s="257" t="s">
        <v>1271</v>
      </c>
      <c r="E111" s="256" t="s">
        <v>1799</v>
      </c>
      <c r="F111" s="256" t="s">
        <v>1839</v>
      </c>
      <c r="G111" s="258">
        <v>8298000000</v>
      </c>
      <c r="H111" s="265">
        <v>0</v>
      </c>
      <c r="I111" s="258">
        <v>0</v>
      </c>
      <c r="J111" s="258">
        <v>8298000000</v>
      </c>
      <c r="K111" s="256" t="s">
        <v>1346</v>
      </c>
    </row>
    <row r="112" spans="1:11" x14ac:dyDescent="0.3">
      <c r="A112" s="266" t="s">
        <v>1351</v>
      </c>
      <c r="B112" s="266"/>
      <c r="C112" s="266"/>
      <c r="D112" s="266"/>
      <c r="E112" s="266"/>
      <c r="F112" s="266"/>
      <c r="G112" s="267">
        <f>SUM(G62:G111)</f>
        <v>943639000000</v>
      </c>
      <c r="H112" s="266"/>
      <c r="I112" s="267">
        <f>SUM(I62:I111)</f>
        <v>88662800000</v>
      </c>
      <c r="J112" s="267">
        <f>SUM(J62:J111)</f>
        <v>1032301800000</v>
      </c>
      <c r="K112" s="266"/>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1113</v>
      </c>
      <c r="C1" s="256"/>
      <c r="D1" s="256"/>
      <c r="E1" s="256"/>
      <c r="F1" s="256"/>
      <c r="G1" s="256"/>
      <c r="H1" s="256"/>
      <c r="I1" s="256"/>
      <c r="J1" s="256"/>
      <c r="K1" s="256"/>
    </row>
    <row r="2" spans="1:11" x14ac:dyDescent="0.3">
      <c r="A2" s="256" t="s">
        <v>1339</v>
      </c>
      <c r="B2" s="257">
        <v>500448216</v>
      </c>
      <c r="C2" s="256"/>
      <c r="D2" s="256"/>
      <c r="E2" s="256"/>
      <c r="F2" s="256"/>
      <c r="G2" s="256"/>
      <c r="H2" s="256"/>
      <c r="I2" s="256"/>
      <c r="J2" s="256"/>
      <c r="K2" s="256"/>
    </row>
    <row r="3" spans="1:11" x14ac:dyDescent="0.3">
      <c r="A3" s="256" t="s">
        <v>1343</v>
      </c>
      <c r="B3" s="258">
        <v>362579466815</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1505</v>
      </c>
      <c r="C8" s="276">
        <v>44317</v>
      </c>
      <c r="D8" s="257" t="s">
        <v>1275</v>
      </c>
      <c r="E8" s="256" t="s">
        <v>1808</v>
      </c>
      <c r="F8" s="256" t="s">
        <v>1910</v>
      </c>
      <c r="G8" s="258">
        <v>2462000000</v>
      </c>
      <c r="H8" s="265">
        <v>0.1</v>
      </c>
      <c r="I8" s="258">
        <v>246200000</v>
      </c>
      <c r="J8" s="258">
        <v>2708200000</v>
      </c>
      <c r="K8" s="256" t="s">
        <v>1346</v>
      </c>
    </row>
    <row r="9" spans="1:11" x14ac:dyDescent="0.3">
      <c r="A9" s="256">
        <v>2</v>
      </c>
      <c r="B9" s="257" t="s">
        <v>1482</v>
      </c>
      <c r="C9" s="276">
        <v>44318</v>
      </c>
      <c r="D9" s="257" t="s">
        <v>1280</v>
      </c>
      <c r="E9" s="256" t="s">
        <v>1777</v>
      </c>
      <c r="F9" s="256" t="s">
        <v>1731</v>
      </c>
      <c r="G9" s="258">
        <v>8113000000</v>
      </c>
      <c r="H9" s="265">
        <v>0.1</v>
      </c>
      <c r="I9" s="258">
        <v>811300000</v>
      </c>
      <c r="J9" s="258">
        <v>8924300000</v>
      </c>
      <c r="K9" s="256" t="s">
        <v>1346</v>
      </c>
    </row>
    <row r="10" spans="1:11" x14ac:dyDescent="0.3">
      <c r="A10" s="256">
        <v>3</v>
      </c>
      <c r="B10" s="257" t="s">
        <v>1505</v>
      </c>
      <c r="C10" s="276">
        <v>44472</v>
      </c>
      <c r="D10" s="257" t="s">
        <v>1260</v>
      </c>
      <c r="E10" s="256" t="s">
        <v>1804</v>
      </c>
      <c r="F10" s="256" t="s">
        <v>1851</v>
      </c>
      <c r="G10" s="258">
        <v>3151000000</v>
      </c>
      <c r="H10" s="265">
        <v>0.1</v>
      </c>
      <c r="I10" s="258">
        <v>315100000</v>
      </c>
      <c r="J10" s="258">
        <v>3466100000</v>
      </c>
      <c r="K10" s="256" t="s">
        <v>1346</v>
      </c>
    </row>
    <row r="11" spans="1:11" x14ac:dyDescent="0.3">
      <c r="A11" s="256">
        <v>4</v>
      </c>
      <c r="B11" s="257" t="s">
        <v>1507</v>
      </c>
      <c r="C11" s="276">
        <v>44473</v>
      </c>
      <c r="D11" s="257" t="s">
        <v>1272</v>
      </c>
      <c r="E11" s="256" t="s">
        <v>1805</v>
      </c>
      <c r="F11" s="256" t="s">
        <v>1741</v>
      </c>
      <c r="G11" s="258">
        <v>7594000000</v>
      </c>
      <c r="H11" s="265">
        <v>0.1</v>
      </c>
      <c r="I11" s="258">
        <v>759400000</v>
      </c>
      <c r="J11" s="258">
        <v>8353400000</v>
      </c>
      <c r="K11" s="256" t="s">
        <v>1346</v>
      </c>
    </row>
    <row r="12" spans="1:11" x14ac:dyDescent="0.3">
      <c r="A12" s="256">
        <v>5</v>
      </c>
      <c r="B12" s="257" t="s">
        <v>1461</v>
      </c>
      <c r="C12" s="276">
        <v>44474</v>
      </c>
      <c r="D12" s="257" t="s">
        <v>1297</v>
      </c>
      <c r="E12" s="256" t="s">
        <v>1820</v>
      </c>
      <c r="F12" s="256" t="s">
        <v>1741</v>
      </c>
      <c r="G12" s="258">
        <v>8006000000</v>
      </c>
      <c r="H12" s="265">
        <v>0.1</v>
      </c>
      <c r="I12" s="258">
        <v>800600000</v>
      </c>
      <c r="J12" s="258">
        <v>8806600000</v>
      </c>
      <c r="K12" s="256" t="s">
        <v>1348</v>
      </c>
    </row>
    <row r="13" spans="1:11" x14ac:dyDescent="0.3">
      <c r="A13" s="256">
        <v>6</v>
      </c>
      <c r="B13" s="257" t="s">
        <v>1466</v>
      </c>
      <c r="C13" s="276">
        <v>44475</v>
      </c>
      <c r="D13" s="257" t="s">
        <v>1267</v>
      </c>
      <c r="E13" s="256" t="s">
        <v>1810</v>
      </c>
      <c r="F13" s="256" t="s">
        <v>1767</v>
      </c>
      <c r="G13" s="258">
        <v>2454000000</v>
      </c>
      <c r="H13" s="265">
        <v>0.1</v>
      </c>
      <c r="I13" s="258">
        <v>245400000</v>
      </c>
      <c r="J13" s="258">
        <v>2699400000</v>
      </c>
      <c r="K13" s="256" t="s">
        <v>1346</v>
      </c>
    </row>
    <row r="14" spans="1:11" x14ac:dyDescent="0.3">
      <c r="A14" s="256">
        <v>7</v>
      </c>
      <c r="B14" s="257" t="s">
        <v>1500</v>
      </c>
      <c r="C14" s="276">
        <v>44476</v>
      </c>
      <c r="D14" s="257" t="s">
        <v>1256</v>
      </c>
      <c r="E14" s="256" t="s">
        <v>1802</v>
      </c>
      <c r="F14" s="256" t="s">
        <v>1731</v>
      </c>
      <c r="G14" s="258">
        <v>3196000000</v>
      </c>
      <c r="H14" s="265">
        <v>0.1</v>
      </c>
      <c r="I14" s="258">
        <v>319600000</v>
      </c>
      <c r="J14" s="258">
        <v>3515600000</v>
      </c>
      <c r="K14" s="256" t="s">
        <v>1346</v>
      </c>
    </row>
    <row r="15" spans="1:11" x14ac:dyDescent="0.3">
      <c r="A15" s="256">
        <v>8</v>
      </c>
      <c r="B15" s="257" t="s">
        <v>1483</v>
      </c>
      <c r="C15" s="276">
        <v>44477</v>
      </c>
      <c r="D15" s="257" t="s">
        <v>1299</v>
      </c>
      <c r="E15" s="256" t="s">
        <v>1776</v>
      </c>
      <c r="F15" s="256" t="s">
        <v>1967</v>
      </c>
      <c r="G15" s="258">
        <v>2343000000</v>
      </c>
      <c r="H15" s="265">
        <v>0.1</v>
      </c>
      <c r="I15" s="258">
        <v>234300000</v>
      </c>
      <c r="J15" s="258">
        <v>2577300000</v>
      </c>
      <c r="K15" s="256" t="s">
        <v>1346</v>
      </c>
    </row>
    <row r="16" spans="1:11" x14ac:dyDescent="0.3">
      <c r="A16" s="256">
        <v>9</v>
      </c>
      <c r="B16" s="257" t="s">
        <v>1483</v>
      </c>
      <c r="C16" s="276">
        <v>44478</v>
      </c>
      <c r="D16" s="257" t="s">
        <v>1278</v>
      </c>
      <c r="E16" s="256" t="s">
        <v>1785</v>
      </c>
      <c r="F16" s="256" t="s">
        <v>1851</v>
      </c>
      <c r="G16" s="258">
        <v>6979000000</v>
      </c>
      <c r="H16" s="265">
        <v>0.1</v>
      </c>
      <c r="I16" s="258">
        <v>697900000</v>
      </c>
      <c r="J16" s="258">
        <v>7676900000</v>
      </c>
      <c r="K16" s="256" t="s">
        <v>1346</v>
      </c>
    </row>
    <row r="17" spans="1:11" x14ac:dyDescent="0.3">
      <c r="A17" s="256">
        <v>10</v>
      </c>
      <c r="B17" s="257" t="s">
        <v>1464</v>
      </c>
      <c r="C17" s="276">
        <v>44479</v>
      </c>
      <c r="D17" s="257" t="s">
        <v>1255</v>
      </c>
      <c r="E17" s="273">
        <v>46152</v>
      </c>
      <c r="F17" s="256" t="s">
        <v>1851</v>
      </c>
      <c r="G17" s="258">
        <v>3505000000</v>
      </c>
      <c r="H17" s="265">
        <v>0.1</v>
      </c>
      <c r="I17" s="258">
        <v>350500000</v>
      </c>
      <c r="J17" s="258">
        <v>3855500000</v>
      </c>
      <c r="K17" s="256" t="s">
        <v>1346</v>
      </c>
    </row>
    <row r="18" spans="1:11" x14ac:dyDescent="0.3">
      <c r="A18" s="256">
        <v>11</v>
      </c>
      <c r="B18" s="257" t="s">
        <v>1505</v>
      </c>
      <c r="C18" s="276">
        <v>44480</v>
      </c>
      <c r="D18" s="257" t="s">
        <v>1274</v>
      </c>
      <c r="E18" s="256" t="s">
        <v>1794</v>
      </c>
      <c r="F18" s="256" t="s">
        <v>1967</v>
      </c>
      <c r="G18" s="258">
        <v>8157000000</v>
      </c>
      <c r="H18" s="265">
        <v>0.1</v>
      </c>
      <c r="I18" s="258">
        <v>815700000</v>
      </c>
      <c r="J18" s="258">
        <v>8972700000</v>
      </c>
      <c r="K18" s="256" t="s">
        <v>1346</v>
      </c>
    </row>
    <row r="19" spans="1:11" x14ac:dyDescent="0.3">
      <c r="A19" s="256">
        <v>12</v>
      </c>
      <c r="B19" s="257" t="s">
        <v>1478</v>
      </c>
      <c r="C19" s="276">
        <v>44481</v>
      </c>
      <c r="D19" s="257" t="s">
        <v>1262</v>
      </c>
      <c r="E19" s="256" t="s">
        <v>1816</v>
      </c>
      <c r="F19" s="256" t="s">
        <v>1767</v>
      </c>
      <c r="G19" s="258">
        <v>3691000000</v>
      </c>
      <c r="H19" s="265">
        <v>0.1</v>
      </c>
      <c r="I19" s="258">
        <v>369100000</v>
      </c>
      <c r="J19" s="258">
        <v>4060100000</v>
      </c>
      <c r="K19" s="256" t="s">
        <v>1346</v>
      </c>
    </row>
    <row r="20" spans="1:11" x14ac:dyDescent="0.3">
      <c r="A20" s="256">
        <v>13</v>
      </c>
      <c r="B20" s="257" t="s">
        <v>1461</v>
      </c>
      <c r="C20" s="276">
        <v>44211</v>
      </c>
      <c r="D20" s="257" t="s">
        <v>1292</v>
      </c>
      <c r="E20" s="256" t="s">
        <v>1792</v>
      </c>
      <c r="F20" s="256" t="s">
        <v>1767</v>
      </c>
      <c r="G20" s="258">
        <v>3223000000</v>
      </c>
      <c r="H20" s="265">
        <v>0.1</v>
      </c>
      <c r="I20" s="258">
        <v>322300000</v>
      </c>
      <c r="J20" s="258">
        <v>3545300000</v>
      </c>
      <c r="K20" s="256" t="s">
        <v>1348</v>
      </c>
    </row>
    <row r="21" spans="1:11" x14ac:dyDescent="0.3">
      <c r="A21" s="256">
        <v>14</v>
      </c>
      <c r="B21" s="257" t="s">
        <v>1474</v>
      </c>
      <c r="C21" s="276">
        <v>44242</v>
      </c>
      <c r="D21" s="257" t="s">
        <v>1301</v>
      </c>
      <c r="E21" s="256" t="s">
        <v>1781</v>
      </c>
      <c r="F21" s="256" t="s">
        <v>1910</v>
      </c>
      <c r="G21" s="258">
        <v>3061000000</v>
      </c>
      <c r="H21" s="265">
        <v>0.1</v>
      </c>
      <c r="I21" s="258">
        <v>306100000</v>
      </c>
      <c r="J21" s="258">
        <v>3367100000</v>
      </c>
      <c r="K21" s="256" t="s">
        <v>1346</v>
      </c>
    </row>
    <row r="22" spans="1:11" x14ac:dyDescent="0.3">
      <c r="A22" s="256">
        <v>15</v>
      </c>
      <c r="B22" s="257" t="s">
        <v>1213</v>
      </c>
      <c r="C22" s="276">
        <v>44275</v>
      </c>
      <c r="D22" s="257" t="s">
        <v>1288</v>
      </c>
      <c r="E22" s="256" t="s">
        <v>1797</v>
      </c>
      <c r="F22" s="256" t="s">
        <v>1767</v>
      </c>
      <c r="G22" s="258">
        <v>6426000000</v>
      </c>
      <c r="H22" s="265">
        <v>0.1</v>
      </c>
      <c r="I22" s="258">
        <v>642600000</v>
      </c>
      <c r="J22" s="258">
        <v>7068600000</v>
      </c>
      <c r="K22" s="256" t="s">
        <v>1346</v>
      </c>
    </row>
    <row r="23" spans="1:11" x14ac:dyDescent="0.3">
      <c r="A23" s="256">
        <v>16</v>
      </c>
      <c r="B23" s="257" t="s">
        <v>1506</v>
      </c>
      <c r="C23" s="276">
        <v>44306</v>
      </c>
      <c r="D23" s="257" t="s">
        <v>1275</v>
      </c>
      <c r="E23" s="256" t="s">
        <v>1808</v>
      </c>
      <c r="F23" s="256" t="s">
        <v>1851</v>
      </c>
      <c r="G23" s="258">
        <v>5203000000</v>
      </c>
      <c r="H23" s="265">
        <v>0.1</v>
      </c>
      <c r="I23" s="258">
        <v>520300000</v>
      </c>
      <c r="J23" s="258">
        <v>5723300000</v>
      </c>
      <c r="K23" s="256" t="s">
        <v>1346</v>
      </c>
    </row>
    <row r="24" spans="1:11" x14ac:dyDescent="0.3">
      <c r="A24" s="256">
        <v>17</v>
      </c>
      <c r="B24" s="257" t="s">
        <v>1514</v>
      </c>
      <c r="C24" s="276">
        <v>44336</v>
      </c>
      <c r="D24" s="257" t="s">
        <v>1304</v>
      </c>
      <c r="E24" s="256" t="s">
        <v>1831</v>
      </c>
      <c r="F24" s="256" t="s">
        <v>1741</v>
      </c>
      <c r="G24" s="258">
        <v>8268000000</v>
      </c>
      <c r="H24" s="265">
        <v>0.1</v>
      </c>
      <c r="I24" s="258">
        <v>826800000</v>
      </c>
      <c r="J24" s="258">
        <v>9094800000</v>
      </c>
      <c r="K24" s="256" t="s">
        <v>1346</v>
      </c>
    </row>
    <row r="25" spans="1:11" x14ac:dyDescent="0.3">
      <c r="A25" s="256">
        <v>18</v>
      </c>
      <c r="B25" s="257" t="s">
        <v>1479</v>
      </c>
      <c r="C25" s="276">
        <v>44367</v>
      </c>
      <c r="D25" s="257" t="s">
        <v>1262</v>
      </c>
      <c r="E25" s="256" t="s">
        <v>1816</v>
      </c>
      <c r="F25" s="256" t="s">
        <v>1741</v>
      </c>
      <c r="G25" s="258">
        <v>5521000000</v>
      </c>
      <c r="H25" s="265">
        <v>0.1</v>
      </c>
      <c r="I25" s="258">
        <v>552100000</v>
      </c>
      <c r="J25" s="258">
        <v>6073100000</v>
      </c>
      <c r="K25" s="256" t="s">
        <v>1346</v>
      </c>
    </row>
    <row r="26" spans="1:11" x14ac:dyDescent="0.3">
      <c r="A26" s="256">
        <v>19</v>
      </c>
      <c r="B26" s="257" t="s">
        <v>1206</v>
      </c>
      <c r="C26" s="276">
        <v>44397</v>
      </c>
      <c r="D26" s="257" t="s">
        <v>1303</v>
      </c>
      <c r="E26" s="256" t="s">
        <v>1817</v>
      </c>
      <c r="F26" s="256" t="s">
        <v>1851</v>
      </c>
      <c r="G26" s="258">
        <v>4599000000</v>
      </c>
      <c r="H26" s="265">
        <v>0.1</v>
      </c>
      <c r="I26" s="258">
        <v>459900000</v>
      </c>
      <c r="J26" s="258">
        <v>5058900000</v>
      </c>
      <c r="K26" s="256" t="s">
        <v>1346</v>
      </c>
    </row>
    <row r="27" spans="1:11" x14ac:dyDescent="0.3">
      <c r="A27" s="256">
        <v>20</v>
      </c>
      <c r="B27" s="257" t="s">
        <v>1206</v>
      </c>
      <c r="C27" s="276">
        <v>44428</v>
      </c>
      <c r="D27" s="257" t="s">
        <v>1295</v>
      </c>
      <c r="E27" s="256" t="s">
        <v>1825</v>
      </c>
      <c r="F27" s="256" t="s">
        <v>1910</v>
      </c>
      <c r="G27" s="258">
        <v>8142000000</v>
      </c>
      <c r="H27" s="265">
        <v>0.1</v>
      </c>
      <c r="I27" s="258">
        <v>814200000</v>
      </c>
      <c r="J27" s="258">
        <v>8956200000</v>
      </c>
      <c r="K27" s="256" t="s">
        <v>1346</v>
      </c>
    </row>
    <row r="28" spans="1:11" x14ac:dyDescent="0.3">
      <c r="A28" s="256">
        <v>21</v>
      </c>
      <c r="B28" s="257" t="s">
        <v>1491</v>
      </c>
      <c r="C28" s="276">
        <v>44459</v>
      </c>
      <c r="D28" s="257" t="s">
        <v>1268</v>
      </c>
      <c r="E28" s="256" t="s">
        <v>1821</v>
      </c>
      <c r="F28" s="256" t="s">
        <v>1767</v>
      </c>
      <c r="G28" s="258">
        <v>2636000000</v>
      </c>
      <c r="H28" s="265">
        <v>0.1</v>
      </c>
      <c r="I28" s="258">
        <v>263600000</v>
      </c>
      <c r="J28" s="258">
        <v>2899600000</v>
      </c>
      <c r="K28" s="256" t="s">
        <v>1346</v>
      </c>
    </row>
    <row r="29" spans="1:11" x14ac:dyDescent="0.3">
      <c r="A29" s="256">
        <v>22</v>
      </c>
      <c r="B29" s="257" t="s">
        <v>1483</v>
      </c>
      <c r="C29" s="276">
        <v>44489</v>
      </c>
      <c r="D29" s="257" t="s">
        <v>1280</v>
      </c>
      <c r="E29" s="256" t="s">
        <v>1777</v>
      </c>
      <c r="F29" s="256" t="s">
        <v>1851</v>
      </c>
      <c r="G29" s="258">
        <v>8380000000</v>
      </c>
      <c r="H29" s="265">
        <v>0.1</v>
      </c>
      <c r="I29" s="258">
        <v>838000000</v>
      </c>
      <c r="J29" s="258">
        <v>9218000000</v>
      </c>
      <c r="K29" s="256" t="s">
        <v>1346</v>
      </c>
    </row>
    <row r="30" spans="1:11" x14ac:dyDescent="0.3">
      <c r="A30" s="256">
        <v>23</v>
      </c>
      <c r="B30" s="257" t="s">
        <v>1512</v>
      </c>
      <c r="C30" s="276">
        <v>44520</v>
      </c>
      <c r="D30" s="257" t="s">
        <v>1259</v>
      </c>
      <c r="E30" s="256" t="s">
        <v>1788</v>
      </c>
      <c r="F30" s="256" t="s">
        <v>1967</v>
      </c>
      <c r="G30" s="258">
        <v>7383000000</v>
      </c>
      <c r="H30" s="265">
        <v>0.1</v>
      </c>
      <c r="I30" s="258">
        <v>738300000</v>
      </c>
      <c r="J30" s="258">
        <v>8121300000</v>
      </c>
      <c r="K30" s="256" t="s">
        <v>1346</v>
      </c>
    </row>
    <row r="31" spans="1:11" x14ac:dyDescent="0.3">
      <c r="A31" s="256">
        <v>24</v>
      </c>
      <c r="B31" s="257" t="s">
        <v>1503</v>
      </c>
      <c r="C31" s="276">
        <v>44550</v>
      </c>
      <c r="D31" s="257" t="s">
        <v>1273</v>
      </c>
      <c r="E31" s="256" t="s">
        <v>1829</v>
      </c>
      <c r="F31" s="256" t="s">
        <v>1767</v>
      </c>
      <c r="G31" s="258">
        <v>6831000000</v>
      </c>
      <c r="H31" s="265">
        <v>0</v>
      </c>
      <c r="I31" s="258">
        <v>0</v>
      </c>
      <c r="J31" s="258">
        <v>6831000000</v>
      </c>
      <c r="K31" s="256" t="s">
        <v>1348</v>
      </c>
    </row>
    <row r="32" spans="1:11" x14ac:dyDescent="0.3">
      <c r="A32" s="256">
        <v>25</v>
      </c>
      <c r="B32" s="257" t="s">
        <v>1497</v>
      </c>
      <c r="C32" s="276">
        <v>44221</v>
      </c>
      <c r="D32" s="257" t="s">
        <v>1277</v>
      </c>
      <c r="E32" s="256" t="s">
        <v>1783</v>
      </c>
      <c r="F32" s="256" t="s">
        <v>1967</v>
      </c>
      <c r="G32" s="258">
        <v>2124000000</v>
      </c>
      <c r="H32" s="265">
        <v>0.1</v>
      </c>
      <c r="I32" s="258">
        <v>212400000</v>
      </c>
      <c r="J32" s="258">
        <v>2336400000</v>
      </c>
      <c r="K32" s="256" t="s">
        <v>1346</v>
      </c>
    </row>
    <row r="33" spans="1:11" x14ac:dyDescent="0.3">
      <c r="A33" s="256">
        <v>26</v>
      </c>
      <c r="B33" s="257" t="s">
        <v>1465</v>
      </c>
      <c r="C33" s="276">
        <v>44255</v>
      </c>
      <c r="D33" s="257" t="s">
        <v>1255</v>
      </c>
      <c r="E33" s="273">
        <v>46152</v>
      </c>
      <c r="F33" s="256" t="s">
        <v>1851</v>
      </c>
      <c r="G33" s="258">
        <v>2135000000</v>
      </c>
      <c r="H33" s="265">
        <v>0.1</v>
      </c>
      <c r="I33" s="258">
        <v>213500000</v>
      </c>
      <c r="J33" s="258">
        <v>2348500000</v>
      </c>
      <c r="K33" s="256" t="s">
        <v>1346</v>
      </c>
    </row>
    <row r="34" spans="1:11" x14ac:dyDescent="0.3">
      <c r="A34" s="256">
        <v>27</v>
      </c>
      <c r="B34" s="257" t="s">
        <v>1463</v>
      </c>
      <c r="C34" s="276">
        <v>44316</v>
      </c>
      <c r="D34" s="257" t="s">
        <v>1287</v>
      </c>
      <c r="E34" s="256" t="s">
        <v>1801</v>
      </c>
      <c r="F34" s="256" t="s">
        <v>1767</v>
      </c>
      <c r="G34" s="258">
        <v>4021000000</v>
      </c>
      <c r="H34" s="265">
        <v>0.1</v>
      </c>
      <c r="I34" s="258">
        <v>402100000</v>
      </c>
      <c r="J34" s="258">
        <v>4423100000</v>
      </c>
      <c r="K34" s="256" t="s">
        <v>1346</v>
      </c>
    </row>
    <row r="35" spans="1:11" x14ac:dyDescent="0.3">
      <c r="A35" s="256">
        <v>28</v>
      </c>
      <c r="B35" s="257" t="s">
        <v>1506</v>
      </c>
      <c r="C35" s="276">
        <v>44377</v>
      </c>
      <c r="D35" s="257" t="s">
        <v>1260</v>
      </c>
      <c r="E35" s="256" t="s">
        <v>1804</v>
      </c>
      <c r="F35" s="256" t="s">
        <v>1967</v>
      </c>
      <c r="G35" s="258">
        <v>3453000000</v>
      </c>
      <c r="H35" s="265">
        <v>0</v>
      </c>
      <c r="I35" s="258">
        <v>0</v>
      </c>
      <c r="J35" s="258">
        <v>3453000000</v>
      </c>
      <c r="K35" s="256" t="s">
        <v>1346</v>
      </c>
    </row>
    <row r="36" spans="1:11" x14ac:dyDescent="0.3">
      <c r="A36" s="256">
        <v>29</v>
      </c>
      <c r="B36" s="257" t="s">
        <v>1206</v>
      </c>
      <c r="C36" s="276">
        <v>44469</v>
      </c>
      <c r="D36" s="257" t="s">
        <v>1261</v>
      </c>
      <c r="E36" s="256" t="s">
        <v>1813</v>
      </c>
      <c r="F36" s="256" t="s">
        <v>1967</v>
      </c>
      <c r="G36" s="258">
        <v>3172000000</v>
      </c>
      <c r="H36" s="265">
        <v>0.1</v>
      </c>
      <c r="I36" s="258">
        <v>317200000</v>
      </c>
      <c r="J36" s="258">
        <v>3489200000</v>
      </c>
      <c r="K36" s="256" t="s">
        <v>1346</v>
      </c>
    </row>
    <row r="37" spans="1:11" x14ac:dyDescent="0.3">
      <c r="A37" s="256">
        <v>30</v>
      </c>
      <c r="B37" s="257" t="s">
        <v>1507</v>
      </c>
      <c r="C37" s="276">
        <v>44530</v>
      </c>
      <c r="D37" s="257" t="s">
        <v>1275</v>
      </c>
      <c r="E37" s="256" t="s">
        <v>1808</v>
      </c>
      <c r="F37" s="256" t="s">
        <v>1731</v>
      </c>
      <c r="G37" s="258">
        <v>8149000000</v>
      </c>
      <c r="H37" s="265">
        <v>0.1</v>
      </c>
      <c r="I37" s="258">
        <v>814900000</v>
      </c>
      <c r="J37" s="258">
        <v>8963900000</v>
      </c>
      <c r="K37" s="256" t="s">
        <v>1348</v>
      </c>
    </row>
    <row r="38" spans="1:11" x14ac:dyDescent="0.3">
      <c r="A38" s="256">
        <v>31</v>
      </c>
      <c r="B38" s="257" t="s">
        <v>1480</v>
      </c>
      <c r="C38" s="276">
        <v>44286</v>
      </c>
      <c r="D38" s="257" t="s">
        <v>1262</v>
      </c>
      <c r="E38" s="256" t="s">
        <v>1816</v>
      </c>
      <c r="F38" s="256" t="s">
        <v>1851</v>
      </c>
      <c r="G38" s="258">
        <v>4649000000</v>
      </c>
      <c r="H38" s="265">
        <v>0.1</v>
      </c>
      <c r="I38" s="258">
        <v>464900000</v>
      </c>
      <c r="J38" s="258">
        <v>5113900000</v>
      </c>
      <c r="K38" s="256" t="s">
        <v>1346</v>
      </c>
    </row>
    <row r="39" spans="1:11" x14ac:dyDescent="0.3">
      <c r="A39" s="256">
        <v>32</v>
      </c>
      <c r="B39" s="257" t="s">
        <v>1473</v>
      </c>
      <c r="C39" s="276">
        <v>44347</v>
      </c>
      <c r="D39" s="257" t="s">
        <v>1290</v>
      </c>
      <c r="E39" s="256" t="s">
        <v>1796</v>
      </c>
      <c r="F39" s="256" t="s">
        <v>1731</v>
      </c>
      <c r="G39" s="258">
        <v>4574000000</v>
      </c>
      <c r="H39" s="265">
        <v>0.1</v>
      </c>
      <c r="I39" s="258">
        <v>457400000</v>
      </c>
      <c r="J39" s="258">
        <v>5031400000</v>
      </c>
      <c r="K39" s="256" t="s">
        <v>1346</v>
      </c>
    </row>
    <row r="40" spans="1:11" x14ac:dyDescent="0.3">
      <c r="A40" s="256">
        <v>33</v>
      </c>
      <c r="B40" s="257" t="s">
        <v>1984</v>
      </c>
      <c r="C40" s="276">
        <v>44408</v>
      </c>
      <c r="D40" s="257" t="s">
        <v>1284</v>
      </c>
      <c r="E40" s="256" t="s">
        <v>1786</v>
      </c>
      <c r="F40" s="256" t="s">
        <v>1731</v>
      </c>
      <c r="G40" s="258">
        <v>6033000000</v>
      </c>
      <c r="H40" s="265">
        <v>0.1</v>
      </c>
      <c r="I40" s="258">
        <v>603300000</v>
      </c>
      <c r="J40" s="258">
        <v>6636300000</v>
      </c>
      <c r="K40" s="256" t="s">
        <v>1346</v>
      </c>
    </row>
    <row r="41" spans="1:11" x14ac:dyDescent="0.3">
      <c r="A41" s="256">
        <v>34</v>
      </c>
      <c r="B41" s="257" t="s">
        <v>1475</v>
      </c>
      <c r="C41" s="276">
        <v>44439</v>
      </c>
      <c r="D41" s="257" t="s">
        <v>1301</v>
      </c>
      <c r="E41" s="256" t="s">
        <v>1781</v>
      </c>
      <c r="F41" s="256" t="s">
        <v>1851</v>
      </c>
      <c r="G41" s="258">
        <v>4431000000</v>
      </c>
      <c r="H41" s="265">
        <v>0.1</v>
      </c>
      <c r="I41" s="258">
        <v>443100000</v>
      </c>
      <c r="J41" s="258">
        <v>4874100000</v>
      </c>
      <c r="K41" s="256" t="s">
        <v>1346</v>
      </c>
    </row>
    <row r="42" spans="1:11" x14ac:dyDescent="0.3">
      <c r="A42" s="256">
        <v>35</v>
      </c>
      <c r="B42" s="257" t="s">
        <v>1515</v>
      </c>
      <c r="C42" s="276">
        <v>44500</v>
      </c>
      <c r="D42" s="257" t="s">
        <v>1304</v>
      </c>
      <c r="E42" s="256" t="s">
        <v>1831</v>
      </c>
      <c r="F42" s="256" t="s">
        <v>1967</v>
      </c>
      <c r="G42" s="258">
        <v>7933000000</v>
      </c>
      <c r="H42" s="265">
        <v>0.1</v>
      </c>
      <c r="I42" s="258">
        <v>793300000</v>
      </c>
      <c r="J42" s="258">
        <v>8726300000</v>
      </c>
      <c r="K42" s="256" t="s">
        <v>1346</v>
      </c>
    </row>
    <row r="43" spans="1:11" x14ac:dyDescent="0.3">
      <c r="A43" s="256">
        <v>36</v>
      </c>
      <c r="B43" s="257" t="s">
        <v>1464</v>
      </c>
      <c r="C43" s="276">
        <v>44561</v>
      </c>
      <c r="D43" s="257" t="s">
        <v>1300</v>
      </c>
      <c r="E43" s="256" t="s">
        <v>1818</v>
      </c>
      <c r="F43" s="256" t="s">
        <v>1851</v>
      </c>
      <c r="G43" s="258">
        <v>7909000000</v>
      </c>
      <c r="H43" s="265">
        <v>0.1</v>
      </c>
      <c r="I43" s="258">
        <v>790900000</v>
      </c>
      <c r="J43" s="258">
        <v>8699900000</v>
      </c>
      <c r="K43" s="256" t="s">
        <v>1346</v>
      </c>
    </row>
    <row r="44" spans="1:11" x14ac:dyDescent="0.3">
      <c r="A44" s="256">
        <v>37</v>
      </c>
      <c r="B44" s="257" t="s">
        <v>1484</v>
      </c>
      <c r="C44" s="276">
        <v>44561</v>
      </c>
      <c r="D44" s="257" t="s">
        <v>1299</v>
      </c>
      <c r="E44" s="256" t="s">
        <v>1776</v>
      </c>
      <c r="F44" s="256" t="s">
        <v>1731</v>
      </c>
      <c r="G44" s="258">
        <v>3882000000</v>
      </c>
      <c r="H44" s="265">
        <v>0.1</v>
      </c>
      <c r="I44" s="258">
        <v>388200000</v>
      </c>
      <c r="J44" s="258">
        <v>4270200000</v>
      </c>
      <c r="K44" s="256" t="s">
        <v>1346</v>
      </c>
    </row>
    <row r="45" spans="1:11" x14ac:dyDescent="0.3">
      <c r="A45" s="256">
        <v>38</v>
      </c>
      <c r="B45" s="257" t="s">
        <v>1485</v>
      </c>
      <c r="C45" s="276">
        <v>44561</v>
      </c>
      <c r="D45" s="257" t="s">
        <v>1285</v>
      </c>
      <c r="E45" s="256" t="s">
        <v>1793</v>
      </c>
      <c r="F45" s="256" t="s">
        <v>1767</v>
      </c>
      <c r="G45" s="258">
        <v>4984000000</v>
      </c>
      <c r="H45" s="265">
        <v>0.1</v>
      </c>
      <c r="I45" s="258">
        <v>498400000</v>
      </c>
      <c r="J45" s="258">
        <v>5482400000</v>
      </c>
      <c r="K45" s="256" t="s">
        <v>1348</v>
      </c>
    </row>
    <row r="46" spans="1:11" x14ac:dyDescent="0.3">
      <c r="A46" s="256">
        <v>39</v>
      </c>
      <c r="B46" s="257" t="s">
        <v>1212</v>
      </c>
      <c r="C46" s="276">
        <v>44561</v>
      </c>
      <c r="D46" s="257" t="s">
        <v>1270</v>
      </c>
      <c r="E46" s="256" t="s">
        <v>1782</v>
      </c>
      <c r="F46" s="256" t="s">
        <v>1767</v>
      </c>
      <c r="G46" s="258">
        <v>8415000000</v>
      </c>
      <c r="H46" s="265">
        <v>0.1</v>
      </c>
      <c r="I46" s="258">
        <v>841500000</v>
      </c>
      <c r="J46" s="258">
        <v>9256500000</v>
      </c>
      <c r="K46" s="256" t="s">
        <v>1346</v>
      </c>
    </row>
    <row r="47" spans="1:11" x14ac:dyDescent="0.3">
      <c r="A47" s="256">
        <v>40</v>
      </c>
      <c r="B47" s="257" t="s">
        <v>1487</v>
      </c>
      <c r="C47" s="276">
        <v>44561</v>
      </c>
      <c r="D47" s="257" t="s">
        <v>1257</v>
      </c>
      <c r="E47" s="256" t="s">
        <v>1815</v>
      </c>
      <c r="F47" s="256" t="s">
        <v>1851</v>
      </c>
      <c r="G47" s="258">
        <v>6750000000</v>
      </c>
      <c r="H47" s="265">
        <v>0.1</v>
      </c>
      <c r="I47" s="258">
        <v>675000000</v>
      </c>
      <c r="J47" s="258">
        <v>7425000000</v>
      </c>
      <c r="K47" s="256" t="s">
        <v>1346</v>
      </c>
    </row>
    <row r="48" spans="1:11" x14ac:dyDescent="0.3">
      <c r="A48" s="256">
        <v>41</v>
      </c>
      <c r="B48" s="257" t="s">
        <v>1207</v>
      </c>
      <c r="C48" s="276">
        <v>44561</v>
      </c>
      <c r="D48" s="257" t="s">
        <v>1261</v>
      </c>
      <c r="E48" s="256" t="s">
        <v>1813</v>
      </c>
      <c r="F48" s="256" t="s">
        <v>1731</v>
      </c>
      <c r="G48" s="258">
        <v>4642000000</v>
      </c>
      <c r="H48" s="265">
        <v>0.1</v>
      </c>
      <c r="I48" s="258">
        <v>464200000</v>
      </c>
      <c r="J48" s="258">
        <v>5106200000</v>
      </c>
      <c r="K48" s="256" t="s">
        <v>1346</v>
      </c>
    </row>
    <row r="49" spans="1:11" x14ac:dyDescent="0.3">
      <c r="A49" s="256">
        <v>42</v>
      </c>
      <c r="B49" s="257" t="s">
        <v>1488</v>
      </c>
      <c r="C49" s="276">
        <v>44561</v>
      </c>
      <c r="D49" s="257" t="s">
        <v>1257</v>
      </c>
      <c r="E49" s="256" t="s">
        <v>1815</v>
      </c>
      <c r="F49" s="256" t="s">
        <v>1731</v>
      </c>
      <c r="G49" s="258">
        <v>6638000000</v>
      </c>
      <c r="H49" s="265">
        <v>0.1</v>
      </c>
      <c r="I49" s="258">
        <v>663800000</v>
      </c>
      <c r="J49" s="258">
        <v>7301800000</v>
      </c>
      <c r="K49" s="256" t="s">
        <v>1346</v>
      </c>
    </row>
    <row r="50" spans="1:11" x14ac:dyDescent="0.3">
      <c r="A50" s="256">
        <v>43</v>
      </c>
      <c r="B50" s="257" t="s">
        <v>1498</v>
      </c>
      <c r="C50" s="276">
        <v>44561</v>
      </c>
      <c r="D50" s="257" t="s">
        <v>1277</v>
      </c>
      <c r="E50" s="256" t="s">
        <v>1783</v>
      </c>
      <c r="F50" s="256" t="s">
        <v>1910</v>
      </c>
      <c r="G50" s="258">
        <v>2305000000</v>
      </c>
      <c r="H50" s="265">
        <v>0.1</v>
      </c>
      <c r="I50" s="258">
        <v>230500000</v>
      </c>
      <c r="J50" s="258">
        <v>2535500000</v>
      </c>
      <c r="K50" s="256" t="s">
        <v>1346</v>
      </c>
    </row>
    <row r="51" spans="1:11" x14ac:dyDescent="0.3">
      <c r="A51" s="256">
        <v>44</v>
      </c>
      <c r="B51" s="257" t="s">
        <v>1494</v>
      </c>
      <c r="C51" s="276">
        <v>44561</v>
      </c>
      <c r="D51" s="257" t="s">
        <v>1266</v>
      </c>
      <c r="E51" s="256" t="s">
        <v>1824</v>
      </c>
      <c r="F51" s="256" t="s">
        <v>1910</v>
      </c>
      <c r="G51" s="258">
        <v>6145000000</v>
      </c>
      <c r="H51" s="265">
        <v>0.1</v>
      </c>
      <c r="I51" s="258">
        <v>614500000</v>
      </c>
      <c r="J51" s="258">
        <v>6759500000</v>
      </c>
      <c r="K51" s="256" t="s">
        <v>1346</v>
      </c>
    </row>
    <row r="52" spans="1:11" x14ac:dyDescent="0.3">
      <c r="A52" s="256">
        <v>45</v>
      </c>
      <c r="B52" s="257" t="s">
        <v>1463</v>
      </c>
      <c r="C52" s="276">
        <v>44561</v>
      </c>
      <c r="D52" s="257" t="s">
        <v>1286</v>
      </c>
      <c r="E52" s="256" t="s">
        <v>1828</v>
      </c>
      <c r="F52" s="256" t="s">
        <v>1731</v>
      </c>
      <c r="G52" s="258">
        <v>5474000000</v>
      </c>
      <c r="H52" s="265">
        <v>0.1</v>
      </c>
      <c r="I52" s="258">
        <v>547400000</v>
      </c>
      <c r="J52" s="258">
        <v>6021400000</v>
      </c>
      <c r="K52" s="256" t="s">
        <v>1346</v>
      </c>
    </row>
    <row r="53" spans="1:11" x14ac:dyDescent="0.3">
      <c r="A53" s="256">
        <v>46</v>
      </c>
      <c r="B53" s="257" t="s">
        <v>1470</v>
      </c>
      <c r="C53" s="276">
        <v>44561</v>
      </c>
      <c r="D53" s="257" t="s">
        <v>1269</v>
      </c>
      <c r="E53" s="256" t="s">
        <v>1823</v>
      </c>
      <c r="F53" s="256" t="s">
        <v>1910</v>
      </c>
      <c r="G53" s="258">
        <v>8297000000</v>
      </c>
      <c r="H53" s="265">
        <v>0.1</v>
      </c>
      <c r="I53" s="258">
        <v>829700000</v>
      </c>
      <c r="J53" s="258">
        <v>9126700000</v>
      </c>
      <c r="K53" s="256" t="s">
        <v>1346</v>
      </c>
    </row>
    <row r="54" spans="1:11" x14ac:dyDescent="0.3">
      <c r="A54" s="256">
        <v>47</v>
      </c>
      <c r="B54" s="257" t="s">
        <v>1490</v>
      </c>
      <c r="C54" s="276">
        <v>44561</v>
      </c>
      <c r="D54" s="257" t="s">
        <v>1263</v>
      </c>
      <c r="E54" s="256" t="s">
        <v>1790</v>
      </c>
      <c r="F54" s="256" t="s">
        <v>1741</v>
      </c>
      <c r="G54" s="258">
        <v>4905000000</v>
      </c>
      <c r="H54" s="265">
        <v>0.1</v>
      </c>
      <c r="I54" s="258">
        <v>490500000</v>
      </c>
      <c r="J54" s="258">
        <v>5395500000</v>
      </c>
      <c r="K54" s="256" t="s">
        <v>1348</v>
      </c>
    </row>
    <row r="55" spans="1:11" x14ac:dyDescent="0.3">
      <c r="A55" s="256">
        <v>48</v>
      </c>
      <c r="B55" s="257" t="s">
        <v>1501</v>
      </c>
      <c r="C55" s="276">
        <v>44561</v>
      </c>
      <c r="D55" s="257" t="s">
        <v>1256</v>
      </c>
      <c r="E55" s="256" t="s">
        <v>1802</v>
      </c>
      <c r="F55" s="256" t="s">
        <v>1851</v>
      </c>
      <c r="G55" s="258">
        <v>2513000000</v>
      </c>
      <c r="H55" s="265">
        <v>0.1</v>
      </c>
      <c r="I55" s="258">
        <v>251300000</v>
      </c>
      <c r="J55" s="258">
        <v>2764300000</v>
      </c>
      <c r="K55" s="256" t="s">
        <v>1346</v>
      </c>
    </row>
    <row r="56" spans="1:11" x14ac:dyDescent="0.3">
      <c r="A56" s="256">
        <v>49</v>
      </c>
      <c r="B56" s="257" t="s">
        <v>1492</v>
      </c>
      <c r="C56" s="276">
        <v>44561</v>
      </c>
      <c r="D56" s="257" t="s">
        <v>1268</v>
      </c>
      <c r="E56" s="256" t="s">
        <v>1821</v>
      </c>
      <c r="F56" s="256" t="s">
        <v>1731</v>
      </c>
      <c r="G56" s="258">
        <v>6774000000</v>
      </c>
      <c r="H56" s="265">
        <v>0.1</v>
      </c>
      <c r="I56" s="258">
        <v>677400000</v>
      </c>
      <c r="J56" s="258">
        <v>7451400000</v>
      </c>
      <c r="K56" s="256" t="s">
        <v>1346</v>
      </c>
    </row>
    <row r="57" spans="1:11" x14ac:dyDescent="0.3">
      <c r="A57" s="256">
        <v>50</v>
      </c>
      <c r="B57" s="257" t="s">
        <v>1493</v>
      </c>
      <c r="C57" s="276">
        <v>44561</v>
      </c>
      <c r="D57" s="257" t="s">
        <v>1268</v>
      </c>
      <c r="E57" s="256" t="s">
        <v>1821</v>
      </c>
      <c r="F57" s="256" t="s">
        <v>1731</v>
      </c>
      <c r="G57" s="258">
        <v>4544000000</v>
      </c>
      <c r="H57" s="265">
        <v>0.1</v>
      </c>
      <c r="I57" s="258">
        <v>454400000</v>
      </c>
      <c r="J57" s="258">
        <v>4998400000</v>
      </c>
      <c r="K57" s="256" t="s">
        <v>1346</v>
      </c>
    </row>
    <row r="58" spans="1:11" x14ac:dyDescent="0.3">
      <c r="A58" s="266" t="s">
        <v>1351</v>
      </c>
      <c r="B58" s="266"/>
      <c r="C58" s="266"/>
      <c r="D58" s="266"/>
      <c r="E58" s="266"/>
      <c r="F58" s="266"/>
      <c r="G58" s="267">
        <f>SUM(G8:G57)</f>
        <v>264175000000</v>
      </c>
      <c r="H58" s="266"/>
      <c r="I58" s="267">
        <f>SUM(I8:I57)</f>
        <v>25389100000</v>
      </c>
      <c r="J58" s="267">
        <f>SUM(J8:J57)</f>
        <v>289564100000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1271</v>
      </c>
      <c r="E62" s="256" t="s">
        <v>1799</v>
      </c>
      <c r="F62" s="256" t="s">
        <v>1855</v>
      </c>
      <c r="G62" s="258">
        <v>11335000000</v>
      </c>
      <c r="H62" s="265">
        <v>0.1</v>
      </c>
      <c r="I62" s="258">
        <v>1133500000</v>
      </c>
      <c r="J62" s="258">
        <v>12468500000</v>
      </c>
      <c r="K62" s="256" t="s">
        <v>1346</v>
      </c>
    </row>
    <row r="63" spans="1:11" x14ac:dyDescent="0.3">
      <c r="A63" s="256">
        <v>2</v>
      </c>
      <c r="B63" s="257" t="s">
        <v>1201</v>
      </c>
      <c r="C63" s="276">
        <v>44318</v>
      </c>
      <c r="D63" s="257" t="s">
        <v>1267</v>
      </c>
      <c r="E63" s="256" t="s">
        <v>1810</v>
      </c>
      <c r="F63" s="256" t="s">
        <v>1856</v>
      </c>
      <c r="G63" s="258">
        <v>10133000000</v>
      </c>
      <c r="H63" s="265">
        <v>0.1</v>
      </c>
      <c r="I63" s="258">
        <v>1013300000</v>
      </c>
      <c r="J63" s="258">
        <v>11146300000</v>
      </c>
      <c r="K63" s="256" t="s">
        <v>1346</v>
      </c>
    </row>
    <row r="64" spans="1:11" x14ac:dyDescent="0.3">
      <c r="A64" s="256">
        <v>3</v>
      </c>
      <c r="B64" s="257" t="s">
        <v>1202</v>
      </c>
      <c r="C64" s="276">
        <v>44472</v>
      </c>
      <c r="D64" s="257" t="s">
        <v>1287</v>
      </c>
      <c r="E64" s="256" t="s">
        <v>1801</v>
      </c>
      <c r="F64" s="256" t="s">
        <v>1855</v>
      </c>
      <c r="G64" s="258">
        <v>3721000000</v>
      </c>
      <c r="H64" s="265">
        <v>0.1</v>
      </c>
      <c r="I64" s="258">
        <v>372100000</v>
      </c>
      <c r="J64" s="258">
        <v>4093100000</v>
      </c>
      <c r="K64" s="256" t="s">
        <v>1346</v>
      </c>
    </row>
    <row r="65" spans="1:11" x14ac:dyDescent="0.3">
      <c r="A65" s="256">
        <v>4</v>
      </c>
      <c r="B65" s="257" t="s">
        <v>1355</v>
      </c>
      <c r="C65" s="276">
        <v>44473</v>
      </c>
      <c r="D65" s="257" t="s">
        <v>1267</v>
      </c>
      <c r="E65" s="256" t="s">
        <v>1810</v>
      </c>
      <c r="F65" s="256" t="s">
        <v>1856</v>
      </c>
      <c r="G65" s="258">
        <v>10449000000</v>
      </c>
      <c r="H65" s="265">
        <v>0.1</v>
      </c>
      <c r="I65" s="258">
        <v>1044900000</v>
      </c>
      <c r="J65" s="258">
        <v>11493900000</v>
      </c>
      <c r="K65" s="256" t="s">
        <v>1348</v>
      </c>
    </row>
    <row r="66" spans="1:11" x14ac:dyDescent="0.3">
      <c r="A66" s="256">
        <v>5</v>
      </c>
      <c r="B66" s="257" t="s">
        <v>1356</v>
      </c>
      <c r="C66" s="276">
        <v>44474</v>
      </c>
      <c r="D66" s="257" t="s">
        <v>1286</v>
      </c>
      <c r="E66" s="256" t="s">
        <v>1828</v>
      </c>
      <c r="F66" s="256" t="s">
        <v>1855</v>
      </c>
      <c r="G66" s="258">
        <v>8792000000</v>
      </c>
      <c r="H66" s="265">
        <v>0.1</v>
      </c>
      <c r="I66" s="258">
        <v>879200000</v>
      </c>
      <c r="J66" s="258">
        <v>9671200000</v>
      </c>
      <c r="K66" s="256" t="s">
        <v>1348</v>
      </c>
    </row>
    <row r="67" spans="1:11" x14ac:dyDescent="0.3">
      <c r="A67" s="256">
        <v>6</v>
      </c>
      <c r="B67" s="257" t="s">
        <v>1358</v>
      </c>
      <c r="C67" s="276">
        <v>44475</v>
      </c>
      <c r="D67" s="257" t="s">
        <v>1273</v>
      </c>
      <c r="E67" s="256" t="s">
        <v>1829</v>
      </c>
      <c r="F67" s="256" t="s">
        <v>1855</v>
      </c>
      <c r="G67" s="258">
        <v>8244000000</v>
      </c>
      <c r="H67" s="265">
        <v>0</v>
      </c>
      <c r="I67" s="258">
        <v>0</v>
      </c>
      <c r="J67" s="258">
        <v>8244000000</v>
      </c>
      <c r="K67" s="256" t="s">
        <v>1346</v>
      </c>
    </row>
    <row r="68" spans="1:11" x14ac:dyDescent="0.3">
      <c r="A68" s="256">
        <v>7</v>
      </c>
      <c r="B68" s="257" t="s">
        <v>1360</v>
      </c>
      <c r="C68" s="276">
        <v>44476</v>
      </c>
      <c r="D68" s="257" t="s">
        <v>1275</v>
      </c>
      <c r="E68" s="256" t="s">
        <v>1808</v>
      </c>
      <c r="F68" s="256" t="s">
        <v>1856</v>
      </c>
      <c r="G68" s="258">
        <v>8411000000</v>
      </c>
      <c r="H68" s="265">
        <v>0.1</v>
      </c>
      <c r="I68" s="258">
        <v>841100000</v>
      </c>
      <c r="J68" s="258">
        <v>9252100000</v>
      </c>
      <c r="K68" s="256" t="s">
        <v>1348</v>
      </c>
    </row>
    <row r="69" spans="1:11" x14ac:dyDescent="0.3">
      <c r="A69" s="256">
        <v>8</v>
      </c>
      <c r="B69" s="257" t="s">
        <v>1362</v>
      </c>
      <c r="C69" s="276">
        <v>44477</v>
      </c>
      <c r="D69" s="257" t="s">
        <v>1262</v>
      </c>
      <c r="E69" s="256" t="s">
        <v>1816</v>
      </c>
      <c r="F69" s="256" t="s">
        <v>1856</v>
      </c>
      <c r="G69" s="258">
        <v>3086000000</v>
      </c>
      <c r="H69" s="265">
        <v>0.1</v>
      </c>
      <c r="I69" s="258">
        <v>308600000</v>
      </c>
      <c r="J69" s="258">
        <v>3394600000</v>
      </c>
      <c r="K69" s="256" t="s">
        <v>1346</v>
      </c>
    </row>
    <row r="70" spans="1:11" x14ac:dyDescent="0.3">
      <c r="A70" s="256">
        <v>9</v>
      </c>
      <c r="B70" s="257" t="s">
        <v>1364</v>
      </c>
      <c r="C70" s="276">
        <v>44478</v>
      </c>
      <c r="D70" s="257" t="s">
        <v>1274</v>
      </c>
      <c r="E70" s="256" t="s">
        <v>1794</v>
      </c>
      <c r="F70" s="256" t="s">
        <v>1855</v>
      </c>
      <c r="G70" s="258">
        <v>8875000000</v>
      </c>
      <c r="H70" s="265">
        <v>0.1</v>
      </c>
      <c r="I70" s="258">
        <v>887500000</v>
      </c>
      <c r="J70" s="258">
        <v>9762500000</v>
      </c>
      <c r="K70" s="256" t="s">
        <v>1346</v>
      </c>
    </row>
    <row r="71" spans="1:11" x14ac:dyDescent="0.3">
      <c r="A71" s="256">
        <v>10</v>
      </c>
      <c r="B71" s="257" t="s">
        <v>1366</v>
      </c>
      <c r="C71" s="276">
        <v>44479</v>
      </c>
      <c r="D71" s="257" t="s">
        <v>1276</v>
      </c>
      <c r="E71" s="256" t="s">
        <v>1822</v>
      </c>
      <c r="F71" s="256" t="s">
        <v>1856</v>
      </c>
      <c r="G71" s="258">
        <v>11054000000</v>
      </c>
      <c r="H71" s="265">
        <v>0.1</v>
      </c>
      <c r="I71" s="258">
        <v>1105400000</v>
      </c>
      <c r="J71" s="258">
        <v>12159400000</v>
      </c>
      <c r="K71" s="256" t="s">
        <v>1346</v>
      </c>
    </row>
    <row r="72" spans="1:11" x14ac:dyDescent="0.3">
      <c r="A72" s="256">
        <v>11</v>
      </c>
      <c r="B72" s="257" t="s">
        <v>1368</v>
      </c>
      <c r="C72" s="276">
        <v>44480</v>
      </c>
      <c r="D72" s="257" t="s">
        <v>1255</v>
      </c>
      <c r="E72" s="273">
        <v>46152</v>
      </c>
      <c r="F72" s="256" t="s">
        <v>1854</v>
      </c>
      <c r="G72" s="258">
        <v>6677000000</v>
      </c>
      <c r="H72" s="265">
        <v>0</v>
      </c>
      <c r="I72" s="258">
        <v>0</v>
      </c>
      <c r="J72" s="258">
        <v>6677000000</v>
      </c>
      <c r="K72" s="256" t="s">
        <v>1346</v>
      </c>
    </row>
    <row r="73" spans="1:11" x14ac:dyDescent="0.3">
      <c r="A73" s="256">
        <v>12</v>
      </c>
      <c r="B73" s="257" t="s">
        <v>1371</v>
      </c>
      <c r="C73" s="276">
        <v>44481</v>
      </c>
      <c r="D73" s="257" t="s">
        <v>1272</v>
      </c>
      <c r="E73" s="256" t="s">
        <v>1805</v>
      </c>
      <c r="F73" s="256" t="s">
        <v>1856</v>
      </c>
      <c r="G73" s="258">
        <v>4437000000</v>
      </c>
      <c r="H73" s="265">
        <v>0.1</v>
      </c>
      <c r="I73" s="258">
        <v>443700000</v>
      </c>
      <c r="J73" s="258">
        <v>4880700000</v>
      </c>
      <c r="K73" s="256" t="s">
        <v>1348</v>
      </c>
    </row>
    <row r="74" spans="1:11" x14ac:dyDescent="0.3">
      <c r="A74" s="256">
        <v>13</v>
      </c>
      <c r="B74" s="257" t="s">
        <v>1373</v>
      </c>
      <c r="C74" s="276">
        <v>44211</v>
      </c>
      <c r="D74" s="257" t="s">
        <v>1284</v>
      </c>
      <c r="E74" s="256" t="s">
        <v>1786</v>
      </c>
      <c r="F74" s="256" t="s">
        <v>1856</v>
      </c>
      <c r="G74" s="258">
        <v>7996000000</v>
      </c>
      <c r="H74" s="265">
        <v>0.1</v>
      </c>
      <c r="I74" s="258">
        <v>799600000</v>
      </c>
      <c r="J74" s="258">
        <v>8795600000</v>
      </c>
      <c r="K74" s="256" t="s">
        <v>1346</v>
      </c>
    </row>
    <row r="75" spans="1:11" x14ac:dyDescent="0.3">
      <c r="A75" s="256">
        <v>14</v>
      </c>
      <c r="B75" s="257" t="s">
        <v>1374</v>
      </c>
      <c r="C75" s="276">
        <v>44242</v>
      </c>
      <c r="D75" s="257" t="s">
        <v>1284</v>
      </c>
      <c r="E75" s="256" t="s">
        <v>1786</v>
      </c>
      <c r="F75" s="256" t="s">
        <v>1855</v>
      </c>
      <c r="G75" s="258">
        <v>9241000000</v>
      </c>
      <c r="H75" s="265">
        <v>0.1</v>
      </c>
      <c r="I75" s="258">
        <v>924100000</v>
      </c>
      <c r="J75" s="258">
        <v>10165100000</v>
      </c>
      <c r="K75" s="256" t="s">
        <v>1346</v>
      </c>
    </row>
    <row r="76" spans="1:11" x14ac:dyDescent="0.3">
      <c r="A76" s="256">
        <v>15</v>
      </c>
      <c r="B76" s="257" t="s">
        <v>1376</v>
      </c>
      <c r="C76" s="276">
        <v>44275</v>
      </c>
      <c r="D76" s="257" t="s">
        <v>1298</v>
      </c>
      <c r="E76" s="256" t="s">
        <v>1819</v>
      </c>
      <c r="F76" s="256" t="s">
        <v>1855</v>
      </c>
      <c r="G76" s="258">
        <v>3041000000</v>
      </c>
      <c r="H76" s="265">
        <v>0.1</v>
      </c>
      <c r="I76" s="258">
        <v>304100000</v>
      </c>
      <c r="J76" s="258">
        <v>3345100000</v>
      </c>
      <c r="K76" s="256" t="s">
        <v>1346</v>
      </c>
    </row>
    <row r="77" spans="1:11" x14ac:dyDescent="0.3">
      <c r="A77" s="256">
        <v>16</v>
      </c>
      <c r="B77" s="257" t="s">
        <v>1378</v>
      </c>
      <c r="C77" s="276">
        <v>44306</v>
      </c>
      <c r="D77" s="257" t="s">
        <v>1303</v>
      </c>
      <c r="E77" s="256" t="s">
        <v>1817</v>
      </c>
      <c r="F77" s="256" t="s">
        <v>1853</v>
      </c>
      <c r="G77" s="258">
        <v>10103000000</v>
      </c>
      <c r="H77" s="265">
        <v>0.1</v>
      </c>
      <c r="I77" s="258">
        <v>1010300000</v>
      </c>
      <c r="J77" s="258">
        <v>11113300000</v>
      </c>
      <c r="K77" s="256" t="s">
        <v>1346</v>
      </c>
    </row>
    <row r="78" spans="1:11" x14ac:dyDescent="0.3">
      <c r="A78" s="256">
        <v>17</v>
      </c>
      <c r="B78" s="257" t="s">
        <v>1379</v>
      </c>
      <c r="C78" s="276">
        <v>44336</v>
      </c>
      <c r="D78" s="257" t="s">
        <v>1299</v>
      </c>
      <c r="E78" s="256" t="s">
        <v>1776</v>
      </c>
      <c r="F78" s="256" t="s">
        <v>1854</v>
      </c>
      <c r="G78" s="258">
        <v>10545000000</v>
      </c>
      <c r="H78" s="265">
        <v>0.1</v>
      </c>
      <c r="I78" s="258">
        <v>1054500000</v>
      </c>
      <c r="J78" s="258">
        <v>11599500000</v>
      </c>
      <c r="K78" s="256" t="s">
        <v>1346</v>
      </c>
    </row>
    <row r="79" spans="1:11" x14ac:dyDescent="0.3">
      <c r="A79" s="256">
        <v>18</v>
      </c>
      <c r="B79" s="257" t="s">
        <v>1381</v>
      </c>
      <c r="C79" s="276">
        <v>44367</v>
      </c>
      <c r="D79" s="257" t="s">
        <v>1271</v>
      </c>
      <c r="E79" s="256" t="s">
        <v>1799</v>
      </c>
      <c r="F79" s="256" t="s">
        <v>1854</v>
      </c>
      <c r="G79" s="258">
        <v>3976000000</v>
      </c>
      <c r="H79" s="265">
        <v>0.1</v>
      </c>
      <c r="I79" s="258">
        <v>397600000</v>
      </c>
      <c r="J79" s="258">
        <v>4373600000</v>
      </c>
      <c r="K79" s="256" t="s">
        <v>1346</v>
      </c>
    </row>
    <row r="80" spans="1:11" x14ac:dyDescent="0.3">
      <c r="A80" s="256">
        <v>19</v>
      </c>
      <c r="B80" s="257" t="s">
        <v>1382</v>
      </c>
      <c r="C80" s="276">
        <v>44397</v>
      </c>
      <c r="D80" s="257" t="s">
        <v>1268</v>
      </c>
      <c r="E80" s="256" t="s">
        <v>1821</v>
      </c>
      <c r="F80" s="256" t="s">
        <v>1855</v>
      </c>
      <c r="G80" s="258">
        <v>10561000000</v>
      </c>
      <c r="H80" s="265">
        <v>0.1</v>
      </c>
      <c r="I80" s="258">
        <v>1056100000</v>
      </c>
      <c r="J80" s="258">
        <v>11617100000</v>
      </c>
      <c r="K80" s="256" t="s">
        <v>1346</v>
      </c>
    </row>
    <row r="81" spans="1:11" x14ac:dyDescent="0.3">
      <c r="A81" s="256">
        <v>20</v>
      </c>
      <c r="B81" s="257" t="s">
        <v>1383</v>
      </c>
      <c r="C81" s="276">
        <v>44428</v>
      </c>
      <c r="D81" s="257" t="s">
        <v>1289</v>
      </c>
      <c r="E81" s="256" t="s">
        <v>1803</v>
      </c>
      <c r="F81" s="256" t="s">
        <v>1853</v>
      </c>
      <c r="G81" s="258">
        <v>10771000000</v>
      </c>
      <c r="H81" s="265">
        <v>0.1</v>
      </c>
      <c r="I81" s="258">
        <v>1077100000</v>
      </c>
      <c r="J81" s="258">
        <v>11848100000</v>
      </c>
      <c r="K81" s="256" t="s">
        <v>1346</v>
      </c>
    </row>
    <row r="82" spans="1:11" x14ac:dyDescent="0.3">
      <c r="A82" s="256">
        <v>21</v>
      </c>
      <c r="B82" s="257" t="s">
        <v>1203</v>
      </c>
      <c r="C82" s="276">
        <v>44459</v>
      </c>
      <c r="D82" s="257" t="s">
        <v>1264</v>
      </c>
      <c r="E82" s="256" t="s">
        <v>1779</v>
      </c>
      <c r="F82" s="256" t="s">
        <v>1855</v>
      </c>
      <c r="G82" s="258">
        <v>6388000000</v>
      </c>
      <c r="H82" s="265">
        <v>0.1</v>
      </c>
      <c r="I82" s="258">
        <v>638800000</v>
      </c>
      <c r="J82" s="258">
        <v>7026800000</v>
      </c>
      <c r="K82" s="256" t="s">
        <v>1346</v>
      </c>
    </row>
    <row r="83" spans="1:11" x14ac:dyDescent="0.3">
      <c r="A83" s="256">
        <v>22</v>
      </c>
      <c r="B83" s="257" t="s">
        <v>1204</v>
      </c>
      <c r="C83" s="276">
        <v>44489</v>
      </c>
      <c r="D83" s="257" t="s">
        <v>1297</v>
      </c>
      <c r="E83" s="256" t="s">
        <v>1820</v>
      </c>
      <c r="F83" s="256" t="s">
        <v>1856</v>
      </c>
      <c r="G83" s="258">
        <v>11040000000</v>
      </c>
      <c r="H83" s="265">
        <v>0.1</v>
      </c>
      <c r="I83" s="258">
        <v>1104000000</v>
      </c>
      <c r="J83" s="258">
        <v>12144000000</v>
      </c>
      <c r="K83" s="256" t="s">
        <v>1346</v>
      </c>
    </row>
    <row r="84" spans="1:11" x14ac:dyDescent="0.3">
      <c r="A84" s="256">
        <v>23</v>
      </c>
      <c r="B84" s="257" t="s">
        <v>1205</v>
      </c>
      <c r="C84" s="276">
        <v>44520</v>
      </c>
      <c r="D84" s="257" t="s">
        <v>1297</v>
      </c>
      <c r="E84" s="256" t="s">
        <v>1820</v>
      </c>
      <c r="F84" s="256" t="s">
        <v>1856</v>
      </c>
      <c r="G84" s="258">
        <v>4786000000</v>
      </c>
      <c r="H84" s="265">
        <v>0.1</v>
      </c>
      <c r="I84" s="258">
        <v>478600000</v>
      </c>
      <c r="J84" s="258">
        <v>5264600000</v>
      </c>
      <c r="K84" s="256" t="s">
        <v>1346</v>
      </c>
    </row>
    <row r="85" spans="1:11" x14ac:dyDescent="0.3">
      <c r="A85" s="256">
        <v>24</v>
      </c>
      <c r="B85" s="257" t="s">
        <v>1385</v>
      </c>
      <c r="C85" s="276">
        <v>44550</v>
      </c>
      <c r="D85" s="257" t="s">
        <v>1270</v>
      </c>
      <c r="E85" s="256" t="s">
        <v>1782</v>
      </c>
      <c r="F85" s="256" t="s">
        <v>1856</v>
      </c>
      <c r="G85" s="258">
        <v>6044000000</v>
      </c>
      <c r="H85" s="265">
        <v>0.1</v>
      </c>
      <c r="I85" s="258">
        <v>604400000</v>
      </c>
      <c r="J85" s="258">
        <v>6648400000</v>
      </c>
      <c r="K85" s="256" t="s">
        <v>1346</v>
      </c>
    </row>
    <row r="86" spans="1:11" x14ac:dyDescent="0.3">
      <c r="A86" s="256">
        <v>25</v>
      </c>
      <c r="B86" s="257" t="s">
        <v>1387</v>
      </c>
      <c r="C86" s="276">
        <v>44221</v>
      </c>
      <c r="D86" s="257" t="s">
        <v>1267</v>
      </c>
      <c r="E86" s="256" t="s">
        <v>1810</v>
      </c>
      <c r="F86" s="256" t="s">
        <v>1854</v>
      </c>
      <c r="G86" s="258">
        <v>7110000000</v>
      </c>
      <c r="H86" s="265">
        <v>0.1</v>
      </c>
      <c r="I86" s="258">
        <v>711000000</v>
      </c>
      <c r="J86" s="258">
        <v>7821000000</v>
      </c>
      <c r="K86" s="256" t="s">
        <v>1346</v>
      </c>
    </row>
    <row r="87" spans="1:11" x14ac:dyDescent="0.3">
      <c r="A87" s="256">
        <v>26</v>
      </c>
      <c r="B87" s="257" t="s">
        <v>1388</v>
      </c>
      <c r="C87" s="276">
        <v>44255</v>
      </c>
      <c r="D87" s="257" t="s">
        <v>1267</v>
      </c>
      <c r="E87" s="256" t="s">
        <v>1810</v>
      </c>
      <c r="F87" s="256" t="s">
        <v>1856</v>
      </c>
      <c r="G87" s="258">
        <v>4349000000</v>
      </c>
      <c r="H87" s="265">
        <v>0.1</v>
      </c>
      <c r="I87" s="258">
        <v>434900000</v>
      </c>
      <c r="J87" s="258">
        <v>4783900000</v>
      </c>
      <c r="K87" s="256" t="s">
        <v>1346</v>
      </c>
    </row>
    <row r="88" spans="1:11" x14ac:dyDescent="0.3">
      <c r="A88" s="256">
        <v>27</v>
      </c>
      <c r="B88" s="257" t="s">
        <v>1391</v>
      </c>
      <c r="C88" s="276">
        <v>44316</v>
      </c>
      <c r="D88" s="257" t="s">
        <v>1297</v>
      </c>
      <c r="E88" s="256" t="s">
        <v>1820</v>
      </c>
      <c r="F88" s="256" t="s">
        <v>1856</v>
      </c>
      <c r="G88" s="258">
        <v>8808000000</v>
      </c>
      <c r="H88" s="265">
        <v>0.1</v>
      </c>
      <c r="I88" s="258">
        <v>880800000</v>
      </c>
      <c r="J88" s="258">
        <v>9688800000</v>
      </c>
      <c r="K88" s="256" t="s">
        <v>1346</v>
      </c>
    </row>
    <row r="89" spans="1:11" x14ac:dyDescent="0.3">
      <c r="A89" s="256">
        <v>28</v>
      </c>
      <c r="B89" s="257" t="s">
        <v>1392</v>
      </c>
      <c r="C89" s="276">
        <v>44377</v>
      </c>
      <c r="D89" s="257" t="s">
        <v>1275</v>
      </c>
      <c r="E89" s="256" t="s">
        <v>1808</v>
      </c>
      <c r="F89" s="256" t="s">
        <v>1855</v>
      </c>
      <c r="G89" s="258">
        <v>10430000000</v>
      </c>
      <c r="H89" s="265">
        <v>0</v>
      </c>
      <c r="I89" s="258">
        <v>0</v>
      </c>
      <c r="J89" s="258">
        <v>10430000000</v>
      </c>
      <c r="K89" s="256" t="s">
        <v>1346</v>
      </c>
    </row>
    <row r="90" spans="1:11" x14ac:dyDescent="0.3">
      <c r="A90" s="256">
        <v>29</v>
      </c>
      <c r="B90" s="257" t="s">
        <v>1394</v>
      </c>
      <c r="C90" s="276">
        <v>44469</v>
      </c>
      <c r="D90" s="257" t="s">
        <v>1293</v>
      </c>
      <c r="E90" s="256" t="s">
        <v>1826</v>
      </c>
      <c r="F90" s="256" t="s">
        <v>1853</v>
      </c>
      <c r="G90" s="258">
        <v>9418000000</v>
      </c>
      <c r="H90" s="265">
        <v>0.1</v>
      </c>
      <c r="I90" s="258">
        <v>941800000</v>
      </c>
      <c r="J90" s="258">
        <v>10359800000</v>
      </c>
      <c r="K90" s="256" t="s">
        <v>1346</v>
      </c>
    </row>
    <row r="91" spans="1:11" x14ac:dyDescent="0.3">
      <c r="A91" s="256">
        <v>30</v>
      </c>
      <c r="B91" s="257" t="s">
        <v>1396</v>
      </c>
      <c r="C91" s="276">
        <v>44530</v>
      </c>
      <c r="D91" s="257" t="s">
        <v>1265</v>
      </c>
      <c r="E91" s="256" t="s">
        <v>1830</v>
      </c>
      <c r="F91" s="256" t="s">
        <v>1856</v>
      </c>
      <c r="G91" s="258">
        <v>9973000000</v>
      </c>
      <c r="H91" s="265">
        <v>0.1</v>
      </c>
      <c r="I91" s="258">
        <v>997300000</v>
      </c>
      <c r="J91" s="258">
        <v>10970300000</v>
      </c>
      <c r="K91" s="256" t="s">
        <v>1346</v>
      </c>
    </row>
    <row r="92" spans="1:11" x14ac:dyDescent="0.3">
      <c r="A92" s="256">
        <v>31</v>
      </c>
      <c r="B92" s="257" t="s">
        <v>1397</v>
      </c>
      <c r="C92" s="276">
        <v>44286</v>
      </c>
      <c r="D92" s="257" t="s">
        <v>1297</v>
      </c>
      <c r="E92" s="256" t="s">
        <v>1820</v>
      </c>
      <c r="F92" s="256" t="s">
        <v>1854</v>
      </c>
      <c r="G92" s="258">
        <v>5428000000</v>
      </c>
      <c r="H92" s="265">
        <v>0.1</v>
      </c>
      <c r="I92" s="258">
        <v>542800000</v>
      </c>
      <c r="J92" s="258">
        <v>5970800000</v>
      </c>
      <c r="K92" s="256" t="s">
        <v>1346</v>
      </c>
    </row>
    <row r="93" spans="1:11" x14ac:dyDescent="0.3">
      <c r="A93" s="256">
        <v>32</v>
      </c>
      <c r="B93" s="257" t="s">
        <v>1398</v>
      </c>
      <c r="C93" s="276">
        <v>44347</v>
      </c>
      <c r="D93" s="257" t="s">
        <v>1274</v>
      </c>
      <c r="E93" s="256" t="s">
        <v>1794</v>
      </c>
      <c r="F93" s="256" t="s">
        <v>1856</v>
      </c>
      <c r="G93" s="258">
        <v>3193000000</v>
      </c>
      <c r="H93" s="265">
        <v>0.1</v>
      </c>
      <c r="I93" s="258">
        <v>319300000</v>
      </c>
      <c r="J93" s="258">
        <v>3512300000</v>
      </c>
      <c r="K93" s="256" t="s">
        <v>1348</v>
      </c>
    </row>
    <row r="94" spans="1:11" x14ac:dyDescent="0.3">
      <c r="A94" s="256">
        <v>33</v>
      </c>
      <c r="B94" s="257" t="s">
        <v>1399</v>
      </c>
      <c r="C94" s="276">
        <v>44408</v>
      </c>
      <c r="D94" s="257" t="s">
        <v>1257</v>
      </c>
      <c r="E94" s="256" t="s">
        <v>1815</v>
      </c>
      <c r="F94" s="256" t="s">
        <v>1856</v>
      </c>
      <c r="G94" s="258">
        <v>3625000000</v>
      </c>
      <c r="H94" s="265">
        <v>0.1</v>
      </c>
      <c r="I94" s="258">
        <v>362500000</v>
      </c>
      <c r="J94" s="258">
        <v>3987500000</v>
      </c>
      <c r="K94" s="256" t="s">
        <v>1346</v>
      </c>
    </row>
    <row r="95" spans="1:11" x14ac:dyDescent="0.3">
      <c r="A95" s="256">
        <v>34</v>
      </c>
      <c r="B95" s="257" t="s">
        <v>1401</v>
      </c>
      <c r="C95" s="276">
        <v>44439</v>
      </c>
      <c r="D95" s="257" t="s">
        <v>1296</v>
      </c>
      <c r="E95" s="256" t="s">
        <v>1807</v>
      </c>
      <c r="F95" s="256" t="s">
        <v>1854</v>
      </c>
      <c r="G95" s="258">
        <v>8006000000</v>
      </c>
      <c r="H95" s="265">
        <v>0.1</v>
      </c>
      <c r="I95" s="258">
        <v>800600000</v>
      </c>
      <c r="J95" s="258">
        <v>8806600000</v>
      </c>
      <c r="K95" s="256" t="s">
        <v>1346</v>
      </c>
    </row>
    <row r="96" spans="1:11" x14ac:dyDescent="0.3">
      <c r="A96" s="256">
        <v>35</v>
      </c>
      <c r="B96" s="257" t="s">
        <v>1402</v>
      </c>
      <c r="C96" s="276">
        <v>44500</v>
      </c>
      <c r="D96" s="257" t="s">
        <v>1257</v>
      </c>
      <c r="E96" s="256" t="s">
        <v>1815</v>
      </c>
      <c r="F96" s="256" t="s">
        <v>1854</v>
      </c>
      <c r="G96" s="258">
        <v>4912000000</v>
      </c>
      <c r="H96" s="265">
        <v>0.1</v>
      </c>
      <c r="I96" s="258">
        <v>491200000</v>
      </c>
      <c r="J96" s="258">
        <v>5403200000</v>
      </c>
      <c r="K96" s="256" t="s">
        <v>1346</v>
      </c>
    </row>
    <row r="97" spans="1:11" x14ac:dyDescent="0.3">
      <c r="A97" s="256">
        <v>36</v>
      </c>
      <c r="B97" s="257" t="s">
        <v>1403</v>
      </c>
      <c r="C97" s="276">
        <v>44561</v>
      </c>
      <c r="D97" s="257" t="s">
        <v>1286</v>
      </c>
      <c r="E97" s="256" t="s">
        <v>1828</v>
      </c>
      <c r="F97" s="256" t="s">
        <v>1854</v>
      </c>
      <c r="G97" s="258">
        <v>3829000000</v>
      </c>
      <c r="H97" s="265">
        <v>0</v>
      </c>
      <c r="I97" s="258">
        <v>0</v>
      </c>
      <c r="J97" s="258">
        <v>3829000000</v>
      </c>
      <c r="K97" s="256" t="s">
        <v>1346</v>
      </c>
    </row>
    <row r="98" spans="1:11" x14ac:dyDescent="0.3">
      <c r="A98" s="256">
        <v>37</v>
      </c>
      <c r="B98" s="257" t="s">
        <v>1404</v>
      </c>
      <c r="C98" s="276">
        <v>44561</v>
      </c>
      <c r="D98" s="257" t="s">
        <v>1301</v>
      </c>
      <c r="E98" s="256" t="s">
        <v>1781</v>
      </c>
      <c r="F98" s="256" t="s">
        <v>1854</v>
      </c>
      <c r="G98" s="258">
        <v>3412000000</v>
      </c>
      <c r="H98" s="265">
        <v>0.1</v>
      </c>
      <c r="I98" s="258">
        <v>341200000</v>
      </c>
      <c r="J98" s="258">
        <v>3753200000</v>
      </c>
      <c r="K98" s="256" t="s">
        <v>1348</v>
      </c>
    </row>
    <row r="99" spans="1:11" x14ac:dyDescent="0.3">
      <c r="A99" s="256">
        <v>38</v>
      </c>
      <c r="B99" s="257" t="s">
        <v>1405</v>
      </c>
      <c r="C99" s="276">
        <v>44561</v>
      </c>
      <c r="D99" s="257" t="s">
        <v>1261</v>
      </c>
      <c r="E99" s="256" t="s">
        <v>1813</v>
      </c>
      <c r="F99" s="256" t="s">
        <v>1854</v>
      </c>
      <c r="G99" s="258">
        <v>9890000000</v>
      </c>
      <c r="H99" s="265">
        <v>0.1</v>
      </c>
      <c r="I99" s="258">
        <v>989000000</v>
      </c>
      <c r="J99" s="258">
        <v>10879000000</v>
      </c>
      <c r="K99" s="256" t="s">
        <v>1346</v>
      </c>
    </row>
    <row r="100" spans="1:11" x14ac:dyDescent="0.3">
      <c r="A100" s="256">
        <v>39</v>
      </c>
      <c r="B100" s="257" t="s">
        <v>1406</v>
      </c>
      <c r="C100" s="276">
        <v>44561</v>
      </c>
      <c r="D100" s="257" t="s">
        <v>1268</v>
      </c>
      <c r="E100" s="256" t="s">
        <v>1821</v>
      </c>
      <c r="F100" s="256" t="s">
        <v>1853</v>
      </c>
      <c r="G100" s="258">
        <v>9381000000</v>
      </c>
      <c r="H100" s="265">
        <v>0.1</v>
      </c>
      <c r="I100" s="258">
        <v>938100000</v>
      </c>
      <c r="J100" s="258">
        <v>10319100000</v>
      </c>
      <c r="K100" s="256" t="s">
        <v>1346</v>
      </c>
    </row>
    <row r="101" spans="1:11" x14ac:dyDescent="0.3">
      <c r="A101" s="256">
        <v>40</v>
      </c>
      <c r="B101" s="257" t="s">
        <v>1408</v>
      </c>
      <c r="C101" s="276">
        <v>44561</v>
      </c>
      <c r="D101" s="257" t="s">
        <v>1284</v>
      </c>
      <c r="E101" s="256" t="s">
        <v>1786</v>
      </c>
      <c r="F101" s="256" t="s">
        <v>1856</v>
      </c>
      <c r="G101" s="258">
        <v>4314000000</v>
      </c>
      <c r="H101" s="265">
        <v>0.1</v>
      </c>
      <c r="I101" s="258">
        <v>431400000</v>
      </c>
      <c r="J101" s="258">
        <v>4745400000</v>
      </c>
      <c r="K101" s="256" t="s">
        <v>1346</v>
      </c>
    </row>
    <row r="102" spans="1:11" x14ac:dyDescent="0.3">
      <c r="A102" s="256">
        <v>41</v>
      </c>
      <c r="B102" s="257" t="s">
        <v>1409</v>
      </c>
      <c r="C102" s="276">
        <v>44561</v>
      </c>
      <c r="D102" s="257" t="s">
        <v>1257</v>
      </c>
      <c r="E102" s="256" t="s">
        <v>1815</v>
      </c>
      <c r="F102" s="256" t="s">
        <v>1856</v>
      </c>
      <c r="G102" s="258">
        <v>5308000000</v>
      </c>
      <c r="H102" s="265">
        <v>0.1</v>
      </c>
      <c r="I102" s="258">
        <v>530800000</v>
      </c>
      <c r="J102" s="258">
        <v>5838800000</v>
      </c>
      <c r="K102" s="256" t="s">
        <v>1346</v>
      </c>
    </row>
    <row r="103" spans="1:11" x14ac:dyDescent="0.3">
      <c r="A103" s="256">
        <v>42</v>
      </c>
      <c r="B103" s="257" t="s">
        <v>1411</v>
      </c>
      <c r="C103" s="276">
        <v>44561</v>
      </c>
      <c r="D103" s="257" t="s">
        <v>1301</v>
      </c>
      <c r="E103" s="256" t="s">
        <v>1781</v>
      </c>
      <c r="F103" s="256" t="s">
        <v>1853</v>
      </c>
      <c r="G103" s="258">
        <v>3539000000</v>
      </c>
      <c r="H103" s="265">
        <v>0.1</v>
      </c>
      <c r="I103" s="258">
        <v>353900000</v>
      </c>
      <c r="J103" s="258">
        <v>3892900000</v>
      </c>
      <c r="K103" s="256" t="s">
        <v>1346</v>
      </c>
    </row>
    <row r="104" spans="1:11" x14ac:dyDescent="0.3">
      <c r="A104" s="256">
        <v>43</v>
      </c>
      <c r="B104" s="257" t="s">
        <v>1414</v>
      </c>
      <c r="C104" s="276">
        <v>44561</v>
      </c>
      <c r="D104" s="257" t="s">
        <v>1256</v>
      </c>
      <c r="E104" s="256" t="s">
        <v>1802</v>
      </c>
      <c r="F104" s="256" t="s">
        <v>1854</v>
      </c>
      <c r="G104" s="258">
        <v>3387000000</v>
      </c>
      <c r="H104" s="265">
        <v>0</v>
      </c>
      <c r="I104" s="258">
        <v>0</v>
      </c>
      <c r="J104" s="258">
        <v>3387000000</v>
      </c>
      <c r="K104" s="256" t="s">
        <v>1348</v>
      </c>
    </row>
    <row r="105" spans="1:11" x14ac:dyDescent="0.3">
      <c r="A105" s="256">
        <v>44</v>
      </c>
      <c r="B105" s="257" t="s">
        <v>1415</v>
      </c>
      <c r="C105" s="276">
        <v>44561</v>
      </c>
      <c r="D105" s="257" t="s">
        <v>1294</v>
      </c>
      <c r="E105" s="256" t="s">
        <v>1795</v>
      </c>
      <c r="F105" s="256" t="s">
        <v>1853</v>
      </c>
      <c r="G105" s="258">
        <v>5887000000</v>
      </c>
      <c r="H105" s="265">
        <v>0.1</v>
      </c>
      <c r="I105" s="258">
        <v>588700000</v>
      </c>
      <c r="J105" s="258">
        <v>6475700000</v>
      </c>
      <c r="K105" s="256" t="s">
        <v>1346</v>
      </c>
    </row>
    <row r="106" spans="1:11" x14ac:dyDescent="0.3">
      <c r="A106" s="256">
        <v>45</v>
      </c>
      <c r="B106" s="257" t="s">
        <v>1206</v>
      </c>
      <c r="C106" s="276">
        <v>44561</v>
      </c>
      <c r="D106" s="257" t="s">
        <v>1289</v>
      </c>
      <c r="E106" s="256" t="s">
        <v>1803</v>
      </c>
      <c r="F106" s="256" t="s">
        <v>1856</v>
      </c>
      <c r="G106" s="258">
        <v>8086000000</v>
      </c>
      <c r="H106" s="265">
        <v>0.1</v>
      </c>
      <c r="I106" s="258">
        <v>808600000</v>
      </c>
      <c r="J106" s="258">
        <v>8894600000</v>
      </c>
      <c r="K106" s="256" t="s">
        <v>1346</v>
      </c>
    </row>
    <row r="107" spans="1:11" x14ac:dyDescent="0.3">
      <c r="A107" s="256">
        <v>46</v>
      </c>
      <c r="B107" s="257" t="s">
        <v>1207</v>
      </c>
      <c r="C107" s="276">
        <v>44561</v>
      </c>
      <c r="D107" s="257" t="s">
        <v>1282</v>
      </c>
      <c r="E107" s="256" t="s">
        <v>1789</v>
      </c>
      <c r="F107" s="256" t="s">
        <v>1853</v>
      </c>
      <c r="G107" s="258">
        <v>4617000000</v>
      </c>
      <c r="H107" s="265">
        <v>0.1</v>
      </c>
      <c r="I107" s="258">
        <v>461700000</v>
      </c>
      <c r="J107" s="258">
        <v>5078700000</v>
      </c>
      <c r="K107" s="256" t="s">
        <v>1348</v>
      </c>
    </row>
    <row r="108" spans="1:11" x14ac:dyDescent="0.3">
      <c r="A108" s="256">
        <v>47</v>
      </c>
      <c r="B108" s="257" t="s">
        <v>1208</v>
      </c>
      <c r="C108" s="276">
        <v>44561</v>
      </c>
      <c r="D108" s="257" t="s">
        <v>1291</v>
      </c>
      <c r="E108" s="256" t="s">
        <v>1800</v>
      </c>
      <c r="F108" s="256" t="s">
        <v>1853</v>
      </c>
      <c r="G108" s="258">
        <v>5968000000</v>
      </c>
      <c r="H108" s="265">
        <v>0.1</v>
      </c>
      <c r="I108" s="258">
        <v>596800000</v>
      </c>
      <c r="J108" s="258">
        <v>6564800000</v>
      </c>
      <c r="K108" s="256" t="s">
        <v>1346</v>
      </c>
    </row>
    <row r="109" spans="1:11" x14ac:dyDescent="0.3">
      <c r="A109" s="256">
        <v>48</v>
      </c>
      <c r="B109" s="257" t="s">
        <v>1209</v>
      </c>
      <c r="C109" s="276">
        <v>44561</v>
      </c>
      <c r="D109" s="257" t="s">
        <v>1268</v>
      </c>
      <c r="E109" s="256" t="s">
        <v>1821</v>
      </c>
      <c r="F109" s="256" t="s">
        <v>1855</v>
      </c>
      <c r="G109" s="258">
        <v>7690000000</v>
      </c>
      <c r="H109" s="265">
        <v>0</v>
      </c>
      <c r="I109" s="258">
        <v>0</v>
      </c>
      <c r="J109" s="258">
        <v>7690000000</v>
      </c>
      <c r="K109" s="256" t="s">
        <v>1346</v>
      </c>
    </row>
    <row r="110" spans="1:11" x14ac:dyDescent="0.3">
      <c r="A110" s="256">
        <v>49</v>
      </c>
      <c r="B110" s="257" t="s">
        <v>1418</v>
      </c>
      <c r="C110" s="276">
        <v>44561</v>
      </c>
      <c r="D110" s="257" t="s">
        <v>1258</v>
      </c>
      <c r="E110" s="256" t="s">
        <v>1833</v>
      </c>
      <c r="F110" s="256" t="s">
        <v>1853</v>
      </c>
      <c r="G110" s="258">
        <v>9352000000</v>
      </c>
      <c r="H110" s="265">
        <v>0.1</v>
      </c>
      <c r="I110" s="258">
        <v>935200000</v>
      </c>
      <c r="J110" s="258">
        <v>10287200000</v>
      </c>
      <c r="K110" s="256" t="s">
        <v>1346</v>
      </c>
    </row>
    <row r="111" spans="1:11" x14ac:dyDescent="0.3">
      <c r="A111" s="256">
        <v>50</v>
      </c>
      <c r="B111" s="257" t="s">
        <v>1419</v>
      </c>
      <c r="C111" s="276">
        <v>44561</v>
      </c>
      <c r="D111" s="257" t="s">
        <v>1285</v>
      </c>
      <c r="E111" s="256" t="s">
        <v>1793</v>
      </c>
      <c r="F111" s="256" t="s">
        <v>1854</v>
      </c>
      <c r="G111" s="258">
        <v>6239000000</v>
      </c>
      <c r="H111" s="265">
        <v>0</v>
      </c>
      <c r="I111" s="258">
        <v>0</v>
      </c>
      <c r="J111" s="258">
        <v>6239000000</v>
      </c>
      <c r="K111" s="256" t="s">
        <v>1346</v>
      </c>
    </row>
    <row r="112" spans="1:11" x14ac:dyDescent="0.3">
      <c r="A112" s="266" t="s">
        <v>1351</v>
      </c>
      <c r="B112" s="266"/>
      <c r="C112" s="266"/>
      <c r="D112" s="266"/>
      <c r="E112" s="266"/>
      <c r="F112" s="266"/>
      <c r="G112" s="267">
        <f>SUM(G62:G111)</f>
        <v>355857000000</v>
      </c>
      <c r="H112" s="266"/>
      <c r="I112" s="267">
        <f>SUM(I62:I111)</f>
        <v>30936100000</v>
      </c>
      <c r="J112" s="267">
        <f>SUM(J62:J111)</f>
        <v>386793100000</v>
      </c>
      <c r="K112" s="266"/>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1126</v>
      </c>
      <c r="C1" s="256"/>
      <c r="D1" s="256"/>
      <c r="E1" s="256"/>
      <c r="F1" s="256"/>
      <c r="G1" s="256"/>
      <c r="H1" s="256"/>
      <c r="I1" s="256"/>
      <c r="J1" s="256"/>
      <c r="K1" s="256"/>
    </row>
    <row r="2" spans="1:11" x14ac:dyDescent="0.3">
      <c r="A2" s="256" t="s">
        <v>1339</v>
      </c>
      <c r="B2" s="257">
        <v>500467547</v>
      </c>
      <c r="C2" s="256"/>
      <c r="D2" s="256"/>
      <c r="E2" s="256"/>
      <c r="F2" s="256"/>
      <c r="G2" s="256"/>
      <c r="H2" s="256"/>
      <c r="I2" s="256"/>
      <c r="J2" s="256"/>
      <c r="K2" s="256"/>
    </row>
    <row r="3" spans="1:11" x14ac:dyDescent="0.3">
      <c r="A3" s="256" t="s">
        <v>1343</v>
      </c>
      <c r="B3" s="258">
        <v>627723664288</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1476</v>
      </c>
      <c r="C8" s="276">
        <v>44317</v>
      </c>
      <c r="D8" s="257" t="s">
        <v>1301</v>
      </c>
      <c r="E8" s="256" t="s">
        <v>1781</v>
      </c>
      <c r="F8" s="256" t="s">
        <v>1731</v>
      </c>
      <c r="G8" s="258">
        <v>7535000000</v>
      </c>
      <c r="H8" s="265">
        <v>0</v>
      </c>
      <c r="I8" s="258">
        <v>0</v>
      </c>
      <c r="J8" s="258">
        <v>7535000000</v>
      </c>
      <c r="K8" s="256" t="s">
        <v>1346</v>
      </c>
    </row>
    <row r="9" spans="1:11" x14ac:dyDescent="0.3">
      <c r="A9" s="256">
        <v>2</v>
      </c>
      <c r="B9" s="257" t="s">
        <v>1489</v>
      </c>
      <c r="C9" s="276">
        <v>44318</v>
      </c>
      <c r="D9" s="257" t="s">
        <v>1257</v>
      </c>
      <c r="E9" s="256" t="s">
        <v>1815</v>
      </c>
      <c r="F9" s="256" t="s">
        <v>1734</v>
      </c>
      <c r="G9" s="258">
        <v>10045000000</v>
      </c>
      <c r="H9" s="265">
        <v>0.1</v>
      </c>
      <c r="I9" s="258">
        <v>1004500000</v>
      </c>
      <c r="J9" s="258">
        <v>11049500000</v>
      </c>
      <c r="K9" s="256" t="s">
        <v>1348</v>
      </c>
    </row>
    <row r="10" spans="1:11" x14ac:dyDescent="0.3">
      <c r="A10" s="256">
        <v>3</v>
      </c>
      <c r="B10" s="257" t="s">
        <v>1491</v>
      </c>
      <c r="C10" s="276">
        <v>44472</v>
      </c>
      <c r="D10" s="257" t="s">
        <v>1263</v>
      </c>
      <c r="E10" s="256" t="s">
        <v>1790</v>
      </c>
      <c r="F10" s="256" t="s">
        <v>1868</v>
      </c>
      <c r="G10" s="258">
        <v>10170000000</v>
      </c>
      <c r="H10" s="265">
        <v>0.1</v>
      </c>
      <c r="I10" s="258">
        <v>1017000000</v>
      </c>
      <c r="J10" s="258">
        <v>11187000000</v>
      </c>
      <c r="K10" s="256" t="s">
        <v>1346</v>
      </c>
    </row>
    <row r="11" spans="1:11" x14ac:dyDescent="0.3">
      <c r="A11" s="256">
        <v>4</v>
      </c>
      <c r="B11" s="257" t="s">
        <v>1502</v>
      </c>
      <c r="C11" s="276">
        <v>44473</v>
      </c>
      <c r="D11" s="257" t="s">
        <v>1256</v>
      </c>
      <c r="E11" s="256" t="s">
        <v>1802</v>
      </c>
      <c r="F11" s="256" t="s">
        <v>1731</v>
      </c>
      <c r="G11" s="258">
        <v>10370000000</v>
      </c>
      <c r="H11" s="265">
        <v>0.1</v>
      </c>
      <c r="I11" s="258">
        <v>1037000000</v>
      </c>
      <c r="J11" s="258">
        <v>11407000000</v>
      </c>
      <c r="K11" s="256" t="s">
        <v>1348</v>
      </c>
    </row>
    <row r="12" spans="1:11" x14ac:dyDescent="0.3">
      <c r="A12" s="256">
        <v>5</v>
      </c>
      <c r="B12" s="257" t="s">
        <v>1482</v>
      </c>
      <c r="C12" s="276">
        <v>44474</v>
      </c>
      <c r="D12" s="257" t="s">
        <v>1293</v>
      </c>
      <c r="E12" s="256" t="s">
        <v>1826</v>
      </c>
      <c r="F12" s="256" t="s">
        <v>1730</v>
      </c>
      <c r="G12" s="258">
        <v>11457000000</v>
      </c>
      <c r="H12" s="265">
        <v>0.1</v>
      </c>
      <c r="I12" s="258">
        <v>1145700000</v>
      </c>
      <c r="J12" s="258">
        <v>12602700000</v>
      </c>
      <c r="K12" s="256" t="s">
        <v>1346</v>
      </c>
    </row>
    <row r="13" spans="1:11" x14ac:dyDescent="0.3">
      <c r="A13" s="256">
        <v>6</v>
      </c>
      <c r="B13" s="257" t="s">
        <v>1478</v>
      </c>
      <c r="C13" s="276">
        <v>44475</v>
      </c>
      <c r="D13" s="257" t="s">
        <v>1265</v>
      </c>
      <c r="E13" s="256" t="s">
        <v>1830</v>
      </c>
      <c r="F13" s="256" t="s">
        <v>1741</v>
      </c>
      <c r="G13" s="258">
        <v>4724000000</v>
      </c>
      <c r="H13" s="265">
        <v>0.1</v>
      </c>
      <c r="I13" s="258">
        <v>472400000</v>
      </c>
      <c r="J13" s="258">
        <v>5196400000</v>
      </c>
      <c r="K13" s="256" t="s">
        <v>1346</v>
      </c>
    </row>
    <row r="14" spans="1:11" x14ac:dyDescent="0.3">
      <c r="A14" s="256">
        <v>7</v>
      </c>
      <c r="B14" s="257" t="s">
        <v>1484</v>
      </c>
      <c r="C14" s="276">
        <v>44476</v>
      </c>
      <c r="D14" s="257" t="s">
        <v>1302</v>
      </c>
      <c r="E14" s="256" t="s">
        <v>1784</v>
      </c>
      <c r="F14" s="256" t="s">
        <v>1869</v>
      </c>
      <c r="G14" s="258">
        <v>4995000000</v>
      </c>
      <c r="H14" s="265">
        <v>0.1</v>
      </c>
      <c r="I14" s="258">
        <v>499500000</v>
      </c>
      <c r="J14" s="258">
        <v>5494500000</v>
      </c>
      <c r="K14" s="256" t="s">
        <v>1346</v>
      </c>
    </row>
    <row r="15" spans="1:11" x14ac:dyDescent="0.3">
      <c r="A15" s="256">
        <v>8</v>
      </c>
      <c r="B15" s="257" t="s">
        <v>1467</v>
      </c>
      <c r="C15" s="276">
        <v>44477</v>
      </c>
      <c r="D15" s="257" t="s">
        <v>1267</v>
      </c>
      <c r="E15" s="256" t="s">
        <v>1810</v>
      </c>
      <c r="F15" s="256" t="s">
        <v>1868</v>
      </c>
      <c r="G15" s="258">
        <v>8317000000</v>
      </c>
      <c r="H15" s="265">
        <v>0.1</v>
      </c>
      <c r="I15" s="258">
        <v>831700000</v>
      </c>
      <c r="J15" s="258">
        <v>9148700000</v>
      </c>
      <c r="K15" s="256" t="s">
        <v>1348</v>
      </c>
    </row>
    <row r="16" spans="1:11" x14ac:dyDescent="0.3">
      <c r="A16" s="256">
        <v>9</v>
      </c>
      <c r="B16" s="257" t="s">
        <v>1492</v>
      </c>
      <c r="C16" s="276">
        <v>44478</v>
      </c>
      <c r="D16" s="257" t="s">
        <v>1263</v>
      </c>
      <c r="E16" s="256" t="s">
        <v>1790</v>
      </c>
      <c r="F16" s="256" t="s">
        <v>1741</v>
      </c>
      <c r="G16" s="258">
        <v>8503000000</v>
      </c>
      <c r="H16" s="265">
        <v>0.1</v>
      </c>
      <c r="I16" s="258">
        <v>850300000</v>
      </c>
      <c r="J16" s="258">
        <v>9353300000</v>
      </c>
      <c r="K16" s="256" t="s">
        <v>1346</v>
      </c>
    </row>
    <row r="17" spans="1:11" x14ac:dyDescent="0.3">
      <c r="A17" s="256">
        <v>10</v>
      </c>
      <c r="B17" s="257" t="s">
        <v>1481</v>
      </c>
      <c r="C17" s="276">
        <v>44479</v>
      </c>
      <c r="D17" s="257" t="s">
        <v>1262</v>
      </c>
      <c r="E17" s="256" t="s">
        <v>1816</v>
      </c>
      <c r="F17" s="256" t="s">
        <v>1869</v>
      </c>
      <c r="G17" s="258">
        <v>9121000000</v>
      </c>
      <c r="H17" s="265">
        <v>0.1</v>
      </c>
      <c r="I17" s="258">
        <v>912100000</v>
      </c>
      <c r="J17" s="258">
        <v>10033100000</v>
      </c>
      <c r="K17" s="256" t="s">
        <v>1346</v>
      </c>
    </row>
    <row r="18" spans="1:11" x14ac:dyDescent="0.3">
      <c r="A18" s="256">
        <v>11</v>
      </c>
      <c r="B18" s="257" t="s">
        <v>1505</v>
      </c>
      <c r="C18" s="276">
        <v>44480</v>
      </c>
      <c r="D18" s="257" t="s">
        <v>1288</v>
      </c>
      <c r="E18" s="256" t="s">
        <v>1797</v>
      </c>
      <c r="F18" s="256" t="s">
        <v>1731</v>
      </c>
      <c r="G18" s="258">
        <v>7543000000</v>
      </c>
      <c r="H18" s="265">
        <v>0.1</v>
      </c>
      <c r="I18" s="258">
        <v>754300000</v>
      </c>
      <c r="J18" s="258">
        <v>8297300000</v>
      </c>
      <c r="K18" s="256" t="s">
        <v>1346</v>
      </c>
    </row>
    <row r="19" spans="1:11" x14ac:dyDescent="0.3">
      <c r="A19" s="256">
        <v>12</v>
      </c>
      <c r="B19" s="257" t="s">
        <v>1495</v>
      </c>
      <c r="C19" s="276">
        <v>44481</v>
      </c>
      <c r="D19" s="257" t="s">
        <v>1279</v>
      </c>
      <c r="E19" s="256" t="s">
        <v>1827</v>
      </c>
      <c r="F19" s="256" t="s">
        <v>1734</v>
      </c>
      <c r="G19" s="258">
        <v>13351000000</v>
      </c>
      <c r="H19" s="265">
        <v>0.1</v>
      </c>
      <c r="I19" s="258">
        <v>1335100000</v>
      </c>
      <c r="J19" s="258">
        <v>14686100000</v>
      </c>
      <c r="K19" s="256" t="s">
        <v>1348</v>
      </c>
    </row>
    <row r="20" spans="1:11" x14ac:dyDescent="0.3">
      <c r="A20" s="256">
        <v>13</v>
      </c>
      <c r="B20" s="257" t="s">
        <v>1207</v>
      </c>
      <c r="C20" s="276">
        <v>44211</v>
      </c>
      <c r="D20" s="257" t="s">
        <v>1303</v>
      </c>
      <c r="E20" s="256" t="s">
        <v>1817</v>
      </c>
      <c r="F20" s="256" t="s">
        <v>1734</v>
      </c>
      <c r="G20" s="258">
        <v>13739000000</v>
      </c>
      <c r="H20" s="265">
        <v>0.1</v>
      </c>
      <c r="I20" s="258">
        <v>1373900000</v>
      </c>
      <c r="J20" s="258">
        <v>15112900000</v>
      </c>
      <c r="K20" s="256" t="s">
        <v>1346</v>
      </c>
    </row>
    <row r="21" spans="1:11" x14ac:dyDescent="0.3">
      <c r="A21" s="256">
        <v>14</v>
      </c>
      <c r="B21" s="257" t="s">
        <v>1211</v>
      </c>
      <c r="C21" s="276">
        <v>44242</v>
      </c>
      <c r="D21" s="257" t="s">
        <v>1281</v>
      </c>
      <c r="E21" s="256" t="s">
        <v>1806</v>
      </c>
      <c r="F21" s="256" t="s">
        <v>1731</v>
      </c>
      <c r="G21" s="258">
        <v>14200000000</v>
      </c>
      <c r="H21" s="265">
        <v>0.1</v>
      </c>
      <c r="I21" s="258">
        <v>1420000000</v>
      </c>
      <c r="J21" s="258">
        <v>15620000000</v>
      </c>
      <c r="K21" s="256" t="s">
        <v>1346</v>
      </c>
    </row>
    <row r="22" spans="1:11" x14ac:dyDescent="0.3">
      <c r="A22" s="256">
        <v>15</v>
      </c>
      <c r="B22" s="257" t="s">
        <v>1506</v>
      </c>
      <c r="C22" s="276">
        <v>44275</v>
      </c>
      <c r="D22" s="257" t="s">
        <v>1274</v>
      </c>
      <c r="E22" s="256" t="s">
        <v>1794</v>
      </c>
      <c r="F22" s="256" t="s">
        <v>1730</v>
      </c>
      <c r="G22" s="258">
        <v>13478000000</v>
      </c>
      <c r="H22" s="265">
        <v>0.1</v>
      </c>
      <c r="I22" s="258">
        <v>1347800000</v>
      </c>
      <c r="J22" s="258">
        <v>14825800000</v>
      </c>
      <c r="K22" s="256" t="s">
        <v>1346</v>
      </c>
    </row>
    <row r="23" spans="1:11" x14ac:dyDescent="0.3">
      <c r="A23" s="256">
        <v>16</v>
      </c>
      <c r="B23" s="257" t="s">
        <v>1485</v>
      </c>
      <c r="C23" s="276">
        <v>44306</v>
      </c>
      <c r="D23" s="257" t="s">
        <v>1302</v>
      </c>
      <c r="E23" s="256" t="s">
        <v>1784</v>
      </c>
      <c r="F23" s="256" t="s">
        <v>1731</v>
      </c>
      <c r="G23" s="258">
        <v>12435000000</v>
      </c>
      <c r="H23" s="265">
        <v>0.1</v>
      </c>
      <c r="I23" s="258">
        <v>1243500000</v>
      </c>
      <c r="J23" s="258">
        <v>13678500000</v>
      </c>
      <c r="K23" s="256" t="s">
        <v>1346</v>
      </c>
    </row>
    <row r="24" spans="1:11" x14ac:dyDescent="0.3">
      <c r="A24" s="256">
        <v>17</v>
      </c>
      <c r="B24" s="257" t="s">
        <v>1513</v>
      </c>
      <c r="C24" s="276">
        <v>44336</v>
      </c>
      <c r="D24" s="257" t="s">
        <v>1259</v>
      </c>
      <c r="E24" s="256" t="s">
        <v>1788</v>
      </c>
      <c r="F24" s="256" t="s">
        <v>1731</v>
      </c>
      <c r="G24" s="258">
        <v>7047000000</v>
      </c>
      <c r="H24" s="265">
        <v>0.1</v>
      </c>
      <c r="I24" s="258">
        <v>704700000</v>
      </c>
      <c r="J24" s="258">
        <v>7751700000</v>
      </c>
      <c r="K24" s="256" t="s">
        <v>1346</v>
      </c>
    </row>
    <row r="25" spans="1:11" x14ac:dyDescent="0.3">
      <c r="A25" s="256">
        <v>18</v>
      </c>
      <c r="B25" s="257" t="s">
        <v>1516</v>
      </c>
      <c r="C25" s="276">
        <v>44367</v>
      </c>
      <c r="D25" s="257" t="s">
        <v>1304</v>
      </c>
      <c r="E25" s="256" t="s">
        <v>1831</v>
      </c>
      <c r="F25" s="256" t="s">
        <v>1741</v>
      </c>
      <c r="G25" s="258">
        <v>12585000000</v>
      </c>
      <c r="H25" s="265">
        <v>0.1</v>
      </c>
      <c r="I25" s="258">
        <v>1258500000</v>
      </c>
      <c r="J25" s="258">
        <v>13843500000</v>
      </c>
      <c r="K25" s="256" t="s">
        <v>1346</v>
      </c>
    </row>
    <row r="26" spans="1:11" x14ac:dyDescent="0.3">
      <c r="A26" s="256">
        <v>19</v>
      </c>
      <c r="B26" s="257" t="s">
        <v>1208</v>
      </c>
      <c r="C26" s="276">
        <v>44397</v>
      </c>
      <c r="D26" s="257" t="s">
        <v>1296</v>
      </c>
      <c r="E26" s="256" t="s">
        <v>1807</v>
      </c>
      <c r="F26" s="256" t="s">
        <v>1869</v>
      </c>
      <c r="G26" s="258">
        <v>9838000000</v>
      </c>
      <c r="H26" s="265">
        <v>0.1</v>
      </c>
      <c r="I26" s="258">
        <v>983800000</v>
      </c>
      <c r="J26" s="258">
        <v>10821800000</v>
      </c>
      <c r="K26" s="256" t="s">
        <v>1346</v>
      </c>
    </row>
    <row r="27" spans="1:11" x14ac:dyDescent="0.3">
      <c r="A27" s="256">
        <v>20</v>
      </c>
      <c r="B27" s="257" t="s">
        <v>1462</v>
      </c>
      <c r="C27" s="276">
        <v>44428</v>
      </c>
      <c r="D27" s="257" t="s">
        <v>1292</v>
      </c>
      <c r="E27" s="256" t="s">
        <v>1792</v>
      </c>
      <c r="F27" s="256" t="s">
        <v>1730</v>
      </c>
      <c r="G27" s="258">
        <v>4140000000</v>
      </c>
      <c r="H27" s="265">
        <v>0</v>
      </c>
      <c r="I27" s="258">
        <v>0</v>
      </c>
      <c r="J27" s="258">
        <v>4140000000</v>
      </c>
      <c r="K27" s="256" t="s">
        <v>1346</v>
      </c>
    </row>
    <row r="28" spans="1:11" x14ac:dyDescent="0.3">
      <c r="A28" s="256">
        <v>21</v>
      </c>
      <c r="B28" s="257" t="s">
        <v>1466</v>
      </c>
      <c r="C28" s="276">
        <v>44459</v>
      </c>
      <c r="D28" s="257" t="s">
        <v>1255</v>
      </c>
      <c r="E28" s="273">
        <v>46152</v>
      </c>
      <c r="F28" s="256" t="s">
        <v>1871</v>
      </c>
      <c r="G28" s="258">
        <v>4778000000</v>
      </c>
      <c r="H28" s="265">
        <v>0.1</v>
      </c>
      <c r="I28" s="258">
        <v>477800000</v>
      </c>
      <c r="J28" s="258">
        <v>5255800000</v>
      </c>
      <c r="K28" s="256" t="s">
        <v>1346</v>
      </c>
    </row>
    <row r="29" spans="1:11" x14ac:dyDescent="0.3">
      <c r="A29" s="256">
        <v>22</v>
      </c>
      <c r="B29" s="257" t="s">
        <v>1467</v>
      </c>
      <c r="C29" s="276">
        <v>44489</v>
      </c>
      <c r="D29" s="257" t="s">
        <v>1255</v>
      </c>
      <c r="E29" s="273">
        <v>46152</v>
      </c>
      <c r="F29" s="256" t="s">
        <v>1731</v>
      </c>
      <c r="G29" s="258">
        <v>14543000000</v>
      </c>
      <c r="H29" s="265">
        <v>0.1</v>
      </c>
      <c r="I29" s="258">
        <v>1454300000</v>
      </c>
      <c r="J29" s="258">
        <v>15997300000</v>
      </c>
      <c r="K29" s="256" t="s">
        <v>1346</v>
      </c>
    </row>
    <row r="30" spans="1:11" x14ac:dyDescent="0.3">
      <c r="A30" s="256">
        <v>23</v>
      </c>
      <c r="B30" s="257" t="s">
        <v>1471</v>
      </c>
      <c r="C30" s="276">
        <v>44520</v>
      </c>
      <c r="D30" s="257" t="s">
        <v>1269</v>
      </c>
      <c r="E30" s="256" t="s">
        <v>1823</v>
      </c>
      <c r="F30" s="256" t="s">
        <v>1734</v>
      </c>
      <c r="G30" s="258">
        <v>4954000000</v>
      </c>
      <c r="H30" s="265">
        <v>0.1</v>
      </c>
      <c r="I30" s="258">
        <v>495400000</v>
      </c>
      <c r="J30" s="258">
        <v>5449400000</v>
      </c>
      <c r="K30" s="256" t="s">
        <v>1346</v>
      </c>
    </row>
    <row r="31" spans="1:11" x14ac:dyDescent="0.3">
      <c r="A31" s="256">
        <v>24</v>
      </c>
      <c r="B31" s="257" t="s">
        <v>1479</v>
      </c>
      <c r="C31" s="276">
        <v>44550</v>
      </c>
      <c r="D31" s="257" t="s">
        <v>1265</v>
      </c>
      <c r="E31" s="256" t="s">
        <v>1830</v>
      </c>
      <c r="F31" s="256" t="s">
        <v>1730</v>
      </c>
      <c r="G31" s="258">
        <v>4150000000</v>
      </c>
      <c r="H31" s="265">
        <v>0.1</v>
      </c>
      <c r="I31" s="258">
        <v>415000000</v>
      </c>
      <c r="J31" s="258">
        <v>4565000000</v>
      </c>
      <c r="K31" s="256" t="s">
        <v>1346</v>
      </c>
    </row>
    <row r="32" spans="1:11" x14ac:dyDescent="0.3">
      <c r="A32" s="256">
        <v>25</v>
      </c>
      <c r="B32" s="257" t="s">
        <v>1493</v>
      </c>
      <c r="C32" s="276">
        <v>44221</v>
      </c>
      <c r="D32" s="257" t="s">
        <v>1263</v>
      </c>
      <c r="E32" s="256" t="s">
        <v>1790</v>
      </c>
      <c r="F32" s="256" t="s">
        <v>1869</v>
      </c>
      <c r="G32" s="258">
        <v>11081000000</v>
      </c>
      <c r="H32" s="265">
        <v>0.1</v>
      </c>
      <c r="I32" s="258">
        <v>1108100000</v>
      </c>
      <c r="J32" s="258">
        <v>12189100000</v>
      </c>
      <c r="K32" s="256" t="s">
        <v>1346</v>
      </c>
    </row>
    <row r="33" spans="1:11" x14ac:dyDescent="0.3">
      <c r="A33" s="256">
        <v>26</v>
      </c>
      <c r="B33" s="257" t="s">
        <v>1486</v>
      </c>
      <c r="C33" s="276">
        <v>44255</v>
      </c>
      <c r="D33" s="257" t="s">
        <v>1302</v>
      </c>
      <c r="E33" s="256" t="s">
        <v>1784</v>
      </c>
      <c r="F33" s="256" t="s">
        <v>1734</v>
      </c>
      <c r="G33" s="258">
        <v>6570000000</v>
      </c>
      <c r="H33" s="265">
        <v>0.1</v>
      </c>
      <c r="I33" s="258">
        <v>657000000</v>
      </c>
      <c r="J33" s="258">
        <v>7227000000</v>
      </c>
      <c r="K33" s="256" t="s">
        <v>1348</v>
      </c>
    </row>
    <row r="34" spans="1:11" x14ac:dyDescent="0.3">
      <c r="A34" s="256">
        <v>27</v>
      </c>
      <c r="B34" s="257" t="s">
        <v>1507</v>
      </c>
      <c r="C34" s="276">
        <v>44316</v>
      </c>
      <c r="D34" s="257" t="s">
        <v>1274</v>
      </c>
      <c r="E34" s="256" t="s">
        <v>1794</v>
      </c>
      <c r="F34" s="256" t="s">
        <v>1734</v>
      </c>
      <c r="G34" s="258">
        <v>11927000000</v>
      </c>
      <c r="H34" s="265">
        <v>0.1</v>
      </c>
      <c r="I34" s="258">
        <v>1192700000</v>
      </c>
      <c r="J34" s="258">
        <v>13119700000</v>
      </c>
      <c r="K34" s="256" t="s">
        <v>1346</v>
      </c>
    </row>
    <row r="35" spans="1:11" x14ac:dyDescent="0.3">
      <c r="A35" s="256">
        <v>28</v>
      </c>
      <c r="B35" s="257" t="s">
        <v>1508</v>
      </c>
      <c r="C35" s="276">
        <v>44377</v>
      </c>
      <c r="D35" s="257" t="s">
        <v>1274</v>
      </c>
      <c r="E35" s="256" t="s">
        <v>1794</v>
      </c>
      <c r="F35" s="256" t="s">
        <v>1731</v>
      </c>
      <c r="G35" s="258">
        <v>9111000000</v>
      </c>
      <c r="H35" s="265">
        <v>0.1</v>
      </c>
      <c r="I35" s="258">
        <v>911100000</v>
      </c>
      <c r="J35" s="258">
        <v>10022100000</v>
      </c>
      <c r="K35" s="256" t="s">
        <v>1346</v>
      </c>
    </row>
    <row r="36" spans="1:11" x14ac:dyDescent="0.3">
      <c r="A36" s="256">
        <v>29</v>
      </c>
      <c r="B36" s="257" t="s">
        <v>1486</v>
      </c>
      <c r="C36" s="276">
        <v>44469</v>
      </c>
      <c r="D36" s="257" t="s">
        <v>1285</v>
      </c>
      <c r="E36" s="256" t="s">
        <v>1793</v>
      </c>
      <c r="F36" s="256" t="s">
        <v>1731</v>
      </c>
      <c r="G36" s="258">
        <v>14495000000</v>
      </c>
      <c r="H36" s="265">
        <v>0.1</v>
      </c>
      <c r="I36" s="258">
        <v>1449500000</v>
      </c>
      <c r="J36" s="258">
        <v>15944500000</v>
      </c>
      <c r="K36" s="256" t="s">
        <v>1346</v>
      </c>
    </row>
    <row r="37" spans="1:11" x14ac:dyDescent="0.3">
      <c r="A37" s="256">
        <v>30</v>
      </c>
      <c r="B37" s="257" t="s">
        <v>1504</v>
      </c>
      <c r="C37" s="276">
        <v>44530</v>
      </c>
      <c r="D37" s="257" t="s">
        <v>1273</v>
      </c>
      <c r="E37" s="256" t="s">
        <v>1829</v>
      </c>
      <c r="F37" s="256" t="s">
        <v>1869</v>
      </c>
      <c r="G37" s="258">
        <v>13573000000</v>
      </c>
      <c r="H37" s="265">
        <v>0.1</v>
      </c>
      <c r="I37" s="258">
        <v>1357300000</v>
      </c>
      <c r="J37" s="258">
        <v>14930300000</v>
      </c>
      <c r="K37" s="256" t="s">
        <v>1346</v>
      </c>
    </row>
    <row r="38" spans="1:11" x14ac:dyDescent="0.3">
      <c r="A38" s="256">
        <v>31</v>
      </c>
      <c r="B38" s="257" t="s">
        <v>1465</v>
      </c>
      <c r="C38" s="276">
        <v>44286</v>
      </c>
      <c r="D38" s="257" t="s">
        <v>1300</v>
      </c>
      <c r="E38" s="256" t="s">
        <v>1818</v>
      </c>
      <c r="F38" s="256" t="s">
        <v>1871</v>
      </c>
      <c r="G38" s="258">
        <v>11965000000</v>
      </c>
      <c r="H38" s="265">
        <v>0.1</v>
      </c>
      <c r="I38" s="258">
        <v>1196500000</v>
      </c>
      <c r="J38" s="258">
        <v>13161500000</v>
      </c>
      <c r="K38" s="256" t="s">
        <v>1346</v>
      </c>
    </row>
    <row r="39" spans="1:11" x14ac:dyDescent="0.3">
      <c r="A39" s="256">
        <v>32</v>
      </c>
      <c r="B39" s="257" t="s">
        <v>1466</v>
      </c>
      <c r="C39" s="276">
        <v>44347</v>
      </c>
      <c r="D39" s="257" t="s">
        <v>1300</v>
      </c>
      <c r="E39" s="256" t="s">
        <v>1818</v>
      </c>
      <c r="F39" s="256" t="s">
        <v>1731</v>
      </c>
      <c r="G39" s="258">
        <v>14623000000</v>
      </c>
      <c r="H39" s="265">
        <v>0.1</v>
      </c>
      <c r="I39" s="258">
        <v>1462300000</v>
      </c>
      <c r="J39" s="258">
        <v>16085300000</v>
      </c>
      <c r="K39" s="256" t="s">
        <v>1346</v>
      </c>
    </row>
    <row r="40" spans="1:11" x14ac:dyDescent="0.3">
      <c r="A40" s="256">
        <v>33</v>
      </c>
      <c r="B40" s="257" t="s">
        <v>1494</v>
      </c>
      <c r="C40" s="276">
        <v>44408</v>
      </c>
      <c r="D40" s="257" t="s">
        <v>1268</v>
      </c>
      <c r="E40" s="256" t="s">
        <v>1821</v>
      </c>
      <c r="F40" s="256" t="s">
        <v>1869</v>
      </c>
      <c r="G40" s="258">
        <v>5527000000</v>
      </c>
      <c r="H40" s="265">
        <v>0.1</v>
      </c>
      <c r="I40" s="258">
        <v>552700000</v>
      </c>
      <c r="J40" s="258">
        <v>6079700000</v>
      </c>
      <c r="K40" s="256" t="s">
        <v>1346</v>
      </c>
    </row>
    <row r="41" spans="1:11" x14ac:dyDescent="0.3">
      <c r="A41" s="256">
        <v>34</v>
      </c>
      <c r="B41" s="257" t="s">
        <v>1499</v>
      </c>
      <c r="C41" s="276">
        <v>44439</v>
      </c>
      <c r="D41" s="257" t="s">
        <v>1277</v>
      </c>
      <c r="E41" s="256" t="s">
        <v>1783</v>
      </c>
      <c r="F41" s="256" t="s">
        <v>1868</v>
      </c>
      <c r="G41" s="258">
        <v>10282000000</v>
      </c>
      <c r="H41" s="265">
        <v>0</v>
      </c>
      <c r="I41" s="258">
        <v>0</v>
      </c>
      <c r="J41" s="258">
        <v>10282000000</v>
      </c>
      <c r="K41" s="256" t="s">
        <v>1346</v>
      </c>
    </row>
    <row r="42" spans="1:11" x14ac:dyDescent="0.3">
      <c r="A42" s="256">
        <v>35</v>
      </c>
      <c r="B42" s="257" t="s">
        <v>1517</v>
      </c>
      <c r="C42" s="276">
        <v>44500</v>
      </c>
      <c r="D42" s="257" t="s">
        <v>1304</v>
      </c>
      <c r="E42" s="256" t="s">
        <v>1831</v>
      </c>
      <c r="F42" s="256" t="s">
        <v>1741</v>
      </c>
      <c r="G42" s="258">
        <v>9864000000</v>
      </c>
      <c r="H42" s="265">
        <v>0.1</v>
      </c>
      <c r="I42" s="258">
        <v>986400000</v>
      </c>
      <c r="J42" s="258">
        <v>10850400000</v>
      </c>
      <c r="K42" s="256" t="s">
        <v>1346</v>
      </c>
    </row>
    <row r="43" spans="1:11" x14ac:dyDescent="0.3">
      <c r="A43" s="256">
        <v>36</v>
      </c>
      <c r="B43" s="257" t="s">
        <v>1463</v>
      </c>
      <c r="C43" s="276">
        <v>44561</v>
      </c>
      <c r="D43" s="257" t="s">
        <v>1291</v>
      </c>
      <c r="E43" s="256" t="s">
        <v>1800</v>
      </c>
      <c r="F43" s="256" t="s">
        <v>1741</v>
      </c>
      <c r="G43" s="258">
        <v>7000000000</v>
      </c>
      <c r="H43" s="265">
        <v>0.1</v>
      </c>
      <c r="I43" s="258">
        <v>700000000</v>
      </c>
      <c r="J43" s="258">
        <v>7700000000</v>
      </c>
      <c r="K43" s="256" t="s">
        <v>1346</v>
      </c>
    </row>
    <row r="44" spans="1:11" x14ac:dyDescent="0.3">
      <c r="A44" s="256">
        <v>37</v>
      </c>
      <c r="B44" s="257" t="s">
        <v>1509</v>
      </c>
      <c r="C44" s="276">
        <v>44561</v>
      </c>
      <c r="D44" s="257" t="s">
        <v>1274</v>
      </c>
      <c r="E44" s="256" t="s">
        <v>1794</v>
      </c>
      <c r="F44" s="256" t="s">
        <v>1741</v>
      </c>
      <c r="G44" s="258">
        <v>14209000000</v>
      </c>
      <c r="H44" s="265">
        <v>0.1</v>
      </c>
      <c r="I44" s="258">
        <v>1420900000</v>
      </c>
      <c r="J44" s="258">
        <v>15629900000</v>
      </c>
      <c r="K44" s="256" t="s">
        <v>1346</v>
      </c>
    </row>
    <row r="45" spans="1:11" x14ac:dyDescent="0.3">
      <c r="A45" s="256">
        <v>38</v>
      </c>
      <c r="B45" s="257" t="s">
        <v>1474</v>
      </c>
      <c r="C45" s="276">
        <v>44561</v>
      </c>
      <c r="D45" s="257" t="s">
        <v>1290</v>
      </c>
      <c r="E45" s="256" t="s">
        <v>1796</v>
      </c>
      <c r="F45" s="256" t="s">
        <v>1734</v>
      </c>
      <c r="G45" s="258">
        <v>5323000000</v>
      </c>
      <c r="H45" s="265">
        <v>0.1</v>
      </c>
      <c r="I45" s="258">
        <v>532300000</v>
      </c>
      <c r="J45" s="258">
        <v>5855300000</v>
      </c>
      <c r="K45" s="256" t="s">
        <v>1346</v>
      </c>
    </row>
    <row r="46" spans="1:11" x14ac:dyDescent="0.3">
      <c r="A46" s="256">
        <v>39</v>
      </c>
      <c r="B46" s="257" t="s">
        <v>1503</v>
      </c>
      <c r="C46" s="276">
        <v>44561</v>
      </c>
      <c r="D46" s="257" t="s">
        <v>1256</v>
      </c>
      <c r="E46" s="256" t="s">
        <v>1802</v>
      </c>
      <c r="F46" s="256" t="s">
        <v>1871</v>
      </c>
      <c r="G46" s="258">
        <v>5025000000</v>
      </c>
      <c r="H46" s="265">
        <v>0.1</v>
      </c>
      <c r="I46" s="258">
        <v>502500000</v>
      </c>
      <c r="J46" s="258">
        <v>5527500000</v>
      </c>
      <c r="K46" s="256" t="s">
        <v>1346</v>
      </c>
    </row>
    <row r="47" spans="1:11" x14ac:dyDescent="0.3">
      <c r="A47" s="256">
        <v>40</v>
      </c>
      <c r="B47" s="257" t="s">
        <v>1464</v>
      </c>
      <c r="C47" s="276">
        <v>44561</v>
      </c>
      <c r="D47" s="257" t="s">
        <v>1286</v>
      </c>
      <c r="E47" s="256" t="s">
        <v>1828</v>
      </c>
      <c r="F47" s="256" t="s">
        <v>1730</v>
      </c>
      <c r="G47" s="258">
        <v>4950000000</v>
      </c>
      <c r="H47" s="265">
        <v>0.1</v>
      </c>
      <c r="I47" s="258">
        <v>495000000</v>
      </c>
      <c r="J47" s="258">
        <v>5445000000</v>
      </c>
      <c r="K47" s="256" t="s">
        <v>1346</v>
      </c>
    </row>
    <row r="48" spans="1:11" x14ac:dyDescent="0.3">
      <c r="A48" s="256">
        <v>41</v>
      </c>
      <c r="B48" s="257" t="s">
        <v>1212</v>
      </c>
      <c r="C48" s="276">
        <v>44561</v>
      </c>
      <c r="D48" s="257" t="s">
        <v>1281</v>
      </c>
      <c r="E48" s="256" t="s">
        <v>1806</v>
      </c>
      <c r="F48" s="256" t="s">
        <v>1734</v>
      </c>
      <c r="G48" s="258">
        <v>14084000000</v>
      </c>
      <c r="H48" s="265">
        <v>0.1</v>
      </c>
      <c r="I48" s="258">
        <v>1408400000</v>
      </c>
      <c r="J48" s="258">
        <v>15492400000</v>
      </c>
      <c r="K48" s="256" t="s">
        <v>1346</v>
      </c>
    </row>
    <row r="49" spans="1:11" x14ac:dyDescent="0.3">
      <c r="A49" s="256">
        <v>42</v>
      </c>
      <c r="B49" s="257" t="s">
        <v>1208</v>
      </c>
      <c r="C49" s="276">
        <v>44561</v>
      </c>
      <c r="D49" s="257" t="s">
        <v>1303</v>
      </c>
      <c r="E49" s="256" t="s">
        <v>1817</v>
      </c>
      <c r="F49" s="256" t="s">
        <v>1868</v>
      </c>
      <c r="G49" s="258">
        <v>11566000000</v>
      </c>
      <c r="H49" s="265">
        <v>0.1</v>
      </c>
      <c r="I49" s="258">
        <v>1156600000</v>
      </c>
      <c r="J49" s="258">
        <v>12722600000</v>
      </c>
      <c r="K49" s="256" t="s">
        <v>1346</v>
      </c>
    </row>
    <row r="50" spans="1:11" x14ac:dyDescent="0.3">
      <c r="A50" s="256">
        <v>43</v>
      </c>
      <c r="B50" s="257" t="s">
        <v>1496</v>
      </c>
      <c r="C50" s="276">
        <v>44561</v>
      </c>
      <c r="D50" s="257" t="s">
        <v>1276</v>
      </c>
      <c r="E50" s="256" t="s">
        <v>1822</v>
      </c>
      <c r="F50" s="256" t="s">
        <v>1741</v>
      </c>
      <c r="G50" s="258">
        <v>4776000000</v>
      </c>
      <c r="H50" s="265">
        <v>0.1</v>
      </c>
      <c r="I50" s="258">
        <v>477600000</v>
      </c>
      <c r="J50" s="258">
        <v>5253600000</v>
      </c>
      <c r="K50" s="256" t="s">
        <v>1348</v>
      </c>
    </row>
    <row r="51" spans="1:11" x14ac:dyDescent="0.3">
      <c r="A51" s="256">
        <v>44</v>
      </c>
      <c r="B51" s="257" t="s">
        <v>1208</v>
      </c>
      <c r="C51" s="276">
        <v>44561</v>
      </c>
      <c r="D51" s="257" t="s">
        <v>1258</v>
      </c>
      <c r="E51" s="256" t="s">
        <v>1833</v>
      </c>
      <c r="F51" s="256" t="s">
        <v>1734</v>
      </c>
      <c r="G51" s="258">
        <v>9914000000</v>
      </c>
      <c r="H51" s="265">
        <v>0.1</v>
      </c>
      <c r="I51" s="258">
        <v>991400000</v>
      </c>
      <c r="J51" s="258">
        <v>10905400000</v>
      </c>
      <c r="K51" s="256" t="s">
        <v>1346</v>
      </c>
    </row>
    <row r="52" spans="1:11" x14ac:dyDescent="0.3">
      <c r="A52" s="256">
        <v>45</v>
      </c>
      <c r="B52" s="257" t="s">
        <v>1464</v>
      </c>
      <c r="C52" s="276">
        <v>44561</v>
      </c>
      <c r="D52" s="257" t="s">
        <v>1291</v>
      </c>
      <c r="E52" s="256" t="s">
        <v>1800</v>
      </c>
      <c r="F52" s="256" t="s">
        <v>1741</v>
      </c>
      <c r="G52" s="258">
        <v>9979000000</v>
      </c>
      <c r="H52" s="265">
        <v>0.1</v>
      </c>
      <c r="I52" s="258">
        <v>997900000</v>
      </c>
      <c r="J52" s="258">
        <v>10976900000</v>
      </c>
      <c r="K52" s="256" t="s">
        <v>1346</v>
      </c>
    </row>
    <row r="53" spans="1:11" x14ac:dyDescent="0.3">
      <c r="A53" s="256">
        <v>46</v>
      </c>
      <c r="B53" s="257" t="s">
        <v>1510</v>
      </c>
      <c r="C53" s="276">
        <v>44561</v>
      </c>
      <c r="D53" s="257" t="s">
        <v>1274</v>
      </c>
      <c r="E53" s="256" t="s">
        <v>1794</v>
      </c>
      <c r="F53" s="256" t="s">
        <v>1731</v>
      </c>
      <c r="G53" s="258">
        <v>6915000000</v>
      </c>
      <c r="H53" s="265">
        <v>0.1</v>
      </c>
      <c r="I53" s="258">
        <v>691500000</v>
      </c>
      <c r="J53" s="258">
        <v>7606500000</v>
      </c>
      <c r="K53" s="256" t="s">
        <v>1346</v>
      </c>
    </row>
    <row r="54" spans="1:11" x14ac:dyDescent="0.3">
      <c r="A54" s="256">
        <v>47</v>
      </c>
      <c r="B54" s="257" t="s">
        <v>1485</v>
      </c>
      <c r="C54" s="276">
        <v>44561</v>
      </c>
      <c r="D54" s="257" t="s">
        <v>1299</v>
      </c>
      <c r="E54" s="256" t="s">
        <v>1776</v>
      </c>
      <c r="F54" s="256" t="s">
        <v>1731</v>
      </c>
      <c r="G54" s="258">
        <v>13327000000</v>
      </c>
      <c r="H54" s="265">
        <v>0.1</v>
      </c>
      <c r="I54" s="258">
        <v>1332700000</v>
      </c>
      <c r="J54" s="258">
        <v>14659700000</v>
      </c>
      <c r="K54" s="256" t="s">
        <v>1346</v>
      </c>
    </row>
    <row r="55" spans="1:11" x14ac:dyDescent="0.3">
      <c r="A55" s="256">
        <v>48</v>
      </c>
      <c r="B55" s="257" t="s">
        <v>1488</v>
      </c>
      <c r="C55" s="276">
        <v>44561</v>
      </c>
      <c r="D55" s="257" t="s">
        <v>1283</v>
      </c>
      <c r="E55" s="256" t="s">
        <v>1798</v>
      </c>
      <c r="F55" s="256" t="s">
        <v>1731</v>
      </c>
      <c r="G55" s="258">
        <v>12751000000</v>
      </c>
      <c r="H55" s="265">
        <v>0.1</v>
      </c>
      <c r="I55" s="258">
        <v>1275100000</v>
      </c>
      <c r="J55" s="258">
        <v>14026100000</v>
      </c>
      <c r="K55" s="256" t="s">
        <v>1346</v>
      </c>
    </row>
    <row r="56" spans="1:11" x14ac:dyDescent="0.3">
      <c r="A56" s="256">
        <v>49</v>
      </c>
      <c r="B56" s="257" t="s">
        <v>1209</v>
      </c>
      <c r="C56" s="276">
        <v>44561</v>
      </c>
      <c r="D56" s="257" t="s">
        <v>1296</v>
      </c>
      <c r="E56" s="256" t="s">
        <v>1807</v>
      </c>
      <c r="F56" s="256" t="s">
        <v>1741</v>
      </c>
      <c r="G56" s="258">
        <v>4735000000</v>
      </c>
      <c r="H56" s="265">
        <v>0.1</v>
      </c>
      <c r="I56" s="258">
        <v>473500000</v>
      </c>
      <c r="J56" s="258">
        <v>5208500000</v>
      </c>
      <c r="K56" s="256" t="s">
        <v>1348</v>
      </c>
    </row>
    <row r="57" spans="1:11" x14ac:dyDescent="0.3">
      <c r="A57" s="256">
        <v>50</v>
      </c>
      <c r="B57" s="257" t="s">
        <v>1490</v>
      </c>
      <c r="C57" s="276">
        <v>44561</v>
      </c>
      <c r="D57" s="257" t="s">
        <v>1257</v>
      </c>
      <c r="E57" s="256" t="s">
        <v>1815</v>
      </c>
      <c r="F57" s="256" t="s">
        <v>1741</v>
      </c>
      <c r="G57" s="258">
        <v>13838000000</v>
      </c>
      <c r="H57" s="265">
        <v>0.1</v>
      </c>
      <c r="I57" s="258">
        <v>1383800000</v>
      </c>
      <c r="J57" s="258">
        <v>15221800000</v>
      </c>
      <c r="K57" s="256" t="s">
        <v>1346</v>
      </c>
    </row>
    <row r="58" spans="1:11" x14ac:dyDescent="0.3">
      <c r="A58" s="266" t="s">
        <v>1351</v>
      </c>
      <c r="B58" s="266"/>
      <c r="C58" s="266"/>
      <c r="D58" s="266"/>
      <c r="E58" s="266"/>
      <c r="F58" s="266"/>
      <c r="G58" s="267">
        <f>SUM(G8:G57)</f>
        <v>479428000000</v>
      </c>
      <c r="H58" s="266"/>
      <c r="I58" s="267">
        <f>SUM(I8:I57)</f>
        <v>45747100000</v>
      </c>
      <c r="J58" s="267">
        <f>SUM(J8:J57)</f>
        <v>525175100000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1273</v>
      </c>
      <c r="E62" s="256" t="s">
        <v>1829</v>
      </c>
      <c r="F62" s="256" t="s">
        <v>1872</v>
      </c>
      <c r="G62" s="258">
        <v>14272000000</v>
      </c>
      <c r="H62" s="265">
        <v>0</v>
      </c>
      <c r="I62" s="258">
        <v>0</v>
      </c>
      <c r="J62" s="258">
        <v>14272000000</v>
      </c>
      <c r="K62" s="256" t="s">
        <v>1346</v>
      </c>
    </row>
    <row r="63" spans="1:11" x14ac:dyDescent="0.3">
      <c r="A63" s="256">
        <v>2</v>
      </c>
      <c r="B63" s="257" t="s">
        <v>1201</v>
      </c>
      <c r="C63" s="276">
        <v>44318</v>
      </c>
      <c r="D63" s="257" t="s">
        <v>1275</v>
      </c>
      <c r="E63" s="256" t="s">
        <v>1808</v>
      </c>
      <c r="F63" s="256" t="s">
        <v>1875</v>
      </c>
      <c r="G63" s="258">
        <v>14561000000</v>
      </c>
      <c r="H63" s="265">
        <v>0.1</v>
      </c>
      <c r="I63" s="258">
        <v>1456100000</v>
      </c>
      <c r="J63" s="258">
        <v>16017100000</v>
      </c>
      <c r="K63" s="256" t="s">
        <v>1348</v>
      </c>
    </row>
    <row r="64" spans="1:11" x14ac:dyDescent="0.3">
      <c r="A64" s="256">
        <v>3</v>
      </c>
      <c r="B64" s="257" t="s">
        <v>1202</v>
      </c>
      <c r="C64" s="276">
        <v>44472</v>
      </c>
      <c r="D64" s="257" t="s">
        <v>1262</v>
      </c>
      <c r="E64" s="256" t="s">
        <v>1816</v>
      </c>
      <c r="F64" s="256" t="s">
        <v>1875</v>
      </c>
      <c r="G64" s="258">
        <v>5343000000</v>
      </c>
      <c r="H64" s="265">
        <v>0.1</v>
      </c>
      <c r="I64" s="258">
        <v>534300000</v>
      </c>
      <c r="J64" s="258">
        <v>5877300000</v>
      </c>
      <c r="K64" s="256" t="s">
        <v>1346</v>
      </c>
    </row>
    <row r="65" spans="1:11" x14ac:dyDescent="0.3">
      <c r="A65" s="256">
        <v>4</v>
      </c>
      <c r="B65" s="257" t="s">
        <v>1355</v>
      </c>
      <c r="C65" s="276">
        <v>44473</v>
      </c>
      <c r="D65" s="257" t="s">
        <v>1274</v>
      </c>
      <c r="E65" s="256" t="s">
        <v>1794</v>
      </c>
      <c r="F65" s="256" t="s">
        <v>1872</v>
      </c>
      <c r="G65" s="258">
        <v>15363000000</v>
      </c>
      <c r="H65" s="265">
        <v>0.1</v>
      </c>
      <c r="I65" s="258">
        <v>1536300000</v>
      </c>
      <c r="J65" s="258">
        <v>16899300000</v>
      </c>
      <c r="K65" s="256" t="s">
        <v>1346</v>
      </c>
    </row>
    <row r="66" spans="1:11" x14ac:dyDescent="0.3">
      <c r="A66" s="256">
        <v>5</v>
      </c>
      <c r="B66" s="257" t="s">
        <v>1356</v>
      </c>
      <c r="C66" s="276">
        <v>44474</v>
      </c>
      <c r="D66" s="257" t="s">
        <v>1276</v>
      </c>
      <c r="E66" s="256" t="s">
        <v>1822</v>
      </c>
      <c r="F66" s="256" t="s">
        <v>1875</v>
      </c>
      <c r="G66" s="258">
        <v>19135000000</v>
      </c>
      <c r="H66" s="265">
        <v>0.1</v>
      </c>
      <c r="I66" s="258">
        <v>1913500000</v>
      </c>
      <c r="J66" s="258">
        <v>21048500000</v>
      </c>
      <c r="K66" s="256" t="s">
        <v>1346</v>
      </c>
    </row>
    <row r="67" spans="1:11" x14ac:dyDescent="0.3">
      <c r="A67" s="256">
        <v>6</v>
      </c>
      <c r="B67" s="257" t="s">
        <v>1358</v>
      </c>
      <c r="C67" s="276">
        <v>44475</v>
      </c>
      <c r="D67" s="257" t="s">
        <v>1255</v>
      </c>
      <c r="E67" s="273">
        <v>46152</v>
      </c>
      <c r="F67" s="256" t="s">
        <v>1874</v>
      </c>
      <c r="G67" s="258">
        <v>11558000000</v>
      </c>
      <c r="H67" s="265">
        <v>0</v>
      </c>
      <c r="I67" s="258">
        <v>0</v>
      </c>
      <c r="J67" s="258">
        <v>11558000000</v>
      </c>
      <c r="K67" s="256" t="s">
        <v>1346</v>
      </c>
    </row>
    <row r="68" spans="1:11" x14ac:dyDescent="0.3">
      <c r="A68" s="256">
        <v>7</v>
      </c>
      <c r="B68" s="257" t="s">
        <v>1360</v>
      </c>
      <c r="C68" s="276">
        <v>44476</v>
      </c>
      <c r="D68" s="257" t="s">
        <v>1272</v>
      </c>
      <c r="E68" s="256" t="s">
        <v>1805</v>
      </c>
      <c r="F68" s="256" t="s">
        <v>1875</v>
      </c>
      <c r="G68" s="258">
        <v>7682000000</v>
      </c>
      <c r="H68" s="265">
        <v>0.1</v>
      </c>
      <c r="I68" s="258">
        <v>768200000</v>
      </c>
      <c r="J68" s="258">
        <v>8450200000</v>
      </c>
      <c r="K68" s="256" t="s">
        <v>1348</v>
      </c>
    </row>
    <row r="69" spans="1:11" x14ac:dyDescent="0.3">
      <c r="A69" s="256">
        <v>8</v>
      </c>
      <c r="B69" s="257" t="s">
        <v>1362</v>
      </c>
      <c r="C69" s="276">
        <v>44477</v>
      </c>
      <c r="D69" s="257" t="s">
        <v>1284</v>
      </c>
      <c r="E69" s="256" t="s">
        <v>1786</v>
      </c>
      <c r="F69" s="256" t="s">
        <v>1875</v>
      </c>
      <c r="G69" s="258">
        <v>13842000000</v>
      </c>
      <c r="H69" s="265">
        <v>0.1</v>
      </c>
      <c r="I69" s="258">
        <v>1384200000</v>
      </c>
      <c r="J69" s="258">
        <v>15226200000</v>
      </c>
      <c r="K69" s="256" t="s">
        <v>1346</v>
      </c>
    </row>
    <row r="70" spans="1:11" x14ac:dyDescent="0.3">
      <c r="A70" s="256">
        <v>9</v>
      </c>
      <c r="B70" s="257" t="s">
        <v>1364</v>
      </c>
      <c r="C70" s="276">
        <v>44478</v>
      </c>
      <c r="D70" s="257" t="s">
        <v>1284</v>
      </c>
      <c r="E70" s="256" t="s">
        <v>1786</v>
      </c>
      <c r="F70" s="256" t="s">
        <v>1872</v>
      </c>
      <c r="G70" s="258">
        <v>15997000000</v>
      </c>
      <c r="H70" s="265">
        <v>0.1</v>
      </c>
      <c r="I70" s="258">
        <v>1599700000</v>
      </c>
      <c r="J70" s="258">
        <v>17596700000</v>
      </c>
      <c r="K70" s="256" t="s">
        <v>1346</v>
      </c>
    </row>
    <row r="71" spans="1:11" x14ac:dyDescent="0.3">
      <c r="A71" s="256">
        <v>10</v>
      </c>
      <c r="B71" s="257" t="s">
        <v>1366</v>
      </c>
      <c r="C71" s="276">
        <v>44479</v>
      </c>
      <c r="D71" s="257" t="s">
        <v>1298</v>
      </c>
      <c r="E71" s="256" t="s">
        <v>1819</v>
      </c>
      <c r="F71" s="256" t="s">
        <v>1872</v>
      </c>
      <c r="G71" s="258">
        <v>5265000000</v>
      </c>
      <c r="H71" s="265">
        <v>0.1</v>
      </c>
      <c r="I71" s="258">
        <v>526500000</v>
      </c>
      <c r="J71" s="258">
        <v>5791500000</v>
      </c>
      <c r="K71" s="256" t="s">
        <v>1346</v>
      </c>
    </row>
    <row r="72" spans="1:11" x14ac:dyDescent="0.3">
      <c r="A72" s="256">
        <v>11</v>
      </c>
      <c r="B72" s="257" t="s">
        <v>1368</v>
      </c>
      <c r="C72" s="276">
        <v>44480</v>
      </c>
      <c r="D72" s="257" t="s">
        <v>1303</v>
      </c>
      <c r="E72" s="256" t="s">
        <v>1817</v>
      </c>
      <c r="F72" s="256" t="s">
        <v>1873</v>
      </c>
      <c r="G72" s="258">
        <v>17489000000</v>
      </c>
      <c r="H72" s="265">
        <v>0.1</v>
      </c>
      <c r="I72" s="258">
        <v>1748900000</v>
      </c>
      <c r="J72" s="258">
        <v>19237900000</v>
      </c>
      <c r="K72" s="256" t="s">
        <v>1346</v>
      </c>
    </row>
    <row r="73" spans="1:11" x14ac:dyDescent="0.3">
      <c r="A73" s="256">
        <v>12</v>
      </c>
      <c r="B73" s="257" t="s">
        <v>1371</v>
      </c>
      <c r="C73" s="276">
        <v>44481</v>
      </c>
      <c r="D73" s="257" t="s">
        <v>1299</v>
      </c>
      <c r="E73" s="256" t="s">
        <v>1776</v>
      </c>
      <c r="F73" s="256" t="s">
        <v>1874</v>
      </c>
      <c r="G73" s="258">
        <v>18255000000</v>
      </c>
      <c r="H73" s="265">
        <v>0.1</v>
      </c>
      <c r="I73" s="258">
        <v>1825500000</v>
      </c>
      <c r="J73" s="258">
        <v>20080500000</v>
      </c>
      <c r="K73" s="256" t="s">
        <v>1346</v>
      </c>
    </row>
    <row r="74" spans="1:11" x14ac:dyDescent="0.3">
      <c r="A74" s="256">
        <v>13</v>
      </c>
      <c r="B74" s="257" t="s">
        <v>1373</v>
      </c>
      <c r="C74" s="276">
        <v>44211</v>
      </c>
      <c r="D74" s="257" t="s">
        <v>1271</v>
      </c>
      <c r="E74" s="256" t="s">
        <v>1799</v>
      </c>
      <c r="F74" s="256" t="s">
        <v>1874</v>
      </c>
      <c r="G74" s="258">
        <v>6883000000</v>
      </c>
      <c r="H74" s="265">
        <v>0.1</v>
      </c>
      <c r="I74" s="258">
        <v>688300000</v>
      </c>
      <c r="J74" s="258">
        <v>7571300000</v>
      </c>
      <c r="K74" s="256" t="s">
        <v>1346</v>
      </c>
    </row>
    <row r="75" spans="1:11" x14ac:dyDescent="0.3">
      <c r="A75" s="256">
        <v>14</v>
      </c>
      <c r="B75" s="257" t="s">
        <v>1374</v>
      </c>
      <c r="C75" s="276">
        <v>44242</v>
      </c>
      <c r="D75" s="257" t="s">
        <v>1268</v>
      </c>
      <c r="E75" s="256" t="s">
        <v>1821</v>
      </c>
      <c r="F75" s="256" t="s">
        <v>1872</v>
      </c>
      <c r="G75" s="258">
        <v>18282000000</v>
      </c>
      <c r="H75" s="265">
        <v>0.1</v>
      </c>
      <c r="I75" s="258">
        <v>1828200000</v>
      </c>
      <c r="J75" s="258">
        <v>20110200000</v>
      </c>
      <c r="K75" s="256" t="s">
        <v>1346</v>
      </c>
    </row>
    <row r="76" spans="1:11" x14ac:dyDescent="0.3">
      <c r="A76" s="256">
        <v>15</v>
      </c>
      <c r="B76" s="257" t="s">
        <v>1376</v>
      </c>
      <c r="C76" s="276">
        <v>44275</v>
      </c>
      <c r="D76" s="257" t="s">
        <v>1289</v>
      </c>
      <c r="E76" s="256" t="s">
        <v>1803</v>
      </c>
      <c r="F76" s="256" t="s">
        <v>1873</v>
      </c>
      <c r="G76" s="258">
        <v>18645000000</v>
      </c>
      <c r="H76" s="265">
        <v>0.1</v>
      </c>
      <c r="I76" s="258">
        <v>1864500000</v>
      </c>
      <c r="J76" s="258">
        <v>20509500000</v>
      </c>
      <c r="K76" s="256" t="s">
        <v>1346</v>
      </c>
    </row>
    <row r="77" spans="1:11" x14ac:dyDescent="0.3">
      <c r="A77" s="256">
        <v>16</v>
      </c>
      <c r="B77" s="257" t="s">
        <v>1378</v>
      </c>
      <c r="C77" s="276">
        <v>44306</v>
      </c>
      <c r="D77" s="257" t="s">
        <v>1264</v>
      </c>
      <c r="E77" s="256" t="s">
        <v>1779</v>
      </c>
      <c r="F77" s="256" t="s">
        <v>1872</v>
      </c>
      <c r="G77" s="258">
        <v>11058000000</v>
      </c>
      <c r="H77" s="265">
        <v>0.1</v>
      </c>
      <c r="I77" s="258">
        <v>1105800000</v>
      </c>
      <c r="J77" s="258">
        <v>12163800000</v>
      </c>
      <c r="K77" s="256" t="s">
        <v>1346</v>
      </c>
    </row>
    <row r="78" spans="1:11" x14ac:dyDescent="0.3">
      <c r="A78" s="256">
        <v>17</v>
      </c>
      <c r="B78" s="257" t="s">
        <v>1379</v>
      </c>
      <c r="C78" s="276">
        <v>44336</v>
      </c>
      <c r="D78" s="257" t="s">
        <v>1297</v>
      </c>
      <c r="E78" s="256" t="s">
        <v>1820</v>
      </c>
      <c r="F78" s="256" t="s">
        <v>1875</v>
      </c>
      <c r="G78" s="258">
        <v>19111000000</v>
      </c>
      <c r="H78" s="265">
        <v>0.1</v>
      </c>
      <c r="I78" s="258">
        <v>1911100000</v>
      </c>
      <c r="J78" s="258">
        <v>21022100000</v>
      </c>
      <c r="K78" s="256" t="s">
        <v>1346</v>
      </c>
    </row>
    <row r="79" spans="1:11" x14ac:dyDescent="0.3">
      <c r="A79" s="256">
        <v>18</v>
      </c>
      <c r="B79" s="257" t="s">
        <v>1381</v>
      </c>
      <c r="C79" s="276">
        <v>44367</v>
      </c>
      <c r="D79" s="257" t="s">
        <v>1297</v>
      </c>
      <c r="E79" s="256" t="s">
        <v>1820</v>
      </c>
      <c r="F79" s="256" t="s">
        <v>1875</v>
      </c>
      <c r="G79" s="258">
        <v>8284000000</v>
      </c>
      <c r="H79" s="265">
        <v>0.1</v>
      </c>
      <c r="I79" s="258">
        <v>828400000</v>
      </c>
      <c r="J79" s="258">
        <v>9112400000</v>
      </c>
      <c r="K79" s="256" t="s">
        <v>1346</v>
      </c>
    </row>
    <row r="80" spans="1:11" x14ac:dyDescent="0.3">
      <c r="A80" s="256">
        <v>19</v>
      </c>
      <c r="B80" s="257" t="s">
        <v>1382</v>
      </c>
      <c r="C80" s="276">
        <v>44397</v>
      </c>
      <c r="D80" s="257" t="s">
        <v>1270</v>
      </c>
      <c r="E80" s="256" t="s">
        <v>1782</v>
      </c>
      <c r="F80" s="256" t="s">
        <v>1875</v>
      </c>
      <c r="G80" s="258">
        <v>10463000000</v>
      </c>
      <c r="H80" s="265">
        <v>0.1</v>
      </c>
      <c r="I80" s="258">
        <v>1046300000</v>
      </c>
      <c r="J80" s="258">
        <v>11509300000</v>
      </c>
      <c r="K80" s="256" t="s">
        <v>1346</v>
      </c>
    </row>
    <row r="81" spans="1:11" x14ac:dyDescent="0.3">
      <c r="A81" s="256">
        <v>20</v>
      </c>
      <c r="B81" s="257" t="s">
        <v>1383</v>
      </c>
      <c r="C81" s="276">
        <v>44428</v>
      </c>
      <c r="D81" s="257" t="s">
        <v>1267</v>
      </c>
      <c r="E81" s="256" t="s">
        <v>1810</v>
      </c>
      <c r="F81" s="256" t="s">
        <v>1874</v>
      </c>
      <c r="G81" s="258">
        <v>12308000000</v>
      </c>
      <c r="H81" s="265">
        <v>0.1</v>
      </c>
      <c r="I81" s="258">
        <v>1230800000</v>
      </c>
      <c r="J81" s="258">
        <v>13538800000</v>
      </c>
      <c r="K81" s="256" t="s">
        <v>1346</v>
      </c>
    </row>
    <row r="82" spans="1:11" x14ac:dyDescent="0.3">
      <c r="A82" s="256">
        <v>21</v>
      </c>
      <c r="B82" s="257" t="s">
        <v>1203</v>
      </c>
      <c r="C82" s="276">
        <v>44459</v>
      </c>
      <c r="D82" s="257" t="s">
        <v>1267</v>
      </c>
      <c r="E82" s="256" t="s">
        <v>1810</v>
      </c>
      <c r="F82" s="256" t="s">
        <v>1875</v>
      </c>
      <c r="G82" s="258">
        <v>7529000000</v>
      </c>
      <c r="H82" s="265">
        <v>0.1</v>
      </c>
      <c r="I82" s="258">
        <v>752900000</v>
      </c>
      <c r="J82" s="258">
        <v>8281900000</v>
      </c>
      <c r="K82" s="256" t="s">
        <v>1346</v>
      </c>
    </row>
    <row r="83" spans="1:11" x14ac:dyDescent="0.3">
      <c r="A83" s="256">
        <v>22</v>
      </c>
      <c r="B83" s="257" t="s">
        <v>1204</v>
      </c>
      <c r="C83" s="276">
        <v>44489</v>
      </c>
      <c r="D83" s="257" t="s">
        <v>1297</v>
      </c>
      <c r="E83" s="256" t="s">
        <v>1820</v>
      </c>
      <c r="F83" s="256" t="s">
        <v>1875</v>
      </c>
      <c r="G83" s="258">
        <v>15248000000</v>
      </c>
      <c r="H83" s="265">
        <v>0.1</v>
      </c>
      <c r="I83" s="258">
        <v>1524800000</v>
      </c>
      <c r="J83" s="258">
        <v>16772800000</v>
      </c>
      <c r="K83" s="256" t="s">
        <v>1346</v>
      </c>
    </row>
    <row r="84" spans="1:11" x14ac:dyDescent="0.3">
      <c r="A84" s="256">
        <v>23</v>
      </c>
      <c r="B84" s="257" t="s">
        <v>1205</v>
      </c>
      <c r="C84" s="276">
        <v>44520</v>
      </c>
      <c r="D84" s="257" t="s">
        <v>1275</v>
      </c>
      <c r="E84" s="256" t="s">
        <v>1808</v>
      </c>
      <c r="F84" s="256" t="s">
        <v>1872</v>
      </c>
      <c r="G84" s="258">
        <v>18055000000</v>
      </c>
      <c r="H84" s="265">
        <v>0</v>
      </c>
      <c r="I84" s="258">
        <v>0</v>
      </c>
      <c r="J84" s="258">
        <v>18055000000</v>
      </c>
      <c r="K84" s="256" t="s">
        <v>1346</v>
      </c>
    </row>
    <row r="85" spans="1:11" x14ac:dyDescent="0.3">
      <c r="A85" s="256">
        <v>24</v>
      </c>
      <c r="B85" s="257" t="s">
        <v>1385</v>
      </c>
      <c r="C85" s="276">
        <v>44550</v>
      </c>
      <c r="D85" s="257" t="s">
        <v>1293</v>
      </c>
      <c r="E85" s="256" t="s">
        <v>1826</v>
      </c>
      <c r="F85" s="256" t="s">
        <v>1873</v>
      </c>
      <c r="G85" s="258">
        <v>16303000000</v>
      </c>
      <c r="H85" s="265">
        <v>0.1</v>
      </c>
      <c r="I85" s="258">
        <v>1630300000</v>
      </c>
      <c r="J85" s="258">
        <v>17933300000</v>
      </c>
      <c r="K85" s="256" t="s">
        <v>1346</v>
      </c>
    </row>
    <row r="86" spans="1:11" x14ac:dyDescent="0.3">
      <c r="A86" s="256">
        <v>25</v>
      </c>
      <c r="B86" s="257" t="s">
        <v>1387</v>
      </c>
      <c r="C86" s="276">
        <v>44221</v>
      </c>
      <c r="D86" s="257" t="s">
        <v>1265</v>
      </c>
      <c r="E86" s="256" t="s">
        <v>1830</v>
      </c>
      <c r="F86" s="256" t="s">
        <v>1875</v>
      </c>
      <c r="G86" s="258">
        <v>17264000000</v>
      </c>
      <c r="H86" s="265">
        <v>0.1</v>
      </c>
      <c r="I86" s="258">
        <v>1726400000</v>
      </c>
      <c r="J86" s="258">
        <v>18990400000</v>
      </c>
      <c r="K86" s="256" t="s">
        <v>1346</v>
      </c>
    </row>
    <row r="87" spans="1:11" x14ac:dyDescent="0.3">
      <c r="A87" s="256">
        <v>26</v>
      </c>
      <c r="B87" s="257" t="s">
        <v>1388</v>
      </c>
      <c r="C87" s="276">
        <v>44255</v>
      </c>
      <c r="D87" s="257" t="s">
        <v>1297</v>
      </c>
      <c r="E87" s="256" t="s">
        <v>1820</v>
      </c>
      <c r="F87" s="256" t="s">
        <v>1874</v>
      </c>
      <c r="G87" s="258">
        <v>9396000000</v>
      </c>
      <c r="H87" s="265">
        <v>0.1</v>
      </c>
      <c r="I87" s="258">
        <v>939600000</v>
      </c>
      <c r="J87" s="258">
        <v>10335600000</v>
      </c>
      <c r="K87" s="256" t="s">
        <v>1346</v>
      </c>
    </row>
    <row r="88" spans="1:11" x14ac:dyDescent="0.3">
      <c r="A88" s="256">
        <v>27</v>
      </c>
      <c r="B88" s="257" t="s">
        <v>1391</v>
      </c>
      <c r="C88" s="276">
        <v>44316</v>
      </c>
      <c r="D88" s="257" t="s">
        <v>1274</v>
      </c>
      <c r="E88" s="256" t="s">
        <v>1794</v>
      </c>
      <c r="F88" s="256" t="s">
        <v>1875</v>
      </c>
      <c r="G88" s="258">
        <v>5527000000</v>
      </c>
      <c r="H88" s="265">
        <v>0.1</v>
      </c>
      <c r="I88" s="258">
        <v>552700000</v>
      </c>
      <c r="J88" s="258">
        <v>6079700000</v>
      </c>
      <c r="K88" s="256" t="s">
        <v>1348</v>
      </c>
    </row>
    <row r="89" spans="1:11" x14ac:dyDescent="0.3">
      <c r="A89" s="256">
        <v>28</v>
      </c>
      <c r="B89" s="257" t="s">
        <v>1392</v>
      </c>
      <c r="C89" s="276">
        <v>44377</v>
      </c>
      <c r="D89" s="257" t="s">
        <v>1257</v>
      </c>
      <c r="E89" s="256" t="s">
        <v>1815</v>
      </c>
      <c r="F89" s="256" t="s">
        <v>1875</v>
      </c>
      <c r="G89" s="258">
        <v>6275000000</v>
      </c>
      <c r="H89" s="265">
        <v>0.1</v>
      </c>
      <c r="I89" s="258">
        <v>627500000</v>
      </c>
      <c r="J89" s="258">
        <v>6902500000</v>
      </c>
      <c r="K89" s="256" t="s">
        <v>1346</v>
      </c>
    </row>
    <row r="90" spans="1:11" x14ac:dyDescent="0.3">
      <c r="A90" s="256">
        <v>29</v>
      </c>
      <c r="B90" s="257" t="s">
        <v>1394</v>
      </c>
      <c r="C90" s="276">
        <v>44469</v>
      </c>
      <c r="D90" s="257" t="s">
        <v>1296</v>
      </c>
      <c r="E90" s="256" t="s">
        <v>1807</v>
      </c>
      <c r="F90" s="256" t="s">
        <v>1874</v>
      </c>
      <c r="G90" s="258">
        <v>13860000000</v>
      </c>
      <c r="H90" s="265">
        <v>0.1</v>
      </c>
      <c r="I90" s="258">
        <v>1386000000</v>
      </c>
      <c r="J90" s="258">
        <v>15246000000</v>
      </c>
      <c r="K90" s="256" t="s">
        <v>1346</v>
      </c>
    </row>
    <row r="91" spans="1:11" x14ac:dyDescent="0.3">
      <c r="A91" s="256">
        <v>30</v>
      </c>
      <c r="B91" s="257" t="s">
        <v>1396</v>
      </c>
      <c r="C91" s="276">
        <v>44530</v>
      </c>
      <c r="D91" s="257" t="s">
        <v>1257</v>
      </c>
      <c r="E91" s="256" t="s">
        <v>1815</v>
      </c>
      <c r="F91" s="256" t="s">
        <v>1874</v>
      </c>
      <c r="G91" s="258">
        <v>8504000000</v>
      </c>
      <c r="H91" s="265">
        <v>0.1</v>
      </c>
      <c r="I91" s="258">
        <v>850400000</v>
      </c>
      <c r="J91" s="258">
        <v>9354400000</v>
      </c>
      <c r="K91" s="256" t="s">
        <v>1346</v>
      </c>
    </row>
    <row r="92" spans="1:11" x14ac:dyDescent="0.3">
      <c r="A92" s="256">
        <v>31</v>
      </c>
      <c r="B92" s="257" t="s">
        <v>1397</v>
      </c>
      <c r="C92" s="276">
        <v>44286</v>
      </c>
      <c r="D92" s="257" t="s">
        <v>1286</v>
      </c>
      <c r="E92" s="256" t="s">
        <v>1828</v>
      </c>
      <c r="F92" s="256" t="s">
        <v>1874</v>
      </c>
      <c r="G92" s="258">
        <v>6628000000</v>
      </c>
      <c r="H92" s="265">
        <v>0</v>
      </c>
      <c r="I92" s="258">
        <v>0</v>
      </c>
      <c r="J92" s="258">
        <v>6628000000</v>
      </c>
      <c r="K92" s="256" t="s">
        <v>1346</v>
      </c>
    </row>
    <row r="93" spans="1:11" x14ac:dyDescent="0.3">
      <c r="A93" s="256">
        <v>32</v>
      </c>
      <c r="B93" s="257" t="s">
        <v>1398</v>
      </c>
      <c r="C93" s="276">
        <v>44347</v>
      </c>
      <c r="D93" s="257" t="s">
        <v>1301</v>
      </c>
      <c r="E93" s="256" t="s">
        <v>1781</v>
      </c>
      <c r="F93" s="256" t="s">
        <v>1874</v>
      </c>
      <c r="G93" s="258">
        <v>5907000000</v>
      </c>
      <c r="H93" s="265">
        <v>0.1</v>
      </c>
      <c r="I93" s="258">
        <v>590700000</v>
      </c>
      <c r="J93" s="258">
        <v>6497700000</v>
      </c>
      <c r="K93" s="256" t="s">
        <v>1348</v>
      </c>
    </row>
    <row r="94" spans="1:11" x14ac:dyDescent="0.3">
      <c r="A94" s="256">
        <v>33</v>
      </c>
      <c r="B94" s="257" t="s">
        <v>1399</v>
      </c>
      <c r="C94" s="276">
        <v>44408</v>
      </c>
      <c r="D94" s="257" t="s">
        <v>1261</v>
      </c>
      <c r="E94" s="256" t="s">
        <v>1813</v>
      </c>
      <c r="F94" s="256" t="s">
        <v>1874</v>
      </c>
      <c r="G94" s="258">
        <v>17120000000</v>
      </c>
      <c r="H94" s="265">
        <v>0.1</v>
      </c>
      <c r="I94" s="258">
        <v>1712000000</v>
      </c>
      <c r="J94" s="258">
        <v>18832000000</v>
      </c>
      <c r="K94" s="256" t="s">
        <v>1346</v>
      </c>
    </row>
    <row r="95" spans="1:11" x14ac:dyDescent="0.3">
      <c r="A95" s="256">
        <v>34</v>
      </c>
      <c r="B95" s="257" t="s">
        <v>1401</v>
      </c>
      <c r="C95" s="276">
        <v>44439</v>
      </c>
      <c r="D95" s="257" t="s">
        <v>1268</v>
      </c>
      <c r="E95" s="256" t="s">
        <v>1821</v>
      </c>
      <c r="F95" s="256" t="s">
        <v>1873</v>
      </c>
      <c r="G95" s="258">
        <v>16240000000</v>
      </c>
      <c r="H95" s="265">
        <v>0.1</v>
      </c>
      <c r="I95" s="258">
        <v>1624000000</v>
      </c>
      <c r="J95" s="258">
        <v>17864000000</v>
      </c>
      <c r="K95" s="256" t="s">
        <v>1346</v>
      </c>
    </row>
    <row r="96" spans="1:11" x14ac:dyDescent="0.3">
      <c r="A96" s="256">
        <v>35</v>
      </c>
      <c r="B96" s="257" t="s">
        <v>1402</v>
      </c>
      <c r="C96" s="276">
        <v>44500</v>
      </c>
      <c r="D96" s="257" t="s">
        <v>1284</v>
      </c>
      <c r="E96" s="256" t="s">
        <v>1786</v>
      </c>
      <c r="F96" s="256" t="s">
        <v>1875</v>
      </c>
      <c r="G96" s="258">
        <v>7468000000</v>
      </c>
      <c r="H96" s="265">
        <v>0.1</v>
      </c>
      <c r="I96" s="258">
        <v>746800000</v>
      </c>
      <c r="J96" s="258">
        <v>8214800000</v>
      </c>
      <c r="K96" s="256" t="s">
        <v>1346</v>
      </c>
    </row>
    <row r="97" spans="1:11" x14ac:dyDescent="0.3">
      <c r="A97" s="256">
        <v>36</v>
      </c>
      <c r="B97" s="257" t="s">
        <v>1403</v>
      </c>
      <c r="C97" s="276">
        <v>44561</v>
      </c>
      <c r="D97" s="257" t="s">
        <v>1257</v>
      </c>
      <c r="E97" s="256" t="s">
        <v>1815</v>
      </c>
      <c r="F97" s="256" t="s">
        <v>1875</v>
      </c>
      <c r="G97" s="258">
        <v>9188000000</v>
      </c>
      <c r="H97" s="265">
        <v>0.1</v>
      </c>
      <c r="I97" s="258">
        <v>918800000</v>
      </c>
      <c r="J97" s="258">
        <v>10106800000</v>
      </c>
      <c r="K97" s="256" t="s">
        <v>1346</v>
      </c>
    </row>
    <row r="98" spans="1:11" x14ac:dyDescent="0.3">
      <c r="A98" s="256">
        <v>37</v>
      </c>
      <c r="B98" s="257" t="s">
        <v>1404</v>
      </c>
      <c r="C98" s="276">
        <v>44561</v>
      </c>
      <c r="D98" s="257" t="s">
        <v>1301</v>
      </c>
      <c r="E98" s="256" t="s">
        <v>1781</v>
      </c>
      <c r="F98" s="256" t="s">
        <v>1873</v>
      </c>
      <c r="G98" s="258">
        <v>6126000000</v>
      </c>
      <c r="H98" s="265">
        <v>0.1</v>
      </c>
      <c r="I98" s="258">
        <v>612600000</v>
      </c>
      <c r="J98" s="258">
        <v>6738600000</v>
      </c>
      <c r="K98" s="256" t="s">
        <v>1346</v>
      </c>
    </row>
    <row r="99" spans="1:11" x14ac:dyDescent="0.3">
      <c r="A99" s="256">
        <v>38</v>
      </c>
      <c r="B99" s="257" t="s">
        <v>1405</v>
      </c>
      <c r="C99" s="276">
        <v>44561</v>
      </c>
      <c r="D99" s="257" t="s">
        <v>1256</v>
      </c>
      <c r="E99" s="256" t="s">
        <v>1802</v>
      </c>
      <c r="F99" s="256" t="s">
        <v>1874</v>
      </c>
      <c r="G99" s="258">
        <v>5863000000</v>
      </c>
      <c r="H99" s="265">
        <v>0</v>
      </c>
      <c r="I99" s="258">
        <v>0</v>
      </c>
      <c r="J99" s="258">
        <v>5863000000</v>
      </c>
      <c r="K99" s="256" t="s">
        <v>1348</v>
      </c>
    </row>
    <row r="100" spans="1:11" x14ac:dyDescent="0.3">
      <c r="A100" s="256">
        <v>39</v>
      </c>
      <c r="B100" s="257" t="s">
        <v>1406</v>
      </c>
      <c r="C100" s="276">
        <v>44561</v>
      </c>
      <c r="D100" s="257" t="s">
        <v>1294</v>
      </c>
      <c r="E100" s="256" t="s">
        <v>1795</v>
      </c>
      <c r="F100" s="256" t="s">
        <v>1873</v>
      </c>
      <c r="G100" s="258">
        <v>10191000000</v>
      </c>
      <c r="H100" s="265">
        <v>0.1</v>
      </c>
      <c r="I100" s="258">
        <v>1019100000</v>
      </c>
      <c r="J100" s="258">
        <v>11210100000</v>
      </c>
      <c r="K100" s="256" t="s">
        <v>1346</v>
      </c>
    </row>
    <row r="101" spans="1:11" x14ac:dyDescent="0.3">
      <c r="A101" s="256">
        <v>40</v>
      </c>
      <c r="B101" s="257" t="s">
        <v>1408</v>
      </c>
      <c r="C101" s="276">
        <v>44561</v>
      </c>
      <c r="D101" s="257" t="s">
        <v>1289</v>
      </c>
      <c r="E101" s="256" t="s">
        <v>1803</v>
      </c>
      <c r="F101" s="256" t="s">
        <v>1875</v>
      </c>
      <c r="G101" s="258">
        <v>13997000000</v>
      </c>
      <c r="H101" s="265">
        <v>0.1</v>
      </c>
      <c r="I101" s="258">
        <v>1399700000</v>
      </c>
      <c r="J101" s="258">
        <v>15396700000</v>
      </c>
      <c r="K101" s="256" t="s">
        <v>1346</v>
      </c>
    </row>
    <row r="102" spans="1:11" x14ac:dyDescent="0.3">
      <c r="A102" s="256">
        <v>41</v>
      </c>
      <c r="B102" s="257" t="s">
        <v>1409</v>
      </c>
      <c r="C102" s="276">
        <v>44561</v>
      </c>
      <c r="D102" s="257" t="s">
        <v>1282</v>
      </c>
      <c r="E102" s="256" t="s">
        <v>1789</v>
      </c>
      <c r="F102" s="256" t="s">
        <v>1873</v>
      </c>
      <c r="G102" s="258">
        <v>7992000000</v>
      </c>
      <c r="H102" s="265">
        <v>0.1</v>
      </c>
      <c r="I102" s="258">
        <v>799200000</v>
      </c>
      <c r="J102" s="258">
        <v>8791200000</v>
      </c>
      <c r="K102" s="256" t="s">
        <v>1348</v>
      </c>
    </row>
    <row r="103" spans="1:11" x14ac:dyDescent="0.3">
      <c r="A103" s="256">
        <v>42</v>
      </c>
      <c r="B103" s="257" t="s">
        <v>1411</v>
      </c>
      <c r="C103" s="276">
        <v>44561</v>
      </c>
      <c r="D103" s="257" t="s">
        <v>1291</v>
      </c>
      <c r="E103" s="256" t="s">
        <v>1800</v>
      </c>
      <c r="F103" s="256" t="s">
        <v>1873</v>
      </c>
      <c r="G103" s="258">
        <v>10332000000</v>
      </c>
      <c r="H103" s="265">
        <v>0.1</v>
      </c>
      <c r="I103" s="258">
        <v>1033200000</v>
      </c>
      <c r="J103" s="258">
        <v>11365200000</v>
      </c>
      <c r="K103" s="256" t="s">
        <v>1346</v>
      </c>
    </row>
    <row r="104" spans="1:11" x14ac:dyDescent="0.3">
      <c r="A104" s="256">
        <v>43</v>
      </c>
      <c r="B104" s="257" t="s">
        <v>1414</v>
      </c>
      <c r="C104" s="276">
        <v>44561</v>
      </c>
      <c r="D104" s="257" t="s">
        <v>1268</v>
      </c>
      <c r="E104" s="256" t="s">
        <v>1821</v>
      </c>
      <c r="F104" s="256" t="s">
        <v>1872</v>
      </c>
      <c r="G104" s="258">
        <v>13312000000</v>
      </c>
      <c r="H104" s="265">
        <v>0</v>
      </c>
      <c r="I104" s="258">
        <v>0</v>
      </c>
      <c r="J104" s="258">
        <v>13312000000</v>
      </c>
      <c r="K104" s="256" t="s">
        <v>1346</v>
      </c>
    </row>
    <row r="105" spans="1:11" x14ac:dyDescent="0.3">
      <c r="A105" s="256">
        <v>44</v>
      </c>
      <c r="B105" s="257" t="s">
        <v>1415</v>
      </c>
      <c r="C105" s="276">
        <v>44561</v>
      </c>
      <c r="D105" s="257" t="s">
        <v>1258</v>
      </c>
      <c r="E105" s="256" t="s">
        <v>1833</v>
      </c>
      <c r="F105" s="256" t="s">
        <v>1873</v>
      </c>
      <c r="G105" s="258">
        <v>16189000000</v>
      </c>
      <c r="H105" s="265">
        <v>0.1</v>
      </c>
      <c r="I105" s="258">
        <v>1618900000</v>
      </c>
      <c r="J105" s="258">
        <v>17807900000</v>
      </c>
      <c r="K105" s="256" t="s">
        <v>1346</v>
      </c>
    </row>
    <row r="106" spans="1:11" x14ac:dyDescent="0.3">
      <c r="A106" s="256">
        <v>45</v>
      </c>
      <c r="B106" s="257" t="s">
        <v>1206</v>
      </c>
      <c r="C106" s="276">
        <v>44561</v>
      </c>
      <c r="D106" s="257" t="s">
        <v>1285</v>
      </c>
      <c r="E106" s="256" t="s">
        <v>1793</v>
      </c>
      <c r="F106" s="256" t="s">
        <v>1874</v>
      </c>
      <c r="G106" s="258">
        <v>10800000000</v>
      </c>
      <c r="H106" s="265">
        <v>0</v>
      </c>
      <c r="I106" s="258">
        <v>0</v>
      </c>
      <c r="J106" s="258">
        <v>10800000000</v>
      </c>
      <c r="K106" s="256" t="s">
        <v>1346</v>
      </c>
    </row>
    <row r="107" spans="1:11" x14ac:dyDescent="0.3">
      <c r="A107" s="256">
        <v>46</v>
      </c>
      <c r="B107" s="257" t="s">
        <v>1207</v>
      </c>
      <c r="C107" s="276">
        <v>44561</v>
      </c>
      <c r="D107" s="257" t="s">
        <v>1255</v>
      </c>
      <c r="E107" s="273">
        <v>46152</v>
      </c>
      <c r="F107" s="256" t="s">
        <v>1875</v>
      </c>
      <c r="G107" s="258">
        <v>16889000000</v>
      </c>
      <c r="H107" s="265">
        <v>0.1</v>
      </c>
      <c r="I107" s="258">
        <v>1688900000</v>
      </c>
      <c r="J107" s="258">
        <v>18577900000</v>
      </c>
      <c r="K107" s="256" t="s">
        <v>1348</v>
      </c>
    </row>
    <row r="108" spans="1:11" x14ac:dyDescent="0.3">
      <c r="A108" s="256">
        <v>47</v>
      </c>
      <c r="B108" s="257" t="s">
        <v>1208</v>
      </c>
      <c r="C108" s="276">
        <v>44561</v>
      </c>
      <c r="D108" s="257" t="s">
        <v>1259</v>
      </c>
      <c r="E108" s="256" t="s">
        <v>1788</v>
      </c>
      <c r="F108" s="256" t="s">
        <v>1873</v>
      </c>
      <c r="G108" s="258">
        <v>6230000000</v>
      </c>
      <c r="H108" s="265">
        <v>0.1</v>
      </c>
      <c r="I108" s="258">
        <v>623000000</v>
      </c>
      <c r="J108" s="258">
        <v>6853000000</v>
      </c>
      <c r="K108" s="256" t="s">
        <v>1346</v>
      </c>
    </row>
    <row r="109" spans="1:11" x14ac:dyDescent="0.3">
      <c r="A109" s="256">
        <v>48</v>
      </c>
      <c r="B109" s="257" t="s">
        <v>1209</v>
      </c>
      <c r="C109" s="276">
        <v>44561</v>
      </c>
      <c r="D109" s="257" t="s">
        <v>1262</v>
      </c>
      <c r="E109" s="256" t="s">
        <v>1816</v>
      </c>
      <c r="F109" s="256" t="s">
        <v>1875</v>
      </c>
      <c r="G109" s="258">
        <v>7236000000</v>
      </c>
      <c r="H109" s="265">
        <v>0.1</v>
      </c>
      <c r="I109" s="258">
        <v>723600000</v>
      </c>
      <c r="J109" s="258">
        <v>7959600000</v>
      </c>
      <c r="K109" s="256" t="s">
        <v>1346</v>
      </c>
    </row>
    <row r="110" spans="1:11" x14ac:dyDescent="0.3">
      <c r="A110" s="256">
        <v>49</v>
      </c>
      <c r="B110" s="257" t="s">
        <v>1418</v>
      </c>
      <c r="C110" s="276">
        <v>44561</v>
      </c>
      <c r="D110" s="257" t="s">
        <v>1255</v>
      </c>
      <c r="E110" s="273">
        <v>46152</v>
      </c>
      <c r="F110" s="256" t="s">
        <v>1874</v>
      </c>
      <c r="G110" s="258">
        <v>18162000000</v>
      </c>
      <c r="H110" s="265">
        <v>0.1</v>
      </c>
      <c r="I110" s="258">
        <v>1816200000</v>
      </c>
      <c r="J110" s="258">
        <v>19978200000</v>
      </c>
      <c r="K110" s="256" t="s">
        <v>1346</v>
      </c>
    </row>
    <row r="111" spans="1:11" x14ac:dyDescent="0.3">
      <c r="A111" s="256">
        <v>50</v>
      </c>
      <c r="B111" s="257" t="s">
        <v>1419</v>
      </c>
      <c r="C111" s="276">
        <v>44561</v>
      </c>
      <c r="D111" s="257" t="s">
        <v>1256</v>
      </c>
      <c r="E111" s="256" t="s">
        <v>1802</v>
      </c>
      <c r="F111" s="256" t="s">
        <v>1875</v>
      </c>
      <c r="G111" s="258">
        <v>15153000000</v>
      </c>
      <c r="H111" s="265">
        <v>0.1</v>
      </c>
      <c r="I111" s="258">
        <v>1515300000</v>
      </c>
      <c r="J111" s="258">
        <v>16668300000</v>
      </c>
      <c r="K111" s="256" t="s">
        <v>1346</v>
      </c>
    </row>
    <row r="112" spans="1:11" x14ac:dyDescent="0.3">
      <c r="A112" s="266" t="s">
        <v>1351</v>
      </c>
      <c r="B112" s="266"/>
      <c r="C112" s="266"/>
      <c r="D112" s="266"/>
      <c r="E112" s="266"/>
      <c r="F112" s="266"/>
      <c r="G112" s="267">
        <f>SUM(G62:G111)</f>
        <v>602780000000</v>
      </c>
      <c r="H112" s="266"/>
      <c r="I112" s="267">
        <f>SUM(I62:I111)</f>
        <v>52229200000</v>
      </c>
      <c r="J112" s="267">
        <f>SUM(J62:J111)</f>
        <v>655009200000</v>
      </c>
      <c r="K112" s="266"/>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1134</v>
      </c>
      <c r="C1" s="256"/>
      <c r="D1" s="256"/>
      <c r="E1" s="256"/>
      <c r="F1" s="256"/>
      <c r="G1" s="256"/>
      <c r="H1" s="256"/>
      <c r="I1" s="256"/>
      <c r="J1" s="256"/>
      <c r="K1" s="256"/>
    </row>
    <row r="2" spans="1:11" x14ac:dyDescent="0.3">
      <c r="A2" s="256" t="s">
        <v>1339</v>
      </c>
      <c r="B2" s="257">
        <v>500469512</v>
      </c>
      <c r="C2" s="256"/>
      <c r="D2" s="256"/>
      <c r="E2" s="256"/>
      <c r="F2" s="256"/>
      <c r="G2" s="256"/>
      <c r="H2" s="256"/>
      <c r="I2" s="256"/>
      <c r="J2" s="256"/>
      <c r="K2" s="256"/>
    </row>
    <row r="3" spans="1:11" x14ac:dyDescent="0.3">
      <c r="A3" s="256" t="s">
        <v>1343</v>
      </c>
      <c r="B3" s="258">
        <v>6890789923797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1213</v>
      </c>
      <c r="C8" s="276">
        <v>44317</v>
      </c>
      <c r="D8" s="257" t="s">
        <v>1281</v>
      </c>
      <c r="E8" s="256" t="s">
        <v>1806</v>
      </c>
      <c r="F8" s="256" t="s">
        <v>1968</v>
      </c>
      <c r="G8" s="258">
        <v>90576000000</v>
      </c>
      <c r="H8" s="265">
        <v>0.1</v>
      </c>
      <c r="I8" s="258">
        <v>9057600000</v>
      </c>
      <c r="J8" s="258">
        <v>99633600000</v>
      </c>
      <c r="K8" s="256" t="s">
        <v>1346</v>
      </c>
    </row>
    <row r="9" spans="1:11" x14ac:dyDescent="0.3">
      <c r="A9" s="256">
        <v>2</v>
      </c>
      <c r="B9" s="257" t="s">
        <v>1489</v>
      </c>
      <c r="C9" s="276">
        <v>44318</v>
      </c>
      <c r="D9" s="257" t="s">
        <v>1283</v>
      </c>
      <c r="E9" s="256" t="s">
        <v>1798</v>
      </c>
      <c r="F9" s="256" t="s">
        <v>1969</v>
      </c>
      <c r="G9" s="258">
        <v>133239000000</v>
      </c>
      <c r="H9" s="265">
        <v>0</v>
      </c>
      <c r="I9" s="258">
        <v>0</v>
      </c>
      <c r="J9" s="258">
        <v>133239000000</v>
      </c>
      <c r="K9" s="256" t="s">
        <v>1346</v>
      </c>
    </row>
    <row r="10" spans="1:11" x14ac:dyDescent="0.3">
      <c r="A10" s="256">
        <v>3</v>
      </c>
      <c r="B10" s="257" t="s">
        <v>1508</v>
      </c>
      <c r="C10" s="276">
        <v>44472</v>
      </c>
      <c r="D10" s="257" t="s">
        <v>1272</v>
      </c>
      <c r="E10" s="256" t="s">
        <v>1805</v>
      </c>
      <c r="F10" s="256" t="s">
        <v>1970</v>
      </c>
      <c r="G10" s="258">
        <v>87051000000</v>
      </c>
      <c r="H10" s="265">
        <v>0.1</v>
      </c>
      <c r="I10" s="258">
        <v>8705100000</v>
      </c>
      <c r="J10" s="258">
        <v>95756100000</v>
      </c>
      <c r="K10" s="256" t="s">
        <v>1348</v>
      </c>
    </row>
    <row r="11" spans="1:11" x14ac:dyDescent="0.3">
      <c r="A11" s="256">
        <v>4</v>
      </c>
      <c r="B11" s="257" t="s">
        <v>1517</v>
      </c>
      <c r="C11" s="276">
        <v>44473</v>
      </c>
      <c r="D11" s="257" t="s">
        <v>1271</v>
      </c>
      <c r="E11" s="256" t="s">
        <v>1799</v>
      </c>
      <c r="F11" s="256" t="s">
        <v>1741</v>
      </c>
      <c r="G11" s="258">
        <v>91587000000</v>
      </c>
      <c r="H11" s="265">
        <v>0.1</v>
      </c>
      <c r="I11" s="258">
        <v>9158700000</v>
      </c>
      <c r="J11" s="258">
        <v>100745700000</v>
      </c>
      <c r="K11" s="256" t="s">
        <v>1346</v>
      </c>
    </row>
    <row r="12" spans="1:11" x14ac:dyDescent="0.3">
      <c r="A12" s="256">
        <v>5</v>
      </c>
      <c r="B12" s="257" t="s">
        <v>1487</v>
      </c>
      <c r="C12" s="276">
        <v>44474</v>
      </c>
      <c r="D12" s="257" t="s">
        <v>1285</v>
      </c>
      <c r="E12" s="256" t="s">
        <v>1793</v>
      </c>
      <c r="F12" s="256" t="s">
        <v>1971</v>
      </c>
      <c r="G12" s="258">
        <v>139933000000</v>
      </c>
      <c r="H12" s="265">
        <v>0</v>
      </c>
      <c r="I12" s="258">
        <v>0</v>
      </c>
      <c r="J12" s="258">
        <v>139933000000</v>
      </c>
      <c r="K12" s="256" t="s">
        <v>1346</v>
      </c>
    </row>
    <row r="13" spans="1:11" x14ac:dyDescent="0.3">
      <c r="A13" s="256">
        <v>6</v>
      </c>
      <c r="B13" s="257" t="s">
        <v>1459</v>
      </c>
      <c r="C13" s="276">
        <v>44475</v>
      </c>
      <c r="D13" s="257" t="s">
        <v>1294</v>
      </c>
      <c r="E13" s="256" t="s">
        <v>1795</v>
      </c>
      <c r="F13" s="256" t="s">
        <v>1741</v>
      </c>
      <c r="G13" s="258">
        <v>120120000000</v>
      </c>
      <c r="H13" s="265">
        <v>0.1</v>
      </c>
      <c r="I13" s="258">
        <v>12012000000</v>
      </c>
      <c r="J13" s="258">
        <v>132132000000</v>
      </c>
      <c r="K13" s="256" t="s">
        <v>1346</v>
      </c>
    </row>
    <row r="14" spans="1:11" x14ac:dyDescent="0.3">
      <c r="A14" s="256">
        <v>7</v>
      </c>
      <c r="B14" s="257" t="s">
        <v>1506</v>
      </c>
      <c r="C14" s="276">
        <v>44476</v>
      </c>
      <c r="D14" s="257" t="s">
        <v>1288</v>
      </c>
      <c r="E14" s="256" t="s">
        <v>1797</v>
      </c>
      <c r="F14" s="256" t="s">
        <v>1971</v>
      </c>
      <c r="G14" s="258">
        <v>70553000000</v>
      </c>
      <c r="H14" s="265">
        <v>0.1</v>
      </c>
      <c r="I14" s="258">
        <v>7055300000</v>
      </c>
      <c r="J14" s="258">
        <v>77608300000</v>
      </c>
      <c r="K14" s="256" t="s">
        <v>1346</v>
      </c>
    </row>
    <row r="15" spans="1:11" x14ac:dyDescent="0.3">
      <c r="A15" s="256">
        <v>8</v>
      </c>
      <c r="B15" s="257" t="s">
        <v>1985</v>
      </c>
      <c r="C15" s="276">
        <v>44477</v>
      </c>
      <c r="D15" s="257" t="s">
        <v>1284</v>
      </c>
      <c r="E15" s="256" t="s">
        <v>1786</v>
      </c>
      <c r="F15" s="256" t="s">
        <v>1968</v>
      </c>
      <c r="G15" s="258">
        <v>65437000000</v>
      </c>
      <c r="H15" s="265">
        <v>0.1</v>
      </c>
      <c r="I15" s="258">
        <v>6543700000</v>
      </c>
      <c r="J15" s="258">
        <v>71980700000</v>
      </c>
      <c r="K15" s="256" t="s">
        <v>1346</v>
      </c>
    </row>
    <row r="16" spans="1:11" x14ac:dyDescent="0.3">
      <c r="A16" s="256">
        <v>9</v>
      </c>
      <c r="B16" s="257" t="s">
        <v>1518</v>
      </c>
      <c r="C16" s="276">
        <v>44478</v>
      </c>
      <c r="D16" s="257" t="s">
        <v>1271</v>
      </c>
      <c r="E16" s="256" t="s">
        <v>1799</v>
      </c>
      <c r="F16" s="256" t="s">
        <v>1687</v>
      </c>
      <c r="G16" s="258">
        <v>101604000000</v>
      </c>
      <c r="H16" s="265">
        <v>0.1</v>
      </c>
      <c r="I16" s="258">
        <v>10160400000</v>
      </c>
      <c r="J16" s="258">
        <v>111764400000</v>
      </c>
      <c r="K16" s="256" t="s">
        <v>1346</v>
      </c>
    </row>
    <row r="17" spans="1:11" x14ac:dyDescent="0.3">
      <c r="A17" s="256">
        <v>10</v>
      </c>
      <c r="B17" s="257" t="s">
        <v>1518</v>
      </c>
      <c r="C17" s="276">
        <v>44479</v>
      </c>
      <c r="D17" s="257" t="s">
        <v>1304</v>
      </c>
      <c r="E17" s="256" t="s">
        <v>1831</v>
      </c>
      <c r="F17" s="256" t="s">
        <v>1741</v>
      </c>
      <c r="G17" s="258">
        <v>66896000000</v>
      </c>
      <c r="H17" s="265">
        <v>0.1</v>
      </c>
      <c r="I17" s="258">
        <v>6689600000</v>
      </c>
      <c r="J17" s="258">
        <v>73585600000</v>
      </c>
      <c r="K17" s="256" t="s">
        <v>1348</v>
      </c>
    </row>
    <row r="18" spans="1:11" x14ac:dyDescent="0.3">
      <c r="A18" s="256">
        <v>11</v>
      </c>
      <c r="B18" s="257" t="s">
        <v>1480</v>
      </c>
      <c r="C18" s="276">
        <v>44480</v>
      </c>
      <c r="D18" s="257" t="s">
        <v>1265</v>
      </c>
      <c r="E18" s="256" t="s">
        <v>1830</v>
      </c>
      <c r="F18" s="256" t="s">
        <v>1968</v>
      </c>
      <c r="G18" s="258">
        <v>61957000000</v>
      </c>
      <c r="H18" s="265">
        <v>0.1</v>
      </c>
      <c r="I18" s="258">
        <v>6195700000</v>
      </c>
      <c r="J18" s="258">
        <v>68152700000</v>
      </c>
      <c r="K18" s="256" t="s">
        <v>1346</v>
      </c>
    </row>
    <row r="19" spans="1:11" x14ac:dyDescent="0.3">
      <c r="A19" s="256">
        <v>12</v>
      </c>
      <c r="B19" s="257" t="s">
        <v>1486</v>
      </c>
      <c r="C19" s="276">
        <v>44481</v>
      </c>
      <c r="D19" s="257" t="s">
        <v>1299</v>
      </c>
      <c r="E19" s="256" t="s">
        <v>1776</v>
      </c>
      <c r="F19" s="256" t="s">
        <v>1971</v>
      </c>
      <c r="G19" s="258">
        <v>63745000000</v>
      </c>
      <c r="H19" s="265">
        <v>0.1</v>
      </c>
      <c r="I19" s="258">
        <v>6374500000</v>
      </c>
      <c r="J19" s="258">
        <v>70119500000</v>
      </c>
      <c r="K19" s="256" t="s">
        <v>1346</v>
      </c>
    </row>
    <row r="20" spans="1:11" x14ac:dyDescent="0.3">
      <c r="A20" s="256">
        <v>13</v>
      </c>
      <c r="B20" s="257" t="s">
        <v>1511</v>
      </c>
      <c r="C20" s="276">
        <v>44211</v>
      </c>
      <c r="D20" s="257" t="s">
        <v>1274</v>
      </c>
      <c r="E20" s="256" t="s">
        <v>1794</v>
      </c>
      <c r="F20" s="256" t="s">
        <v>1741</v>
      </c>
      <c r="G20" s="258">
        <v>98504000000</v>
      </c>
      <c r="H20" s="265">
        <v>0.1</v>
      </c>
      <c r="I20" s="258">
        <v>9850400000</v>
      </c>
      <c r="J20" s="258">
        <v>108354400000</v>
      </c>
      <c r="K20" s="256" t="s">
        <v>1348</v>
      </c>
    </row>
    <row r="21" spans="1:11" x14ac:dyDescent="0.3">
      <c r="A21" s="256">
        <v>14</v>
      </c>
      <c r="B21" s="257" t="s">
        <v>1495</v>
      </c>
      <c r="C21" s="276">
        <v>44242</v>
      </c>
      <c r="D21" s="257" t="s">
        <v>1266</v>
      </c>
      <c r="E21" s="256" t="s">
        <v>1824</v>
      </c>
      <c r="F21" s="256" t="s">
        <v>1969</v>
      </c>
      <c r="G21" s="258">
        <v>133538000000</v>
      </c>
      <c r="H21" s="265">
        <v>0.1</v>
      </c>
      <c r="I21" s="258">
        <v>13353800000</v>
      </c>
      <c r="J21" s="258">
        <v>146891800000</v>
      </c>
      <c r="K21" s="256" t="s">
        <v>1346</v>
      </c>
    </row>
    <row r="22" spans="1:11" x14ac:dyDescent="0.3">
      <c r="A22" s="256">
        <v>15</v>
      </c>
      <c r="B22" s="257" t="s">
        <v>1519</v>
      </c>
      <c r="C22" s="276">
        <v>44275</v>
      </c>
      <c r="D22" s="257" t="s">
        <v>1304</v>
      </c>
      <c r="E22" s="256" t="s">
        <v>1831</v>
      </c>
      <c r="F22" s="256" t="s">
        <v>1969</v>
      </c>
      <c r="G22" s="258">
        <v>106150000000</v>
      </c>
      <c r="H22" s="265">
        <v>0.1</v>
      </c>
      <c r="I22" s="258">
        <v>10615000000</v>
      </c>
      <c r="J22" s="258">
        <v>116765000000</v>
      </c>
      <c r="K22" s="256" t="s">
        <v>1346</v>
      </c>
    </row>
    <row r="23" spans="1:11" x14ac:dyDescent="0.3">
      <c r="A23" s="256">
        <v>16</v>
      </c>
      <c r="B23" s="257" t="s">
        <v>1505</v>
      </c>
      <c r="C23" s="276">
        <v>44306</v>
      </c>
      <c r="D23" s="257" t="s">
        <v>1281</v>
      </c>
      <c r="E23" s="256" t="s">
        <v>1806</v>
      </c>
      <c r="F23" s="256" t="s">
        <v>1969</v>
      </c>
      <c r="G23" s="258">
        <v>134696000000</v>
      </c>
      <c r="H23" s="265">
        <v>0.1</v>
      </c>
      <c r="I23" s="258">
        <v>13469600000</v>
      </c>
      <c r="J23" s="258">
        <v>148165600000</v>
      </c>
      <c r="K23" s="256" t="s">
        <v>1346</v>
      </c>
    </row>
    <row r="24" spans="1:11" x14ac:dyDescent="0.3">
      <c r="A24" s="256">
        <v>17</v>
      </c>
      <c r="B24" s="257" t="s">
        <v>1506</v>
      </c>
      <c r="C24" s="276">
        <v>44336</v>
      </c>
      <c r="D24" s="257" t="s">
        <v>1281</v>
      </c>
      <c r="E24" s="256" t="s">
        <v>1806</v>
      </c>
      <c r="F24" s="256" t="s">
        <v>1968</v>
      </c>
      <c r="G24" s="258">
        <v>60918000000</v>
      </c>
      <c r="H24" s="265">
        <v>0.1</v>
      </c>
      <c r="I24" s="258">
        <v>6091800000</v>
      </c>
      <c r="J24" s="258">
        <v>67009800000</v>
      </c>
      <c r="K24" s="256" t="s">
        <v>1346</v>
      </c>
    </row>
    <row r="25" spans="1:11" x14ac:dyDescent="0.3">
      <c r="A25" s="256">
        <v>18</v>
      </c>
      <c r="B25" s="257" t="s">
        <v>1210</v>
      </c>
      <c r="C25" s="276">
        <v>44367</v>
      </c>
      <c r="D25" s="257" t="s">
        <v>1273</v>
      </c>
      <c r="E25" s="256" t="s">
        <v>1829</v>
      </c>
      <c r="F25" s="256" t="s">
        <v>1687</v>
      </c>
      <c r="G25" s="258">
        <v>97963000000</v>
      </c>
      <c r="H25" s="265">
        <v>0.1</v>
      </c>
      <c r="I25" s="258">
        <v>9796300000</v>
      </c>
      <c r="J25" s="258">
        <v>107759300000</v>
      </c>
      <c r="K25" s="256" t="s">
        <v>1346</v>
      </c>
    </row>
    <row r="26" spans="1:11" x14ac:dyDescent="0.3">
      <c r="A26" s="256">
        <v>19</v>
      </c>
      <c r="B26" s="257" t="s">
        <v>1986</v>
      </c>
      <c r="C26" s="276">
        <v>44397</v>
      </c>
      <c r="D26" s="257" t="s">
        <v>1284</v>
      </c>
      <c r="E26" s="256" t="s">
        <v>1786</v>
      </c>
      <c r="F26" s="256" t="s">
        <v>1741</v>
      </c>
      <c r="G26" s="258">
        <v>55963000000</v>
      </c>
      <c r="H26" s="265">
        <v>0.1</v>
      </c>
      <c r="I26" s="258">
        <v>5596300000</v>
      </c>
      <c r="J26" s="258">
        <v>61559300000</v>
      </c>
      <c r="K26" s="256" t="s">
        <v>1346</v>
      </c>
    </row>
    <row r="27" spans="1:11" x14ac:dyDescent="0.3">
      <c r="A27" s="256">
        <v>20</v>
      </c>
      <c r="B27" s="257" t="s">
        <v>1987</v>
      </c>
      <c r="C27" s="276">
        <v>44428</v>
      </c>
      <c r="D27" s="257" t="s">
        <v>1284</v>
      </c>
      <c r="E27" s="256" t="s">
        <v>1786</v>
      </c>
      <c r="F27" s="256" t="s">
        <v>1971</v>
      </c>
      <c r="G27" s="258">
        <v>127250000000</v>
      </c>
      <c r="H27" s="265">
        <v>0.1</v>
      </c>
      <c r="I27" s="258">
        <v>12725000000</v>
      </c>
      <c r="J27" s="258">
        <v>139975000000</v>
      </c>
      <c r="K27" s="256" t="s">
        <v>1346</v>
      </c>
    </row>
    <row r="28" spans="1:11" x14ac:dyDescent="0.3">
      <c r="A28" s="256">
        <v>21</v>
      </c>
      <c r="B28" s="257" t="s">
        <v>1475</v>
      </c>
      <c r="C28" s="276">
        <v>44459</v>
      </c>
      <c r="D28" s="257" t="s">
        <v>1290</v>
      </c>
      <c r="E28" s="256" t="s">
        <v>1796</v>
      </c>
      <c r="F28" s="256" t="s">
        <v>1969</v>
      </c>
      <c r="G28" s="258">
        <v>110531000000</v>
      </c>
      <c r="H28" s="265">
        <v>0.1</v>
      </c>
      <c r="I28" s="258">
        <v>11053100000</v>
      </c>
      <c r="J28" s="258">
        <v>121584100000</v>
      </c>
      <c r="K28" s="256" t="s">
        <v>1346</v>
      </c>
    </row>
    <row r="29" spans="1:11" x14ac:dyDescent="0.3">
      <c r="A29" s="256">
        <v>22</v>
      </c>
      <c r="B29" s="257" t="s">
        <v>1467</v>
      </c>
      <c r="C29" s="276">
        <v>44489</v>
      </c>
      <c r="D29" s="257" t="s">
        <v>1300</v>
      </c>
      <c r="E29" s="256" t="s">
        <v>1818</v>
      </c>
      <c r="F29" s="256" t="s">
        <v>1970</v>
      </c>
      <c r="G29" s="258">
        <v>141737000000</v>
      </c>
      <c r="H29" s="265">
        <v>0.1</v>
      </c>
      <c r="I29" s="258">
        <v>14173700000</v>
      </c>
      <c r="J29" s="258">
        <v>155910700000</v>
      </c>
      <c r="K29" s="256" t="s">
        <v>1348</v>
      </c>
    </row>
    <row r="30" spans="1:11" x14ac:dyDescent="0.3">
      <c r="A30" s="256">
        <v>23</v>
      </c>
      <c r="B30" s="257" t="s">
        <v>1472</v>
      </c>
      <c r="C30" s="276">
        <v>44520</v>
      </c>
      <c r="D30" s="257" t="s">
        <v>1269</v>
      </c>
      <c r="E30" s="256" t="s">
        <v>1823</v>
      </c>
      <c r="F30" s="256" t="s">
        <v>1969</v>
      </c>
      <c r="G30" s="258">
        <v>138326000000</v>
      </c>
      <c r="H30" s="265">
        <v>0.1</v>
      </c>
      <c r="I30" s="258">
        <v>13832600000</v>
      </c>
      <c r="J30" s="258">
        <v>152158600000</v>
      </c>
      <c r="K30" s="256" t="s">
        <v>1346</v>
      </c>
    </row>
    <row r="31" spans="1:11" x14ac:dyDescent="0.3">
      <c r="A31" s="256">
        <v>24</v>
      </c>
      <c r="B31" s="257" t="s">
        <v>1481</v>
      </c>
      <c r="C31" s="276">
        <v>44550</v>
      </c>
      <c r="D31" s="257" t="s">
        <v>1265</v>
      </c>
      <c r="E31" s="256" t="s">
        <v>1830</v>
      </c>
      <c r="F31" s="256" t="s">
        <v>1970</v>
      </c>
      <c r="G31" s="258">
        <v>49610000000</v>
      </c>
      <c r="H31" s="265">
        <v>0.1</v>
      </c>
      <c r="I31" s="258">
        <v>4961000000</v>
      </c>
      <c r="J31" s="258">
        <v>54571000000</v>
      </c>
      <c r="K31" s="256" t="s">
        <v>1346</v>
      </c>
    </row>
    <row r="32" spans="1:11" x14ac:dyDescent="0.3">
      <c r="A32" s="256">
        <v>25</v>
      </c>
      <c r="B32" s="257" t="s">
        <v>1520</v>
      </c>
      <c r="C32" s="276">
        <v>44221</v>
      </c>
      <c r="D32" s="257" t="s">
        <v>1304</v>
      </c>
      <c r="E32" s="256" t="s">
        <v>1831</v>
      </c>
      <c r="F32" s="256" t="s">
        <v>1971</v>
      </c>
      <c r="G32" s="258">
        <v>134567000000</v>
      </c>
      <c r="H32" s="265">
        <v>0.1</v>
      </c>
      <c r="I32" s="258">
        <v>13456700000</v>
      </c>
      <c r="J32" s="258">
        <v>148023700000</v>
      </c>
      <c r="K32" s="256" t="s">
        <v>1346</v>
      </c>
    </row>
    <row r="33" spans="1:11" x14ac:dyDescent="0.3">
      <c r="A33" s="256">
        <v>26</v>
      </c>
      <c r="B33" s="257" t="s">
        <v>1483</v>
      </c>
      <c r="C33" s="276">
        <v>44255</v>
      </c>
      <c r="D33" s="257" t="s">
        <v>1293</v>
      </c>
      <c r="E33" s="256" t="s">
        <v>1826</v>
      </c>
      <c r="F33" s="256" t="s">
        <v>1971</v>
      </c>
      <c r="G33" s="258">
        <v>133948000000</v>
      </c>
      <c r="H33" s="265">
        <v>0.1</v>
      </c>
      <c r="I33" s="258">
        <v>13394800000</v>
      </c>
      <c r="J33" s="258">
        <v>147342800000</v>
      </c>
      <c r="K33" s="256" t="s">
        <v>1346</v>
      </c>
    </row>
    <row r="34" spans="1:11" x14ac:dyDescent="0.3">
      <c r="A34" s="256">
        <v>27</v>
      </c>
      <c r="B34" s="257" t="s">
        <v>1482</v>
      </c>
      <c r="C34" s="276">
        <v>44316</v>
      </c>
      <c r="D34" s="257" t="s">
        <v>1262</v>
      </c>
      <c r="E34" s="256" t="s">
        <v>1816</v>
      </c>
      <c r="F34" s="256" t="s">
        <v>1741</v>
      </c>
      <c r="G34" s="258">
        <v>145887000000</v>
      </c>
      <c r="H34" s="265">
        <v>0.1</v>
      </c>
      <c r="I34" s="258">
        <v>14588700000</v>
      </c>
      <c r="J34" s="258">
        <v>160475700000</v>
      </c>
      <c r="K34" s="256" t="s">
        <v>1346</v>
      </c>
    </row>
    <row r="35" spans="1:11" x14ac:dyDescent="0.3">
      <c r="A35" s="256">
        <v>28</v>
      </c>
      <c r="B35" s="257" t="s">
        <v>1465</v>
      </c>
      <c r="C35" s="276">
        <v>44377</v>
      </c>
      <c r="D35" s="257" t="s">
        <v>1286</v>
      </c>
      <c r="E35" s="256" t="s">
        <v>1828</v>
      </c>
      <c r="F35" s="256" t="s">
        <v>1969</v>
      </c>
      <c r="G35" s="258">
        <v>42412000000</v>
      </c>
      <c r="H35" s="265">
        <v>0.1</v>
      </c>
      <c r="I35" s="258">
        <v>4241200000</v>
      </c>
      <c r="J35" s="258">
        <v>46653200000</v>
      </c>
      <c r="K35" s="256" t="s">
        <v>1348</v>
      </c>
    </row>
    <row r="36" spans="1:11" x14ac:dyDescent="0.3">
      <c r="A36" s="256">
        <v>29</v>
      </c>
      <c r="B36" s="257" t="s">
        <v>1521</v>
      </c>
      <c r="C36" s="276">
        <v>44469</v>
      </c>
      <c r="D36" s="257" t="s">
        <v>1304</v>
      </c>
      <c r="E36" s="256" t="s">
        <v>1831</v>
      </c>
      <c r="F36" s="256" t="s">
        <v>1968</v>
      </c>
      <c r="G36" s="258">
        <v>133859000000</v>
      </c>
      <c r="H36" s="265">
        <v>0.1</v>
      </c>
      <c r="I36" s="258">
        <v>13385900000</v>
      </c>
      <c r="J36" s="258">
        <v>147244900000</v>
      </c>
      <c r="K36" s="256" t="s">
        <v>1346</v>
      </c>
    </row>
    <row r="37" spans="1:11" x14ac:dyDescent="0.3">
      <c r="A37" s="256">
        <v>30</v>
      </c>
      <c r="B37" s="257" t="s">
        <v>1486</v>
      </c>
      <c r="C37" s="276">
        <v>44530</v>
      </c>
      <c r="D37" s="257" t="s">
        <v>1289</v>
      </c>
      <c r="E37" s="256" t="s">
        <v>1803</v>
      </c>
      <c r="F37" s="256" t="s">
        <v>1969</v>
      </c>
      <c r="G37" s="258">
        <v>73560000000</v>
      </c>
      <c r="H37" s="265">
        <v>0.1</v>
      </c>
      <c r="I37" s="258">
        <v>7356000000</v>
      </c>
      <c r="J37" s="258">
        <v>80916000000</v>
      </c>
      <c r="K37" s="256" t="s">
        <v>1346</v>
      </c>
    </row>
    <row r="38" spans="1:11" x14ac:dyDescent="0.3">
      <c r="A38" s="256">
        <v>31</v>
      </c>
      <c r="B38" s="257" t="s">
        <v>1487</v>
      </c>
      <c r="C38" s="276">
        <v>44286</v>
      </c>
      <c r="D38" s="257" t="s">
        <v>1289</v>
      </c>
      <c r="E38" s="256" t="s">
        <v>1803</v>
      </c>
      <c r="F38" s="256" t="s">
        <v>1970</v>
      </c>
      <c r="G38" s="258">
        <v>148371000000</v>
      </c>
      <c r="H38" s="265">
        <v>0.1</v>
      </c>
      <c r="I38" s="258">
        <v>14837100000</v>
      </c>
      <c r="J38" s="258">
        <v>163208100000</v>
      </c>
      <c r="K38" s="256" t="s">
        <v>1346</v>
      </c>
    </row>
    <row r="39" spans="1:11" x14ac:dyDescent="0.3">
      <c r="A39" s="256">
        <v>32</v>
      </c>
      <c r="B39" s="257" t="s">
        <v>1484</v>
      </c>
      <c r="C39" s="276">
        <v>44347</v>
      </c>
      <c r="D39" s="257" t="s">
        <v>1293</v>
      </c>
      <c r="E39" s="256" t="s">
        <v>1826</v>
      </c>
      <c r="F39" s="256" t="s">
        <v>1971</v>
      </c>
      <c r="G39" s="258">
        <v>102195000000</v>
      </c>
      <c r="H39" s="265">
        <v>0</v>
      </c>
      <c r="I39" s="258">
        <v>0</v>
      </c>
      <c r="J39" s="258">
        <v>102195000000</v>
      </c>
      <c r="K39" s="256" t="s">
        <v>1348</v>
      </c>
    </row>
    <row r="40" spans="1:11" x14ac:dyDescent="0.3">
      <c r="A40" s="256">
        <v>33</v>
      </c>
      <c r="B40" s="257" t="s">
        <v>1418</v>
      </c>
      <c r="C40" s="276">
        <v>44408</v>
      </c>
      <c r="D40" s="257" t="s">
        <v>1296</v>
      </c>
      <c r="E40" s="256" t="s">
        <v>1807</v>
      </c>
      <c r="F40" s="256" t="s">
        <v>1687</v>
      </c>
      <c r="G40" s="258">
        <v>70362000000</v>
      </c>
      <c r="H40" s="265">
        <v>0.1</v>
      </c>
      <c r="I40" s="258">
        <v>7036200000</v>
      </c>
      <c r="J40" s="258">
        <v>77398200000</v>
      </c>
      <c r="K40" s="256" t="s">
        <v>1346</v>
      </c>
    </row>
    <row r="41" spans="1:11" x14ac:dyDescent="0.3">
      <c r="A41" s="256">
        <v>34</v>
      </c>
      <c r="B41" s="257" t="s">
        <v>1509</v>
      </c>
      <c r="C41" s="276">
        <v>44439</v>
      </c>
      <c r="D41" s="257" t="s">
        <v>1272</v>
      </c>
      <c r="E41" s="256" t="s">
        <v>1805</v>
      </c>
      <c r="F41" s="256" t="s">
        <v>1969</v>
      </c>
      <c r="G41" s="258">
        <v>103799000000</v>
      </c>
      <c r="H41" s="265">
        <v>0.1</v>
      </c>
      <c r="I41" s="258">
        <v>10379900000</v>
      </c>
      <c r="J41" s="258">
        <v>114178900000</v>
      </c>
      <c r="K41" s="256" t="s">
        <v>1346</v>
      </c>
    </row>
    <row r="42" spans="1:11" x14ac:dyDescent="0.3">
      <c r="A42" s="256">
        <v>35</v>
      </c>
      <c r="B42" s="257" t="s">
        <v>1468</v>
      </c>
      <c r="C42" s="276">
        <v>44500</v>
      </c>
      <c r="D42" s="257" t="s">
        <v>1300</v>
      </c>
      <c r="E42" s="256" t="s">
        <v>1818</v>
      </c>
      <c r="F42" s="256" t="s">
        <v>1970</v>
      </c>
      <c r="G42" s="258">
        <v>146221000000</v>
      </c>
      <c r="H42" s="265">
        <v>0.1</v>
      </c>
      <c r="I42" s="258">
        <v>14622100000</v>
      </c>
      <c r="J42" s="258">
        <v>160843100000</v>
      </c>
      <c r="K42" s="256" t="s">
        <v>1346</v>
      </c>
    </row>
    <row r="43" spans="1:11" x14ac:dyDescent="0.3">
      <c r="A43" s="256">
        <v>36</v>
      </c>
      <c r="B43" s="257" t="s">
        <v>1514</v>
      </c>
      <c r="C43" s="276">
        <v>44561</v>
      </c>
      <c r="D43" s="257" t="s">
        <v>1259</v>
      </c>
      <c r="E43" s="256" t="s">
        <v>1788</v>
      </c>
      <c r="F43" s="256" t="s">
        <v>1971</v>
      </c>
      <c r="G43" s="258">
        <v>142232000000</v>
      </c>
      <c r="H43" s="265">
        <v>0.1</v>
      </c>
      <c r="I43" s="258">
        <v>14223200000</v>
      </c>
      <c r="J43" s="258">
        <v>156455200000</v>
      </c>
      <c r="K43" s="256" t="s">
        <v>1346</v>
      </c>
    </row>
    <row r="44" spans="1:11" x14ac:dyDescent="0.3">
      <c r="A44" s="256">
        <v>37</v>
      </c>
      <c r="B44" s="257" t="s">
        <v>1464</v>
      </c>
      <c r="C44" s="276">
        <v>44561</v>
      </c>
      <c r="D44" s="257" t="s">
        <v>1287</v>
      </c>
      <c r="E44" s="256" t="s">
        <v>1801</v>
      </c>
      <c r="F44" s="256" t="s">
        <v>1970</v>
      </c>
      <c r="G44" s="258">
        <v>160782000000</v>
      </c>
      <c r="H44" s="265">
        <v>0.1</v>
      </c>
      <c r="I44" s="258">
        <v>16078200000</v>
      </c>
      <c r="J44" s="258">
        <v>176860200000</v>
      </c>
      <c r="K44" s="256" t="s">
        <v>1346</v>
      </c>
    </row>
    <row r="45" spans="1:11" x14ac:dyDescent="0.3">
      <c r="A45" s="256">
        <v>38</v>
      </c>
      <c r="B45" s="257" t="s">
        <v>1495</v>
      </c>
      <c r="C45" s="276">
        <v>44561</v>
      </c>
      <c r="D45" s="257" t="s">
        <v>1268</v>
      </c>
      <c r="E45" s="256" t="s">
        <v>1821</v>
      </c>
      <c r="F45" s="256" t="s">
        <v>1741</v>
      </c>
      <c r="G45" s="258">
        <v>127610000000</v>
      </c>
      <c r="H45" s="265">
        <v>0.1</v>
      </c>
      <c r="I45" s="258">
        <v>12761000000</v>
      </c>
      <c r="J45" s="258">
        <v>140371000000</v>
      </c>
      <c r="K45" s="256" t="s">
        <v>1346</v>
      </c>
    </row>
    <row r="46" spans="1:11" x14ac:dyDescent="0.3">
      <c r="A46" s="256">
        <v>39</v>
      </c>
      <c r="B46" s="257" t="s">
        <v>1213</v>
      </c>
      <c r="C46" s="276">
        <v>44561</v>
      </c>
      <c r="D46" s="257" t="s">
        <v>1270</v>
      </c>
      <c r="E46" s="256" t="s">
        <v>1782</v>
      </c>
      <c r="F46" s="256" t="s">
        <v>1687</v>
      </c>
      <c r="G46" s="258">
        <v>106021000000</v>
      </c>
      <c r="H46" s="265">
        <v>0.1</v>
      </c>
      <c r="I46" s="258">
        <v>10602100000</v>
      </c>
      <c r="J46" s="258">
        <v>116623100000</v>
      </c>
      <c r="K46" s="256" t="s">
        <v>1346</v>
      </c>
    </row>
    <row r="47" spans="1:11" x14ac:dyDescent="0.3">
      <c r="A47" s="256">
        <v>40</v>
      </c>
      <c r="B47" s="257" t="s">
        <v>1476</v>
      </c>
      <c r="C47" s="276">
        <v>44561</v>
      </c>
      <c r="D47" s="257" t="s">
        <v>1290</v>
      </c>
      <c r="E47" s="256" t="s">
        <v>1796</v>
      </c>
      <c r="F47" s="256" t="s">
        <v>1741</v>
      </c>
      <c r="G47" s="258">
        <v>119376000000</v>
      </c>
      <c r="H47" s="265">
        <v>0.1</v>
      </c>
      <c r="I47" s="258">
        <v>11937600000</v>
      </c>
      <c r="J47" s="258">
        <v>131313600000</v>
      </c>
      <c r="K47" s="256" t="s">
        <v>1346</v>
      </c>
    </row>
    <row r="48" spans="1:11" x14ac:dyDescent="0.3">
      <c r="A48" s="256">
        <v>41</v>
      </c>
      <c r="B48" s="257" t="s">
        <v>1507</v>
      </c>
      <c r="C48" s="276">
        <v>44561</v>
      </c>
      <c r="D48" s="257" t="s">
        <v>1288</v>
      </c>
      <c r="E48" s="256" t="s">
        <v>1797</v>
      </c>
      <c r="F48" s="256" t="s">
        <v>1971</v>
      </c>
      <c r="G48" s="258">
        <v>86589000000</v>
      </c>
      <c r="H48" s="265">
        <v>0.1</v>
      </c>
      <c r="I48" s="258">
        <v>8658900000</v>
      </c>
      <c r="J48" s="258">
        <v>95247900000</v>
      </c>
      <c r="K48" s="256" t="s">
        <v>1346</v>
      </c>
    </row>
    <row r="49" spans="1:11" x14ac:dyDescent="0.3">
      <c r="A49" s="256">
        <v>42</v>
      </c>
      <c r="B49" s="257" t="s">
        <v>1503</v>
      </c>
      <c r="C49" s="276">
        <v>44561</v>
      </c>
      <c r="D49" s="257" t="s">
        <v>1282</v>
      </c>
      <c r="E49" s="256" t="s">
        <v>1789</v>
      </c>
      <c r="F49" s="256" t="s">
        <v>1971</v>
      </c>
      <c r="G49" s="258">
        <v>157514000000</v>
      </c>
      <c r="H49" s="265">
        <v>0.1</v>
      </c>
      <c r="I49" s="258">
        <v>15751400000</v>
      </c>
      <c r="J49" s="258">
        <v>173265400000</v>
      </c>
      <c r="K49" s="256" t="s">
        <v>1346</v>
      </c>
    </row>
    <row r="50" spans="1:11" x14ac:dyDescent="0.3">
      <c r="A50" s="256">
        <v>43</v>
      </c>
      <c r="B50" s="257" t="s">
        <v>1482</v>
      </c>
      <c r="C50" s="276">
        <v>44561</v>
      </c>
      <c r="D50" s="257" t="s">
        <v>1265</v>
      </c>
      <c r="E50" s="256" t="s">
        <v>1830</v>
      </c>
      <c r="F50" s="256" t="s">
        <v>1970</v>
      </c>
      <c r="G50" s="258">
        <v>40802000000</v>
      </c>
      <c r="H50" s="265">
        <v>0.1</v>
      </c>
      <c r="I50" s="258">
        <v>4080200000</v>
      </c>
      <c r="J50" s="258">
        <v>44882200000</v>
      </c>
      <c r="K50" s="256" t="s">
        <v>1346</v>
      </c>
    </row>
    <row r="51" spans="1:11" x14ac:dyDescent="0.3">
      <c r="A51" s="256">
        <v>44</v>
      </c>
      <c r="B51" s="257" t="s">
        <v>1515</v>
      </c>
      <c r="C51" s="276">
        <v>44561</v>
      </c>
      <c r="D51" s="257" t="s">
        <v>1259</v>
      </c>
      <c r="E51" s="256" t="s">
        <v>1788</v>
      </c>
      <c r="F51" s="256" t="s">
        <v>1969</v>
      </c>
      <c r="G51" s="258">
        <v>115439000000</v>
      </c>
      <c r="H51" s="265">
        <v>0.1</v>
      </c>
      <c r="I51" s="258">
        <v>11543900000</v>
      </c>
      <c r="J51" s="258">
        <v>126982900000</v>
      </c>
      <c r="K51" s="256" t="s">
        <v>1346</v>
      </c>
    </row>
    <row r="52" spans="1:11" x14ac:dyDescent="0.3">
      <c r="A52" s="256">
        <v>45</v>
      </c>
      <c r="B52" s="257" t="s">
        <v>1209</v>
      </c>
      <c r="C52" s="276">
        <v>44561</v>
      </c>
      <c r="D52" s="257" t="s">
        <v>1258</v>
      </c>
      <c r="E52" s="256" t="s">
        <v>1833</v>
      </c>
      <c r="F52" s="256" t="s">
        <v>1971</v>
      </c>
      <c r="G52" s="258">
        <v>136136000000</v>
      </c>
      <c r="H52" s="265">
        <v>0.1</v>
      </c>
      <c r="I52" s="258">
        <v>13613600000</v>
      </c>
      <c r="J52" s="258">
        <v>149749600000</v>
      </c>
      <c r="K52" s="256" t="s">
        <v>1346</v>
      </c>
    </row>
    <row r="53" spans="1:11" x14ac:dyDescent="0.3">
      <c r="A53" s="256">
        <v>46</v>
      </c>
      <c r="B53" s="257" t="s">
        <v>1496</v>
      </c>
      <c r="C53" s="276">
        <v>44561</v>
      </c>
      <c r="D53" s="257" t="s">
        <v>1279</v>
      </c>
      <c r="E53" s="256" t="s">
        <v>1827</v>
      </c>
      <c r="F53" s="256" t="s">
        <v>1971</v>
      </c>
      <c r="G53" s="258">
        <v>61448000000</v>
      </c>
      <c r="H53" s="265">
        <v>0</v>
      </c>
      <c r="I53" s="258">
        <v>0</v>
      </c>
      <c r="J53" s="258">
        <v>61448000000</v>
      </c>
      <c r="K53" s="256" t="s">
        <v>1346</v>
      </c>
    </row>
    <row r="54" spans="1:11" x14ac:dyDescent="0.3">
      <c r="A54" s="256">
        <v>47</v>
      </c>
      <c r="B54" s="257" t="s">
        <v>1516</v>
      </c>
      <c r="C54" s="276">
        <v>44561</v>
      </c>
      <c r="D54" s="257" t="s">
        <v>1259</v>
      </c>
      <c r="E54" s="256" t="s">
        <v>1788</v>
      </c>
      <c r="F54" s="256" t="s">
        <v>1971</v>
      </c>
      <c r="G54" s="258">
        <v>112470000000</v>
      </c>
      <c r="H54" s="265">
        <v>0.1</v>
      </c>
      <c r="I54" s="258">
        <v>11247000000</v>
      </c>
      <c r="J54" s="258">
        <v>123717000000</v>
      </c>
      <c r="K54" s="256" t="s">
        <v>1346</v>
      </c>
    </row>
    <row r="55" spans="1:11" x14ac:dyDescent="0.3">
      <c r="A55" s="256">
        <v>48</v>
      </c>
      <c r="B55" s="257" t="s">
        <v>1211</v>
      </c>
      <c r="C55" s="276">
        <v>44561</v>
      </c>
      <c r="D55" s="257" t="s">
        <v>1273</v>
      </c>
      <c r="E55" s="256" t="s">
        <v>1829</v>
      </c>
      <c r="F55" s="256" t="s">
        <v>1687</v>
      </c>
      <c r="G55" s="258">
        <v>102759000000</v>
      </c>
      <c r="H55" s="265">
        <v>0.1</v>
      </c>
      <c r="I55" s="258">
        <v>10275900000</v>
      </c>
      <c r="J55" s="258">
        <v>113034900000</v>
      </c>
      <c r="K55" s="256" t="s">
        <v>1346</v>
      </c>
    </row>
    <row r="56" spans="1:11" x14ac:dyDescent="0.3">
      <c r="A56" s="256">
        <v>49</v>
      </c>
      <c r="B56" s="257" t="s">
        <v>1477</v>
      </c>
      <c r="C56" s="276">
        <v>44561</v>
      </c>
      <c r="D56" s="257" t="s">
        <v>1301</v>
      </c>
      <c r="E56" s="256" t="s">
        <v>1781</v>
      </c>
      <c r="F56" s="256" t="s">
        <v>1971</v>
      </c>
      <c r="G56" s="258">
        <v>78569000000</v>
      </c>
      <c r="H56" s="265">
        <v>0.1</v>
      </c>
      <c r="I56" s="258">
        <v>7856900000</v>
      </c>
      <c r="J56" s="258">
        <v>86425900000</v>
      </c>
      <c r="K56" s="256" t="s">
        <v>1346</v>
      </c>
    </row>
    <row r="57" spans="1:11" x14ac:dyDescent="0.3">
      <c r="A57" s="256">
        <v>50</v>
      </c>
      <c r="B57" s="257" t="s">
        <v>1487</v>
      </c>
      <c r="C57" s="276">
        <v>44561</v>
      </c>
      <c r="D57" s="257" t="s">
        <v>1299</v>
      </c>
      <c r="E57" s="256" t="s">
        <v>1776</v>
      </c>
      <c r="F57" s="256" t="s">
        <v>1970</v>
      </c>
      <c r="G57" s="258">
        <v>75839000000</v>
      </c>
      <c r="H57" s="265">
        <v>0.1</v>
      </c>
      <c r="I57" s="258">
        <v>7583900000</v>
      </c>
      <c r="J57" s="258">
        <v>83422900000</v>
      </c>
      <c r="K57" s="256" t="s">
        <v>1346</v>
      </c>
    </row>
    <row r="58" spans="1:11" x14ac:dyDescent="0.3">
      <c r="A58" s="266" t="s">
        <v>1351</v>
      </c>
      <c r="B58" s="266"/>
      <c r="C58" s="266"/>
      <c r="D58" s="266"/>
      <c r="E58" s="266"/>
      <c r="F58" s="266"/>
      <c r="G58" s="267">
        <f>SUM(G8:G57)</f>
        <v>5206651000000</v>
      </c>
      <c r="H58" s="266"/>
      <c r="I58" s="267">
        <f>SUM(I8:I57)</f>
        <v>476983600000</v>
      </c>
      <c r="J58" s="267">
        <f>SUM(J8:J57)</f>
        <v>5683634600000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1296</v>
      </c>
      <c r="E62" s="256" t="s">
        <v>1807</v>
      </c>
      <c r="F62" s="256" t="s">
        <v>1972</v>
      </c>
      <c r="G62" s="258">
        <v>103761000000</v>
      </c>
      <c r="H62" s="265">
        <v>0.1</v>
      </c>
      <c r="I62" s="258">
        <v>10376100000</v>
      </c>
      <c r="J62" s="258">
        <v>114137100000</v>
      </c>
      <c r="K62" s="256" t="s">
        <v>1346</v>
      </c>
    </row>
    <row r="63" spans="1:11" x14ac:dyDescent="0.3">
      <c r="A63" s="256">
        <v>2</v>
      </c>
      <c r="B63" s="257" t="s">
        <v>1201</v>
      </c>
      <c r="C63" s="276">
        <v>44318</v>
      </c>
      <c r="D63" s="257" t="s">
        <v>1259</v>
      </c>
      <c r="E63" s="256" t="s">
        <v>1788</v>
      </c>
      <c r="F63" s="256" t="s">
        <v>1972</v>
      </c>
      <c r="G63" s="258">
        <v>185064000000</v>
      </c>
      <c r="H63" s="265">
        <v>0.1</v>
      </c>
      <c r="I63" s="258">
        <v>18506400000</v>
      </c>
      <c r="J63" s="258">
        <v>203570400000</v>
      </c>
      <c r="K63" s="256" t="s">
        <v>1348</v>
      </c>
    </row>
    <row r="64" spans="1:11" x14ac:dyDescent="0.3">
      <c r="A64" s="256">
        <v>3</v>
      </c>
      <c r="B64" s="257" t="s">
        <v>1202</v>
      </c>
      <c r="C64" s="276">
        <v>44472</v>
      </c>
      <c r="D64" s="257" t="s">
        <v>1298</v>
      </c>
      <c r="E64" s="256" t="s">
        <v>1819</v>
      </c>
      <c r="F64" s="256" t="s">
        <v>1973</v>
      </c>
      <c r="G64" s="258">
        <v>101255000000</v>
      </c>
      <c r="H64" s="265">
        <v>0</v>
      </c>
      <c r="I64" s="258">
        <v>0</v>
      </c>
      <c r="J64" s="258">
        <v>101255000000</v>
      </c>
      <c r="K64" s="256" t="s">
        <v>1346</v>
      </c>
    </row>
    <row r="65" spans="1:11" x14ac:dyDescent="0.3">
      <c r="A65" s="256">
        <v>4</v>
      </c>
      <c r="B65" s="257" t="s">
        <v>1355</v>
      </c>
      <c r="C65" s="276">
        <v>44473</v>
      </c>
      <c r="D65" s="257" t="s">
        <v>1288</v>
      </c>
      <c r="E65" s="256" t="s">
        <v>1797</v>
      </c>
      <c r="F65" s="256" t="s">
        <v>1974</v>
      </c>
      <c r="G65" s="258">
        <v>98610000000</v>
      </c>
      <c r="H65" s="265">
        <v>0</v>
      </c>
      <c r="I65" s="258">
        <v>0</v>
      </c>
      <c r="J65" s="258">
        <v>98610000000</v>
      </c>
      <c r="K65" s="256" t="s">
        <v>1348</v>
      </c>
    </row>
    <row r="66" spans="1:11" x14ac:dyDescent="0.3">
      <c r="A66" s="256">
        <v>5</v>
      </c>
      <c r="B66" s="257" t="s">
        <v>1356</v>
      </c>
      <c r="C66" s="276">
        <v>44474</v>
      </c>
      <c r="D66" s="257" t="s">
        <v>1285</v>
      </c>
      <c r="E66" s="256" t="s">
        <v>1793</v>
      </c>
      <c r="F66" s="256" t="s">
        <v>1972</v>
      </c>
      <c r="G66" s="258">
        <v>67465000000</v>
      </c>
      <c r="H66" s="265">
        <v>0.1</v>
      </c>
      <c r="I66" s="258">
        <v>6746500000</v>
      </c>
      <c r="J66" s="258">
        <v>74211500000</v>
      </c>
      <c r="K66" s="256" t="s">
        <v>1346</v>
      </c>
    </row>
    <row r="67" spans="1:11" x14ac:dyDescent="0.3">
      <c r="A67" s="256">
        <v>6</v>
      </c>
      <c r="B67" s="257" t="s">
        <v>1358</v>
      </c>
      <c r="C67" s="276">
        <v>44475</v>
      </c>
      <c r="D67" s="257" t="s">
        <v>1286</v>
      </c>
      <c r="E67" s="256" t="s">
        <v>1828</v>
      </c>
      <c r="F67" s="256" t="s">
        <v>1974</v>
      </c>
      <c r="G67" s="258">
        <v>83999000000</v>
      </c>
      <c r="H67" s="265">
        <v>0</v>
      </c>
      <c r="I67" s="258">
        <v>0</v>
      </c>
      <c r="J67" s="258">
        <v>83999000000</v>
      </c>
      <c r="K67" s="256" t="s">
        <v>1346</v>
      </c>
    </row>
    <row r="68" spans="1:11" x14ac:dyDescent="0.3">
      <c r="A68" s="256">
        <v>7</v>
      </c>
      <c r="B68" s="257" t="s">
        <v>1360</v>
      </c>
      <c r="C68" s="276">
        <v>44476</v>
      </c>
      <c r="D68" s="257" t="s">
        <v>1256</v>
      </c>
      <c r="E68" s="256" t="s">
        <v>1802</v>
      </c>
      <c r="F68" s="256" t="s">
        <v>1974</v>
      </c>
      <c r="G68" s="258">
        <v>127619000000</v>
      </c>
      <c r="H68" s="265">
        <v>0.1</v>
      </c>
      <c r="I68" s="258">
        <v>12761900000</v>
      </c>
      <c r="J68" s="258">
        <v>140380900000</v>
      </c>
      <c r="K68" s="256" t="s">
        <v>1346</v>
      </c>
    </row>
    <row r="69" spans="1:11" x14ac:dyDescent="0.3">
      <c r="A69" s="256">
        <v>8</v>
      </c>
      <c r="B69" s="257" t="s">
        <v>1362</v>
      </c>
      <c r="C69" s="276">
        <v>44477</v>
      </c>
      <c r="D69" s="257" t="s">
        <v>1289</v>
      </c>
      <c r="E69" s="256" t="s">
        <v>1803</v>
      </c>
      <c r="F69" s="256" t="s">
        <v>1973</v>
      </c>
      <c r="G69" s="258">
        <v>86716000000</v>
      </c>
      <c r="H69" s="265">
        <v>0.1</v>
      </c>
      <c r="I69" s="258">
        <v>8671600000</v>
      </c>
      <c r="J69" s="258">
        <v>95387600000</v>
      </c>
      <c r="K69" s="256" t="s">
        <v>1346</v>
      </c>
    </row>
    <row r="70" spans="1:11" x14ac:dyDescent="0.3">
      <c r="A70" s="256">
        <v>9</v>
      </c>
      <c r="B70" s="257" t="s">
        <v>1364</v>
      </c>
      <c r="C70" s="276">
        <v>44478</v>
      </c>
      <c r="D70" s="257" t="s">
        <v>1301</v>
      </c>
      <c r="E70" s="256" t="s">
        <v>1781</v>
      </c>
      <c r="F70" s="256" t="s">
        <v>1974</v>
      </c>
      <c r="G70" s="258">
        <v>154163000000</v>
      </c>
      <c r="H70" s="265">
        <v>0.1</v>
      </c>
      <c r="I70" s="258">
        <v>15416300000</v>
      </c>
      <c r="J70" s="258">
        <v>169579300000</v>
      </c>
      <c r="K70" s="256" t="s">
        <v>1346</v>
      </c>
    </row>
    <row r="71" spans="1:11" x14ac:dyDescent="0.3">
      <c r="A71" s="256">
        <v>10</v>
      </c>
      <c r="B71" s="257" t="s">
        <v>1366</v>
      </c>
      <c r="C71" s="276">
        <v>44479</v>
      </c>
      <c r="D71" s="257" t="s">
        <v>1276</v>
      </c>
      <c r="E71" s="256" t="s">
        <v>1822</v>
      </c>
      <c r="F71" s="256" t="s">
        <v>1972</v>
      </c>
      <c r="G71" s="258">
        <v>64838000000</v>
      </c>
      <c r="H71" s="265">
        <v>0.1</v>
      </c>
      <c r="I71" s="258">
        <v>6483800000</v>
      </c>
      <c r="J71" s="258">
        <v>71321800000</v>
      </c>
      <c r="K71" s="256" t="s">
        <v>1346</v>
      </c>
    </row>
    <row r="72" spans="1:11" x14ac:dyDescent="0.3">
      <c r="A72" s="256">
        <v>11</v>
      </c>
      <c r="B72" s="257" t="s">
        <v>1368</v>
      </c>
      <c r="C72" s="276">
        <v>44480</v>
      </c>
      <c r="D72" s="257" t="s">
        <v>1263</v>
      </c>
      <c r="E72" s="256" t="s">
        <v>1790</v>
      </c>
      <c r="F72" s="256" t="s">
        <v>1974</v>
      </c>
      <c r="G72" s="258">
        <v>203750000000</v>
      </c>
      <c r="H72" s="265">
        <v>0</v>
      </c>
      <c r="I72" s="258">
        <v>0</v>
      </c>
      <c r="J72" s="258">
        <v>203750000000</v>
      </c>
      <c r="K72" s="256" t="s">
        <v>1346</v>
      </c>
    </row>
    <row r="73" spans="1:11" x14ac:dyDescent="0.3">
      <c r="A73" s="256">
        <v>12</v>
      </c>
      <c r="B73" s="257" t="s">
        <v>1371</v>
      </c>
      <c r="C73" s="276">
        <v>44481</v>
      </c>
      <c r="D73" s="257" t="s">
        <v>1284</v>
      </c>
      <c r="E73" s="256" t="s">
        <v>1786</v>
      </c>
      <c r="F73" s="256" t="s">
        <v>1974</v>
      </c>
      <c r="G73" s="258">
        <v>120417000000</v>
      </c>
      <c r="H73" s="265">
        <v>0.1</v>
      </c>
      <c r="I73" s="258">
        <v>12041700000</v>
      </c>
      <c r="J73" s="258">
        <v>132458700000</v>
      </c>
      <c r="K73" s="256" t="s">
        <v>1346</v>
      </c>
    </row>
    <row r="74" spans="1:11" x14ac:dyDescent="0.3">
      <c r="A74" s="256">
        <v>13</v>
      </c>
      <c r="B74" s="257" t="s">
        <v>1373</v>
      </c>
      <c r="C74" s="276">
        <v>44211</v>
      </c>
      <c r="D74" s="257" t="s">
        <v>1291</v>
      </c>
      <c r="E74" s="256" t="s">
        <v>1800</v>
      </c>
      <c r="F74" s="256" t="s">
        <v>1973</v>
      </c>
      <c r="G74" s="258">
        <v>203240000000</v>
      </c>
      <c r="H74" s="265">
        <v>0.1</v>
      </c>
      <c r="I74" s="258">
        <v>20324000000</v>
      </c>
      <c r="J74" s="258">
        <v>223564000000</v>
      </c>
      <c r="K74" s="256" t="s">
        <v>1346</v>
      </c>
    </row>
    <row r="75" spans="1:11" x14ac:dyDescent="0.3">
      <c r="A75" s="256">
        <v>14</v>
      </c>
      <c r="B75" s="257" t="s">
        <v>1374</v>
      </c>
      <c r="C75" s="276">
        <v>44242</v>
      </c>
      <c r="D75" s="257" t="s">
        <v>1255</v>
      </c>
      <c r="E75" s="273">
        <v>46152</v>
      </c>
      <c r="F75" s="256" t="s">
        <v>1974</v>
      </c>
      <c r="G75" s="258">
        <v>162657000000</v>
      </c>
      <c r="H75" s="265">
        <v>0.1</v>
      </c>
      <c r="I75" s="258">
        <v>16265700000</v>
      </c>
      <c r="J75" s="258">
        <v>178922700000</v>
      </c>
      <c r="K75" s="256" t="s">
        <v>1346</v>
      </c>
    </row>
    <row r="76" spans="1:11" x14ac:dyDescent="0.3">
      <c r="A76" s="256">
        <v>15</v>
      </c>
      <c r="B76" s="257" t="s">
        <v>1376</v>
      </c>
      <c r="C76" s="276">
        <v>44275</v>
      </c>
      <c r="D76" s="257" t="s">
        <v>1296</v>
      </c>
      <c r="E76" s="256" t="s">
        <v>1807</v>
      </c>
      <c r="F76" s="256" t="s">
        <v>1974</v>
      </c>
      <c r="G76" s="258">
        <v>147278000000</v>
      </c>
      <c r="H76" s="265">
        <v>0.1</v>
      </c>
      <c r="I76" s="258">
        <v>14727800000</v>
      </c>
      <c r="J76" s="258">
        <v>162005800000</v>
      </c>
      <c r="K76" s="256" t="s">
        <v>1346</v>
      </c>
    </row>
    <row r="77" spans="1:11" x14ac:dyDescent="0.3">
      <c r="A77" s="256">
        <v>16</v>
      </c>
      <c r="B77" s="257" t="s">
        <v>1378</v>
      </c>
      <c r="C77" s="276">
        <v>44306</v>
      </c>
      <c r="D77" s="257" t="s">
        <v>1298</v>
      </c>
      <c r="E77" s="256" t="s">
        <v>1819</v>
      </c>
      <c r="F77" s="256" t="s">
        <v>1973</v>
      </c>
      <c r="G77" s="258">
        <v>194586000000</v>
      </c>
      <c r="H77" s="265">
        <v>0.1</v>
      </c>
      <c r="I77" s="258">
        <v>19458600000</v>
      </c>
      <c r="J77" s="258">
        <v>214044600000</v>
      </c>
      <c r="K77" s="256" t="s">
        <v>1348</v>
      </c>
    </row>
    <row r="78" spans="1:11" x14ac:dyDescent="0.3">
      <c r="A78" s="256">
        <v>17</v>
      </c>
      <c r="B78" s="257" t="s">
        <v>1379</v>
      </c>
      <c r="C78" s="276">
        <v>44336</v>
      </c>
      <c r="D78" s="257" t="s">
        <v>1261</v>
      </c>
      <c r="E78" s="256" t="s">
        <v>1813</v>
      </c>
      <c r="F78" s="256" t="s">
        <v>1972</v>
      </c>
      <c r="G78" s="258">
        <v>87868000000</v>
      </c>
      <c r="H78" s="265">
        <v>0.1</v>
      </c>
      <c r="I78" s="258">
        <v>8786800000</v>
      </c>
      <c r="J78" s="258">
        <v>96654800000</v>
      </c>
      <c r="K78" s="256" t="s">
        <v>1348</v>
      </c>
    </row>
    <row r="79" spans="1:11" x14ac:dyDescent="0.3">
      <c r="A79" s="256">
        <v>18</v>
      </c>
      <c r="B79" s="257" t="s">
        <v>1381</v>
      </c>
      <c r="C79" s="276">
        <v>44367</v>
      </c>
      <c r="D79" s="257" t="s">
        <v>1299</v>
      </c>
      <c r="E79" s="256" t="s">
        <v>1776</v>
      </c>
      <c r="F79" s="256" t="s">
        <v>1972</v>
      </c>
      <c r="G79" s="258">
        <v>144848000000</v>
      </c>
      <c r="H79" s="265">
        <v>0.1</v>
      </c>
      <c r="I79" s="258">
        <v>14484800000</v>
      </c>
      <c r="J79" s="258">
        <v>159332800000</v>
      </c>
      <c r="K79" s="256" t="s">
        <v>1346</v>
      </c>
    </row>
    <row r="80" spans="1:11" x14ac:dyDescent="0.3">
      <c r="A80" s="256">
        <v>19</v>
      </c>
      <c r="B80" s="257" t="s">
        <v>1382</v>
      </c>
      <c r="C80" s="276">
        <v>44397</v>
      </c>
      <c r="D80" s="257" t="s">
        <v>1300</v>
      </c>
      <c r="E80" s="256" t="s">
        <v>1818</v>
      </c>
      <c r="F80" s="256" t="s">
        <v>1973</v>
      </c>
      <c r="G80" s="258">
        <v>94437000000</v>
      </c>
      <c r="H80" s="265">
        <v>0.1</v>
      </c>
      <c r="I80" s="258">
        <v>9443700000</v>
      </c>
      <c r="J80" s="258">
        <v>103880700000</v>
      </c>
      <c r="K80" s="256" t="s">
        <v>1346</v>
      </c>
    </row>
    <row r="81" spans="1:11" x14ac:dyDescent="0.3">
      <c r="A81" s="256">
        <v>20</v>
      </c>
      <c r="B81" s="257" t="s">
        <v>1383</v>
      </c>
      <c r="C81" s="276">
        <v>44428</v>
      </c>
      <c r="D81" s="257" t="s">
        <v>1275</v>
      </c>
      <c r="E81" s="256" t="s">
        <v>1808</v>
      </c>
      <c r="F81" s="256" t="s">
        <v>1972</v>
      </c>
      <c r="G81" s="258">
        <v>203366000000</v>
      </c>
      <c r="H81" s="265">
        <v>0.1</v>
      </c>
      <c r="I81" s="258">
        <v>20336600000</v>
      </c>
      <c r="J81" s="258">
        <v>223702600000</v>
      </c>
      <c r="K81" s="256" t="s">
        <v>1346</v>
      </c>
    </row>
    <row r="82" spans="1:11" x14ac:dyDescent="0.3">
      <c r="A82" s="256">
        <v>21</v>
      </c>
      <c r="B82" s="257" t="s">
        <v>1203</v>
      </c>
      <c r="C82" s="276">
        <v>44459</v>
      </c>
      <c r="D82" s="257" t="s">
        <v>1301</v>
      </c>
      <c r="E82" s="256" t="s">
        <v>1781</v>
      </c>
      <c r="F82" s="256" t="s">
        <v>1974</v>
      </c>
      <c r="G82" s="258">
        <v>216983000000</v>
      </c>
      <c r="H82" s="265">
        <v>0.1</v>
      </c>
      <c r="I82" s="258">
        <v>21698300000</v>
      </c>
      <c r="J82" s="258">
        <v>238681300000</v>
      </c>
      <c r="K82" s="256" t="s">
        <v>1346</v>
      </c>
    </row>
    <row r="83" spans="1:11" x14ac:dyDescent="0.3">
      <c r="A83" s="256">
        <v>22</v>
      </c>
      <c r="B83" s="257" t="s">
        <v>1204</v>
      </c>
      <c r="C83" s="276">
        <v>44489</v>
      </c>
      <c r="D83" s="257" t="s">
        <v>1265</v>
      </c>
      <c r="E83" s="256" t="s">
        <v>1830</v>
      </c>
      <c r="F83" s="256" t="s">
        <v>1972</v>
      </c>
      <c r="G83" s="258">
        <v>195384000000</v>
      </c>
      <c r="H83" s="265">
        <v>0.1</v>
      </c>
      <c r="I83" s="258">
        <v>19538400000</v>
      </c>
      <c r="J83" s="258">
        <v>214922400000</v>
      </c>
      <c r="K83" s="256" t="s">
        <v>1346</v>
      </c>
    </row>
    <row r="84" spans="1:11" x14ac:dyDescent="0.3">
      <c r="A84" s="256">
        <v>23</v>
      </c>
      <c r="B84" s="257" t="s">
        <v>1205</v>
      </c>
      <c r="C84" s="276">
        <v>44520</v>
      </c>
      <c r="D84" s="257" t="s">
        <v>1273</v>
      </c>
      <c r="E84" s="256" t="s">
        <v>1829</v>
      </c>
      <c r="F84" s="256" t="s">
        <v>1973</v>
      </c>
      <c r="G84" s="258">
        <v>98545000000</v>
      </c>
      <c r="H84" s="265">
        <v>0.1</v>
      </c>
      <c r="I84" s="258">
        <v>9854500000</v>
      </c>
      <c r="J84" s="258">
        <v>108399500000</v>
      </c>
      <c r="K84" s="256" t="s">
        <v>1346</v>
      </c>
    </row>
    <row r="85" spans="1:11" x14ac:dyDescent="0.3">
      <c r="A85" s="256">
        <v>24</v>
      </c>
      <c r="B85" s="257" t="s">
        <v>1385</v>
      </c>
      <c r="C85" s="276">
        <v>44550</v>
      </c>
      <c r="D85" s="257" t="s">
        <v>1279</v>
      </c>
      <c r="E85" s="256" t="s">
        <v>1827</v>
      </c>
      <c r="F85" s="256" t="s">
        <v>1974</v>
      </c>
      <c r="G85" s="258">
        <v>168562000000</v>
      </c>
      <c r="H85" s="265">
        <v>0.1</v>
      </c>
      <c r="I85" s="258">
        <v>16856200000</v>
      </c>
      <c r="J85" s="258">
        <v>185418200000</v>
      </c>
      <c r="K85" s="256" t="s">
        <v>1346</v>
      </c>
    </row>
    <row r="86" spans="1:11" x14ac:dyDescent="0.3">
      <c r="A86" s="256">
        <v>25</v>
      </c>
      <c r="B86" s="257" t="s">
        <v>1387</v>
      </c>
      <c r="C86" s="276">
        <v>44221</v>
      </c>
      <c r="D86" s="257" t="s">
        <v>1263</v>
      </c>
      <c r="E86" s="256" t="s">
        <v>1790</v>
      </c>
      <c r="F86" s="256" t="s">
        <v>1972</v>
      </c>
      <c r="G86" s="258">
        <v>195032000000</v>
      </c>
      <c r="H86" s="265">
        <v>0.1</v>
      </c>
      <c r="I86" s="258">
        <v>19503200000</v>
      </c>
      <c r="J86" s="258">
        <v>214535200000</v>
      </c>
      <c r="K86" s="256" t="s">
        <v>1346</v>
      </c>
    </row>
    <row r="87" spans="1:11" x14ac:dyDescent="0.3">
      <c r="A87" s="256">
        <v>26</v>
      </c>
      <c r="B87" s="257" t="s">
        <v>1388</v>
      </c>
      <c r="C87" s="276">
        <v>44255</v>
      </c>
      <c r="D87" s="257" t="s">
        <v>1288</v>
      </c>
      <c r="E87" s="256" t="s">
        <v>1797</v>
      </c>
      <c r="F87" s="256" t="s">
        <v>1974</v>
      </c>
      <c r="G87" s="258">
        <v>162980000000</v>
      </c>
      <c r="H87" s="265">
        <v>0.1</v>
      </c>
      <c r="I87" s="258">
        <v>16298000000</v>
      </c>
      <c r="J87" s="258">
        <v>179278000000</v>
      </c>
      <c r="K87" s="256" t="s">
        <v>1346</v>
      </c>
    </row>
    <row r="88" spans="1:11" x14ac:dyDescent="0.3">
      <c r="A88" s="256">
        <v>27</v>
      </c>
      <c r="B88" s="257" t="s">
        <v>1391</v>
      </c>
      <c r="C88" s="276">
        <v>44316</v>
      </c>
      <c r="D88" s="257" t="s">
        <v>1298</v>
      </c>
      <c r="E88" s="256" t="s">
        <v>1819</v>
      </c>
      <c r="F88" s="256" t="s">
        <v>1973</v>
      </c>
      <c r="G88" s="258">
        <v>55422000000</v>
      </c>
      <c r="H88" s="265">
        <v>0.1</v>
      </c>
      <c r="I88" s="258">
        <v>5542200000</v>
      </c>
      <c r="J88" s="258">
        <v>60964200000</v>
      </c>
      <c r="K88" s="256" t="s">
        <v>1346</v>
      </c>
    </row>
    <row r="89" spans="1:11" x14ac:dyDescent="0.3">
      <c r="A89" s="256">
        <v>28</v>
      </c>
      <c r="B89" s="257" t="s">
        <v>1392</v>
      </c>
      <c r="C89" s="276">
        <v>44377</v>
      </c>
      <c r="D89" s="257" t="s">
        <v>1292</v>
      </c>
      <c r="E89" s="256" t="s">
        <v>1792</v>
      </c>
      <c r="F89" s="256" t="s">
        <v>1973</v>
      </c>
      <c r="G89" s="258">
        <v>194799000000</v>
      </c>
      <c r="H89" s="265">
        <v>0.1</v>
      </c>
      <c r="I89" s="258">
        <v>19479900000</v>
      </c>
      <c r="J89" s="258">
        <v>214278900000</v>
      </c>
      <c r="K89" s="256" t="s">
        <v>1346</v>
      </c>
    </row>
    <row r="90" spans="1:11" x14ac:dyDescent="0.3">
      <c r="A90" s="256">
        <v>29</v>
      </c>
      <c r="B90" s="257" t="s">
        <v>1394</v>
      </c>
      <c r="C90" s="276">
        <v>44469</v>
      </c>
      <c r="D90" s="257" t="s">
        <v>1295</v>
      </c>
      <c r="E90" s="256" t="s">
        <v>1825</v>
      </c>
      <c r="F90" s="256" t="s">
        <v>1974</v>
      </c>
      <c r="G90" s="258">
        <v>126896000000</v>
      </c>
      <c r="H90" s="265">
        <v>0.1</v>
      </c>
      <c r="I90" s="258">
        <v>12689600000</v>
      </c>
      <c r="J90" s="258">
        <v>139585600000</v>
      </c>
      <c r="K90" s="256" t="s">
        <v>1346</v>
      </c>
    </row>
    <row r="91" spans="1:11" x14ac:dyDescent="0.3">
      <c r="A91" s="256">
        <v>30</v>
      </c>
      <c r="B91" s="257" t="s">
        <v>1396</v>
      </c>
      <c r="C91" s="276">
        <v>44530</v>
      </c>
      <c r="D91" s="257" t="s">
        <v>1269</v>
      </c>
      <c r="E91" s="256" t="s">
        <v>1823</v>
      </c>
      <c r="F91" s="256" t="s">
        <v>1974</v>
      </c>
      <c r="G91" s="258">
        <v>70663000000</v>
      </c>
      <c r="H91" s="265">
        <v>0.1</v>
      </c>
      <c r="I91" s="258">
        <v>7066300000</v>
      </c>
      <c r="J91" s="258">
        <v>77729300000</v>
      </c>
      <c r="K91" s="256" t="s">
        <v>1346</v>
      </c>
    </row>
    <row r="92" spans="1:11" x14ac:dyDescent="0.3">
      <c r="A92" s="256">
        <v>31</v>
      </c>
      <c r="B92" s="257" t="s">
        <v>1397</v>
      </c>
      <c r="C92" s="276">
        <v>44286</v>
      </c>
      <c r="D92" s="257" t="s">
        <v>1256</v>
      </c>
      <c r="E92" s="256" t="s">
        <v>1802</v>
      </c>
      <c r="F92" s="256" t="s">
        <v>1973</v>
      </c>
      <c r="G92" s="258">
        <v>171638000000</v>
      </c>
      <c r="H92" s="265">
        <v>0.1</v>
      </c>
      <c r="I92" s="258">
        <v>17163800000</v>
      </c>
      <c r="J92" s="258">
        <v>188801800000</v>
      </c>
      <c r="K92" s="256" t="s">
        <v>1346</v>
      </c>
    </row>
    <row r="93" spans="1:11" x14ac:dyDescent="0.3">
      <c r="A93" s="256">
        <v>32</v>
      </c>
      <c r="B93" s="257" t="s">
        <v>1398</v>
      </c>
      <c r="C93" s="276">
        <v>44347</v>
      </c>
      <c r="D93" s="257" t="s">
        <v>1259</v>
      </c>
      <c r="E93" s="256" t="s">
        <v>1788</v>
      </c>
      <c r="F93" s="256" t="s">
        <v>1974</v>
      </c>
      <c r="G93" s="258">
        <v>218069000000</v>
      </c>
      <c r="H93" s="265">
        <v>0.1</v>
      </c>
      <c r="I93" s="258">
        <v>21806900000</v>
      </c>
      <c r="J93" s="258">
        <v>239875900000</v>
      </c>
      <c r="K93" s="256" t="s">
        <v>1346</v>
      </c>
    </row>
    <row r="94" spans="1:11" x14ac:dyDescent="0.3">
      <c r="A94" s="256">
        <v>33</v>
      </c>
      <c r="B94" s="257" t="s">
        <v>1399</v>
      </c>
      <c r="C94" s="276">
        <v>44408</v>
      </c>
      <c r="D94" s="257" t="s">
        <v>1284</v>
      </c>
      <c r="E94" s="256" t="s">
        <v>1786</v>
      </c>
      <c r="F94" s="256" t="s">
        <v>1974</v>
      </c>
      <c r="G94" s="258">
        <v>103146000000</v>
      </c>
      <c r="H94" s="265">
        <v>0.1</v>
      </c>
      <c r="I94" s="258">
        <v>10314600000</v>
      </c>
      <c r="J94" s="258">
        <v>113460600000</v>
      </c>
      <c r="K94" s="256" t="s">
        <v>1346</v>
      </c>
    </row>
    <row r="95" spans="1:11" x14ac:dyDescent="0.3">
      <c r="A95" s="256">
        <v>34</v>
      </c>
      <c r="B95" s="257" t="s">
        <v>1401</v>
      </c>
      <c r="C95" s="276">
        <v>44439</v>
      </c>
      <c r="D95" s="257" t="s">
        <v>1266</v>
      </c>
      <c r="E95" s="256" t="s">
        <v>1824</v>
      </c>
      <c r="F95" s="256" t="s">
        <v>1972</v>
      </c>
      <c r="G95" s="258">
        <v>175257000000</v>
      </c>
      <c r="H95" s="265">
        <v>0.1</v>
      </c>
      <c r="I95" s="258">
        <v>17525700000</v>
      </c>
      <c r="J95" s="258">
        <v>192782700000</v>
      </c>
      <c r="K95" s="256" t="s">
        <v>1348</v>
      </c>
    </row>
    <row r="96" spans="1:11" x14ac:dyDescent="0.3">
      <c r="A96" s="256">
        <v>35</v>
      </c>
      <c r="B96" s="257" t="s">
        <v>1402</v>
      </c>
      <c r="C96" s="276">
        <v>44500</v>
      </c>
      <c r="D96" s="257" t="s">
        <v>1260</v>
      </c>
      <c r="E96" s="256" t="s">
        <v>1804</v>
      </c>
      <c r="F96" s="256" t="s">
        <v>1972</v>
      </c>
      <c r="G96" s="258">
        <v>61893000000</v>
      </c>
      <c r="H96" s="265">
        <v>0.1</v>
      </c>
      <c r="I96" s="258">
        <v>6189300000</v>
      </c>
      <c r="J96" s="258">
        <v>68082300000</v>
      </c>
      <c r="K96" s="256" t="s">
        <v>1346</v>
      </c>
    </row>
    <row r="97" spans="1:11" x14ac:dyDescent="0.3">
      <c r="A97" s="256">
        <v>36</v>
      </c>
      <c r="B97" s="257" t="s">
        <v>1403</v>
      </c>
      <c r="C97" s="276">
        <v>44561</v>
      </c>
      <c r="D97" s="257" t="s">
        <v>1257</v>
      </c>
      <c r="E97" s="256" t="s">
        <v>1815</v>
      </c>
      <c r="F97" s="256" t="s">
        <v>1973</v>
      </c>
      <c r="G97" s="258">
        <v>90624000000</v>
      </c>
      <c r="H97" s="265">
        <v>0</v>
      </c>
      <c r="I97" s="258">
        <v>0</v>
      </c>
      <c r="J97" s="258">
        <v>90624000000</v>
      </c>
      <c r="K97" s="256" t="s">
        <v>1346</v>
      </c>
    </row>
    <row r="98" spans="1:11" x14ac:dyDescent="0.3">
      <c r="A98" s="256">
        <v>37</v>
      </c>
      <c r="B98" s="257" t="s">
        <v>1404</v>
      </c>
      <c r="C98" s="276">
        <v>44561</v>
      </c>
      <c r="D98" s="257" t="s">
        <v>1295</v>
      </c>
      <c r="E98" s="256" t="s">
        <v>1825</v>
      </c>
      <c r="F98" s="256" t="s">
        <v>1974</v>
      </c>
      <c r="G98" s="258">
        <v>105960000000</v>
      </c>
      <c r="H98" s="265">
        <v>0.1</v>
      </c>
      <c r="I98" s="258">
        <v>10596000000</v>
      </c>
      <c r="J98" s="258">
        <v>116556000000</v>
      </c>
      <c r="K98" s="256" t="s">
        <v>1346</v>
      </c>
    </row>
    <row r="99" spans="1:11" x14ac:dyDescent="0.3">
      <c r="A99" s="256">
        <v>38</v>
      </c>
      <c r="B99" s="257" t="s">
        <v>1405</v>
      </c>
      <c r="C99" s="276">
        <v>44561</v>
      </c>
      <c r="D99" s="257" t="s">
        <v>1292</v>
      </c>
      <c r="E99" s="256" t="s">
        <v>1792</v>
      </c>
      <c r="F99" s="256" t="s">
        <v>1973</v>
      </c>
      <c r="G99" s="258">
        <v>159704000000</v>
      </c>
      <c r="H99" s="265">
        <v>0.1</v>
      </c>
      <c r="I99" s="258">
        <v>15970400000</v>
      </c>
      <c r="J99" s="258">
        <v>175674400000</v>
      </c>
      <c r="K99" s="256" t="s">
        <v>1346</v>
      </c>
    </row>
    <row r="100" spans="1:11" x14ac:dyDescent="0.3">
      <c r="A100" s="256">
        <v>39</v>
      </c>
      <c r="B100" s="257" t="s">
        <v>1406</v>
      </c>
      <c r="C100" s="276">
        <v>44561</v>
      </c>
      <c r="D100" s="257" t="s">
        <v>1263</v>
      </c>
      <c r="E100" s="256" t="s">
        <v>1790</v>
      </c>
      <c r="F100" s="256" t="s">
        <v>1972</v>
      </c>
      <c r="G100" s="258">
        <v>115701000000</v>
      </c>
      <c r="H100" s="265">
        <v>0.1</v>
      </c>
      <c r="I100" s="258">
        <v>11570100000</v>
      </c>
      <c r="J100" s="258">
        <v>127271100000</v>
      </c>
      <c r="K100" s="256" t="s">
        <v>1346</v>
      </c>
    </row>
    <row r="101" spans="1:11" x14ac:dyDescent="0.3">
      <c r="A101" s="256">
        <v>40</v>
      </c>
      <c r="B101" s="257" t="s">
        <v>1408</v>
      </c>
      <c r="C101" s="276">
        <v>44561</v>
      </c>
      <c r="D101" s="257" t="s">
        <v>1268</v>
      </c>
      <c r="E101" s="256" t="s">
        <v>1821</v>
      </c>
      <c r="F101" s="256" t="s">
        <v>1973</v>
      </c>
      <c r="G101" s="258">
        <v>149521000000</v>
      </c>
      <c r="H101" s="265">
        <v>0.1</v>
      </c>
      <c r="I101" s="258">
        <v>14952100000</v>
      </c>
      <c r="J101" s="258">
        <v>164473100000</v>
      </c>
      <c r="K101" s="256" t="s">
        <v>1346</v>
      </c>
    </row>
    <row r="102" spans="1:11" x14ac:dyDescent="0.3">
      <c r="A102" s="256">
        <v>41</v>
      </c>
      <c r="B102" s="257" t="s">
        <v>1409</v>
      </c>
      <c r="C102" s="276">
        <v>44561</v>
      </c>
      <c r="D102" s="257" t="s">
        <v>1258</v>
      </c>
      <c r="E102" s="256" t="s">
        <v>1833</v>
      </c>
      <c r="F102" s="256" t="s">
        <v>1972</v>
      </c>
      <c r="G102" s="258">
        <v>129459000000</v>
      </c>
      <c r="H102" s="265">
        <v>0.1</v>
      </c>
      <c r="I102" s="258">
        <v>12945900000</v>
      </c>
      <c r="J102" s="258">
        <v>142404900000</v>
      </c>
      <c r="K102" s="256" t="s">
        <v>1346</v>
      </c>
    </row>
    <row r="103" spans="1:11" x14ac:dyDescent="0.3">
      <c r="A103" s="256">
        <v>42</v>
      </c>
      <c r="B103" s="257" t="s">
        <v>1411</v>
      </c>
      <c r="C103" s="276">
        <v>44561</v>
      </c>
      <c r="D103" s="257" t="s">
        <v>1257</v>
      </c>
      <c r="E103" s="256" t="s">
        <v>1815</v>
      </c>
      <c r="F103" s="256" t="s">
        <v>1972</v>
      </c>
      <c r="G103" s="258">
        <v>63883000000</v>
      </c>
      <c r="H103" s="265">
        <v>0</v>
      </c>
      <c r="I103" s="258">
        <v>0</v>
      </c>
      <c r="J103" s="258">
        <v>63883000000</v>
      </c>
      <c r="K103" s="256" t="s">
        <v>1346</v>
      </c>
    </row>
    <row r="104" spans="1:11" x14ac:dyDescent="0.3">
      <c r="A104" s="256">
        <v>43</v>
      </c>
      <c r="B104" s="257" t="s">
        <v>1414</v>
      </c>
      <c r="C104" s="276">
        <v>44561</v>
      </c>
      <c r="D104" s="257" t="s">
        <v>1272</v>
      </c>
      <c r="E104" s="256" t="s">
        <v>1805</v>
      </c>
      <c r="F104" s="256" t="s">
        <v>1974</v>
      </c>
      <c r="G104" s="258">
        <v>199512000000</v>
      </c>
      <c r="H104" s="265">
        <v>0.1</v>
      </c>
      <c r="I104" s="258">
        <v>19951200000</v>
      </c>
      <c r="J104" s="258">
        <v>219463200000</v>
      </c>
      <c r="K104" s="256" t="s">
        <v>1346</v>
      </c>
    </row>
    <row r="105" spans="1:11" x14ac:dyDescent="0.3">
      <c r="A105" s="256">
        <v>44</v>
      </c>
      <c r="B105" s="257" t="s">
        <v>1415</v>
      </c>
      <c r="C105" s="276">
        <v>44561</v>
      </c>
      <c r="D105" s="257" t="s">
        <v>1284</v>
      </c>
      <c r="E105" s="256" t="s">
        <v>1786</v>
      </c>
      <c r="F105" s="256" t="s">
        <v>1974</v>
      </c>
      <c r="G105" s="258">
        <v>194733000000</v>
      </c>
      <c r="H105" s="265">
        <v>0.1</v>
      </c>
      <c r="I105" s="258">
        <v>19473300000</v>
      </c>
      <c r="J105" s="258">
        <v>214206300000</v>
      </c>
      <c r="K105" s="256" t="s">
        <v>1346</v>
      </c>
    </row>
    <row r="106" spans="1:11" x14ac:dyDescent="0.3">
      <c r="A106" s="256">
        <v>45</v>
      </c>
      <c r="B106" s="257" t="s">
        <v>1206</v>
      </c>
      <c r="C106" s="276">
        <v>44561</v>
      </c>
      <c r="D106" s="257" t="s">
        <v>1264</v>
      </c>
      <c r="E106" s="256" t="s">
        <v>1779</v>
      </c>
      <c r="F106" s="256" t="s">
        <v>1974</v>
      </c>
      <c r="G106" s="258">
        <v>132306000000</v>
      </c>
      <c r="H106" s="265">
        <v>0</v>
      </c>
      <c r="I106" s="258">
        <v>0</v>
      </c>
      <c r="J106" s="258">
        <v>132306000000</v>
      </c>
      <c r="K106" s="256" t="s">
        <v>1346</v>
      </c>
    </row>
    <row r="107" spans="1:11" x14ac:dyDescent="0.3">
      <c r="A107" s="256">
        <v>46</v>
      </c>
      <c r="B107" s="257" t="s">
        <v>1207</v>
      </c>
      <c r="C107" s="276">
        <v>44561</v>
      </c>
      <c r="D107" s="257" t="s">
        <v>1272</v>
      </c>
      <c r="E107" s="256" t="s">
        <v>1805</v>
      </c>
      <c r="F107" s="256" t="s">
        <v>1973</v>
      </c>
      <c r="G107" s="258">
        <v>139052000000</v>
      </c>
      <c r="H107" s="265">
        <v>0.1</v>
      </c>
      <c r="I107" s="258">
        <v>13905200000</v>
      </c>
      <c r="J107" s="258">
        <v>152957200000</v>
      </c>
      <c r="K107" s="256" t="s">
        <v>1346</v>
      </c>
    </row>
    <row r="108" spans="1:11" x14ac:dyDescent="0.3">
      <c r="A108" s="256">
        <v>47</v>
      </c>
      <c r="B108" s="257" t="s">
        <v>1208</v>
      </c>
      <c r="C108" s="276">
        <v>44561</v>
      </c>
      <c r="D108" s="257" t="s">
        <v>1282</v>
      </c>
      <c r="E108" s="256" t="s">
        <v>1789</v>
      </c>
      <c r="F108" s="256" t="s">
        <v>1974</v>
      </c>
      <c r="G108" s="258">
        <v>61118000000</v>
      </c>
      <c r="H108" s="265">
        <v>0.1</v>
      </c>
      <c r="I108" s="258">
        <v>6111800000</v>
      </c>
      <c r="J108" s="258">
        <v>67229800000</v>
      </c>
      <c r="K108" s="256" t="s">
        <v>1346</v>
      </c>
    </row>
    <row r="109" spans="1:11" x14ac:dyDescent="0.3">
      <c r="A109" s="256">
        <v>48</v>
      </c>
      <c r="B109" s="257" t="s">
        <v>1209</v>
      </c>
      <c r="C109" s="276">
        <v>44561</v>
      </c>
      <c r="D109" s="257" t="s">
        <v>1292</v>
      </c>
      <c r="E109" s="256" t="s">
        <v>1792</v>
      </c>
      <c r="F109" s="256" t="s">
        <v>1973</v>
      </c>
      <c r="G109" s="258">
        <v>167880000000</v>
      </c>
      <c r="H109" s="265">
        <v>0.1</v>
      </c>
      <c r="I109" s="258">
        <v>16788000000</v>
      </c>
      <c r="J109" s="258">
        <v>184668000000</v>
      </c>
      <c r="K109" s="256" t="s">
        <v>1346</v>
      </c>
    </row>
    <row r="110" spans="1:11" x14ac:dyDescent="0.3">
      <c r="A110" s="256">
        <v>49</v>
      </c>
      <c r="B110" s="257" t="s">
        <v>1418</v>
      </c>
      <c r="C110" s="276">
        <v>44561</v>
      </c>
      <c r="D110" s="257" t="s">
        <v>1274</v>
      </c>
      <c r="E110" s="256" t="s">
        <v>1794</v>
      </c>
      <c r="F110" s="256" t="s">
        <v>1974</v>
      </c>
      <c r="G110" s="258">
        <v>66326000000</v>
      </c>
      <c r="H110" s="265">
        <v>0.1</v>
      </c>
      <c r="I110" s="258">
        <v>6632600000</v>
      </c>
      <c r="J110" s="258">
        <v>72958600000</v>
      </c>
      <c r="K110" s="256" t="s">
        <v>1346</v>
      </c>
    </row>
    <row r="111" spans="1:11" x14ac:dyDescent="0.3">
      <c r="A111" s="256">
        <v>50</v>
      </c>
      <c r="B111" s="257" t="s">
        <v>1419</v>
      </c>
      <c r="C111" s="276">
        <v>44561</v>
      </c>
      <c r="D111" s="257" t="s">
        <v>1294</v>
      </c>
      <c r="E111" s="256" t="s">
        <v>1795</v>
      </c>
      <c r="F111" s="256" t="s">
        <v>1973</v>
      </c>
      <c r="G111" s="258">
        <v>125994000000</v>
      </c>
      <c r="H111" s="265">
        <v>0</v>
      </c>
      <c r="I111" s="258">
        <v>0</v>
      </c>
      <c r="J111" s="258">
        <v>125994000000</v>
      </c>
      <c r="K111" s="256" t="s">
        <v>1348</v>
      </c>
    </row>
    <row r="112" spans="1:11" x14ac:dyDescent="0.3">
      <c r="A112" s="266" t="s">
        <v>1351</v>
      </c>
      <c r="B112" s="266"/>
      <c r="C112" s="266"/>
      <c r="D112" s="266"/>
      <c r="E112" s="266"/>
      <c r="F112" s="266"/>
      <c r="G112" s="267">
        <f>SUM(G62:G111)</f>
        <v>6752979000000</v>
      </c>
      <c r="H112" s="266"/>
      <c r="I112" s="267">
        <f>SUM(I62:I111)</f>
        <v>585255800000</v>
      </c>
      <c r="J112" s="267">
        <f>SUM(J62:J111)</f>
        <v>7338234800000</v>
      </c>
      <c r="K112" s="266"/>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1142</v>
      </c>
      <c r="C1" s="256"/>
      <c r="D1" s="256"/>
      <c r="E1" s="256"/>
      <c r="F1" s="256"/>
      <c r="G1" s="256"/>
      <c r="H1" s="256"/>
      <c r="I1" s="256"/>
      <c r="J1" s="256"/>
      <c r="K1" s="256"/>
    </row>
    <row r="2" spans="1:11" x14ac:dyDescent="0.3">
      <c r="A2" s="256" t="s">
        <v>1339</v>
      </c>
      <c r="B2" s="257">
        <v>500556370</v>
      </c>
      <c r="C2" s="256"/>
      <c r="D2" s="256"/>
      <c r="E2" s="256"/>
      <c r="F2" s="256"/>
      <c r="G2" s="256"/>
      <c r="H2" s="256"/>
      <c r="I2" s="256"/>
      <c r="J2" s="256"/>
      <c r="K2" s="256"/>
    </row>
    <row r="3" spans="1:11" x14ac:dyDescent="0.3">
      <c r="A3" s="256" t="s">
        <v>1343</v>
      </c>
      <c r="B3" s="258">
        <v>1512264608457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1504</v>
      </c>
      <c r="C8" s="276">
        <v>44317</v>
      </c>
      <c r="D8" s="257" t="s">
        <v>1256</v>
      </c>
      <c r="E8" s="256" t="s">
        <v>1802</v>
      </c>
      <c r="F8" s="256" t="s">
        <v>1834</v>
      </c>
      <c r="G8" s="258">
        <v>23130000000</v>
      </c>
      <c r="H8" s="265">
        <v>0.1</v>
      </c>
      <c r="I8" s="258">
        <v>2313000000</v>
      </c>
      <c r="J8" s="258">
        <v>25443000000</v>
      </c>
      <c r="K8" s="256" t="s">
        <v>1346</v>
      </c>
    </row>
    <row r="9" spans="1:11" x14ac:dyDescent="0.3">
      <c r="A9" s="256">
        <v>2</v>
      </c>
      <c r="B9" s="257" t="s">
        <v>1491</v>
      </c>
      <c r="C9" s="276">
        <v>44318</v>
      </c>
      <c r="D9" s="257" t="s">
        <v>1257</v>
      </c>
      <c r="E9" s="256" t="s">
        <v>1815</v>
      </c>
      <c r="F9" s="256" t="s">
        <v>1834</v>
      </c>
      <c r="G9" s="258">
        <v>23841000000</v>
      </c>
      <c r="H9" s="265">
        <v>0.1</v>
      </c>
      <c r="I9" s="258">
        <v>2384100000</v>
      </c>
      <c r="J9" s="258">
        <v>26225100000</v>
      </c>
      <c r="K9" s="256" t="s">
        <v>1348</v>
      </c>
    </row>
    <row r="10" spans="1:11" x14ac:dyDescent="0.3">
      <c r="A10" s="256">
        <v>3</v>
      </c>
      <c r="B10" s="257" t="s">
        <v>1519</v>
      </c>
      <c r="C10" s="276">
        <v>44472</v>
      </c>
      <c r="D10" s="257" t="s">
        <v>1271</v>
      </c>
      <c r="E10" s="256" t="s">
        <v>1799</v>
      </c>
      <c r="F10" s="256" t="s">
        <v>1837</v>
      </c>
      <c r="G10" s="258">
        <v>17980000000</v>
      </c>
      <c r="H10" s="265">
        <v>0.1</v>
      </c>
      <c r="I10" s="258">
        <v>1798000000</v>
      </c>
      <c r="J10" s="258">
        <v>19778000000</v>
      </c>
      <c r="K10" s="256" t="s">
        <v>1346</v>
      </c>
    </row>
    <row r="11" spans="1:11" x14ac:dyDescent="0.3">
      <c r="A11" s="256">
        <v>4</v>
      </c>
      <c r="B11" s="257" t="s">
        <v>1504</v>
      </c>
      <c r="C11" s="276">
        <v>44473</v>
      </c>
      <c r="D11" s="257" t="s">
        <v>1282</v>
      </c>
      <c r="E11" s="256" t="s">
        <v>1789</v>
      </c>
      <c r="F11" s="256" t="s">
        <v>1836</v>
      </c>
      <c r="G11" s="258">
        <v>17516000000</v>
      </c>
      <c r="H11" s="265">
        <v>0.1</v>
      </c>
      <c r="I11" s="258">
        <v>1751600000</v>
      </c>
      <c r="J11" s="258">
        <v>19267600000</v>
      </c>
      <c r="K11" s="256" t="s">
        <v>1346</v>
      </c>
    </row>
    <row r="12" spans="1:11" x14ac:dyDescent="0.3">
      <c r="A12" s="256">
        <v>5</v>
      </c>
      <c r="B12" s="257" t="s">
        <v>1497</v>
      </c>
      <c r="C12" s="276">
        <v>44474</v>
      </c>
      <c r="D12" s="257" t="s">
        <v>1276</v>
      </c>
      <c r="E12" s="256" t="s">
        <v>1822</v>
      </c>
      <c r="F12" s="256" t="s">
        <v>1836</v>
      </c>
      <c r="G12" s="258">
        <v>25005000000</v>
      </c>
      <c r="H12" s="265">
        <v>0.1</v>
      </c>
      <c r="I12" s="258">
        <v>2500500000</v>
      </c>
      <c r="J12" s="258">
        <v>27505500000</v>
      </c>
      <c r="K12" s="256" t="s">
        <v>1348</v>
      </c>
    </row>
    <row r="13" spans="1:11" x14ac:dyDescent="0.3">
      <c r="A13" s="256">
        <v>6</v>
      </c>
      <c r="B13" s="257" t="s">
        <v>1484</v>
      </c>
      <c r="C13" s="276">
        <v>44475</v>
      </c>
      <c r="D13" s="257" t="s">
        <v>1280</v>
      </c>
      <c r="E13" s="256" t="s">
        <v>1777</v>
      </c>
      <c r="F13" s="256" t="s">
        <v>1837</v>
      </c>
      <c r="G13" s="258">
        <v>29640000000</v>
      </c>
      <c r="H13" s="265">
        <v>0.1</v>
      </c>
      <c r="I13" s="258">
        <v>2964000000</v>
      </c>
      <c r="J13" s="258">
        <v>32604000000</v>
      </c>
      <c r="K13" s="256" t="s">
        <v>1346</v>
      </c>
    </row>
    <row r="14" spans="1:11" x14ac:dyDescent="0.3">
      <c r="A14" s="256">
        <v>7</v>
      </c>
      <c r="B14" s="257" t="s">
        <v>1498</v>
      </c>
      <c r="C14" s="276">
        <v>44476</v>
      </c>
      <c r="D14" s="257" t="s">
        <v>1276</v>
      </c>
      <c r="E14" s="256" t="s">
        <v>1822</v>
      </c>
      <c r="F14" s="256" t="s">
        <v>1836</v>
      </c>
      <c r="G14" s="258">
        <v>26485000000</v>
      </c>
      <c r="H14" s="265">
        <v>0.1</v>
      </c>
      <c r="I14" s="258">
        <v>2648500000</v>
      </c>
      <c r="J14" s="258">
        <v>29133500000</v>
      </c>
      <c r="K14" s="256" t="s">
        <v>1346</v>
      </c>
    </row>
    <row r="15" spans="1:11" x14ac:dyDescent="0.3">
      <c r="A15" s="256">
        <v>8</v>
      </c>
      <c r="B15" s="257" t="s">
        <v>1466</v>
      </c>
      <c r="C15" s="276">
        <v>44477</v>
      </c>
      <c r="D15" s="257" t="s">
        <v>1286</v>
      </c>
      <c r="E15" s="256" t="s">
        <v>1828</v>
      </c>
      <c r="F15" s="256" t="s">
        <v>1734</v>
      </c>
      <c r="G15" s="258">
        <v>24678000000</v>
      </c>
      <c r="H15" s="265">
        <v>0.1</v>
      </c>
      <c r="I15" s="258">
        <v>2467800000</v>
      </c>
      <c r="J15" s="258">
        <v>27145800000</v>
      </c>
      <c r="K15" s="256" t="s">
        <v>1346</v>
      </c>
    </row>
    <row r="16" spans="1:11" x14ac:dyDescent="0.3">
      <c r="A16" s="256">
        <v>9</v>
      </c>
      <c r="B16" s="257" t="s">
        <v>1478</v>
      </c>
      <c r="C16" s="276">
        <v>44478</v>
      </c>
      <c r="D16" s="257" t="s">
        <v>1301</v>
      </c>
      <c r="E16" s="256" t="s">
        <v>1781</v>
      </c>
      <c r="F16" s="256" t="s">
        <v>1836</v>
      </c>
      <c r="G16" s="258">
        <v>17610000000</v>
      </c>
      <c r="H16" s="265">
        <v>0.1</v>
      </c>
      <c r="I16" s="258">
        <v>1761000000</v>
      </c>
      <c r="J16" s="258">
        <v>19371000000</v>
      </c>
      <c r="K16" s="256" t="s">
        <v>1346</v>
      </c>
    </row>
    <row r="17" spans="1:11" x14ac:dyDescent="0.3">
      <c r="A17" s="256">
        <v>10</v>
      </c>
      <c r="B17" s="257" t="s">
        <v>1487</v>
      </c>
      <c r="C17" s="276">
        <v>44479</v>
      </c>
      <c r="D17" s="257" t="s">
        <v>1302</v>
      </c>
      <c r="E17" s="256" t="s">
        <v>1784</v>
      </c>
      <c r="F17" s="256" t="s">
        <v>1836</v>
      </c>
      <c r="G17" s="258">
        <v>34992000000</v>
      </c>
      <c r="H17" s="265">
        <v>0.1</v>
      </c>
      <c r="I17" s="258">
        <v>3499200000</v>
      </c>
      <c r="J17" s="258">
        <v>38491200000</v>
      </c>
      <c r="K17" s="256" t="s">
        <v>1346</v>
      </c>
    </row>
    <row r="18" spans="1:11" x14ac:dyDescent="0.3">
      <c r="A18" s="256">
        <v>11</v>
      </c>
      <c r="B18" s="257" t="s">
        <v>1508</v>
      </c>
      <c r="C18" s="276">
        <v>44480</v>
      </c>
      <c r="D18" s="257" t="s">
        <v>1275</v>
      </c>
      <c r="E18" s="256" t="s">
        <v>1808</v>
      </c>
      <c r="F18" s="256" t="s">
        <v>1834</v>
      </c>
      <c r="G18" s="258">
        <v>14342000000</v>
      </c>
      <c r="H18" s="265">
        <v>0.1</v>
      </c>
      <c r="I18" s="258">
        <v>1434200000</v>
      </c>
      <c r="J18" s="258">
        <v>15776200000</v>
      </c>
      <c r="K18" s="256" t="s">
        <v>1348</v>
      </c>
    </row>
    <row r="19" spans="1:11" x14ac:dyDescent="0.3">
      <c r="A19" s="256">
        <v>12</v>
      </c>
      <c r="B19" s="257" t="s">
        <v>1488</v>
      </c>
      <c r="C19" s="276">
        <v>44481</v>
      </c>
      <c r="D19" s="257" t="s">
        <v>1299</v>
      </c>
      <c r="E19" s="256" t="s">
        <v>1776</v>
      </c>
      <c r="F19" s="256" t="s">
        <v>1834</v>
      </c>
      <c r="G19" s="258">
        <v>32202000000</v>
      </c>
      <c r="H19" s="265">
        <v>0.1</v>
      </c>
      <c r="I19" s="258">
        <v>3220200000</v>
      </c>
      <c r="J19" s="258">
        <v>35422200000</v>
      </c>
      <c r="K19" s="256" t="s">
        <v>1346</v>
      </c>
    </row>
    <row r="20" spans="1:11" x14ac:dyDescent="0.3">
      <c r="A20" s="256">
        <v>13</v>
      </c>
      <c r="B20" s="257" t="s">
        <v>1509</v>
      </c>
      <c r="C20" s="276">
        <v>44211</v>
      </c>
      <c r="D20" s="257" t="s">
        <v>1275</v>
      </c>
      <c r="E20" s="256" t="s">
        <v>1808</v>
      </c>
      <c r="F20" s="256" t="s">
        <v>1836</v>
      </c>
      <c r="G20" s="258">
        <v>18933000000</v>
      </c>
      <c r="H20" s="265">
        <v>0.1</v>
      </c>
      <c r="I20" s="258">
        <v>1893300000</v>
      </c>
      <c r="J20" s="258">
        <v>20826300000</v>
      </c>
      <c r="K20" s="256" t="s">
        <v>1346</v>
      </c>
    </row>
    <row r="21" spans="1:11" x14ac:dyDescent="0.3">
      <c r="A21" s="256">
        <v>14</v>
      </c>
      <c r="B21" s="257" t="s">
        <v>1500</v>
      </c>
      <c r="C21" s="276">
        <v>44242</v>
      </c>
      <c r="D21" s="257" t="s">
        <v>1277</v>
      </c>
      <c r="E21" s="256" t="s">
        <v>1783</v>
      </c>
      <c r="F21" s="256" t="s">
        <v>1835</v>
      </c>
      <c r="G21" s="258">
        <v>14947000000</v>
      </c>
      <c r="H21" s="265">
        <v>0.1</v>
      </c>
      <c r="I21" s="258">
        <v>1494700000</v>
      </c>
      <c r="J21" s="258">
        <v>16441700000</v>
      </c>
      <c r="K21" s="256" t="s">
        <v>1346</v>
      </c>
    </row>
    <row r="22" spans="1:11" x14ac:dyDescent="0.3">
      <c r="A22" s="256">
        <v>15</v>
      </c>
      <c r="B22" s="257" t="s">
        <v>1479</v>
      </c>
      <c r="C22" s="276">
        <v>44275</v>
      </c>
      <c r="D22" s="257" t="s">
        <v>1301</v>
      </c>
      <c r="E22" s="256" t="s">
        <v>1781</v>
      </c>
      <c r="F22" s="256" t="s">
        <v>1835</v>
      </c>
      <c r="G22" s="258">
        <v>34862000000</v>
      </c>
      <c r="H22" s="265">
        <v>0.1</v>
      </c>
      <c r="I22" s="258">
        <v>3486200000</v>
      </c>
      <c r="J22" s="258">
        <v>38348200000</v>
      </c>
      <c r="K22" s="256" t="s">
        <v>1346</v>
      </c>
    </row>
    <row r="23" spans="1:11" x14ac:dyDescent="0.3">
      <c r="A23" s="256">
        <v>16</v>
      </c>
      <c r="B23" s="257" t="s">
        <v>1520</v>
      </c>
      <c r="C23" s="276">
        <v>44306</v>
      </c>
      <c r="D23" s="257" t="s">
        <v>1271</v>
      </c>
      <c r="E23" s="256" t="s">
        <v>1799</v>
      </c>
      <c r="F23" s="256" t="s">
        <v>1834</v>
      </c>
      <c r="G23" s="258">
        <v>23133000000</v>
      </c>
      <c r="H23" s="265">
        <v>0.1</v>
      </c>
      <c r="I23" s="258">
        <v>2313300000</v>
      </c>
      <c r="J23" s="258">
        <v>25446300000</v>
      </c>
      <c r="K23" s="256" t="s">
        <v>1346</v>
      </c>
    </row>
    <row r="24" spans="1:11" x14ac:dyDescent="0.3">
      <c r="A24" s="256">
        <v>17</v>
      </c>
      <c r="B24" s="257" t="s">
        <v>1988</v>
      </c>
      <c r="C24" s="276">
        <v>44336</v>
      </c>
      <c r="D24" s="257" t="s">
        <v>1284</v>
      </c>
      <c r="E24" s="256" t="s">
        <v>1786</v>
      </c>
      <c r="F24" s="256" t="s">
        <v>1836</v>
      </c>
      <c r="G24" s="258">
        <v>23067000000</v>
      </c>
      <c r="H24" s="265">
        <v>0.1</v>
      </c>
      <c r="I24" s="258">
        <v>2306700000</v>
      </c>
      <c r="J24" s="258">
        <v>25373700000</v>
      </c>
      <c r="K24" s="256" t="s">
        <v>1346</v>
      </c>
    </row>
    <row r="25" spans="1:11" x14ac:dyDescent="0.3">
      <c r="A25" s="256">
        <v>18</v>
      </c>
      <c r="B25" s="257" t="s">
        <v>1507</v>
      </c>
      <c r="C25" s="276">
        <v>44367</v>
      </c>
      <c r="D25" s="257" t="s">
        <v>1260</v>
      </c>
      <c r="E25" s="256" t="s">
        <v>1804</v>
      </c>
      <c r="F25" s="256" t="s">
        <v>1835</v>
      </c>
      <c r="G25" s="258">
        <v>18419000000</v>
      </c>
      <c r="H25" s="265">
        <v>0.1</v>
      </c>
      <c r="I25" s="258">
        <v>1841900000</v>
      </c>
      <c r="J25" s="258">
        <v>20260900000</v>
      </c>
      <c r="K25" s="256" t="s">
        <v>1346</v>
      </c>
    </row>
    <row r="26" spans="1:11" x14ac:dyDescent="0.3">
      <c r="A26" s="256">
        <v>19</v>
      </c>
      <c r="B26" s="257" t="s">
        <v>1480</v>
      </c>
      <c r="C26" s="276">
        <v>44397</v>
      </c>
      <c r="D26" s="257" t="s">
        <v>1264</v>
      </c>
      <c r="E26" s="256" t="s">
        <v>1779</v>
      </c>
      <c r="F26" s="256" t="s">
        <v>1834</v>
      </c>
      <c r="G26" s="258">
        <v>24597000000</v>
      </c>
      <c r="H26" s="265">
        <v>0.1</v>
      </c>
      <c r="I26" s="258">
        <v>2459700000</v>
      </c>
      <c r="J26" s="258">
        <v>27056700000</v>
      </c>
      <c r="K26" s="256" t="s">
        <v>1346</v>
      </c>
    </row>
    <row r="27" spans="1:11" x14ac:dyDescent="0.3">
      <c r="A27" s="256">
        <v>20</v>
      </c>
      <c r="B27" s="257" t="s">
        <v>1507</v>
      </c>
      <c r="C27" s="276">
        <v>44428</v>
      </c>
      <c r="D27" s="257" t="s">
        <v>1281</v>
      </c>
      <c r="E27" s="256" t="s">
        <v>1806</v>
      </c>
      <c r="F27" s="256" t="s">
        <v>1835</v>
      </c>
      <c r="G27" s="258">
        <v>24655000000</v>
      </c>
      <c r="H27" s="265">
        <v>0.1</v>
      </c>
      <c r="I27" s="258">
        <v>2465500000</v>
      </c>
      <c r="J27" s="258">
        <v>27120500000</v>
      </c>
      <c r="K27" s="256" t="s">
        <v>1346</v>
      </c>
    </row>
    <row r="28" spans="1:11" x14ac:dyDescent="0.3">
      <c r="A28" s="256">
        <v>21</v>
      </c>
      <c r="B28" s="257" t="s">
        <v>1984</v>
      </c>
      <c r="C28" s="276">
        <v>44459</v>
      </c>
      <c r="D28" s="257" t="s">
        <v>1304</v>
      </c>
      <c r="E28" s="256" t="s">
        <v>1831</v>
      </c>
      <c r="F28" s="256" t="s">
        <v>1835</v>
      </c>
      <c r="G28" s="258">
        <v>27380000000</v>
      </c>
      <c r="H28" s="265">
        <v>0.1</v>
      </c>
      <c r="I28" s="258">
        <v>2738000000</v>
      </c>
      <c r="J28" s="258">
        <v>30118000000</v>
      </c>
      <c r="K28" s="256" t="s">
        <v>1346</v>
      </c>
    </row>
    <row r="29" spans="1:11" x14ac:dyDescent="0.3">
      <c r="A29" s="256">
        <v>22</v>
      </c>
      <c r="B29" s="257" t="s">
        <v>1512</v>
      </c>
      <c r="C29" s="276">
        <v>44489</v>
      </c>
      <c r="D29" s="257" t="s">
        <v>1274</v>
      </c>
      <c r="E29" s="256" t="s">
        <v>1794</v>
      </c>
      <c r="F29" s="256" t="s">
        <v>1741</v>
      </c>
      <c r="G29" s="258">
        <v>33136000000</v>
      </c>
      <c r="H29" s="265">
        <v>0.1</v>
      </c>
      <c r="I29" s="258">
        <v>3313600000</v>
      </c>
      <c r="J29" s="258">
        <v>36449600000</v>
      </c>
      <c r="K29" s="256" t="s">
        <v>1346</v>
      </c>
    </row>
    <row r="30" spans="1:11" x14ac:dyDescent="0.3">
      <c r="A30" s="256">
        <v>23</v>
      </c>
      <c r="B30" s="257" t="s">
        <v>1501</v>
      </c>
      <c r="C30" s="276">
        <v>44520</v>
      </c>
      <c r="D30" s="257" t="s">
        <v>1277</v>
      </c>
      <c r="E30" s="256" t="s">
        <v>1783</v>
      </c>
      <c r="F30" s="256" t="s">
        <v>1734</v>
      </c>
      <c r="G30" s="258">
        <v>16701000000</v>
      </c>
      <c r="H30" s="265">
        <v>0.1</v>
      </c>
      <c r="I30" s="258">
        <v>1670100000</v>
      </c>
      <c r="J30" s="258">
        <v>18371100000</v>
      </c>
      <c r="K30" s="256" t="s">
        <v>1346</v>
      </c>
    </row>
    <row r="31" spans="1:11" x14ac:dyDescent="0.3">
      <c r="A31" s="256">
        <v>24</v>
      </c>
      <c r="B31" s="257" t="s">
        <v>1468</v>
      </c>
      <c r="C31" s="276">
        <v>44550</v>
      </c>
      <c r="D31" s="257" t="s">
        <v>1267</v>
      </c>
      <c r="E31" s="256" t="s">
        <v>1810</v>
      </c>
      <c r="F31" s="256" t="s">
        <v>1837</v>
      </c>
      <c r="G31" s="258">
        <v>14148000000</v>
      </c>
      <c r="H31" s="265">
        <v>0</v>
      </c>
      <c r="I31" s="258">
        <v>0</v>
      </c>
      <c r="J31" s="258">
        <v>14148000000</v>
      </c>
      <c r="K31" s="256" t="s">
        <v>1346</v>
      </c>
    </row>
    <row r="32" spans="1:11" x14ac:dyDescent="0.3">
      <c r="A32" s="256">
        <v>25</v>
      </c>
      <c r="B32" s="257" t="s">
        <v>1985</v>
      </c>
      <c r="C32" s="276">
        <v>44221</v>
      </c>
      <c r="D32" s="257" t="s">
        <v>1304</v>
      </c>
      <c r="E32" s="256" t="s">
        <v>1831</v>
      </c>
      <c r="F32" s="256" t="s">
        <v>1835</v>
      </c>
      <c r="G32" s="258">
        <v>34972000000</v>
      </c>
      <c r="H32" s="265">
        <v>0.1</v>
      </c>
      <c r="I32" s="258">
        <v>3497200000</v>
      </c>
      <c r="J32" s="258">
        <v>38469200000</v>
      </c>
      <c r="K32" s="256" t="s">
        <v>1346</v>
      </c>
    </row>
    <row r="33" spans="1:11" x14ac:dyDescent="0.3">
      <c r="A33" s="256">
        <v>26</v>
      </c>
      <c r="B33" s="257" t="s">
        <v>1505</v>
      </c>
      <c r="C33" s="276">
        <v>44255</v>
      </c>
      <c r="D33" s="257" t="s">
        <v>1270</v>
      </c>
      <c r="E33" s="256" t="s">
        <v>1782</v>
      </c>
      <c r="F33" s="256" t="s">
        <v>1836</v>
      </c>
      <c r="G33" s="258">
        <v>29353000000</v>
      </c>
      <c r="H33" s="265">
        <v>0.1</v>
      </c>
      <c r="I33" s="258">
        <v>2935300000</v>
      </c>
      <c r="J33" s="258">
        <v>32288300000</v>
      </c>
      <c r="K33" s="256" t="s">
        <v>1346</v>
      </c>
    </row>
    <row r="34" spans="1:11" x14ac:dyDescent="0.3">
      <c r="A34" s="256">
        <v>27</v>
      </c>
      <c r="B34" s="257" t="s">
        <v>1488</v>
      </c>
      <c r="C34" s="276">
        <v>44316</v>
      </c>
      <c r="D34" s="257" t="s">
        <v>1302</v>
      </c>
      <c r="E34" s="256" t="s">
        <v>1784</v>
      </c>
      <c r="F34" s="256" t="s">
        <v>1835</v>
      </c>
      <c r="G34" s="258">
        <v>12993000000</v>
      </c>
      <c r="H34" s="265">
        <v>0.1</v>
      </c>
      <c r="I34" s="258">
        <v>1299300000</v>
      </c>
      <c r="J34" s="258">
        <v>14292300000</v>
      </c>
      <c r="K34" s="256" t="s">
        <v>1346</v>
      </c>
    </row>
    <row r="35" spans="1:11" x14ac:dyDescent="0.3">
      <c r="A35" s="256">
        <v>28</v>
      </c>
      <c r="B35" s="257" t="s">
        <v>1469</v>
      </c>
      <c r="C35" s="276">
        <v>44377</v>
      </c>
      <c r="D35" s="257" t="s">
        <v>1300</v>
      </c>
      <c r="E35" s="256" t="s">
        <v>1818</v>
      </c>
      <c r="F35" s="256" t="s">
        <v>1834</v>
      </c>
      <c r="G35" s="258">
        <v>25671000000</v>
      </c>
      <c r="H35" s="265">
        <v>0</v>
      </c>
      <c r="I35" s="258">
        <v>0</v>
      </c>
      <c r="J35" s="258">
        <v>25671000000</v>
      </c>
      <c r="K35" s="256" t="s">
        <v>1346</v>
      </c>
    </row>
    <row r="36" spans="1:11" x14ac:dyDescent="0.3">
      <c r="A36" s="256">
        <v>29</v>
      </c>
      <c r="B36" s="257" t="s">
        <v>1469</v>
      </c>
      <c r="C36" s="276">
        <v>44469</v>
      </c>
      <c r="D36" s="257" t="s">
        <v>1267</v>
      </c>
      <c r="E36" s="256" t="s">
        <v>1810</v>
      </c>
      <c r="F36" s="256" t="s">
        <v>1835</v>
      </c>
      <c r="G36" s="258">
        <v>35105000000</v>
      </c>
      <c r="H36" s="265">
        <v>0.1</v>
      </c>
      <c r="I36" s="258">
        <v>3510500000</v>
      </c>
      <c r="J36" s="258">
        <v>38615500000</v>
      </c>
      <c r="K36" s="256" t="s">
        <v>1346</v>
      </c>
    </row>
    <row r="37" spans="1:11" x14ac:dyDescent="0.3">
      <c r="A37" s="256">
        <v>30</v>
      </c>
      <c r="B37" s="257" t="s">
        <v>1499</v>
      </c>
      <c r="C37" s="276">
        <v>44530</v>
      </c>
      <c r="D37" s="257" t="s">
        <v>1276</v>
      </c>
      <c r="E37" s="256" t="s">
        <v>1822</v>
      </c>
      <c r="F37" s="256" t="s">
        <v>1734</v>
      </c>
      <c r="G37" s="258">
        <v>26884000000</v>
      </c>
      <c r="H37" s="265">
        <v>0.1</v>
      </c>
      <c r="I37" s="258">
        <v>2688400000</v>
      </c>
      <c r="J37" s="258">
        <v>29572400000</v>
      </c>
      <c r="K37" s="256" t="s">
        <v>1346</v>
      </c>
    </row>
    <row r="38" spans="1:11" x14ac:dyDescent="0.3">
      <c r="A38" s="256">
        <v>31</v>
      </c>
      <c r="B38" s="257" t="s">
        <v>1989</v>
      </c>
      <c r="C38" s="276">
        <v>44286</v>
      </c>
      <c r="D38" s="257" t="s">
        <v>1284</v>
      </c>
      <c r="E38" s="256" t="s">
        <v>1786</v>
      </c>
      <c r="F38" s="256" t="s">
        <v>1836</v>
      </c>
      <c r="G38" s="258">
        <v>27179000000</v>
      </c>
      <c r="H38" s="265">
        <v>0.1</v>
      </c>
      <c r="I38" s="258">
        <v>2717900000</v>
      </c>
      <c r="J38" s="258">
        <v>29896900000</v>
      </c>
      <c r="K38" s="256" t="s">
        <v>1346</v>
      </c>
    </row>
    <row r="39" spans="1:11" x14ac:dyDescent="0.3">
      <c r="A39" s="256">
        <v>32</v>
      </c>
      <c r="B39" s="257" t="s">
        <v>1212</v>
      </c>
      <c r="C39" s="276">
        <v>44347</v>
      </c>
      <c r="D39" s="257" t="s">
        <v>1273</v>
      </c>
      <c r="E39" s="256" t="s">
        <v>1829</v>
      </c>
      <c r="F39" s="256" t="s">
        <v>1835</v>
      </c>
      <c r="G39" s="258">
        <v>29222000000</v>
      </c>
      <c r="H39" s="265">
        <v>0.1</v>
      </c>
      <c r="I39" s="258">
        <v>2922200000</v>
      </c>
      <c r="J39" s="258">
        <v>32144200000</v>
      </c>
      <c r="K39" s="256" t="s">
        <v>1348</v>
      </c>
    </row>
    <row r="40" spans="1:11" x14ac:dyDescent="0.3">
      <c r="A40" s="256">
        <v>33</v>
      </c>
      <c r="B40" s="257" t="s">
        <v>1502</v>
      </c>
      <c r="C40" s="276">
        <v>44408</v>
      </c>
      <c r="D40" s="257" t="s">
        <v>1277</v>
      </c>
      <c r="E40" s="256" t="s">
        <v>1783</v>
      </c>
      <c r="F40" s="256" t="s">
        <v>1837</v>
      </c>
      <c r="G40" s="258">
        <v>30696000000</v>
      </c>
      <c r="H40" s="265">
        <v>0.1</v>
      </c>
      <c r="I40" s="258">
        <v>3069600000</v>
      </c>
      <c r="J40" s="258">
        <v>33765600000</v>
      </c>
      <c r="K40" s="256" t="s">
        <v>1346</v>
      </c>
    </row>
    <row r="41" spans="1:11" x14ac:dyDescent="0.3">
      <c r="A41" s="256">
        <v>34</v>
      </c>
      <c r="B41" s="257" t="s">
        <v>1492</v>
      </c>
      <c r="C41" s="276">
        <v>44439</v>
      </c>
      <c r="D41" s="257" t="s">
        <v>1257</v>
      </c>
      <c r="E41" s="256" t="s">
        <v>1815</v>
      </c>
      <c r="F41" s="256" t="s">
        <v>1835</v>
      </c>
      <c r="G41" s="258">
        <v>18369000000</v>
      </c>
      <c r="H41" s="265">
        <v>0.1</v>
      </c>
      <c r="I41" s="258">
        <v>1836900000</v>
      </c>
      <c r="J41" s="258">
        <v>20205900000</v>
      </c>
      <c r="K41" s="256" t="s">
        <v>1346</v>
      </c>
    </row>
    <row r="42" spans="1:11" x14ac:dyDescent="0.3">
      <c r="A42" s="256">
        <v>35</v>
      </c>
      <c r="B42" s="257" t="s">
        <v>1462</v>
      </c>
      <c r="C42" s="276">
        <v>44500</v>
      </c>
      <c r="D42" s="257" t="s">
        <v>1297</v>
      </c>
      <c r="E42" s="256" t="s">
        <v>1820</v>
      </c>
      <c r="F42" s="256" t="s">
        <v>1835</v>
      </c>
      <c r="G42" s="258">
        <v>33041000000</v>
      </c>
      <c r="H42" s="265">
        <v>0.1</v>
      </c>
      <c r="I42" s="258">
        <v>3304100000</v>
      </c>
      <c r="J42" s="258">
        <v>36345100000</v>
      </c>
      <c r="K42" s="256" t="s">
        <v>1346</v>
      </c>
    </row>
    <row r="43" spans="1:11" x14ac:dyDescent="0.3">
      <c r="A43" s="256">
        <v>36</v>
      </c>
      <c r="B43" s="257" t="s">
        <v>1510</v>
      </c>
      <c r="C43" s="276">
        <v>44561</v>
      </c>
      <c r="D43" s="257" t="s">
        <v>1272</v>
      </c>
      <c r="E43" s="256" t="s">
        <v>1805</v>
      </c>
      <c r="F43" s="256" t="s">
        <v>1835</v>
      </c>
      <c r="G43" s="258">
        <v>11113000000</v>
      </c>
      <c r="H43" s="265">
        <v>0.1</v>
      </c>
      <c r="I43" s="258">
        <v>1111300000</v>
      </c>
      <c r="J43" s="258">
        <v>12224300000</v>
      </c>
      <c r="K43" s="256" t="s">
        <v>1346</v>
      </c>
    </row>
    <row r="44" spans="1:11" x14ac:dyDescent="0.3">
      <c r="A44" s="256">
        <v>37</v>
      </c>
      <c r="B44" s="257" t="s">
        <v>1463</v>
      </c>
      <c r="C44" s="276">
        <v>44561</v>
      </c>
      <c r="D44" s="257" t="s">
        <v>1297</v>
      </c>
      <c r="E44" s="256" t="s">
        <v>1820</v>
      </c>
      <c r="F44" s="256" t="s">
        <v>1741</v>
      </c>
      <c r="G44" s="258">
        <v>26062000000</v>
      </c>
      <c r="H44" s="265">
        <v>0.1</v>
      </c>
      <c r="I44" s="258">
        <v>2606200000</v>
      </c>
      <c r="J44" s="258">
        <v>28668200000</v>
      </c>
      <c r="K44" s="256" t="s">
        <v>1346</v>
      </c>
    </row>
    <row r="45" spans="1:11" x14ac:dyDescent="0.3">
      <c r="A45" s="256">
        <v>38</v>
      </c>
      <c r="B45" s="257" t="s">
        <v>1209</v>
      </c>
      <c r="C45" s="276">
        <v>44561</v>
      </c>
      <c r="D45" s="257" t="s">
        <v>1303</v>
      </c>
      <c r="E45" s="256" t="s">
        <v>1817</v>
      </c>
      <c r="F45" s="256" t="s">
        <v>1837</v>
      </c>
      <c r="G45" s="258">
        <v>16204000000</v>
      </c>
      <c r="H45" s="265">
        <v>0.1</v>
      </c>
      <c r="I45" s="258">
        <v>1620400000</v>
      </c>
      <c r="J45" s="258">
        <v>17824400000</v>
      </c>
      <c r="K45" s="256" t="s">
        <v>1346</v>
      </c>
    </row>
    <row r="46" spans="1:11" x14ac:dyDescent="0.3">
      <c r="A46" s="256">
        <v>39</v>
      </c>
      <c r="B46" s="257" t="s">
        <v>1484</v>
      </c>
      <c r="C46" s="276">
        <v>44561</v>
      </c>
      <c r="D46" s="257" t="s">
        <v>1278</v>
      </c>
      <c r="E46" s="256" t="s">
        <v>1785</v>
      </c>
      <c r="F46" s="256" t="s">
        <v>1836</v>
      </c>
      <c r="G46" s="258">
        <v>17095000000</v>
      </c>
      <c r="H46" s="265">
        <v>0.1</v>
      </c>
      <c r="I46" s="258">
        <v>1709500000</v>
      </c>
      <c r="J46" s="258">
        <v>18804500000</v>
      </c>
      <c r="K46" s="256" t="s">
        <v>1346</v>
      </c>
    </row>
    <row r="47" spans="1:11" x14ac:dyDescent="0.3">
      <c r="A47" s="256">
        <v>40</v>
      </c>
      <c r="B47" s="257" t="s">
        <v>1493</v>
      </c>
      <c r="C47" s="276">
        <v>44561</v>
      </c>
      <c r="D47" s="257" t="s">
        <v>1257</v>
      </c>
      <c r="E47" s="256" t="s">
        <v>1815</v>
      </c>
      <c r="F47" s="256" t="s">
        <v>1835</v>
      </c>
      <c r="G47" s="258">
        <v>27549000000</v>
      </c>
      <c r="H47" s="265">
        <v>0.1</v>
      </c>
      <c r="I47" s="258">
        <v>2754900000</v>
      </c>
      <c r="J47" s="258">
        <v>30303900000</v>
      </c>
      <c r="K47" s="256" t="s">
        <v>1346</v>
      </c>
    </row>
    <row r="48" spans="1:11" x14ac:dyDescent="0.3">
      <c r="A48" s="256">
        <v>41</v>
      </c>
      <c r="B48" s="257" t="s">
        <v>1464</v>
      </c>
      <c r="C48" s="276">
        <v>44561</v>
      </c>
      <c r="D48" s="257" t="s">
        <v>1297</v>
      </c>
      <c r="E48" s="256" t="s">
        <v>1820</v>
      </c>
      <c r="F48" s="256" t="s">
        <v>1835</v>
      </c>
      <c r="G48" s="258">
        <v>26523000000</v>
      </c>
      <c r="H48" s="265">
        <v>0.1</v>
      </c>
      <c r="I48" s="258">
        <v>2652300000</v>
      </c>
      <c r="J48" s="258">
        <v>29175300000</v>
      </c>
      <c r="K48" s="256" t="s">
        <v>1346</v>
      </c>
    </row>
    <row r="49" spans="1:11" x14ac:dyDescent="0.3">
      <c r="A49" s="256">
        <v>42</v>
      </c>
      <c r="B49" s="257" t="s">
        <v>1986</v>
      </c>
      <c r="C49" s="276">
        <v>44561</v>
      </c>
      <c r="D49" s="257" t="s">
        <v>1304</v>
      </c>
      <c r="E49" s="256" t="s">
        <v>1831</v>
      </c>
      <c r="F49" s="256" t="s">
        <v>1837</v>
      </c>
      <c r="G49" s="258">
        <v>23610000000</v>
      </c>
      <c r="H49" s="265">
        <v>0.1</v>
      </c>
      <c r="I49" s="258">
        <v>2361000000</v>
      </c>
      <c r="J49" s="258">
        <v>25971000000</v>
      </c>
      <c r="K49" s="256" t="s">
        <v>1346</v>
      </c>
    </row>
    <row r="50" spans="1:11" x14ac:dyDescent="0.3">
      <c r="A50" s="256">
        <v>43</v>
      </c>
      <c r="B50" s="257" t="s">
        <v>1510</v>
      </c>
      <c r="C50" s="276">
        <v>44561</v>
      </c>
      <c r="D50" s="257" t="s">
        <v>1275</v>
      </c>
      <c r="E50" s="256" t="s">
        <v>1808</v>
      </c>
      <c r="F50" s="256" t="s">
        <v>1834</v>
      </c>
      <c r="G50" s="258">
        <v>14548000000</v>
      </c>
      <c r="H50" s="265">
        <v>0</v>
      </c>
      <c r="I50" s="258">
        <v>0</v>
      </c>
      <c r="J50" s="258">
        <v>14548000000</v>
      </c>
      <c r="K50" s="256" t="s">
        <v>1346</v>
      </c>
    </row>
    <row r="51" spans="1:11" x14ac:dyDescent="0.3">
      <c r="A51" s="256">
        <v>44</v>
      </c>
      <c r="B51" s="257" t="s">
        <v>1517</v>
      </c>
      <c r="C51" s="276">
        <v>44561</v>
      </c>
      <c r="D51" s="257" t="s">
        <v>1259</v>
      </c>
      <c r="E51" s="256" t="s">
        <v>1788</v>
      </c>
      <c r="F51" s="256" t="s">
        <v>1835</v>
      </c>
      <c r="G51" s="258">
        <v>11116000000</v>
      </c>
      <c r="H51" s="265">
        <v>0.1</v>
      </c>
      <c r="I51" s="258">
        <v>1111600000</v>
      </c>
      <c r="J51" s="258">
        <v>12227600000</v>
      </c>
      <c r="K51" s="256" t="s">
        <v>1346</v>
      </c>
    </row>
    <row r="52" spans="1:11" x14ac:dyDescent="0.3">
      <c r="A52" s="256">
        <v>45</v>
      </c>
      <c r="B52" s="257" t="s">
        <v>1496</v>
      </c>
      <c r="C52" s="276">
        <v>44561</v>
      </c>
      <c r="D52" s="257" t="s">
        <v>1266</v>
      </c>
      <c r="E52" s="256" t="s">
        <v>1824</v>
      </c>
      <c r="F52" s="256" t="s">
        <v>1734</v>
      </c>
      <c r="G52" s="258">
        <v>10939000000</v>
      </c>
      <c r="H52" s="265">
        <v>0.1</v>
      </c>
      <c r="I52" s="258">
        <v>1093900000</v>
      </c>
      <c r="J52" s="258">
        <v>12032900000</v>
      </c>
      <c r="K52" s="256" t="s">
        <v>1346</v>
      </c>
    </row>
    <row r="53" spans="1:11" x14ac:dyDescent="0.3">
      <c r="A53" s="256">
        <v>46</v>
      </c>
      <c r="B53" s="257" t="s">
        <v>1483</v>
      </c>
      <c r="C53" s="276">
        <v>44561</v>
      </c>
      <c r="D53" s="257" t="s">
        <v>1262</v>
      </c>
      <c r="E53" s="256" t="s">
        <v>1816</v>
      </c>
      <c r="F53" s="256" t="s">
        <v>1837</v>
      </c>
      <c r="G53" s="258">
        <v>21611000000</v>
      </c>
      <c r="H53" s="265">
        <v>0.1</v>
      </c>
      <c r="I53" s="258">
        <v>2161100000</v>
      </c>
      <c r="J53" s="258">
        <v>23772100000</v>
      </c>
      <c r="K53" s="256" t="s">
        <v>1348</v>
      </c>
    </row>
    <row r="54" spans="1:11" x14ac:dyDescent="0.3">
      <c r="A54" s="256">
        <v>47</v>
      </c>
      <c r="B54" s="257" t="s">
        <v>1508</v>
      </c>
      <c r="C54" s="276">
        <v>44561</v>
      </c>
      <c r="D54" s="257" t="s">
        <v>1288</v>
      </c>
      <c r="E54" s="256" t="s">
        <v>1797</v>
      </c>
      <c r="F54" s="256" t="s">
        <v>1834</v>
      </c>
      <c r="G54" s="258">
        <v>11477000000</v>
      </c>
      <c r="H54" s="265">
        <v>0.1</v>
      </c>
      <c r="I54" s="258">
        <v>1147700000</v>
      </c>
      <c r="J54" s="258">
        <v>12624700000</v>
      </c>
      <c r="K54" s="256" t="s">
        <v>1346</v>
      </c>
    </row>
    <row r="55" spans="1:11" x14ac:dyDescent="0.3">
      <c r="A55" s="256">
        <v>48</v>
      </c>
      <c r="B55" s="257" t="s">
        <v>1497</v>
      </c>
      <c r="C55" s="276">
        <v>44561</v>
      </c>
      <c r="D55" s="257" t="s">
        <v>1279</v>
      </c>
      <c r="E55" s="256" t="s">
        <v>1827</v>
      </c>
      <c r="F55" s="256" t="s">
        <v>1836</v>
      </c>
      <c r="G55" s="258">
        <v>18558000000</v>
      </c>
      <c r="H55" s="265">
        <v>0.1</v>
      </c>
      <c r="I55" s="258">
        <v>1855800000</v>
      </c>
      <c r="J55" s="258">
        <v>20413800000</v>
      </c>
      <c r="K55" s="256" t="s">
        <v>1346</v>
      </c>
    </row>
    <row r="56" spans="1:11" x14ac:dyDescent="0.3">
      <c r="A56" s="256">
        <v>49</v>
      </c>
      <c r="B56" s="257" t="s">
        <v>1508</v>
      </c>
      <c r="C56" s="276">
        <v>44561</v>
      </c>
      <c r="D56" s="257" t="s">
        <v>1260</v>
      </c>
      <c r="E56" s="256" t="s">
        <v>1804</v>
      </c>
      <c r="F56" s="256" t="s">
        <v>1837</v>
      </c>
      <c r="G56" s="258">
        <v>33460000000</v>
      </c>
      <c r="H56" s="265">
        <v>0.1</v>
      </c>
      <c r="I56" s="258">
        <v>3346000000</v>
      </c>
      <c r="J56" s="258">
        <v>36806000000</v>
      </c>
      <c r="K56" s="256" t="s">
        <v>1346</v>
      </c>
    </row>
    <row r="57" spans="1:11" x14ac:dyDescent="0.3">
      <c r="A57" s="256">
        <v>50</v>
      </c>
      <c r="B57" s="257" t="s">
        <v>1477</v>
      </c>
      <c r="C57" s="276">
        <v>44561</v>
      </c>
      <c r="D57" s="257" t="s">
        <v>1290</v>
      </c>
      <c r="E57" s="256" t="s">
        <v>1796</v>
      </c>
      <c r="F57" s="256" t="s">
        <v>1741</v>
      </c>
      <c r="G57" s="258">
        <v>32607000000</v>
      </c>
      <c r="H57" s="265">
        <v>0.1</v>
      </c>
      <c r="I57" s="258">
        <v>3260700000</v>
      </c>
      <c r="J57" s="258">
        <v>35867700000</v>
      </c>
      <c r="K57" s="256" t="s">
        <v>1346</v>
      </c>
    </row>
    <row r="58" spans="1:11" x14ac:dyDescent="0.3">
      <c r="A58" s="266" t="s">
        <v>1351</v>
      </c>
      <c r="B58" s="266"/>
      <c r="C58" s="266"/>
      <c r="D58" s="266"/>
      <c r="E58" s="266"/>
      <c r="F58" s="266"/>
      <c r="G58" s="267">
        <f>SUM(G8:G57)</f>
        <v>1167356000000</v>
      </c>
      <c r="H58" s="266"/>
      <c r="I58" s="267">
        <f>SUM(I8:I57)</f>
        <v>111298900000</v>
      </c>
      <c r="J58" s="267">
        <f>SUM(J8:J57)</f>
        <v>1278654900000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1279</v>
      </c>
      <c r="E62" s="256" t="s">
        <v>1827</v>
      </c>
      <c r="F62" s="256" t="s">
        <v>1840</v>
      </c>
      <c r="G62" s="258">
        <v>43209000000</v>
      </c>
      <c r="H62" s="265">
        <v>0.1</v>
      </c>
      <c r="I62" s="258">
        <v>4320900000</v>
      </c>
      <c r="J62" s="258">
        <v>47529900000</v>
      </c>
      <c r="K62" s="256" t="s">
        <v>1346</v>
      </c>
    </row>
    <row r="63" spans="1:11" x14ac:dyDescent="0.3">
      <c r="A63" s="256">
        <v>2</v>
      </c>
      <c r="B63" s="257" t="s">
        <v>1201</v>
      </c>
      <c r="C63" s="276">
        <v>44318</v>
      </c>
      <c r="D63" s="257" t="s">
        <v>1262</v>
      </c>
      <c r="E63" s="256" t="s">
        <v>1816</v>
      </c>
      <c r="F63" s="256" t="s">
        <v>1841</v>
      </c>
      <c r="G63" s="258">
        <v>27312000000</v>
      </c>
      <c r="H63" s="265">
        <v>0.1</v>
      </c>
      <c r="I63" s="258">
        <v>2731200000</v>
      </c>
      <c r="J63" s="258">
        <v>30043200000</v>
      </c>
      <c r="K63" s="256" t="s">
        <v>1346</v>
      </c>
    </row>
    <row r="64" spans="1:11" x14ac:dyDescent="0.3">
      <c r="A64" s="256">
        <v>3</v>
      </c>
      <c r="B64" s="257" t="s">
        <v>1202</v>
      </c>
      <c r="C64" s="276">
        <v>44472</v>
      </c>
      <c r="D64" s="257" t="s">
        <v>1277</v>
      </c>
      <c r="E64" s="256" t="s">
        <v>1783</v>
      </c>
      <c r="F64" s="256" t="s">
        <v>1839</v>
      </c>
      <c r="G64" s="258">
        <v>28279000000</v>
      </c>
      <c r="H64" s="265">
        <v>0.1</v>
      </c>
      <c r="I64" s="258">
        <v>2827900000</v>
      </c>
      <c r="J64" s="258">
        <v>31106900000</v>
      </c>
      <c r="K64" s="256" t="s">
        <v>1346</v>
      </c>
    </row>
    <row r="65" spans="1:11" x14ac:dyDescent="0.3">
      <c r="A65" s="256">
        <v>4</v>
      </c>
      <c r="B65" s="257" t="s">
        <v>1355</v>
      </c>
      <c r="C65" s="276">
        <v>44473</v>
      </c>
      <c r="D65" s="257" t="s">
        <v>1274</v>
      </c>
      <c r="E65" s="256" t="s">
        <v>1794</v>
      </c>
      <c r="F65" s="256" t="s">
        <v>1838</v>
      </c>
      <c r="G65" s="258">
        <v>42818000000</v>
      </c>
      <c r="H65" s="265">
        <v>0.1</v>
      </c>
      <c r="I65" s="258">
        <v>4281800000</v>
      </c>
      <c r="J65" s="258">
        <v>47099800000</v>
      </c>
      <c r="K65" s="256" t="s">
        <v>1346</v>
      </c>
    </row>
    <row r="66" spans="1:11" x14ac:dyDescent="0.3">
      <c r="A66" s="256">
        <v>5</v>
      </c>
      <c r="B66" s="257" t="s">
        <v>1356</v>
      </c>
      <c r="C66" s="276">
        <v>44474</v>
      </c>
      <c r="D66" s="257" t="s">
        <v>1255</v>
      </c>
      <c r="E66" s="273">
        <v>46152</v>
      </c>
      <c r="F66" s="256" t="s">
        <v>1840</v>
      </c>
      <c r="G66" s="258">
        <v>45235000000</v>
      </c>
      <c r="H66" s="265">
        <v>0.1</v>
      </c>
      <c r="I66" s="258">
        <v>4523500000</v>
      </c>
      <c r="J66" s="258">
        <v>49758500000</v>
      </c>
      <c r="K66" s="256" t="s">
        <v>1346</v>
      </c>
    </row>
    <row r="67" spans="1:11" x14ac:dyDescent="0.3">
      <c r="A67" s="256">
        <v>6</v>
      </c>
      <c r="B67" s="257" t="s">
        <v>1358</v>
      </c>
      <c r="C67" s="276">
        <v>44475</v>
      </c>
      <c r="D67" s="257" t="s">
        <v>1299</v>
      </c>
      <c r="E67" s="256" t="s">
        <v>1776</v>
      </c>
      <c r="F67" s="256" t="s">
        <v>1838</v>
      </c>
      <c r="G67" s="258">
        <v>31758000000</v>
      </c>
      <c r="H67" s="265">
        <v>0</v>
      </c>
      <c r="I67" s="258">
        <v>0</v>
      </c>
      <c r="J67" s="258">
        <v>31758000000</v>
      </c>
      <c r="K67" s="256" t="s">
        <v>1348</v>
      </c>
    </row>
    <row r="68" spans="1:11" x14ac:dyDescent="0.3">
      <c r="A68" s="256">
        <v>7</v>
      </c>
      <c r="B68" s="257" t="s">
        <v>1360</v>
      </c>
      <c r="C68" s="276">
        <v>44476</v>
      </c>
      <c r="D68" s="257" t="s">
        <v>1301</v>
      </c>
      <c r="E68" s="256" t="s">
        <v>1781</v>
      </c>
      <c r="F68" s="256" t="s">
        <v>1841</v>
      </c>
      <c r="G68" s="258">
        <v>37078000000</v>
      </c>
      <c r="H68" s="265">
        <v>0.1</v>
      </c>
      <c r="I68" s="258">
        <v>3707800000</v>
      </c>
      <c r="J68" s="258">
        <v>40785800000</v>
      </c>
      <c r="K68" s="256" t="s">
        <v>1346</v>
      </c>
    </row>
    <row r="69" spans="1:11" x14ac:dyDescent="0.3">
      <c r="A69" s="256">
        <v>8</v>
      </c>
      <c r="B69" s="257" t="s">
        <v>1362</v>
      </c>
      <c r="C69" s="276">
        <v>44477</v>
      </c>
      <c r="D69" s="257" t="s">
        <v>1299</v>
      </c>
      <c r="E69" s="256" t="s">
        <v>1776</v>
      </c>
      <c r="F69" s="256" t="s">
        <v>1840</v>
      </c>
      <c r="G69" s="258">
        <v>37892000000</v>
      </c>
      <c r="H69" s="265">
        <v>0.1</v>
      </c>
      <c r="I69" s="258">
        <v>3789200000</v>
      </c>
      <c r="J69" s="258">
        <v>41681200000</v>
      </c>
      <c r="K69" s="256" t="s">
        <v>1346</v>
      </c>
    </row>
    <row r="70" spans="1:11" x14ac:dyDescent="0.3">
      <c r="A70" s="256">
        <v>9</v>
      </c>
      <c r="B70" s="257" t="s">
        <v>1364</v>
      </c>
      <c r="C70" s="276">
        <v>44478</v>
      </c>
      <c r="D70" s="257" t="s">
        <v>1304</v>
      </c>
      <c r="E70" s="256" t="s">
        <v>1831</v>
      </c>
      <c r="F70" s="256" t="s">
        <v>1841</v>
      </c>
      <c r="G70" s="258">
        <v>16049000000</v>
      </c>
      <c r="H70" s="265">
        <v>0.1</v>
      </c>
      <c r="I70" s="258">
        <v>1604900000</v>
      </c>
      <c r="J70" s="258">
        <v>17653900000</v>
      </c>
      <c r="K70" s="256" t="s">
        <v>1346</v>
      </c>
    </row>
    <row r="71" spans="1:11" x14ac:dyDescent="0.3">
      <c r="A71" s="256">
        <v>10</v>
      </c>
      <c r="B71" s="257" t="s">
        <v>1366</v>
      </c>
      <c r="C71" s="276">
        <v>44479</v>
      </c>
      <c r="D71" s="257" t="s">
        <v>1284</v>
      </c>
      <c r="E71" s="256" t="s">
        <v>1786</v>
      </c>
      <c r="F71" s="256" t="s">
        <v>1840</v>
      </c>
      <c r="G71" s="258">
        <v>47150000000</v>
      </c>
      <c r="H71" s="265">
        <v>0.1</v>
      </c>
      <c r="I71" s="258">
        <v>4715000000</v>
      </c>
      <c r="J71" s="258">
        <v>51865000000</v>
      </c>
      <c r="K71" s="256" t="s">
        <v>1346</v>
      </c>
    </row>
    <row r="72" spans="1:11" x14ac:dyDescent="0.3">
      <c r="A72" s="256">
        <v>11</v>
      </c>
      <c r="B72" s="257" t="s">
        <v>1368</v>
      </c>
      <c r="C72" s="276">
        <v>44480</v>
      </c>
      <c r="D72" s="257" t="s">
        <v>1262</v>
      </c>
      <c r="E72" s="256" t="s">
        <v>1816</v>
      </c>
      <c r="F72" s="256" t="s">
        <v>1841</v>
      </c>
      <c r="G72" s="258">
        <v>38717000000</v>
      </c>
      <c r="H72" s="265">
        <v>0.1</v>
      </c>
      <c r="I72" s="258">
        <v>3871700000</v>
      </c>
      <c r="J72" s="258">
        <v>42588700000</v>
      </c>
      <c r="K72" s="256" t="s">
        <v>1346</v>
      </c>
    </row>
    <row r="73" spans="1:11" x14ac:dyDescent="0.3">
      <c r="A73" s="256">
        <v>12</v>
      </c>
      <c r="B73" s="257" t="s">
        <v>1371</v>
      </c>
      <c r="C73" s="276">
        <v>44481</v>
      </c>
      <c r="D73" s="257" t="s">
        <v>1294</v>
      </c>
      <c r="E73" s="256" t="s">
        <v>1795</v>
      </c>
      <c r="F73" s="256" t="s">
        <v>1841</v>
      </c>
      <c r="G73" s="258">
        <v>20718000000</v>
      </c>
      <c r="H73" s="265">
        <v>0.1</v>
      </c>
      <c r="I73" s="258">
        <v>2071800000</v>
      </c>
      <c r="J73" s="258">
        <v>22789800000</v>
      </c>
      <c r="K73" s="256" t="s">
        <v>1346</v>
      </c>
    </row>
    <row r="74" spans="1:11" x14ac:dyDescent="0.3">
      <c r="A74" s="256">
        <v>13</v>
      </c>
      <c r="B74" s="257" t="s">
        <v>1373</v>
      </c>
      <c r="C74" s="276">
        <v>44211</v>
      </c>
      <c r="D74" s="257" t="s">
        <v>1262</v>
      </c>
      <c r="E74" s="256" t="s">
        <v>1816</v>
      </c>
      <c r="F74" s="256" t="s">
        <v>1838</v>
      </c>
      <c r="G74" s="258">
        <v>23236000000</v>
      </c>
      <c r="H74" s="265">
        <v>0.1</v>
      </c>
      <c r="I74" s="258">
        <v>2323600000</v>
      </c>
      <c r="J74" s="258">
        <v>25559600000</v>
      </c>
      <c r="K74" s="256" t="s">
        <v>1346</v>
      </c>
    </row>
    <row r="75" spans="1:11" x14ac:dyDescent="0.3">
      <c r="A75" s="256">
        <v>14</v>
      </c>
      <c r="B75" s="257" t="s">
        <v>1374</v>
      </c>
      <c r="C75" s="276">
        <v>44242</v>
      </c>
      <c r="D75" s="257" t="s">
        <v>1304</v>
      </c>
      <c r="E75" s="256" t="s">
        <v>1831</v>
      </c>
      <c r="F75" s="256" t="s">
        <v>1841</v>
      </c>
      <c r="G75" s="258">
        <v>35526000000</v>
      </c>
      <c r="H75" s="265">
        <v>0.1</v>
      </c>
      <c r="I75" s="258">
        <v>3552600000</v>
      </c>
      <c r="J75" s="258">
        <v>39078600000</v>
      </c>
      <c r="K75" s="256" t="s">
        <v>1346</v>
      </c>
    </row>
    <row r="76" spans="1:11" x14ac:dyDescent="0.3">
      <c r="A76" s="256">
        <v>15</v>
      </c>
      <c r="B76" s="257" t="s">
        <v>1376</v>
      </c>
      <c r="C76" s="276">
        <v>44275</v>
      </c>
      <c r="D76" s="257" t="s">
        <v>1272</v>
      </c>
      <c r="E76" s="256" t="s">
        <v>1805</v>
      </c>
      <c r="F76" s="256" t="s">
        <v>1840</v>
      </c>
      <c r="G76" s="258">
        <v>14567000000</v>
      </c>
      <c r="H76" s="265">
        <v>0.1</v>
      </c>
      <c r="I76" s="258">
        <v>1456700000</v>
      </c>
      <c r="J76" s="258">
        <v>16023700000</v>
      </c>
      <c r="K76" s="256" t="s">
        <v>1346</v>
      </c>
    </row>
    <row r="77" spans="1:11" x14ac:dyDescent="0.3">
      <c r="A77" s="256">
        <v>16</v>
      </c>
      <c r="B77" s="257" t="s">
        <v>1378</v>
      </c>
      <c r="C77" s="276">
        <v>44306</v>
      </c>
      <c r="D77" s="257" t="s">
        <v>1297</v>
      </c>
      <c r="E77" s="256" t="s">
        <v>1820</v>
      </c>
      <c r="F77" s="256" t="s">
        <v>1841</v>
      </c>
      <c r="G77" s="258">
        <v>34886000000</v>
      </c>
      <c r="H77" s="265">
        <v>0.1</v>
      </c>
      <c r="I77" s="258">
        <v>3488600000</v>
      </c>
      <c r="J77" s="258">
        <v>38374600000</v>
      </c>
      <c r="K77" s="256" t="s">
        <v>1346</v>
      </c>
    </row>
    <row r="78" spans="1:11" x14ac:dyDescent="0.3">
      <c r="A78" s="256">
        <v>17</v>
      </c>
      <c r="B78" s="257" t="s">
        <v>1379</v>
      </c>
      <c r="C78" s="276">
        <v>44336</v>
      </c>
      <c r="D78" s="257" t="s">
        <v>1263</v>
      </c>
      <c r="E78" s="256" t="s">
        <v>1790</v>
      </c>
      <c r="F78" s="256" t="s">
        <v>1840</v>
      </c>
      <c r="G78" s="258">
        <v>39995000000</v>
      </c>
      <c r="H78" s="265">
        <v>0.1</v>
      </c>
      <c r="I78" s="258">
        <v>3999500000</v>
      </c>
      <c r="J78" s="258">
        <v>43994500000</v>
      </c>
      <c r="K78" s="256" t="s">
        <v>1348</v>
      </c>
    </row>
    <row r="79" spans="1:11" x14ac:dyDescent="0.3">
      <c r="A79" s="256">
        <v>18</v>
      </c>
      <c r="B79" s="257" t="s">
        <v>1381</v>
      </c>
      <c r="C79" s="276">
        <v>44367</v>
      </c>
      <c r="D79" s="257" t="s">
        <v>1298</v>
      </c>
      <c r="E79" s="256" t="s">
        <v>1819</v>
      </c>
      <c r="F79" s="256" t="s">
        <v>1838</v>
      </c>
      <c r="G79" s="258">
        <v>40540000000</v>
      </c>
      <c r="H79" s="265">
        <v>0.1</v>
      </c>
      <c r="I79" s="258">
        <v>4054000000</v>
      </c>
      <c r="J79" s="258">
        <v>44594000000</v>
      </c>
      <c r="K79" s="256" t="s">
        <v>1346</v>
      </c>
    </row>
    <row r="80" spans="1:11" x14ac:dyDescent="0.3">
      <c r="A80" s="256">
        <v>19</v>
      </c>
      <c r="B80" s="257" t="s">
        <v>1382</v>
      </c>
      <c r="C80" s="276">
        <v>44397</v>
      </c>
      <c r="D80" s="257" t="s">
        <v>1260</v>
      </c>
      <c r="E80" s="256" t="s">
        <v>1804</v>
      </c>
      <c r="F80" s="256" t="s">
        <v>1838</v>
      </c>
      <c r="G80" s="258">
        <v>34686000000</v>
      </c>
      <c r="H80" s="265">
        <v>0.1</v>
      </c>
      <c r="I80" s="258">
        <v>3468600000</v>
      </c>
      <c r="J80" s="258">
        <v>38154600000</v>
      </c>
      <c r="K80" s="256" t="s">
        <v>1346</v>
      </c>
    </row>
    <row r="81" spans="1:11" x14ac:dyDescent="0.3">
      <c r="A81" s="256">
        <v>20</v>
      </c>
      <c r="B81" s="257" t="s">
        <v>1383</v>
      </c>
      <c r="C81" s="276">
        <v>44428</v>
      </c>
      <c r="D81" s="257" t="s">
        <v>1289</v>
      </c>
      <c r="E81" s="256" t="s">
        <v>1803</v>
      </c>
      <c r="F81" s="256" t="s">
        <v>1840</v>
      </c>
      <c r="G81" s="258">
        <v>38243000000</v>
      </c>
      <c r="H81" s="265">
        <v>0.1</v>
      </c>
      <c r="I81" s="258">
        <v>3824300000</v>
      </c>
      <c r="J81" s="258">
        <v>42067300000</v>
      </c>
      <c r="K81" s="256" t="s">
        <v>1346</v>
      </c>
    </row>
    <row r="82" spans="1:11" x14ac:dyDescent="0.3">
      <c r="A82" s="256">
        <v>21</v>
      </c>
      <c r="B82" s="257" t="s">
        <v>1203</v>
      </c>
      <c r="C82" s="276">
        <v>44459</v>
      </c>
      <c r="D82" s="257" t="s">
        <v>1255</v>
      </c>
      <c r="E82" s="273">
        <v>46152</v>
      </c>
      <c r="F82" s="256" t="s">
        <v>1839</v>
      </c>
      <c r="G82" s="258">
        <v>26330000000</v>
      </c>
      <c r="H82" s="265">
        <v>0.1</v>
      </c>
      <c r="I82" s="258">
        <v>2633000000</v>
      </c>
      <c r="J82" s="258">
        <v>28963000000</v>
      </c>
      <c r="K82" s="256" t="s">
        <v>1348</v>
      </c>
    </row>
    <row r="83" spans="1:11" x14ac:dyDescent="0.3">
      <c r="A83" s="256">
        <v>22</v>
      </c>
      <c r="B83" s="257" t="s">
        <v>1204</v>
      </c>
      <c r="C83" s="276">
        <v>44489</v>
      </c>
      <c r="D83" s="257" t="s">
        <v>1298</v>
      </c>
      <c r="E83" s="256" t="s">
        <v>1819</v>
      </c>
      <c r="F83" s="256" t="s">
        <v>1839</v>
      </c>
      <c r="G83" s="258">
        <v>35736000000</v>
      </c>
      <c r="H83" s="265">
        <v>0.1</v>
      </c>
      <c r="I83" s="258">
        <v>3573600000</v>
      </c>
      <c r="J83" s="258">
        <v>39309600000</v>
      </c>
      <c r="K83" s="256" t="s">
        <v>1346</v>
      </c>
    </row>
    <row r="84" spans="1:11" x14ac:dyDescent="0.3">
      <c r="A84" s="256">
        <v>23</v>
      </c>
      <c r="B84" s="257" t="s">
        <v>1205</v>
      </c>
      <c r="C84" s="276">
        <v>44520</v>
      </c>
      <c r="D84" s="257" t="s">
        <v>1262</v>
      </c>
      <c r="E84" s="256" t="s">
        <v>1816</v>
      </c>
      <c r="F84" s="256" t="s">
        <v>1840</v>
      </c>
      <c r="G84" s="258">
        <v>32131000000</v>
      </c>
      <c r="H84" s="265">
        <v>0.1</v>
      </c>
      <c r="I84" s="258">
        <v>3213100000</v>
      </c>
      <c r="J84" s="258">
        <v>35344100000</v>
      </c>
      <c r="K84" s="256" t="s">
        <v>1346</v>
      </c>
    </row>
    <row r="85" spans="1:11" x14ac:dyDescent="0.3">
      <c r="A85" s="256">
        <v>24</v>
      </c>
      <c r="B85" s="257" t="s">
        <v>1385</v>
      </c>
      <c r="C85" s="276">
        <v>44550</v>
      </c>
      <c r="D85" s="257" t="s">
        <v>1255</v>
      </c>
      <c r="E85" s="273">
        <v>46152</v>
      </c>
      <c r="F85" s="256" t="s">
        <v>1840</v>
      </c>
      <c r="G85" s="258">
        <v>15400000000</v>
      </c>
      <c r="H85" s="265">
        <v>0.1</v>
      </c>
      <c r="I85" s="258">
        <v>1540000000</v>
      </c>
      <c r="J85" s="258">
        <v>16940000000</v>
      </c>
      <c r="K85" s="256" t="s">
        <v>1346</v>
      </c>
    </row>
    <row r="86" spans="1:11" x14ac:dyDescent="0.3">
      <c r="A86" s="256">
        <v>25</v>
      </c>
      <c r="B86" s="257" t="s">
        <v>1387</v>
      </c>
      <c r="C86" s="276">
        <v>44221</v>
      </c>
      <c r="D86" s="257" t="s">
        <v>1288</v>
      </c>
      <c r="E86" s="256" t="s">
        <v>1797</v>
      </c>
      <c r="F86" s="256" t="s">
        <v>1838</v>
      </c>
      <c r="G86" s="258">
        <v>35409000000</v>
      </c>
      <c r="H86" s="265">
        <v>0.1</v>
      </c>
      <c r="I86" s="258">
        <v>3540900000</v>
      </c>
      <c r="J86" s="258">
        <v>38949900000</v>
      </c>
      <c r="K86" s="256" t="s">
        <v>1346</v>
      </c>
    </row>
    <row r="87" spans="1:11" x14ac:dyDescent="0.3">
      <c r="A87" s="256">
        <v>26</v>
      </c>
      <c r="B87" s="257" t="s">
        <v>1388</v>
      </c>
      <c r="C87" s="276">
        <v>44255</v>
      </c>
      <c r="D87" s="257" t="s">
        <v>1288</v>
      </c>
      <c r="E87" s="256" t="s">
        <v>1797</v>
      </c>
      <c r="F87" s="256" t="s">
        <v>1838</v>
      </c>
      <c r="G87" s="258">
        <v>37596000000</v>
      </c>
      <c r="H87" s="265">
        <v>0.1</v>
      </c>
      <c r="I87" s="258">
        <v>3759600000</v>
      </c>
      <c r="J87" s="258">
        <v>41355600000</v>
      </c>
      <c r="K87" s="256" t="s">
        <v>1346</v>
      </c>
    </row>
    <row r="88" spans="1:11" x14ac:dyDescent="0.3">
      <c r="A88" s="256">
        <v>27</v>
      </c>
      <c r="B88" s="257" t="s">
        <v>1391</v>
      </c>
      <c r="C88" s="276">
        <v>44316</v>
      </c>
      <c r="D88" s="257" t="s">
        <v>1266</v>
      </c>
      <c r="E88" s="256" t="s">
        <v>1824</v>
      </c>
      <c r="F88" s="256" t="s">
        <v>1838</v>
      </c>
      <c r="G88" s="258">
        <v>13706000000</v>
      </c>
      <c r="H88" s="265">
        <v>0.1</v>
      </c>
      <c r="I88" s="258">
        <v>1370600000</v>
      </c>
      <c r="J88" s="258">
        <v>15076600000</v>
      </c>
      <c r="K88" s="256" t="s">
        <v>1346</v>
      </c>
    </row>
    <row r="89" spans="1:11" x14ac:dyDescent="0.3">
      <c r="A89" s="256">
        <v>28</v>
      </c>
      <c r="B89" s="257" t="s">
        <v>1392</v>
      </c>
      <c r="C89" s="276">
        <v>44377</v>
      </c>
      <c r="D89" s="257" t="s">
        <v>1274</v>
      </c>
      <c r="E89" s="256" t="s">
        <v>1794</v>
      </c>
      <c r="F89" s="256" t="s">
        <v>1838</v>
      </c>
      <c r="G89" s="258">
        <v>24798000000</v>
      </c>
      <c r="H89" s="265">
        <v>0.1</v>
      </c>
      <c r="I89" s="258">
        <v>2479800000</v>
      </c>
      <c r="J89" s="258">
        <v>27277800000</v>
      </c>
      <c r="K89" s="256" t="s">
        <v>1348</v>
      </c>
    </row>
    <row r="90" spans="1:11" x14ac:dyDescent="0.3">
      <c r="A90" s="256">
        <v>29</v>
      </c>
      <c r="B90" s="257" t="s">
        <v>1394</v>
      </c>
      <c r="C90" s="276">
        <v>44469</v>
      </c>
      <c r="D90" s="257" t="s">
        <v>1273</v>
      </c>
      <c r="E90" s="256" t="s">
        <v>1829</v>
      </c>
      <c r="F90" s="256" t="s">
        <v>1839</v>
      </c>
      <c r="G90" s="258">
        <v>20949000000</v>
      </c>
      <c r="H90" s="265">
        <v>0.1</v>
      </c>
      <c r="I90" s="258">
        <v>2094900000</v>
      </c>
      <c r="J90" s="258">
        <v>23043900000</v>
      </c>
      <c r="K90" s="256" t="s">
        <v>1346</v>
      </c>
    </row>
    <row r="91" spans="1:11" x14ac:dyDescent="0.3">
      <c r="A91" s="256">
        <v>30</v>
      </c>
      <c r="B91" s="257" t="s">
        <v>1396</v>
      </c>
      <c r="C91" s="276">
        <v>44530</v>
      </c>
      <c r="D91" s="257" t="s">
        <v>1263</v>
      </c>
      <c r="E91" s="256" t="s">
        <v>1790</v>
      </c>
      <c r="F91" s="256" t="s">
        <v>1840</v>
      </c>
      <c r="G91" s="258">
        <v>22924000000</v>
      </c>
      <c r="H91" s="265">
        <v>0.1</v>
      </c>
      <c r="I91" s="258">
        <v>2292400000</v>
      </c>
      <c r="J91" s="258">
        <v>25216400000</v>
      </c>
      <c r="K91" s="256" t="s">
        <v>1346</v>
      </c>
    </row>
    <row r="92" spans="1:11" x14ac:dyDescent="0.3">
      <c r="A92" s="256">
        <v>31</v>
      </c>
      <c r="B92" s="257" t="s">
        <v>1397</v>
      </c>
      <c r="C92" s="276">
        <v>44286</v>
      </c>
      <c r="D92" s="257" t="s">
        <v>1283</v>
      </c>
      <c r="E92" s="256" t="s">
        <v>1798</v>
      </c>
      <c r="F92" s="256" t="s">
        <v>1840</v>
      </c>
      <c r="G92" s="258">
        <v>20182000000</v>
      </c>
      <c r="H92" s="265">
        <v>0.1</v>
      </c>
      <c r="I92" s="258">
        <v>2018200000</v>
      </c>
      <c r="J92" s="258">
        <v>22200200000</v>
      </c>
      <c r="K92" s="256" t="s">
        <v>1346</v>
      </c>
    </row>
    <row r="93" spans="1:11" x14ac:dyDescent="0.3">
      <c r="A93" s="256">
        <v>32</v>
      </c>
      <c r="B93" s="257" t="s">
        <v>1398</v>
      </c>
      <c r="C93" s="276">
        <v>44347</v>
      </c>
      <c r="D93" s="257" t="s">
        <v>1273</v>
      </c>
      <c r="E93" s="256" t="s">
        <v>1829</v>
      </c>
      <c r="F93" s="256" t="s">
        <v>1841</v>
      </c>
      <c r="G93" s="258">
        <v>29325000000</v>
      </c>
      <c r="H93" s="265">
        <v>0.1</v>
      </c>
      <c r="I93" s="258">
        <v>2932500000</v>
      </c>
      <c r="J93" s="258">
        <v>32257500000</v>
      </c>
      <c r="K93" s="256" t="s">
        <v>1348</v>
      </c>
    </row>
    <row r="94" spans="1:11" x14ac:dyDescent="0.3">
      <c r="A94" s="256">
        <v>33</v>
      </c>
      <c r="B94" s="257" t="s">
        <v>1399</v>
      </c>
      <c r="C94" s="276">
        <v>44408</v>
      </c>
      <c r="D94" s="257" t="s">
        <v>1258</v>
      </c>
      <c r="E94" s="256" t="s">
        <v>1833</v>
      </c>
      <c r="F94" s="256" t="s">
        <v>1840</v>
      </c>
      <c r="G94" s="258">
        <v>35799000000</v>
      </c>
      <c r="H94" s="265">
        <v>0.1</v>
      </c>
      <c r="I94" s="258">
        <v>3579900000</v>
      </c>
      <c r="J94" s="258">
        <v>39378900000</v>
      </c>
      <c r="K94" s="256" t="s">
        <v>1346</v>
      </c>
    </row>
    <row r="95" spans="1:11" x14ac:dyDescent="0.3">
      <c r="A95" s="256">
        <v>34</v>
      </c>
      <c r="B95" s="257" t="s">
        <v>1401</v>
      </c>
      <c r="C95" s="276">
        <v>44439</v>
      </c>
      <c r="D95" s="257" t="s">
        <v>1262</v>
      </c>
      <c r="E95" s="256" t="s">
        <v>1816</v>
      </c>
      <c r="F95" s="256" t="s">
        <v>1839</v>
      </c>
      <c r="G95" s="258">
        <v>31603000000</v>
      </c>
      <c r="H95" s="265">
        <v>0</v>
      </c>
      <c r="I95" s="258">
        <v>0</v>
      </c>
      <c r="J95" s="258">
        <v>31603000000</v>
      </c>
      <c r="K95" s="256" t="s">
        <v>1348</v>
      </c>
    </row>
    <row r="96" spans="1:11" x14ac:dyDescent="0.3">
      <c r="A96" s="256">
        <v>35</v>
      </c>
      <c r="B96" s="257" t="s">
        <v>1402</v>
      </c>
      <c r="C96" s="276">
        <v>44500</v>
      </c>
      <c r="D96" s="257" t="s">
        <v>1266</v>
      </c>
      <c r="E96" s="256" t="s">
        <v>1824</v>
      </c>
      <c r="F96" s="256" t="s">
        <v>1840</v>
      </c>
      <c r="G96" s="258">
        <v>27562000000</v>
      </c>
      <c r="H96" s="265">
        <v>0.1</v>
      </c>
      <c r="I96" s="258">
        <v>2756200000</v>
      </c>
      <c r="J96" s="258">
        <v>30318200000</v>
      </c>
      <c r="K96" s="256" t="s">
        <v>1346</v>
      </c>
    </row>
    <row r="97" spans="1:11" x14ac:dyDescent="0.3">
      <c r="A97" s="256">
        <v>36</v>
      </c>
      <c r="B97" s="257" t="s">
        <v>1403</v>
      </c>
      <c r="C97" s="276">
        <v>44561</v>
      </c>
      <c r="D97" s="257" t="s">
        <v>1289</v>
      </c>
      <c r="E97" s="256" t="s">
        <v>1803</v>
      </c>
      <c r="F97" s="256" t="s">
        <v>1838</v>
      </c>
      <c r="G97" s="258">
        <v>46127000000</v>
      </c>
      <c r="H97" s="265">
        <v>0.1</v>
      </c>
      <c r="I97" s="258">
        <v>4612700000</v>
      </c>
      <c r="J97" s="258">
        <v>50739700000</v>
      </c>
      <c r="K97" s="256" t="s">
        <v>1346</v>
      </c>
    </row>
    <row r="98" spans="1:11" x14ac:dyDescent="0.3">
      <c r="A98" s="256">
        <v>37</v>
      </c>
      <c r="B98" s="257" t="s">
        <v>1404</v>
      </c>
      <c r="C98" s="276">
        <v>44561</v>
      </c>
      <c r="D98" s="257" t="s">
        <v>1277</v>
      </c>
      <c r="E98" s="256" t="s">
        <v>1783</v>
      </c>
      <c r="F98" s="256" t="s">
        <v>1838</v>
      </c>
      <c r="G98" s="258">
        <v>42003000000</v>
      </c>
      <c r="H98" s="265">
        <v>0.1</v>
      </c>
      <c r="I98" s="258">
        <v>4200300000</v>
      </c>
      <c r="J98" s="258">
        <v>46203300000</v>
      </c>
      <c r="K98" s="256" t="s">
        <v>1348</v>
      </c>
    </row>
    <row r="99" spans="1:11" x14ac:dyDescent="0.3">
      <c r="A99" s="256">
        <v>38</v>
      </c>
      <c r="B99" s="257" t="s">
        <v>1405</v>
      </c>
      <c r="C99" s="276">
        <v>44561</v>
      </c>
      <c r="D99" s="257" t="s">
        <v>1301</v>
      </c>
      <c r="E99" s="256" t="s">
        <v>1781</v>
      </c>
      <c r="F99" s="256" t="s">
        <v>1841</v>
      </c>
      <c r="G99" s="258">
        <v>29130000000</v>
      </c>
      <c r="H99" s="265">
        <v>0.1</v>
      </c>
      <c r="I99" s="258">
        <v>2913000000</v>
      </c>
      <c r="J99" s="258">
        <v>32043000000</v>
      </c>
      <c r="K99" s="256" t="s">
        <v>1346</v>
      </c>
    </row>
    <row r="100" spans="1:11" x14ac:dyDescent="0.3">
      <c r="A100" s="256">
        <v>39</v>
      </c>
      <c r="B100" s="257" t="s">
        <v>1406</v>
      </c>
      <c r="C100" s="276">
        <v>44561</v>
      </c>
      <c r="D100" s="257" t="s">
        <v>1285</v>
      </c>
      <c r="E100" s="256" t="s">
        <v>1793</v>
      </c>
      <c r="F100" s="256" t="s">
        <v>1840</v>
      </c>
      <c r="G100" s="258">
        <v>47942000000</v>
      </c>
      <c r="H100" s="265">
        <v>0.1</v>
      </c>
      <c r="I100" s="258">
        <v>4794200000</v>
      </c>
      <c r="J100" s="258">
        <v>52736200000</v>
      </c>
      <c r="K100" s="256" t="s">
        <v>1346</v>
      </c>
    </row>
    <row r="101" spans="1:11" x14ac:dyDescent="0.3">
      <c r="A101" s="256">
        <v>40</v>
      </c>
      <c r="B101" s="257" t="s">
        <v>1408</v>
      </c>
      <c r="C101" s="276">
        <v>44561</v>
      </c>
      <c r="D101" s="257" t="s">
        <v>1283</v>
      </c>
      <c r="E101" s="256" t="s">
        <v>1798</v>
      </c>
      <c r="F101" s="256" t="s">
        <v>1839</v>
      </c>
      <c r="G101" s="258">
        <v>46870000000</v>
      </c>
      <c r="H101" s="265">
        <v>0.1</v>
      </c>
      <c r="I101" s="258">
        <v>4687000000</v>
      </c>
      <c r="J101" s="258">
        <v>51557000000</v>
      </c>
      <c r="K101" s="256" t="s">
        <v>1346</v>
      </c>
    </row>
    <row r="102" spans="1:11" x14ac:dyDescent="0.3">
      <c r="A102" s="256">
        <v>41</v>
      </c>
      <c r="B102" s="257" t="s">
        <v>1409</v>
      </c>
      <c r="C102" s="276">
        <v>44561</v>
      </c>
      <c r="D102" s="257" t="s">
        <v>1282</v>
      </c>
      <c r="E102" s="256" t="s">
        <v>1789</v>
      </c>
      <c r="F102" s="256" t="s">
        <v>1839</v>
      </c>
      <c r="G102" s="258">
        <v>33312000000</v>
      </c>
      <c r="H102" s="265">
        <v>0.1</v>
      </c>
      <c r="I102" s="258">
        <v>3331200000</v>
      </c>
      <c r="J102" s="258">
        <v>36643200000</v>
      </c>
      <c r="K102" s="256" t="s">
        <v>1346</v>
      </c>
    </row>
    <row r="103" spans="1:11" x14ac:dyDescent="0.3">
      <c r="A103" s="256">
        <v>42</v>
      </c>
      <c r="B103" s="257" t="s">
        <v>1411</v>
      </c>
      <c r="C103" s="276">
        <v>44561</v>
      </c>
      <c r="D103" s="257" t="s">
        <v>1257</v>
      </c>
      <c r="E103" s="256" t="s">
        <v>1815</v>
      </c>
      <c r="F103" s="256" t="s">
        <v>1841</v>
      </c>
      <c r="G103" s="258">
        <v>27644000000</v>
      </c>
      <c r="H103" s="265">
        <v>0.1</v>
      </c>
      <c r="I103" s="258">
        <v>2764400000</v>
      </c>
      <c r="J103" s="258">
        <v>30408400000</v>
      </c>
      <c r="K103" s="256" t="s">
        <v>1346</v>
      </c>
    </row>
    <row r="104" spans="1:11" x14ac:dyDescent="0.3">
      <c r="A104" s="256">
        <v>43</v>
      </c>
      <c r="B104" s="257" t="s">
        <v>1414</v>
      </c>
      <c r="C104" s="276">
        <v>44561</v>
      </c>
      <c r="D104" s="257" t="s">
        <v>1296</v>
      </c>
      <c r="E104" s="256" t="s">
        <v>1807</v>
      </c>
      <c r="F104" s="256" t="s">
        <v>1841</v>
      </c>
      <c r="G104" s="258">
        <v>16475000000</v>
      </c>
      <c r="H104" s="265">
        <v>0.1</v>
      </c>
      <c r="I104" s="258">
        <v>1647500000</v>
      </c>
      <c r="J104" s="258">
        <v>18122500000</v>
      </c>
      <c r="K104" s="256" t="s">
        <v>1346</v>
      </c>
    </row>
    <row r="105" spans="1:11" x14ac:dyDescent="0.3">
      <c r="A105" s="256">
        <v>44</v>
      </c>
      <c r="B105" s="257" t="s">
        <v>1415</v>
      </c>
      <c r="C105" s="276">
        <v>44561</v>
      </c>
      <c r="D105" s="257" t="s">
        <v>1286</v>
      </c>
      <c r="E105" s="256" t="s">
        <v>1828</v>
      </c>
      <c r="F105" s="256" t="s">
        <v>1840</v>
      </c>
      <c r="G105" s="258">
        <v>26018000000</v>
      </c>
      <c r="H105" s="265">
        <v>0.1</v>
      </c>
      <c r="I105" s="258">
        <v>2601800000</v>
      </c>
      <c r="J105" s="258">
        <v>28619800000</v>
      </c>
      <c r="K105" s="256" t="s">
        <v>1346</v>
      </c>
    </row>
    <row r="106" spans="1:11" x14ac:dyDescent="0.3">
      <c r="A106" s="256">
        <v>45</v>
      </c>
      <c r="B106" s="257" t="s">
        <v>1206</v>
      </c>
      <c r="C106" s="276">
        <v>44561</v>
      </c>
      <c r="D106" s="257" t="s">
        <v>1263</v>
      </c>
      <c r="E106" s="256" t="s">
        <v>1790</v>
      </c>
      <c r="F106" s="256" t="s">
        <v>1840</v>
      </c>
      <c r="G106" s="258">
        <v>43231000000</v>
      </c>
      <c r="H106" s="265">
        <v>0.1</v>
      </c>
      <c r="I106" s="258">
        <v>4323100000</v>
      </c>
      <c r="J106" s="258">
        <v>47554100000</v>
      </c>
      <c r="K106" s="256" t="s">
        <v>1346</v>
      </c>
    </row>
    <row r="107" spans="1:11" x14ac:dyDescent="0.3">
      <c r="A107" s="256">
        <v>46</v>
      </c>
      <c r="B107" s="257" t="s">
        <v>1207</v>
      </c>
      <c r="C107" s="276">
        <v>44561</v>
      </c>
      <c r="D107" s="257" t="s">
        <v>1262</v>
      </c>
      <c r="E107" s="256" t="s">
        <v>1816</v>
      </c>
      <c r="F107" s="256" t="s">
        <v>1838</v>
      </c>
      <c r="G107" s="258">
        <v>29227000000</v>
      </c>
      <c r="H107" s="265">
        <v>0.1</v>
      </c>
      <c r="I107" s="258">
        <v>2922700000</v>
      </c>
      <c r="J107" s="258">
        <v>32149700000</v>
      </c>
      <c r="K107" s="256" t="s">
        <v>1346</v>
      </c>
    </row>
    <row r="108" spans="1:11" x14ac:dyDescent="0.3">
      <c r="A108" s="256">
        <v>47</v>
      </c>
      <c r="B108" s="257" t="s">
        <v>1208</v>
      </c>
      <c r="C108" s="276">
        <v>44561</v>
      </c>
      <c r="D108" s="257" t="s">
        <v>1284</v>
      </c>
      <c r="E108" s="256" t="s">
        <v>1786</v>
      </c>
      <c r="F108" s="256" t="s">
        <v>1839</v>
      </c>
      <c r="G108" s="258">
        <v>20777000000</v>
      </c>
      <c r="H108" s="265">
        <v>0.1</v>
      </c>
      <c r="I108" s="258">
        <v>2077700000</v>
      </c>
      <c r="J108" s="258">
        <v>22854700000</v>
      </c>
      <c r="K108" s="256" t="s">
        <v>1346</v>
      </c>
    </row>
    <row r="109" spans="1:11" x14ac:dyDescent="0.3">
      <c r="A109" s="256">
        <v>48</v>
      </c>
      <c r="B109" s="257" t="s">
        <v>1209</v>
      </c>
      <c r="C109" s="276">
        <v>44561</v>
      </c>
      <c r="D109" s="257" t="s">
        <v>1293</v>
      </c>
      <c r="E109" s="256" t="s">
        <v>1826</v>
      </c>
      <c r="F109" s="256" t="s">
        <v>1841</v>
      </c>
      <c r="G109" s="258">
        <v>41677000000</v>
      </c>
      <c r="H109" s="265">
        <v>0.1</v>
      </c>
      <c r="I109" s="258">
        <v>4167700000</v>
      </c>
      <c r="J109" s="258">
        <v>45844700000</v>
      </c>
      <c r="K109" s="256" t="s">
        <v>1346</v>
      </c>
    </row>
    <row r="110" spans="1:11" x14ac:dyDescent="0.3">
      <c r="A110" s="256">
        <v>49</v>
      </c>
      <c r="B110" s="257" t="s">
        <v>1418</v>
      </c>
      <c r="C110" s="276">
        <v>44561</v>
      </c>
      <c r="D110" s="257" t="s">
        <v>1304</v>
      </c>
      <c r="E110" s="256" t="s">
        <v>1831</v>
      </c>
      <c r="F110" s="256" t="s">
        <v>1841</v>
      </c>
      <c r="G110" s="258">
        <v>23688000000</v>
      </c>
      <c r="H110" s="265">
        <v>0.1</v>
      </c>
      <c r="I110" s="258">
        <v>2368800000</v>
      </c>
      <c r="J110" s="258">
        <v>26056800000</v>
      </c>
      <c r="K110" s="256" t="s">
        <v>1346</v>
      </c>
    </row>
    <row r="111" spans="1:11" x14ac:dyDescent="0.3">
      <c r="A111" s="256">
        <v>50</v>
      </c>
      <c r="B111" s="257" t="s">
        <v>1419</v>
      </c>
      <c r="C111" s="276">
        <v>44561</v>
      </c>
      <c r="D111" s="257" t="s">
        <v>1284</v>
      </c>
      <c r="E111" s="256" t="s">
        <v>1786</v>
      </c>
      <c r="F111" s="256" t="s">
        <v>1840</v>
      </c>
      <c r="G111" s="258">
        <v>45643000000</v>
      </c>
      <c r="H111" s="265">
        <v>0.1</v>
      </c>
      <c r="I111" s="258">
        <v>4564300000</v>
      </c>
      <c r="J111" s="258">
        <v>50207300000</v>
      </c>
      <c r="K111" s="256" t="s">
        <v>1346</v>
      </c>
    </row>
    <row r="112" spans="1:11" x14ac:dyDescent="0.3">
      <c r="A112" s="266" t="s">
        <v>1351</v>
      </c>
      <c r="B112" s="266"/>
      <c r="C112" s="266"/>
      <c r="D112" s="266"/>
      <c r="E112" s="266"/>
      <c r="F112" s="266"/>
      <c r="G112" s="267">
        <f>SUM(G62:G111)</f>
        <v>1607108000000</v>
      </c>
      <c r="H112" s="266"/>
      <c r="I112" s="267">
        <f>SUM(I62:I111)</f>
        <v>154374700000</v>
      </c>
      <c r="J112" s="267">
        <f>SUM(J62:J111)</f>
        <v>1761482700000</v>
      </c>
      <c r="K112" s="266"/>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1158</v>
      </c>
      <c r="C1" s="256"/>
      <c r="D1" s="256"/>
      <c r="E1" s="256"/>
      <c r="F1" s="256"/>
      <c r="G1" s="256"/>
      <c r="H1" s="256"/>
      <c r="I1" s="256"/>
      <c r="J1" s="256"/>
      <c r="K1" s="256"/>
    </row>
    <row r="2" spans="1:11" x14ac:dyDescent="0.3">
      <c r="A2" s="256" t="s">
        <v>1339</v>
      </c>
      <c r="B2" s="257">
        <v>2500214518</v>
      </c>
      <c r="C2" s="256"/>
      <c r="D2" s="256"/>
      <c r="E2" s="256"/>
      <c r="F2" s="256"/>
      <c r="G2" s="256"/>
      <c r="H2" s="256"/>
      <c r="I2" s="256"/>
      <c r="J2" s="256"/>
      <c r="K2" s="256"/>
    </row>
    <row r="3" spans="1:11" x14ac:dyDescent="0.3">
      <c r="A3" s="256" t="s">
        <v>1343</v>
      </c>
      <c r="B3" s="258">
        <v>1760862996233</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1209</v>
      </c>
      <c r="C8" s="276">
        <v>44317</v>
      </c>
      <c r="D8" s="257" t="s">
        <v>1291</v>
      </c>
      <c r="E8" s="256" t="s">
        <v>1800</v>
      </c>
      <c r="F8" s="256" t="s">
        <v>1734</v>
      </c>
      <c r="G8" s="258">
        <v>10602000000</v>
      </c>
      <c r="H8" s="265">
        <v>0.1</v>
      </c>
      <c r="I8" s="258">
        <v>1060200000</v>
      </c>
      <c r="J8" s="258">
        <v>11662200000</v>
      </c>
      <c r="K8" s="256" t="s">
        <v>1346</v>
      </c>
    </row>
    <row r="9" spans="1:11" x14ac:dyDescent="0.3">
      <c r="A9" s="256">
        <v>2</v>
      </c>
      <c r="B9" s="257" t="s">
        <v>1482</v>
      </c>
      <c r="C9" s="276">
        <v>44318</v>
      </c>
      <c r="D9" s="257" t="s">
        <v>1266</v>
      </c>
      <c r="E9" s="256" t="s">
        <v>1824</v>
      </c>
      <c r="F9" s="256" t="s">
        <v>1734</v>
      </c>
      <c r="G9" s="258">
        <v>35309000000</v>
      </c>
      <c r="H9" s="265">
        <v>0.1</v>
      </c>
      <c r="I9" s="258">
        <v>3530900000</v>
      </c>
      <c r="J9" s="258">
        <v>38839900000</v>
      </c>
      <c r="K9" s="256" t="s">
        <v>1346</v>
      </c>
    </row>
    <row r="10" spans="1:11" x14ac:dyDescent="0.3">
      <c r="A10" s="256">
        <v>3</v>
      </c>
      <c r="B10" s="257" t="s">
        <v>1483</v>
      </c>
      <c r="C10" s="276">
        <v>44472</v>
      </c>
      <c r="D10" s="257" t="s">
        <v>1268</v>
      </c>
      <c r="E10" s="256" t="s">
        <v>1821</v>
      </c>
      <c r="F10" s="256" t="s">
        <v>1888</v>
      </c>
      <c r="G10" s="258">
        <v>17662000000</v>
      </c>
      <c r="H10" s="265">
        <v>0.1</v>
      </c>
      <c r="I10" s="258">
        <v>1766200000</v>
      </c>
      <c r="J10" s="258">
        <v>19428200000</v>
      </c>
      <c r="K10" s="256" t="s">
        <v>1346</v>
      </c>
    </row>
    <row r="11" spans="1:11" x14ac:dyDescent="0.3">
      <c r="A11" s="256">
        <v>4</v>
      </c>
      <c r="B11" s="257" t="s">
        <v>1494</v>
      </c>
      <c r="C11" s="276">
        <v>44473</v>
      </c>
      <c r="D11" s="257" t="s">
        <v>1275</v>
      </c>
      <c r="E11" s="256" t="s">
        <v>1808</v>
      </c>
      <c r="F11" s="256" t="s">
        <v>1888</v>
      </c>
      <c r="G11" s="258">
        <v>30876000000</v>
      </c>
      <c r="H11" s="265">
        <v>0.1</v>
      </c>
      <c r="I11" s="258">
        <v>3087600000</v>
      </c>
      <c r="J11" s="258">
        <v>33963600000</v>
      </c>
      <c r="K11" s="256" t="s">
        <v>1348</v>
      </c>
    </row>
    <row r="12" spans="1:11" x14ac:dyDescent="0.3">
      <c r="A12" s="256">
        <v>5</v>
      </c>
      <c r="B12" s="257" t="s">
        <v>1493</v>
      </c>
      <c r="C12" s="276">
        <v>44474</v>
      </c>
      <c r="D12" s="257" t="s">
        <v>1282</v>
      </c>
      <c r="E12" s="256" t="s">
        <v>1789</v>
      </c>
      <c r="F12" s="256" t="s">
        <v>1888</v>
      </c>
      <c r="G12" s="258">
        <v>38279000000</v>
      </c>
      <c r="H12" s="265">
        <v>0.1</v>
      </c>
      <c r="I12" s="258">
        <v>3827900000</v>
      </c>
      <c r="J12" s="258">
        <v>42106900000</v>
      </c>
      <c r="K12" s="256" t="s">
        <v>1346</v>
      </c>
    </row>
    <row r="13" spans="1:11" x14ac:dyDescent="0.3">
      <c r="A13" s="256">
        <v>6</v>
      </c>
      <c r="B13" s="257" t="s">
        <v>1473</v>
      </c>
      <c r="C13" s="276">
        <v>44475</v>
      </c>
      <c r="D13" s="257" t="s">
        <v>1302</v>
      </c>
      <c r="E13" s="256" t="s">
        <v>1784</v>
      </c>
      <c r="F13" s="256" t="s">
        <v>1889</v>
      </c>
      <c r="G13" s="258">
        <v>30533000000</v>
      </c>
      <c r="H13" s="265">
        <v>0.1</v>
      </c>
      <c r="I13" s="258">
        <v>3053300000</v>
      </c>
      <c r="J13" s="258">
        <v>33586300000</v>
      </c>
      <c r="K13" s="256" t="s">
        <v>1346</v>
      </c>
    </row>
    <row r="14" spans="1:11" x14ac:dyDescent="0.3">
      <c r="A14" s="256">
        <v>7</v>
      </c>
      <c r="B14" s="257" t="s">
        <v>1480</v>
      </c>
      <c r="C14" s="276">
        <v>44476</v>
      </c>
      <c r="D14" s="257" t="s">
        <v>1289</v>
      </c>
      <c r="E14" s="256" t="s">
        <v>1803</v>
      </c>
      <c r="F14" s="256" t="s">
        <v>1888</v>
      </c>
      <c r="G14" s="258">
        <v>33485000000</v>
      </c>
      <c r="H14" s="265">
        <v>0.1</v>
      </c>
      <c r="I14" s="258">
        <v>3348500000</v>
      </c>
      <c r="J14" s="258">
        <v>36833500000</v>
      </c>
      <c r="K14" s="256" t="s">
        <v>1346</v>
      </c>
    </row>
    <row r="15" spans="1:11" x14ac:dyDescent="0.3">
      <c r="A15" s="256">
        <v>8</v>
      </c>
      <c r="B15" s="257" t="s">
        <v>1487</v>
      </c>
      <c r="C15" s="276">
        <v>44477</v>
      </c>
      <c r="D15" s="257" t="s">
        <v>1256</v>
      </c>
      <c r="E15" s="256" t="s">
        <v>1802</v>
      </c>
      <c r="F15" s="256" t="s">
        <v>1889</v>
      </c>
      <c r="G15" s="258">
        <v>14030000000</v>
      </c>
      <c r="H15" s="265">
        <v>0.1</v>
      </c>
      <c r="I15" s="258">
        <v>1403000000</v>
      </c>
      <c r="J15" s="258">
        <v>15433000000</v>
      </c>
      <c r="K15" s="256" t="s">
        <v>1346</v>
      </c>
    </row>
    <row r="16" spans="1:11" x14ac:dyDescent="0.3">
      <c r="A16" s="256">
        <v>9</v>
      </c>
      <c r="B16" s="257" t="s">
        <v>1211</v>
      </c>
      <c r="C16" s="276">
        <v>44478</v>
      </c>
      <c r="D16" s="257" t="s">
        <v>1271</v>
      </c>
      <c r="E16" s="256" t="s">
        <v>1799</v>
      </c>
      <c r="F16" s="256" t="s">
        <v>1734</v>
      </c>
      <c r="G16" s="258">
        <v>11717000000</v>
      </c>
      <c r="H16" s="265">
        <v>0</v>
      </c>
      <c r="I16" s="258">
        <v>0</v>
      </c>
      <c r="J16" s="258">
        <v>11717000000</v>
      </c>
      <c r="K16" s="256" t="s">
        <v>1348</v>
      </c>
    </row>
    <row r="17" spans="1:11" x14ac:dyDescent="0.3">
      <c r="A17" s="256">
        <v>10</v>
      </c>
      <c r="B17" s="257" t="s">
        <v>1475</v>
      </c>
      <c r="C17" s="276">
        <v>44479</v>
      </c>
      <c r="D17" s="257" t="s">
        <v>1293</v>
      </c>
      <c r="E17" s="256" t="s">
        <v>1826</v>
      </c>
      <c r="F17" s="256" t="s">
        <v>1888</v>
      </c>
      <c r="G17" s="258">
        <v>33048000000</v>
      </c>
      <c r="H17" s="265">
        <v>0.1</v>
      </c>
      <c r="I17" s="258">
        <v>3304800000</v>
      </c>
      <c r="J17" s="258">
        <v>36352800000</v>
      </c>
      <c r="K17" s="256" t="s">
        <v>1346</v>
      </c>
    </row>
    <row r="18" spans="1:11" x14ac:dyDescent="0.3">
      <c r="A18" s="256">
        <v>11</v>
      </c>
      <c r="B18" s="257" t="s">
        <v>1506</v>
      </c>
      <c r="C18" s="276">
        <v>44480</v>
      </c>
      <c r="D18" s="257" t="s">
        <v>1259</v>
      </c>
      <c r="E18" s="256" t="s">
        <v>1788</v>
      </c>
      <c r="F18" s="256" t="s">
        <v>1891</v>
      </c>
      <c r="G18" s="258">
        <v>18480000000</v>
      </c>
      <c r="H18" s="265">
        <v>0</v>
      </c>
      <c r="I18" s="258">
        <v>0</v>
      </c>
      <c r="J18" s="258">
        <v>18480000000</v>
      </c>
      <c r="K18" s="256" t="s">
        <v>1346</v>
      </c>
    </row>
    <row r="19" spans="1:11" x14ac:dyDescent="0.3">
      <c r="A19" s="256">
        <v>12</v>
      </c>
      <c r="B19" s="257" t="s">
        <v>1471</v>
      </c>
      <c r="C19" s="276">
        <v>44481</v>
      </c>
      <c r="D19" s="257" t="s">
        <v>1301</v>
      </c>
      <c r="E19" s="256" t="s">
        <v>1781</v>
      </c>
      <c r="F19" s="256" t="s">
        <v>1890</v>
      </c>
      <c r="G19" s="258">
        <v>12129000000</v>
      </c>
      <c r="H19" s="265">
        <v>0.1</v>
      </c>
      <c r="I19" s="258">
        <v>1212900000</v>
      </c>
      <c r="J19" s="258">
        <v>13341900000</v>
      </c>
      <c r="K19" s="256" t="s">
        <v>1348</v>
      </c>
    </row>
    <row r="20" spans="1:11" x14ac:dyDescent="0.3">
      <c r="A20" s="256">
        <v>13</v>
      </c>
      <c r="B20" s="257" t="s">
        <v>1474</v>
      </c>
      <c r="C20" s="276">
        <v>44211</v>
      </c>
      <c r="D20" s="257" t="s">
        <v>1302</v>
      </c>
      <c r="E20" s="256" t="s">
        <v>1784</v>
      </c>
      <c r="F20" s="256" t="s">
        <v>1890</v>
      </c>
      <c r="G20" s="258">
        <v>17406000000</v>
      </c>
      <c r="H20" s="265">
        <v>0.1</v>
      </c>
      <c r="I20" s="258">
        <v>1740600000</v>
      </c>
      <c r="J20" s="258">
        <v>19146600000</v>
      </c>
      <c r="K20" s="256" t="s">
        <v>1346</v>
      </c>
    </row>
    <row r="21" spans="1:11" x14ac:dyDescent="0.3">
      <c r="A21" s="256">
        <v>14</v>
      </c>
      <c r="B21" s="257" t="s">
        <v>1483</v>
      </c>
      <c r="C21" s="276">
        <v>44242</v>
      </c>
      <c r="D21" s="257" t="s">
        <v>1266</v>
      </c>
      <c r="E21" s="256" t="s">
        <v>1824</v>
      </c>
      <c r="F21" s="256" t="s">
        <v>1741</v>
      </c>
      <c r="G21" s="258">
        <v>27195000000</v>
      </c>
      <c r="H21" s="265">
        <v>0.1</v>
      </c>
      <c r="I21" s="258">
        <v>2719500000</v>
      </c>
      <c r="J21" s="258">
        <v>29914500000</v>
      </c>
      <c r="K21" s="256" t="s">
        <v>1346</v>
      </c>
    </row>
    <row r="22" spans="1:11" x14ac:dyDescent="0.3">
      <c r="A22" s="256">
        <v>15</v>
      </c>
      <c r="B22" s="257" t="s">
        <v>1207</v>
      </c>
      <c r="C22" s="276">
        <v>44275</v>
      </c>
      <c r="D22" s="257" t="s">
        <v>1298</v>
      </c>
      <c r="E22" s="256" t="s">
        <v>1819</v>
      </c>
      <c r="F22" s="256" t="s">
        <v>1888</v>
      </c>
      <c r="G22" s="258">
        <v>11466000000</v>
      </c>
      <c r="H22" s="265">
        <v>0</v>
      </c>
      <c r="I22" s="258">
        <v>0</v>
      </c>
      <c r="J22" s="258">
        <v>11466000000</v>
      </c>
      <c r="K22" s="256" t="s">
        <v>1346</v>
      </c>
    </row>
    <row r="23" spans="1:11" x14ac:dyDescent="0.3">
      <c r="A23" s="256">
        <v>16</v>
      </c>
      <c r="B23" s="257" t="s">
        <v>1419</v>
      </c>
      <c r="C23" s="276">
        <v>44306</v>
      </c>
      <c r="D23" s="257" t="s">
        <v>1294</v>
      </c>
      <c r="E23" s="256" t="s">
        <v>1795</v>
      </c>
      <c r="F23" s="256" t="s">
        <v>1891</v>
      </c>
      <c r="G23" s="258">
        <v>30289000000</v>
      </c>
      <c r="H23" s="265">
        <v>0.1</v>
      </c>
      <c r="I23" s="258">
        <v>3028900000</v>
      </c>
      <c r="J23" s="258">
        <v>33317900000</v>
      </c>
      <c r="K23" s="256" t="s">
        <v>1346</v>
      </c>
    </row>
    <row r="24" spans="1:11" x14ac:dyDescent="0.3">
      <c r="A24" s="256">
        <v>17</v>
      </c>
      <c r="B24" s="257" t="s">
        <v>1409</v>
      </c>
      <c r="C24" s="276">
        <v>44336</v>
      </c>
      <c r="D24" s="257" t="s">
        <v>1258</v>
      </c>
      <c r="E24" s="256" t="s">
        <v>1833</v>
      </c>
      <c r="F24" s="256" t="s">
        <v>1888</v>
      </c>
      <c r="G24" s="258">
        <v>29318000000</v>
      </c>
      <c r="H24" s="265">
        <v>0.1</v>
      </c>
      <c r="I24" s="258">
        <v>2931800000</v>
      </c>
      <c r="J24" s="258">
        <v>32249800000</v>
      </c>
      <c r="K24" s="256" t="s">
        <v>1346</v>
      </c>
    </row>
    <row r="25" spans="1:11" x14ac:dyDescent="0.3">
      <c r="A25" s="256">
        <v>18</v>
      </c>
      <c r="B25" s="257" t="s">
        <v>1487</v>
      </c>
      <c r="C25" s="276">
        <v>44367</v>
      </c>
      <c r="D25" s="257" t="s">
        <v>1279</v>
      </c>
      <c r="E25" s="256" t="s">
        <v>1827</v>
      </c>
      <c r="F25" s="256" t="s">
        <v>1734</v>
      </c>
      <c r="G25" s="258">
        <v>34875000000</v>
      </c>
      <c r="H25" s="265">
        <v>0.1</v>
      </c>
      <c r="I25" s="258">
        <v>3487500000</v>
      </c>
      <c r="J25" s="258">
        <v>38362500000</v>
      </c>
      <c r="K25" s="256" t="s">
        <v>1346</v>
      </c>
    </row>
    <row r="26" spans="1:11" x14ac:dyDescent="0.3">
      <c r="A26" s="256">
        <v>19</v>
      </c>
      <c r="B26" s="257" t="s">
        <v>1418</v>
      </c>
      <c r="C26" s="276">
        <v>44397</v>
      </c>
      <c r="D26" s="257" t="s">
        <v>1291</v>
      </c>
      <c r="E26" s="256" t="s">
        <v>1800</v>
      </c>
      <c r="F26" s="256" t="s">
        <v>1891</v>
      </c>
      <c r="G26" s="258">
        <v>33274000000</v>
      </c>
      <c r="H26" s="265">
        <v>0.1</v>
      </c>
      <c r="I26" s="258">
        <v>3327400000</v>
      </c>
      <c r="J26" s="258">
        <v>36601400000</v>
      </c>
      <c r="K26" s="256" t="s">
        <v>1346</v>
      </c>
    </row>
    <row r="27" spans="1:11" x14ac:dyDescent="0.3">
      <c r="A27" s="256">
        <v>20</v>
      </c>
      <c r="B27" s="257" t="s">
        <v>1457</v>
      </c>
      <c r="C27" s="276">
        <v>44428</v>
      </c>
      <c r="D27" s="257" t="s">
        <v>1287</v>
      </c>
      <c r="E27" s="256" t="s">
        <v>1801</v>
      </c>
      <c r="F27" s="256" t="s">
        <v>1890</v>
      </c>
      <c r="G27" s="258">
        <v>31881000000</v>
      </c>
      <c r="H27" s="265">
        <v>0.1</v>
      </c>
      <c r="I27" s="258">
        <v>3188100000</v>
      </c>
      <c r="J27" s="258">
        <v>35069100000</v>
      </c>
      <c r="K27" s="256" t="s">
        <v>1346</v>
      </c>
    </row>
    <row r="28" spans="1:11" x14ac:dyDescent="0.3">
      <c r="A28" s="256">
        <v>21</v>
      </c>
      <c r="B28" s="257" t="s">
        <v>1479</v>
      </c>
      <c r="C28" s="276">
        <v>44459</v>
      </c>
      <c r="D28" s="257" t="s">
        <v>1278</v>
      </c>
      <c r="E28" s="256" t="s">
        <v>1785</v>
      </c>
      <c r="F28" s="256" t="s">
        <v>1890</v>
      </c>
      <c r="G28" s="258">
        <v>37057000000</v>
      </c>
      <c r="H28" s="265">
        <v>0.1</v>
      </c>
      <c r="I28" s="258">
        <v>3705700000</v>
      </c>
      <c r="J28" s="258">
        <v>40762700000</v>
      </c>
      <c r="K28" s="256" t="s">
        <v>1346</v>
      </c>
    </row>
    <row r="29" spans="1:11" x14ac:dyDescent="0.3">
      <c r="A29" s="256">
        <v>22</v>
      </c>
      <c r="B29" s="257" t="s">
        <v>1510</v>
      </c>
      <c r="C29" s="276">
        <v>44489</v>
      </c>
      <c r="D29" s="257" t="s">
        <v>1304</v>
      </c>
      <c r="E29" s="256" t="s">
        <v>1831</v>
      </c>
      <c r="F29" s="256" t="s">
        <v>1889</v>
      </c>
      <c r="G29" s="258">
        <v>10433000000</v>
      </c>
      <c r="H29" s="265">
        <v>0.1</v>
      </c>
      <c r="I29" s="258">
        <v>1043300000</v>
      </c>
      <c r="J29" s="258">
        <v>11476300000</v>
      </c>
      <c r="K29" s="256" t="s">
        <v>1346</v>
      </c>
    </row>
    <row r="30" spans="1:11" x14ac:dyDescent="0.3">
      <c r="A30" s="256">
        <v>23</v>
      </c>
      <c r="B30" s="257" t="s">
        <v>1212</v>
      </c>
      <c r="C30" s="276">
        <v>44520</v>
      </c>
      <c r="D30" s="257" t="s">
        <v>1271</v>
      </c>
      <c r="E30" s="256" t="s">
        <v>1799</v>
      </c>
      <c r="F30" s="256" t="s">
        <v>1888</v>
      </c>
      <c r="G30" s="258">
        <v>37499000000</v>
      </c>
      <c r="H30" s="265">
        <v>0</v>
      </c>
      <c r="I30" s="258">
        <v>0</v>
      </c>
      <c r="J30" s="258">
        <v>37499000000</v>
      </c>
      <c r="K30" s="256" t="s">
        <v>1346</v>
      </c>
    </row>
    <row r="31" spans="1:11" x14ac:dyDescent="0.3">
      <c r="A31" s="256">
        <v>24</v>
      </c>
      <c r="B31" s="257" t="s">
        <v>1484</v>
      </c>
      <c r="C31" s="276">
        <v>44550</v>
      </c>
      <c r="D31" s="257" t="s">
        <v>1266</v>
      </c>
      <c r="E31" s="256" t="s">
        <v>1824</v>
      </c>
      <c r="F31" s="256" t="s">
        <v>1888</v>
      </c>
      <c r="G31" s="258">
        <v>15507000000</v>
      </c>
      <c r="H31" s="265">
        <v>0.1</v>
      </c>
      <c r="I31" s="258">
        <v>1550700000</v>
      </c>
      <c r="J31" s="258">
        <v>17057700000</v>
      </c>
      <c r="K31" s="256" t="s">
        <v>1346</v>
      </c>
    </row>
    <row r="32" spans="1:11" x14ac:dyDescent="0.3">
      <c r="A32" s="256">
        <v>25</v>
      </c>
      <c r="B32" s="257" t="s">
        <v>1515</v>
      </c>
      <c r="C32" s="276">
        <v>44221</v>
      </c>
      <c r="D32" s="257" t="s">
        <v>1284</v>
      </c>
      <c r="E32" s="256" t="s">
        <v>1786</v>
      </c>
      <c r="F32" s="256" t="s">
        <v>1888</v>
      </c>
      <c r="G32" s="258">
        <v>22247000000</v>
      </c>
      <c r="H32" s="265">
        <v>0.1</v>
      </c>
      <c r="I32" s="258">
        <v>2224700000</v>
      </c>
      <c r="J32" s="258">
        <v>24471700000</v>
      </c>
      <c r="K32" s="256" t="s">
        <v>1346</v>
      </c>
    </row>
    <row r="33" spans="1:11" x14ac:dyDescent="0.3">
      <c r="A33" s="256">
        <v>26</v>
      </c>
      <c r="B33" s="257" t="s">
        <v>1476</v>
      </c>
      <c r="C33" s="276">
        <v>44255</v>
      </c>
      <c r="D33" s="257" t="s">
        <v>1293</v>
      </c>
      <c r="E33" s="256" t="s">
        <v>1826</v>
      </c>
      <c r="F33" s="256" t="s">
        <v>1734</v>
      </c>
      <c r="G33" s="258">
        <v>22225000000</v>
      </c>
      <c r="H33" s="265">
        <v>0.1</v>
      </c>
      <c r="I33" s="258">
        <v>2222500000</v>
      </c>
      <c r="J33" s="258">
        <v>24447500000</v>
      </c>
      <c r="K33" s="256" t="s">
        <v>1346</v>
      </c>
    </row>
    <row r="34" spans="1:11" x14ac:dyDescent="0.3">
      <c r="A34" s="256">
        <v>27</v>
      </c>
      <c r="B34" s="257" t="s">
        <v>1213</v>
      </c>
      <c r="C34" s="276">
        <v>44316</v>
      </c>
      <c r="D34" s="257" t="s">
        <v>1271</v>
      </c>
      <c r="E34" s="256" t="s">
        <v>1799</v>
      </c>
      <c r="F34" s="256" t="s">
        <v>1890</v>
      </c>
      <c r="G34" s="258">
        <v>23076000000</v>
      </c>
      <c r="H34" s="265">
        <v>0.1</v>
      </c>
      <c r="I34" s="258">
        <v>2307600000</v>
      </c>
      <c r="J34" s="258">
        <v>25383600000</v>
      </c>
      <c r="K34" s="256" t="s">
        <v>1346</v>
      </c>
    </row>
    <row r="35" spans="1:11" x14ac:dyDescent="0.3">
      <c r="A35" s="256">
        <v>28</v>
      </c>
      <c r="B35" s="257" t="s">
        <v>1473</v>
      </c>
      <c r="C35" s="276">
        <v>44377</v>
      </c>
      <c r="D35" s="257" t="s">
        <v>1264</v>
      </c>
      <c r="E35" s="256" t="s">
        <v>1779</v>
      </c>
      <c r="F35" s="256" t="s">
        <v>1891</v>
      </c>
      <c r="G35" s="258">
        <v>24066000000</v>
      </c>
      <c r="H35" s="265">
        <v>0.1</v>
      </c>
      <c r="I35" s="258">
        <v>2406600000</v>
      </c>
      <c r="J35" s="258">
        <v>26472600000</v>
      </c>
      <c r="K35" s="256" t="s">
        <v>1346</v>
      </c>
    </row>
    <row r="36" spans="1:11" x14ac:dyDescent="0.3">
      <c r="A36" s="256">
        <v>29</v>
      </c>
      <c r="B36" s="257" t="s">
        <v>1495</v>
      </c>
      <c r="C36" s="276">
        <v>44469</v>
      </c>
      <c r="D36" s="257" t="s">
        <v>1275</v>
      </c>
      <c r="E36" s="256" t="s">
        <v>1808</v>
      </c>
      <c r="F36" s="256" t="s">
        <v>1891</v>
      </c>
      <c r="G36" s="258">
        <v>27325000000</v>
      </c>
      <c r="H36" s="265">
        <v>0.1</v>
      </c>
      <c r="I36" s="258">
        <v>2732500000</v>
      </c>
      <c r="J36" s="258">
        <v>30057500000</v>
      </c>
      <c r="K36" s="256" t="s">
        <v>1346</v>
      </c>
    </row>
    <row r="37" spans="1:11" x14ac:dyDescent="0.3">
      <c r="A37" s="256">
        <v>30</v>
      </c>
      <c r="B37" s="257" t="s">
        <v>1492</v>
      </c>
      <c r="C37" s="276">
        <v>44530</v>
      </c>
      <c r="D37" s="257" t="s">
        <v>1276</v>
      </c>
      <c r="E37" s="256" t="s">
        <v>1822</v>
      </c>
      <c r="F37" s="256" t="s">
        <v>1888</v>
      </c>
      <c r="G37" s="258">
        <v>39490000000</v>
      </c>
      <c r="H37" s="265">
        <v>0.1</v>
      </c>
      <c r="I37" s="258">
        <v>3949000000</v>
      </c>
      <c r="J37" s="258">
        <v>43439000000</v>
      </c>
      <c r="K37" s="256" t="s">
        <v>1346</v>
      </c>
    </row>
    <row r="38" spans="1:11" x14ac:dyDescent="0.3">
      <c r="A38" s="256">
        <v>31</v>
      </c>
      <c r="B38" s="257" t="s">
        <v>1484</v>
      </c>
      <c r="C38" s="276">
        <v>44286</v>
      </c>
      <c r="D38" s="257" t="s">
        <v>1257</v>
      </c>
      <c r="E38" s="256" t="s">
        <v>1815</v>
      </c>
      <c r="F38" s="256" t="s">
        <v>1741</v>
      </c>
      <c r="G38" s="258">
        <v>34067000000</v>
      </c>
      <c r="H38" s="265">
        <v>0.1</v>
      </c>
      <c r="I38" s="258">
        <v>3406700000</v>
      </c>
      <c r="J38" s="258">
        <v>37473700000</v>
      </c>
      <c r="K38" s="256" t="s">
        <v>1346</v>
      </c>
    </row>
    <row r="39" spans="1:11" x14ac:dyDescent="0.3">
      <c r="A39" s="256">
        <v>32</v>
      </c>
      <c r="B39" s="257" t="s">
        <v>1496</v>
      </c>
      <c r="C39" s="276">
        <v>44347</v>
      </c>
      <c r="D39" s="257" t="s">
        <v>1275</v>
      </c>
      <c r="E39" s="256" t="s">
        <v>1808</v>
      </c>
      <c r="F39" s="256" t="s">
        <v>1888</v>
      </c>
      <c r="G39" s="258">
        <v>37609000000</v>
      </c>
      <c r="H39" s="265">
        <v>0.1</v>
      </c>
      <c r="I39" s="258">
        <v>3760900000</v>
      </c>
      <c r="J39" s="258">
        <v>41369900000</v>
      </c>
      <c r="K39" s="256" t="s">
        <v>1346</v>
      </c>
    </row>
    <row r="40" spans="1:11" x14ac:dyDescent="0.3">
      <c r="A40" s="256">
        <v>33</v>
      </c>
      <c r="B40" s="257" t="s">
        <v>1476</v>
      </c>
      <c r="C40" s="276">
        <v>44408</v>
      </c>
      <c r="D40" s="257" t="s">
        <v>1262</v>
      </c>
      <c r="E40" s="256" t="s">
        <v>1816</v>
      </c>
      <c r="F40" s="256" t="s">
        <v>1891</v>
      </c>
      <c r="G40" s="258">
        <v>31763000000</v>
      </c>
      <c r="H40" s="265">
        <v>0.1</v>
      </c>
      <c r="I40" s="258">
        <v>3176300000</v>
      </c>
      <c r="J40" s="258">
        <v>34939300000</v>
      </c>
      <c r="K40" s="256" t="s">
        <v>1348</v>
      </c>
    </row>
    <row r="41" spans="1:11" x14ac:dyDescent="0.3">
      <c r="A41" s="256">
        <v>34</v>
      </c>
      <c r="B41" s="257" t="s">
        <v>1419</v>
      </c>
      <c r="C41" s="276">
        <v>44439</v>
      </c>
      <c r="D41" s="257" t="s">
        <v>1291</v>
      </c>
      <c r="E41" s="256" t="s">
        <v>1800</v>
      </c>
      <c r="F41" s="256" t="s">
        <v>1889</v>
      </c>
      <c r="G41" s="258">
        <v>12704000000</v>
      </c>
      <c r="H41" s="265">
        <v>0.1</v>
      </c>
      <c r="I41" s="258">
        <v>1270400000</v>
      </c>
      <c r="J41" s="258">
        <v>13974400000</v>
      </c>
      <c r="K41" s="256" t="s">
        <v>1348</v>
      </c>
    </row>
    <row r="42" spans="1:11" x14ac:dyDescent="0.3">
      <c r="A42" s="256">
        <v>35</v>
      </c>
      <c r="B42" s="257" t="s">
        <v>1458</v>
      </c>
      <c r="C42" s="276">
        <v>44500</v>
      </c>
      <c r="D42" s="257" t="s">
        <v>1267</v>
      </c>
      <c r="E42" s="256" t="s">
        <v>1810</v>
      </c>
      <c r="F42" s="256" t="s">
        <v>1889</v>
      </c>
      <c r="G42" s="258">
        <v>29013000000</v>
      </c>
      <c r="H42" s="265">
        <v>0.1</v>
      </c>
      <c r="I42" s="258">
        <v>2901300000</v>
      </c>
      <c r="J42" s="258">
        <v>31914300000</v>
      </c>
      <c r="K42" s="256" t="s">
        <v>1346</v>
      </c>
    </row>
    <row r="43" spans="1:11" x14ac:dyDescent="0.3">
      <c r="A43" s="256">
        <v>36</v>
      </c>
      <c r="B43" s="257" t="s">
        <v>1493</v>
      </c>
      <c r="C43" s="276">
        <v>44561</v>
      </c>
      <c r="D43" s="257" t="s">
        <v>1288</v>
      </c>
      <c r="E43" s="256" t="s">
        <v>1797</v>
      </c>
      <c r="F43" s="256" t="s">
        <v>1734</v>
      </c>
      <c r="G43" s="258">
        <v>17053000000</v>
      </c>
      <c r="H43" s="265">
        <v>0.1</v>
      </c>
      <c r="I43" s="258">
        <v>1705300000</v>
      </c>
      <c r="J43" s="258">
        <v>18758300000</v>
      </c>
      <c r="K43" s="256" t="s">
        <v>1346</v>
      </c>
    </row>
    <row r="44" spans="1:11" x14ac:dyDescent="0.3">
      <c r="A44" s="256">
        <v>37</v>
      </c>
      <c r="B44" s="257" t="s">
        <v>1484</v>
      </c>
      <c r="C44" s="276">
        <v>44561</v>
      </c>
      <c r="D44" s="257" t="s">
        <v>1268</v>
      </c>
      <c r="E44" s="256" t="s">
        <v>1821</v>
      </c>
      <c r="F44" s="256" t="s">
        <v>1889</v>
      </c>
      <c r="G44" s="258">
        <v>41097000000</v>
      </c>
      <c r="H44" s="265">
        <v>0.1</v>
      </c>
      <c r="I44" s="258">
        <v>4109700000</v>
      </c>
      <c r="J44" s="258">
        <v>45206700000</v>
      </c>
      <c r="K44" s="256" t="s">
        <v>1348</v>
      </c>
    </row>
    <row r="45" spans="1:11" x14ac:dyDescent="0.3">
      <c r="A45" s="256">
        <v>38</v>
      </c>
      <c r="B45" s="257" t="s">
        <v>1497</v>
      </c>
      <c r="C45" s="276">
        <v>44561</v>
      </c>
      <c r="D45" s="257" t="s">
        <v>1275</v>
      </c>
      <c r="E45" s="256" t="s">
        <v>1808</v>
      </c>
      <c r="F45" s="256" t="s">
        <v>1891</v>
      </c>
      <c r="G45" s="258">
        <v>11298000000</v>
      </c>
      <c r="H45" s="265">
        <v>0.1</v>
      </c>
      <c r="I45" s="258">
        <v>1129800000</v>
      </c>
      <c r="J45" s="258">
        <v>12427800000</v>
      </c>
      <c r="K45" s="256" t="s">
        <v>1346</v>
      </c>
    </row>
    <row r="46" spans="1:11" x14ac:dyDescent="0.3">
      <c r="A46" s="256">
        <v>39</v>
      </c>
      <c r="B46" s="257" t="s">
        <v>1498</v>
      </c>
      <c r="C46" s="276">
        <v>44561</v>
      </c>
      <c r="D46" s="257" t="s">
        <v>1270</v>
      </c>
      <c r="E46" s="256" t="s">
        <v>1782</v>
      </c>
      <c r="F46" s="256" t="s">
        <v>1741</v>
      </c>
      <c r="G46" s="258">
        <v>20684000000</v>
      </c>
      <c r="H46" s="265">
        <v>0.1</v>
      </c>
      <c r="I46" s="258">
        <v>2068400000</v>
      </c>
      <c r="J46" s="258">
        <v>22752400000</v>
      </c>
      <c r="K46" s="256" t="s">
        <v>1346</v>
      </c>
    </row>
    <row r="47" spans="1:11" x14ac:dyDescent="0.3">
      <c r="A47" s="256">
        <v>40</v>
      </c>
      <c r="B47" s="257" t="s">
        <v>1480</v>
      </c>
      <c r="C47" s="276">
        <v>44561</v>
      </c>
      <c r="D47" s="257" t="s">
        <v>1285</v>
      </c>
      <c r="E47" s="256" t="s">
        <v>1793</v>
      </c>
      <c r="F47" s="256" t="s">
        <v>1889</v>
      </c>
      <c r="G47" s="258">
        <v>38632000000</v>
      </c>
      <c r="H47" s="265">
        <v>0.1</v>
      </c>
      <c r="I47" s="258">
        <v>3863200000</v>
      </c>
      <c r="J47" s="258">
        <v>42495200000</v>
      </c>
      <c r="K47" s="256" t="s">
        <v>1346</v>
      </c>
    </row>
    <row r="48" spans="1:11" x14ac:dyDescent="0.3">
      <c r="A48" s="256">
        <v>41</v>
      </c>
      <c r="B48" s="257" t="s">
        <v>1474</v>
      </c>
      <c r="C48" s="276">
        <v>44561</v>
      </c>
      <c r="D48" s="257" t="s">
        <v>1264</v>
      </c>
      <c r="E48" s="256" t="s">
        <v>1779</v>
      </c>
      <c r="F48" s="256" t="s">
        <v>1889</v>
      </c>
      <c r="G48" s="258">
        <v>17061000000</v>
      </c>
      <c r="H48" s="265">
        <v>0.1</v>
      </c>
      <c r="I48" s="258">
        <v>1706100000</v>
      </c>
      <c r="J48" s="258">
        <v>18767100000</v>
      </c>
      <c r="K48" s="256" t="s">
        <v>1346</v>
      </c>
    </row>
    <row r="49" spans="1:11" x14ac:dyDescent="0.3">
      <c r="A49" s="256">
        <v>42</v>
      </c>
      <c r="B49" s="257" t="s">
        <v>1485</v>
      </c>
      <c r="C49" s="276">
        <v>44561</v>
      </c>
      <c r="D49" s="257" t="s">
        <v>1266</v>
      </c>
      <c r="E49" s="256" t="s">
        <v>1824</v>
      </c>
      <c r="F49" s="256" t="s">
        <v>1741</v>
      </c>
      <c r="G49" s="258">
        <v>28744000000</v>
      </c>
      <c r="H49" s="265">
        <v>0.1</v>
      </c>
      <c r="I49" s="258">
        <v>2874400000</v>
      </c>
      <c r="J49" s="258">
        <v>31618400000</v>
      </c>
      <c r="K49" s="256" t="s">
        <v>1346</v>
      </c>
    </row>
    <row r="50" spans="1:11" x14ac:dyDescent="0.3">
      <c r="A50" s="256">
        <v>43</v>
      </c>
      <c r="B50" s="257" t="s">
        <v>1481</v>
      </c>
      <c r="C50" s="276">
        <v>44561</v>
      </c>
      <c r="D50" s="257" t="s">
        <v>1285</v>
      </c>
      <c r="E50" s="256" t="s">
        <v>1793</v>
      </c>
      <c r="F50" s="256" t="s">
        <v>1891</v>
      </c>
      <c r="G50" s="258">
        <v>15219000000</v>
      </c>
      <c r="H50" s="265">
        <v>0.1</v>
      </c>
      <c r="I50" s="258">
        <v>1521900000</v>
      </c>
      <c r="J50" s="258">
        <v>16740900000</v>
      </c>
      <c r="K50" s="256" t="s">
        <v>1346</v>
      </c>
    </row>
    <row r="51" spans="1:11" x14ac:dyDescent="0.3">
      <c r="A51" s="256">
        <v>44</v>
      </c>
      <c r="B51" s="257" t="s">
        <v>1405</v>
      </c>
      <c r="C51" s="276">
        <v>44561</v>
      </c>
      <c r="D51" s="257" t="s">
        <v>1303</v>
      </c>
      <c r="E51" s="256" t="s">
        <v>1817</v>
      </c>
      <c r="F51" s="256" t="s">
        <v>1891</v>
      </c>
      <c r="G51" s="258">
        <v>16506000000</v>
      </c>
      <c r="H51" s="265">
        <v>0.1</v>
      </c>
      <c r="I51" s="258">
        <v>1650600000</v>
      </c>
      <c r="J51" s="258">
        <v>18156600000</v>
      </c>
      <c r="K51" s="256" t="s">
        <v>1346</v>
      </c>
    </row>
    <row r="52" spans="1:11" x14ac:dyDescent="0.3">
      <c r="A52" s="256">
        <v>45</v>
      </c>
      <c r="B52" s="257" t="s">
        <v>1458</v>
      </c>
      <c r="C52" s="276">
        <v>44561</v>
      </c>
      <c r="D52" s="257" t="s">
        <v>1287</v>
      </c>
      <c r="E52" s="256" t="s">
        <v>1801</v>
      </c>
      <c r="F52" s="256" t="s">
        <v>1734</v>
      </c>
      <c r="G52" s="258">
        <v>22744000000</v>
      </c>
      <c r="H52" s="265">
        <v>0.1</v>
      </c>
      <c r="I52" s="258">
        <v>2274400000</v>
      </c>
      <c r="J52" s="258">
        <v>25018400000</v>
      </c>
      <c r="K52" s="256" t="s">
        <v>1346</v>
      </c>
    </row>
    <row r="53" spans="1:11" x14ac:dyDescent="0.3">
      <c r="A53" s="256">
        <v>46</v>
      </c>
      <c r="B53" s="257" t="s">
        <v>1477</v>
      </c>
      <c r="C53" s="276">
        <v>44561</v>
      </c>
      <c r="D53" s="257" t="s">
        <v>1299</v>
      </c>
      <c r="E53" s="256" t="s">
        <v>1776</v>
      </c>
      <c r="F53" s="256" t="s">
        <v>1889</v>
      </c>
      <c r="G53" s="258">
        <v>19362000000</v>
      </c>
      <c r="H53" s="265">
        <v>0.1</v>
      </c>
      <c r="I53" s="258">
        <v>1936200000</v>
      </c>
      <c r="J53" s="258">
        <v>21298200000</v>
      </c>
      <c r="K53" s="256" t="s">
        <v>1346</v>
      </c>
    </row>
    <row r="54" spans="1:11" x14ac:dyDescent="0.3">
      <c r="A54" s="256">
        <v>47</v>
      </c>
      <c r="B54" s="257" t="s">
        <v>1505</v>
      </c>
      <c r="C54" s="276">
        <v>44561</v>
      </c>
      <c r="D54" s="257" t="s">
        <v>1271</v>
      </c>
      <c r="E54" s="256" t="s">
        <v>1799</v>
      </c>
      <c r="F54" s="256" t="s">
        <v>1888</v>
      </c>
      <c r="G54" s="258">
        <v>36372000000</v>
      </c>
      <c r="H54" s="265">
        <v>0.1</v>
      </c>
      <c r="I54" s="258">
        <v>3637200000</v>
      </c>
      <c r="J54" s="258">
        <v>40009200000</v>
      </c>
      <c r="K54" s="256" t="s">
        <v>1346</v>
      </c>
    </row>
    <row r="55" spans="1:11" x14ac:dyDescent="0.3">
      <c r="A55" s="256">
        <v>48</v>
      </c>
      <c r="B55" s="257" t="s">
        <v>1406</v>
      </c>
      <c r="C55" s="276">
        <v>44561</v>
      </c>
      <c r="D55" s="257" t="s">
        <v>1303</v>
      </c>
      <c r="E55" s="256" t="s">
        <v>1817</v>
      </c>
      <c r="F55" s="256" t="s">
        <v>1888</v>
      </c>
      <c r="G55" s="258">
        <v>36454000000</v>
      </c>
      <c r="H55" s="265">
        <v>0.1</v>
      </c>
      <c r="I55" s="258">
        <v>3645400000</v>
      </c>
      <c r="J55" s="258">
        <v>40099400000</v>
      </c>
      <c r="K55" s="256" t="s">
        <v>1346</v>
      </c>
    </row>
    <row r="56" spans="1:11" x14ac:dyDescent="0.3">
      <c r="A56" s="256">
        <v>49</v>
      </c>
      <c r="B56" s="257" t="s">
        <v>1494</v>
      </c>
      <c r="C56" s="276">
        <v>44561</v>
      </c>
      <c r="D56" s="257" t="s">
        <v>1288</v>
      </c>
      <c r="E56" s="256" t="s">
        <v>1797</v>
      </c>
      <c r="F56" s="256" t="s">
        <v>1741</v>
      </c>
      <c r="G56" s="258">
        <v>13620000000</v>
      </c>
      <c r="H56" s="265">
        <v>0.1</v>
      </c>
      <c r="I56" s="258">
        <v>1362000000</v>
      </c>
      <c r="J56" s="258">
        <v>14982000000</v>
      </c>
      <c r="K56" s="256" t="s">
        <v>1346</v>
      </c>
    </row>
    <row r="57" spans="1:11" x14ac:dyDescent="0.3">
      <c r="A57" s="256">
        <v>50</v>
      </c>
      <c r="B57" s="257" t="s">
        <v>1501</v>
      </c>
      <c r="C57" s="276">
        <v>44561</v>
      </c>
      <c r="D57" s="257" t="s">
        <v>1281</v>
      </c>
      <c r="E57" s="256" t="s">
        <v>1806</v>
      </c>
      <c r="F57" s="256" t="s">
        <v>1891</v>
      </c>
      <c r="G57" s="258">
        <v>23010000000</v>
      </c>
      <c r="H57" s="265">
        <v>0.1</v>
      </c>
      <c r="I57" s="258">
        <v>2301000000</v>
      </c>
      <c r="J57" s="258">
        <v>25311000000</v>
      </c>
      <c r="K57" s="256" t="s">
        <v>1346</v>
      </c>
    </row>
    <row r="58" spans="1:11" x14ac:dyDescent="0.3">
      <c r="A58" s="266" t="s">
        <v>1351</v>
      </c>
      <c r="B58" s="266"/>
      <c r="C58" s="266"/>
      <c r="D58" s="266"/>
      <c r="E58" s="266"/>
      <c r="F58" s="266"/>
      <c r="G58" s="267">
        <f>SUM(G8:G57)</f>
        <v>1263791000000</v>
      </c>
      <c r="H58" s="266"/>
      <c r="I58" s="267">
        <f>SUM(I8:I57)</f>
        <v>118462900000</v>
      </c>
      <c r="J58" s="267">
        <f>SUM(J8:J57)</f>
        <v>1382253900000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1892</v>
      </c>
      <c r="G62" s="258">
        <v>53546000000</v>
      </c>
      <c r="H62" s="265">
        <v>0.1</v>
      </c>
      <c r="I62" s="258">
        <v>5354600000</v>
      </c>
      <c r="J62" s="258">
        <v>58900600000</v>
      </c>
      <c r="K62" s="256" t="s">
        <v>1346</v>
      </c>
    </row>
    <row r="63" spans="1:11" x14ac:dyDescent="0.3">
      <c r="A63" s="256">
        <v>2</v>
      </c>
      <c r="B63" s="257" t="s">
        <v>1201</v>
      </c>
      <c r="C63" s="276">
        <v>44318</v>
      </c>
      <c r="D63" s="257" t="s">
        <v>1287</v>
      </c>
      <c r="E63" s="256" t="s">
        <v>1801</v>
      </c>
      <c r="F63" s="256" t="s">
        <v>1892</v>
      </c>
      <c r="G63" s="258">
        <v>19729000000</v>
      </c>
      <c r="H63" s="265">
        <v>0.1</v>
      </c>
      <c r="I63" s="258">
        <v>1972900000</v>
      </c>
      <c r="J63" s="258">
        <v>21701900000</v>
      </c>
      <c r="K63" s="256" t="s">
        <v>1346</v>
      </c>
    </row>
    <row r="64" spans="1:11" x14ac:dyDescent="0.3">
      <c r="A64" s="256">
        <v>3</v>
      </c>
      <c r="B64" s="257" t="s">
        <v>1202</v>
      </c>
      <c r="C64" s="276">
        <v>44472</v>
      </c>
      <c r="D64" s="257" t="s">
        <v>1290</v>
      </c>
      <c r="E64" s="256" t="s">
        <v>1796</v>
      </c>
      <c r="F64" s="256" t="s">
        <v>1892</v>
      </c>
      <c r="G64" s="258">
        <v>29499000000</v>
      </c>
      <c r="H64" s="265">
        <v>0.1</v>
      </c>
      <c r="I64" s="258">
        <v>2949900000</v>
      </c>
      <c r="J64" s="258">
        <v>32448900000</v>
      </c>
      <c r="K64" s="256" t="s">
        <v>1346</v>
      </c>
    </row>
    <row r="65" spans="1:11" x14ac:dyDescent="0.3">
      <c r="A65" s="256">
        <v>4</v>
      </c>
      <c r="B65" s="257" t="s">
        <v>1355</v>
      </c>
      <c r="C65" s="276">
        <v>44473</v>
      </c>
      <c r="D65" s="257" t="s">
        <v>1257</v>
      </c>
      <c r="E65" s="256" t="s">
        <v>1815</v>
      </c>
      <c r="F65" s="256" t="s">
        <v>1676</v>
      </c>
      <c r="G65" s="258">
        <v>30710000000</v>
      </c>
      <c r="H65" s="265">
        <v>0.1</v>
      </c>
      <c r="I65" s="258">
        <v>3071000000</v>
      </c>
      <c r="J65" s="258">
        <v>33781000000</v>
      </c>
      <c r="K65" s="256" t="s">
        <v>1346</v>
      </c>
    </row>
    <row r="66" spans="1:11" x14ac:dyDescent="0.3">
      <c r="A66" s="256">
        <v>5</v>
      </c>
      <c r="B66" s="257" t="s">
        <v>1356</v>
      </c>
      <c r="C66" s="276">
        <v>44474</v>
      </c>
      <c r="D66" s="257" t="s">
        <v>1272</v>
      </c>
      <c r="E66" s="256" t="s">
        <v>1805</v>
      </c>
      <c r="F66" s="256" t="s">
        <v>1892</v>
      </c>
      <c r="G66" s="258">
        <v>53899000000</v>
      </c>
      <c r="H66" s="265">
        <v>0</v>
      </c>
      <c r="I66" s="258">
        <v>0</v>
      </c>
      <c r="J66" s="258">
        <v>53899000000</v>
      </c>
      <c r="K66" s="256" t="s">
        <v>1346</v>
      </c>
    </row>
    <row r="67" spans="1:11" x14ac:dyDescent="0.3">
      <c r="A67" s="256">
        <v>6</v>
      </c>
      <c r="B67" s="257" t="s">
        <v>1358</v>
      </c>
      <c r="C67" s="276">
        <v>44475</v>
      </c>
      <c r="D67" s="257" t="s">
        <v>1267</v>
      </c>
      <c r="E67" s="256" t="s">
        <v>1810</v>
      </c>
      <c r="F67" s="256" t="s">
        <v>1893</v>
      </c>
      <c r="G67" s="258">
        <v>36532000000</v>
      </c>
      <c r="H67" s="265">
        <v>0.1</v>
      </c>
      <c r="I67" s="258">
        <v>3653200000</v>
      </c>
      <c r="J67" s="258">
        <v>40185200000</v>
      </c>
      <c r="K67" s="256" t="s">
        <v>1346</v>
      </c>
    </row>
    <row r="68" spans="1:11" x14ac:dyDescent="0.3">
      <c r="A68" s="256">
        <v>7</v>
      </c>
      <c r="B68" s="257" t="s">
        <v>1360</v>
      </c>
      <c r="C68" s="276">
        <v>44476</v>
      </c>
      <c r="D68" s="257" t="s">
        <v>1269</v>
      </c>
      <c r="E68" s="256" t="s">
        <v>1823</v>
      </c>
      <c r="F68" s="256" t="s">
        <v>1893</v>
      </c>
      <c r="G68" s="258">
        <v>48624000000</v>
      </c>
      <c r="H68" s="265">
        <v>0.1</v>
      </c>
      <c r="I68" s="258">
        <v>4862400000</v>
      </c>
      <c r="J68" s="258">
        <v>53486400000</v>
      </c>
      <c r="K68" s="256" t="s">
        <v>1348</v>
      </c>
    </row>
    <row r="69" spans="1:11" x14ac:dyDescent="0.3">
      <c r="A69" s="256">
        <v>8</v>
      </c>
      <c r="B69" s="257" t="s">
        <v>1362</v>
      </c>
      <c r="C69" s="276">
        <v>44477</v>
      </c>
      <c r="D69" s="257" t="s">
        <v>1266</v>
      </c>
      <c r="E69" s="256" t="s">
        <v>1824</v>
      </c>
      <c r="F69" s="256" t="s">
        <v>1676</v>
      </c>
      <c r="G69" s="258">
        <v>50860000000</v>
      </c>
      <c r="H69" s="265">
        <v>0.1</v>
      </c>
      <c r="I69" s="258">
        <v>5086000000</v>
      </c>
      <c r="J69" s="258">
        <v>55946000000</v>
      </c>
      <c r="K69" s="256" t="s">
        <v>1346</v>
      </c>
    </row>
    <row r="70" spans="1:11" x14ac:dyDescent="0.3">
      <c r="A70" s="256">
        <v>9</v>
      </c>
      <c r="B70" s="257" t="s">
        <v>1364</v>
      </c>
      <c r="C70" s="276">
        <v>44478</v>
      </c>
      <c r="D70" s="257" t="s">
        <v>1278</v>
      </c>
      <c r="E70" s="256" t="s">
        <v>1785</v>
      </c>
      <c r="F70" s="256" t="s">
        <v>1892</v>
      </c>
      <c r="G70" s="258">
        <v>30879000000</v>
      </c>
      <c r="H70" s="265">
        <v>0</v>
      </c>
      <c r="I70" s="258">
        <v>0</v>
      </c>
      <c r="J70" s="258">
        <v>30879000000</v>
      </c>
      <c r="K70" s="256" t="s">
        <v>1348</v>
      </c>
    </row>
    <row r="71" spans="1:11" x14ac:dyDescent="0.3">
      <c r="A71" s="256">
        <v>10</v>
      </c>
      <c r="B71" s="257" t="s">
        <v>1366</v>
      </c>
      <c r="C71" s="276">
        <v>44479</v>
      </c>
      <c r="D71" s="257" t="s">
        <v>1287</v>
      </c>
      <c r="E71" s="256" t="s">
        <v>1801</v>
      </c>
      <c r="F71" s="256" t="s">
        <v>1892</v>
      </c>
      <c r="G71" s="258">
        <v>46943000000</v>
      </c>
      <c r="H71" s="265">
        <v>0.1</v>
      </c>
      <c r="I71" s="258">
        <v>4694300000</v>
      </c>
      <c r="J71" s="258">
        <v>51637300000</v>
      </c>
      <c r="K71" s="256" t="s">
        <v>1346</v>
      </c>
    </row>
    <row r="72" spans="1:11" x14ac:dyDescent="0.3">
      <c r="A72" s="256">
        <v>11</v>
      </c>
      <c r="B72" s="257" t="s">
        <v>1368</v>
      </c>
      <c r="C72" s="276">
        <v>44480</v>
      </c>
      <c r="D72" s="257" t="s">
        <v>1281</v>
      </c>
      <c r="E72" s="256" t="s">
        <v>1806</v>
      </c>
      <c r="F72" s="256" t="s">
        <v>1893</v>
      </c>
      <c r="G72" s="258">
        <v>16536000000</v>
      </c>
      <c r="H72" s="265">
        <v>0.1</v>
      </c>
      <c r="I72" s="258">
        <v>1653600000</v>
      </c>
      <c r="J72" s="258">
        <v>18189600000</v>
      </c>
      <c r="K72" s="256" t="s">
        <v>1346</v>
      </c>
    </row>
    <row r="73" spans="1:11" x14ac:dyDescent="0.3">
      <c r="A73" s="256">
        <v>12</v>
      </c>
      <c r="B73" s="257" t="s">
        <v>1371</v>
      </c>
      <c r="C73" s="276">
        <v>44481</v>
      </c>
      <c r="D73" s="257" t="s">
        <v>1276</v>
      </c>
      <c r="E73" s="256" t="s">
        <v>1822</v>
      </c>
      <c r="F73" s="256" t="s">
        <v>1676</v>
      </c>
      <c r="G73" s="258">
        <v>34032000000</v>
      </c>
      <c r="H73" s="265">
        <v>0.1</v>
      </c>
      <c r="I73" s="258">
        <v>3403200000</v>
      </c>
      <c r="J73" s="258">
        <v>37435200000</v>
      </c>
      <c r="K73" s="256" t="s">
        <v>1346</v>
      </c>
    </row>
    <row r="74" spans="1:11" x14ac:dyDescent="0.3">
      <c r="A74" s="256">
        <v>13</v>
      </c>
      <c r="B74" s="257" t="s">
        <v>1373</v>
      </c>
      <c r="C74" s="276">
        <v>44211</v>
      </c>
      <c r="D74" s="257" t="s">
        <v>1301</v>
      </c>
      <c r="E74" s="256" t="s">
        <v>1781</v>
      </c>
      <c r="F74" s="256" t="s">
        <v>1892</v>
      </c>
      <c r="G74" s="258">
        <v>33099000000</v>
      </c>
      <c r="H74" s="265">
        <v>0.1</v>
      </c>
      <c r="I74" s="258">
        <v>3309900000</v>
      </c>
      <c r="J74" s="258">
        <v>36408900000</v>
      </c>
      <c r="K74" s="256" t="s">
        <v>1346</v>
      </c>
    </row>
    <row r="75" spans="1:11" x14ac:dyDescent="0.3">
      <c r="A75" s="256">
        <v>14</v>
      </c>
      <c r="B75" s="257" t="s">
        <v>1374</v>
      </c>
      <c r="C75" s="276">
        <v>44242</v>
      </c>
      <c r="D75" s="257" t="s">
        <v>1296</v>
      </c>
      <c r="E75" s="256" t="s">
        <v>1807</v>
      </c>
      <c r="F75" s="256" t="s">
        <v>1892</v>
      </c>
      <c r="G75" s="258">
        <v>52776000000</v>
      </c>
      <c r="H75" s="265">
        <v>0</v>
      </c>
      <c r="I75" s="258">
        <v>0</v>
      </c>
      <c r="J75" s="258">
        <v>52776000000</v>
      </c>
      <c r="K75" s="256" t="s">
        <v>1346</v>
      </c>
    </row>
    <row r="76" spans="1:11" x14ac:dyDescent="0.3">
      <c r="A76" s="256">
        <v>15</v>
      </c>
      <c r="B76" s="257" t="s">
        <v>1376</v>
      </c>
      <c r="C76" s="276">
        <v>44275</v>
      </c>
      <c r="D76" s="257" t="s">
        <v>1278</v>
      </c>
      <c r="E76" s="256" t="s">
        <v>1785</v>
      </c>
      <c r="F76" s="256" t="s">
        <v>1676</v>
      </c>
      <c r="G76" s="258">
        <v>35067000000</v>
      </c>
      <c r="H76" s="265">
        <v>0.1</v>
      </c>
      <c r="I76" s="258">
        <v>3506700000</v>
      </c>
      <c r="J76" s="258">
        <v>38573700000</v>
      </c>
      <c r="K76" s="256" t="s">
        <v>1346</v>
      </c>
    </row>
    <row r="77" spans="1:11" x14ac:dyDescent="0.3">
      <c r="A77" s="256">
        <v>16</v>
      </c>
      <c r="B77" s="257" t="s">
        <v>1378</v>
      </c>
      <c r="C77" s="276">
        <v>44306</v>
      </c>
      <c r="D77" s="257" t="s">
        <v>1304</v>
      </c>
      <c r="E77" s="256" t="s">
        <v>1831</v>
      </c>
      <c r="F77" s="256" t="s">
        <v>1676</v>
      </c>
      <c r="G77" s="258">
        <v>35606000000</v>
      </c>
      <c r="H77" s="265">
        <v>0.1</v>
      </c>
      <c r="I77" s="258">
        <v>3560600000</v>
      </c>
      <c r="J77" s="258">
        <v>39166600000</v>
      </c>
      <c r="K77" s="256" t="s">
        <v>1348</v>
      </c>
    </row>
    <row r="78" spans="1:11" x14ac:dyDescent="0.3">
      <c r="A78" s="256">
        <v>17</v>
      </c>
      <c r="B78" s="257" t="s">
        <v>1379</v>
      </c>
      <c r="C78" s="276">
        <v>44336</v>
      </c>
      <c r="D78" s="257" t="s">
        <v>1302</v>
      </c>
      <c r="E78" s="256" t="s">
        <v>1784</v>
      </c>
      <c r="F78" s="256" t="s">
        <v>1892</v>
      </c>
      <c r="G78" s="258">
        <v>49042000000</v>
      </c>
      <c r="H78" s="265">
        <v>0.1</v>
      </c>
      <c r="I78" s="258">
        <v>4904200000</v>
      </c>
      <c r="J78" s="258">
        <v>53946200000</v>
      </c>
      <c r="K78" s="256" t="s">
        <v>1346</v>
      </c>
    </row>
    <row r="79" spans="1:11" x14ac:dyDescent="0.3">
      <c r="A79" s="256">
        <v>18</v>
      </c>
      <c r="B79" s="257" t="s">
        <v>1381</v>
      </c>
      <c r="C79" s="276">
        <v>44367</v>
      </c>
      <c r="D79" s="257" t="s">
        <v>1284</v>
      </c>
      <c r="E79" s="256" t="s">
        <v>1786</v>
      </c>
      <c r="F79" s="256" t="s">
        <v>1893</v>
      </c>
      <c r="G79" s="258">
        <v>17717000000</v>
      </c>
      <c r="H79" s="265">
        <v>0.1</v>
      </c>
      <c r="I79" s="258">
        <v>1771700000</v>
      </c>
      <c r="J79" s="258">
        <v>19488700000</v>
      </c>
      <c r="K79" s="256" t="s">
        <v>1346</v>
      </c>
    </row>
    <row r="80" spans="1:11" x14ac:dyDescent="0.3">
      <c r="A80" s="256">
        <v>19</v>
      </c>
      <c r="B80" s="257" t="s">
        <v>1382</v>
      </c>
      <c r="C80" s="276">
        <v>44397</v>
      </c>
      <c r="D80" s="257" t="s">
        <v>1276</v>
      </c>
      <c r="E80" s="256" t="s">
        <v>1822</v>
      </c>
      <c r="F80" s="256" t="s">
        <v>1892</v>
      </c>
      <c r="G80" s="258">
        <v>43797000000</v>
      </c>
      <c r="H80" s="265">
        <v>0.1</v>
      </c>
      <c r="I80" s="258">
        <v>4379700000</v>
      </c>
      <c r="J80" s="258">
        <v>48176700000</v>
      </c>
      <c r="K80" s="256" t="s">
        <v>1346</v>
      </c>
    </row>
    <row r="81" spans="1:11" x14ac:dyDescent="0.3">
      <c r="A81" s="256">
        <v>20</v>
      </c>
      <c r="B81" s="257" t="s">
        <v>1383</v>
      </c>
      <c r="C81" s="276">
        <v>44428</v>
      </c>
      <c r="D81" s="257" t="s">
        <v>1261</v>
      </c>
      <c r="E81" s="256" t="s">
        <v>1813</v>
      </c>
      <c r="F81" s="256" t="s">
        <v>1893</v>
      </c>
      <c r="G81" s="258">
        <v>56000000000</v>
      </c>
      <c r="H81" s="265">
        <v>0.1</v>
      </c>
      <c r="I81" s="258">
        <v>5600000000</v>
      </c>
      <c r="J81" s="258">
        <v>61600000000</v>
      </c>
      <c r="K81" s="256" t="s">
        <v>1346</v>
      </c>
    </row>
    <row r="82" spans="1:11" x14ac:dyDescent="0.3">
      <c r="A82" s="256">
        <v>21</v>
      </c>
      <c r="B82" s="257" t="s">
        <v>1203</v>
      </c>
      <c r="C82" s="276">
        <v>44459</v>
      </c>
      <c r="D82" s="257" t="s">
        <v>1274</v>
      </c>
      <c r="E82" s="256" t="s">
        <v>1794</v>
      </c>
      <c r="F82" s="256" t="s">
        <v>1893</v>
      </c>
      <c r="G82" s="258">
        <v>45937000000</v>
      </c>
      <c r="H82" s="265">
        <v>0.1</v>
      </c>
      <c r="I82" s="258">
        <v>4593700000</v>
      </c>
      <c r="J82" s="258">
        <v>50530700000</v>
      </c>
      <c r="K82" s="256" t="s">
        <v>1348</v>
      </c>
    </row>
    <row r="83" spans="1:11" x14ac:dyDescent="0.3">
      <c r="A83" s="256">
        <v>22</v>
      </c>
      <c r="B83" s="257" t="s">
        <v>1204</v>
      </c>
      <c r="C83" s="276">
        <v>44489</v>
      </c>
      <c r="D83" s="257" t="s">
        <v>1297</v>
      </c>
      <c r="E83" s="256" t="s">
        <v>1820</v>
      </c>
      <c r="F83" s="256" t="s">
        <v>1893</v>
      </c>
      <c r="G83" s="258">
        <v>36853000000</v>
      </c>
      <c r="H83" s="265">
        <v>0.1</v>
      </c>
      <c r="I83" s="258">
        <v>3685300000</v>
      </c>
      <c r="J83" s="258">
        <v>40538300000</v>
      </c>
      <c r="K83" s="256" t="s">
        <v>1348</v>
      </c>
    </row>
    <row r="84" spans="1:11" x14ac:dyDescent="0.3">
      <c r="A84" s="256">
        <v>23</v>
      </c>
      <c r="B84" s="257" t="s">
        <v>1205</v>
      </c>
      <c r="C84" s="276">
        <v>44520</v>
      </c>
      <c r="D84" s="257" t="s">
        <v>1278</v>
      </c>
      <c r="E84" s="256" t="s">
        <v>1785</v>
      </c>
      <c r="F84" s="256" t="s">
        <v>1676</v>
      </c>
      <c r="G84" s="258">
        <v>35615000000</v>
      </c>
      <c r="H84" s="265">
        <v>0.1</v>
      </c>
      <c r="I84" s="258">
        <v>3561500000</v>
      </c>
      <c r="J84" s="258">
        <v>39176500000</v>
      </c>
      <c r="K84" s="256" t="s">
        <v>1346</v>
      </c>
    </row>
    <row r="85" spans="1:11" x14ac:dyDescent="0.3">
      <c r="A85" s="256">
        <v>24</v>
      </c>
      <c r="B85" s="257" t="s">
        <v>1385</v>
      </c>
      <c r="C85" s="276">
        <v>44550</v>
      </c>
      <c r="D85" s="257" t="s">
        <v>1266</v>
      </c>
      <c r="E85" s="256" t="s">
        <v>1824</v>
      </c>
      <c r="F85" s="256" t="s">
        <v>1676</v>
      </c>
      <c r="G85" s="258">
        <v>27333000000</v>
      </c>
      <c r="H85" s="265">
        <v>0.1</v>
      </c>
      <c r="I85" s="258">
        <v>2733300000</v>
      </c>
      <c r="J85" s="258">
        <v>30066300000</v>
      </c>
      <c r="K85" s="256" t="s">
        <v>1346</v>
      </c>
    </row>
    <row r="86" spans="1:11" x14ac:dyDescent="0.3">
      <c r="A86" s="256">
        <v>25</v>
      </c>
      <c r="B86" s="257" t="s">
        <v>1387</v>
      </c>
      <c r="C86" s="276">
        <v>44221</v>
      </c>
      <c r="D86" s="257" t="s">
        <v>1295</v>
      </c>
      <c r="E86" s="256" t="s">
        <v>1825</v>
      </c>
      <c r="F86" s="256" t="s">
        <v>1892</v>
      </c>
      <c r="G86" s="258">
        <v>53078000000</v>
      </c>
      <c r="H86" s="265">
        <v>0.1</v>
      </c>
      <c r="I86" s="258">
        <v>5307800000</v>
      </c>
      <c r="J86" s="258">
        <v>58385800000</v>
      </c>
      <c r="K86" s="256" t="s">
        <v>1346</v>
      </c>
    </row>
    <row r="87" spans="1:11" x14ac:dyDescent="0.3">
      <c r="A87" s="256">
        <v>26</v>
      </c>
      <c r="B87" s="257" t="s">
        <v>1388</v>
      </c>
      <c r="C87" s="276">
        <v>44255</v>
      </c>
      <c r="D87" s="257" t="s">
        <v>1270</v>
      </c>
      <c r="E87" s="256" t="s">
        <v>1782</v>
      </c>
      <c r="F87" s="256" t="s">
        <v>1893</v>
      </c>
      <c r="G87" s="258">
        <v>55113000000</v>
      </c>
      <c r="H87" s="265">
        <v>0.1</v>
      </c>
      <c r="I87" s="258">
        <v>5511300000</v>
      </c>
      <c r="J87" s="258">
        <v>60624300000</v>
      </c>
      <c r="K87" s="256" t="s">
        <v>1346</v>
      </c>
    </row>
    <row r="88" spans="1:11" x14ac:dyDescent="0.3">
      <c r="A88" s="256">
        <v>27</v>
      </c>
      <c r="B88" s="257" t="s">
        <v>1391</v>
      </c>
      <c r="C88" s="276">
        <v>44316</v>
      </c>
      <c r="D88" s="257" t="s">
        <v>1301</v>
      </c>
      <c r="E88" s="256" t="s">
        <v>1781</v>
      </c>
      <c r="F88" s="256" t="s">
        <v>1676</v>
      </c>
      <c r="G88" s="258">
        <v>27758000000</v>
      </c>
      <c r="H88" s="265">
        <v>0.1</v>
      </c>
      <c r="I88" s="258">
        <v>2775800000</v>
      </c>
      <c r="J88" s="258">
        <v>30533800000</v>
      </c>
      <c r="K88" s="256" t="s">
        <v>1346</v>
      </c>
    </row>
    <row r="89" spans="1:11" x14ac:dyDescent="0.3">
      <c r="A89" s="256">
        <v>28</v>
      </c>
      <c r="B89" s="257" t="s">
        <v>1392</v>
      </c>
      <c r="C89" s="276">
        <v>44377</v>
      </c>
      <c r="D89" s="257" t="s">
        <v>1289</v>
      </c>
      <c r="E89" s="256" t="s">
        <v>1803</v>
      </c>
      <c r="F89" s="256" t="s">
        <v>1893</v>
      </c>
      <c r="G89" s="258">
        <v>23919000000</v>
      </c>
      <c r="H89" s="265">
        <v>0.1</v>
      </c>
      <c r="I89" s="258">
        <v>2391900000</v>
      </c>
      <c r="J89" s="258">
        <v>26310900000</v>
      </c>
      <c r="K89" s="256" t="s">
        <v>1346</v>
      </c>
    </row>
    <row r="90" spans="1:11" x14ac:dyDescent="0.3">
      <c r="A90" s="256">
        <v>29</v>
      </c>
      <c r="B90" s="257" t="s">
        <v>1394</v>
      </c>
      <c r="C90" s="276">
        <v>44469</v>
      </c>
      <c r="D90" s="257" t="s">
        <v>1286</v>
      </c>
      <c r="E90" s="256" t="s">
        <v>1828</v>
      </c>
      <c r="F90" s="256" t="s">
        <v>1893</v>
      </c>
      <c r="G90" s="258">
        <v>45149000000</v>
      </c>
      <c r="H90" s="265">
        <v>0.1</v>
      </c>
      <c r="I90" s="258">
        <v>4514900000</v>
      </c>
      <c r="J90" s="258">
        <v>49663900000</v>
      </c>
      <c r="K90" s="256" t="s">
        <v>1346</v>
      </c>
    </row>
    <row r="91" spans="1:11" x14ac:dyDescent="0.3">
      <c r="A91" s="256">
        <v>30</v>
      </c>
      <c r="B91" s="257" t="s">
        <v>1396</v>
      </c>
      <c r="C91" s="276">
        <v>44530</v>
      </c>
      <c r="D91" s="257" t="s">
        <v>1279</v>
      </c>
      <c r="E91" s="256" t="s">
        <v>1827</v>
      </c>
      <c r="F91" s="256" t="s">
        <v>1676</v>
      </c>
      <c r="G91" s="258">
        <v>52447000000</v>
      </c>
      <c r="H91" s="265">
        <v>0.1</v>
      </c>
      <c r="I91" s="258">
        <v>5244700000</v>
      </c>
      <c r="J91" s="258">
        <v>57691700000</v>
      </c>
      <c r="K91" s="256" t="s">
        <v>1346</v>
      </c>
    </row>
    <row r="92" spans="1:11" x14ac:dyDescent="0.3">
      <c r="A92" s="256">
        <v>31</v>
      </c>
      <c r="B92" s="257" t="s">
        <v>1397</v>
      </c>
      <c r="C92" s="276">
        <v>44286</v>
      </c>
      <c r="D92" s="257" t="s">
        <v>1302</v>
      </c>
      <c r="E92" s="256" t="s">
        <v>1784</v>
      </c>
      <c r="F92" s="256" t="s">
        <v>1676</v>
      </c>
      <c r="G92" s="258">
        <v>42761000000</v>
      </c>
      <c r="H92" s="265">
        <v>0</v>
      </c>
      <c r="I92" s="258">
        <v>0</v>
      </c>
      <c r="J92" s="258">
        <v>42761000000</v>
      </c>
      <c r="K92" s="256" t="s">
        <v>1346</v>
      </c>
    </row>
    <row r="93" spans="1:11" x14ac:dyDescent="0.3">
      <c r="A93" s="256">
        <v>32</v>
      </c>
      <c r="B93" s="257" t="s">
        <v>1398</v>
      </c>
      <c r="C93" s="276">
        <v>44347</v>
      </c>
      <c r="D93" s="257" t="s">
        <v>1284</v>
      </c>
      <c r="E93" s="256" t="s">
        <v>1786</v>
      </c>
      <c r="F93" s="256" t="s">
        <v>1676</v>
      </c>
      <c r="G93" s="258">
        <v>27857000000</v>
      </c>
      <c r="H93" s="265">
        <v>0.1</v>
      </c>
      <c r="I93" s="258">
        <v>2785700000</v>
      </c>
      <c r="J93" s="258">
        <v>30642700000</v>
      </c>
      <c r="K93" s="256" t="s">
        <v>1346</v>
      </c>
    </row>
    <row r="94" spans="1:11" x14ac:dyDescent="0.3">
      <c r="A94" s="256">
        <v>33</v>
      </c>
      <c r="B94" s="257" t="s">
        <v>1399</v>
      </c>
      <c r="C94" s="276">
        <v>44408</v>
      </c>
      <c r="D94" s="257" t="s">
        <v>1257</v>
      </c>
      <c r="E94" s="256" t="s">
        <v>1815</v>
      </c>
      <c r="F94" s="256" t="s">
        <v>1676</v>
      </c>
      <c r="G94" s="258">
        <v>53184000000</v>
      </c>
      <c r="H94" s="265">
        <v>0.1</v>
      </c>
      <c r="I94" s="258">
        <v>5318400000</v>
      </c>
      <c r="J94" s="258">
        <v>58502400000</v>
      </c>
      <c r="K94" s="256" t="s">
        <v>1346</v>
      </c>
    </row>
    <row r="95" spans="1:11" x14ac:dyDescent="0.3">
      <c r="A95" s="256">
        <v>34</v>
      </c>
      <c r="B95" s="257" t="s">
        <v>1401</v>
      </c>
      <c r="C95" s="276">
        <v>44439</v>
      </c>
      <c r="D95" s="257" t="s">
        <v>1297</v>
      </c>
      <c r="E95" s="256" t="s">
        <v>1820</v>
      </c>
      <c r="F95" s="256" t="s">
        <v>1676</v>
      </c>
      <c r="G95" s="258">
        <v>26871000000</v>
      </c>
      <c r="H95" s="265">
        <v>0</v>
      </c>
      <c r="I95" s="258">
        <v>0</v>
      </c>
      <c r="J95" s="258">
        <v>26871000000</v>
      </c>
      <c r="K95" s="256" t="s">
        <v>1346</v>
      </c>
    </row>
    <row r="96" spans="1:11" x14ac:dyDescent="0.3">
      <c r="A96" s="256">
        <v>35</v>
      </c>
      <c r="B96" s="257" t="s">
        <v>1402</v>
      </c>
      <c r="C96" s="276">
        <v>44500</v>
      </c>
      <c r="D96" s="257" t="s">
        <v>1261</v>
      </c>
      <c r="E96" s="256" t="s">
        <v>1813</v>
      </c>
      <c r="F96" s="256" t="s">
        <v>1892</v>
      </c>
      <c r="G96" s="258">
        <v>48773000000</v>
      </c>
      <c r="H96" s="265">
        <v>0.1</v>
      </c>
      <c r="I96" s="258">
        <v>4877300000</v>
      </c>
      <c r="J96" s="258">
        <v>53650300000</v>
      </c>
      <c r="K96" s="256" t="s">
        <v>1346</v>
      </c>
    </row>
    <row r="97" spans="1:11" x14ac:dyDescent="0.3">
      <c r="A97" s="256">
        <v>36</v>
      </c>
      <c r="B97" s="257" t="s">
        <v>1403</v>
      </c>
      <c r="C97" s="276">
        <v>44561</v>
      </c>
      <c r="D97" s="257" t="s">
        <v>1282</v>
      </c>
      <c r="E97" s="256" t="s">
        <v>1789</v>
      </c>
      <c r="F97" s="256" t="s">
        <v>1676</v>
      </c>
      <c r="G97" s="258">
        <v>47678000000</v>
      </c>
      <c r="H97" s="265">
        <v>0.1</v>
      </c>
      <c r="I97" s="258">
        <v>4767800000</v>
      </c>
      <c r="J97" s="258">
        <v>52445800000</v>
      </c>
      <c r="K97" s="256" t="s">
        <v>1346</v>
      </c>
    </row>
    <row r="98" spans="1:11" x14ac:dyDescent="0.3">
      <c r="A98" s="256">
        <v>37</v>
      </c>
      <c r="B98" s="257" t="s">
        <v>1404</v>
      </c>
      <c r="C98" s="276">
        <v>44561</v>
      </c>
      <c r="D98" s="257" t="s">
        <v>1265</v>
      </c>
      <c r="E98" s="256" t="s">
        <v>1830</v>
      </c>
      <c r="F98" s="256" t="s">
        <v>1892</v>
      </c>
      <c r="G98" s="258">
        <v>29066000000</v>
      </c>
      <c r="H98" s="265">
        <v>0.1</v>
      </c>
      <c r="I98" s="258">
        <v>2906600000</v>
      </c>
      <c r="J98" s="258">
        <v>31972600000</v>
      </c>
      <c r="K98" s="256" t="s">
        <v>1346</v>
      </c>
    </row>
    <row r="99" spans="1:11" x14ac:dyDescent="0.3">
      <c r="A99" s="256">
        <v>38</v>
      </c>
      <c r="B99" s="257" t="s">
        <v>1405</v>
      </c>
      <c r="C99" s="276">
        <v>44561</v>
      </c>
      <c r="D99" s="257" t="s">
        <v>1275</v>
      </c>
      <c r="E99" s="256" t="s">
        <v>1808</v>
      </c>
      <c r="F99" s="256" t="s">
        <v>1892</v>
      </c>
      <c r="G99" s="258">
        <v>52131000000</v>
      </c>
      <c r="H99" s="265">
        <v>0.1</v>
      </c>
      <c r="I99" s="258">
        <v>5213100000</v>
      </c>
      <c r="J99" s="258">
        <v>57344100000</v>
      </c>
      <c r="K99" s="256" t="s">
        <v>1346</v>
      </c>
    </row>
    <row r="100" spans="1:11" x14ac:dyDescent="0.3">
      <c r="A100" s="256">
        <v>39</v>
      </c>
      <c r="B100" s="257" t="s">
        <v>1406</v>
      </c>
      <c r="C100" s="276">
        <v>44561</v>
      </c>
      <c r="D100" s="257" t="s">
        <v>1300</v>
      </c>
      <c r="E100" s="256" t="s">
        <v>1818</v>
      </c>
      <c r="F100" s="256" t="s">
        <v>1676</v>
      </c>
      <c r="G100" s="258">
        <v>34003000000</v>
      </c>
      <c r="H100" s="265">
        <v>0.1</v>
      </c>
      <c r="I100" s="258">
        <v>3400300000</v>
      </c>
      <c r="J100" s="258">
        <v>37403300000</v>
      </c>
      <c r="K100" s="256" t="s">
        <v>1346</v>
      </c>
    </row>
    <row r="101" spans="1:11" x14ac:dyDescent="0.3">
      <c r="A101" s="256">
        <v>40</v>
      </c>
      <c r="B101" s="257" t="s">
        <v>1408</v>
      </c>
      <c r="C101" s="276">
        <v>44561</v>
      </c>
      <c r="D101" s="257" t="s">
        <v>1275</v>
      </c>
      <c r="E101" s="256" t="s">
        <v>1808</v>
      </c>
      <c r="F101" s="256" t="s">
        <v>1892</v>
      </c>
      <c r="G101" s="258">
        <v>30001000000</v>
      </c>
      <c r="H101" s="265">
        <v>0.1</v>
      </c>
      <c r="I101" s="258">
        <v>3000100000</v>
      </c>
      <c r="J101" s="258">
        <v>33001100000</v>
      </c>
      <c r="K101" s="256" t="s">
        <v>1346</v>
      </c>
    </row>
    <row r="102" spans="1:11" x14ac:dyDescent="0.3">
      <c r="A102" s="256">
        <v>41</v>
      </c>
      <c r="B102" s="257" t="s">
        <v>1409</v>
      </c>
      <c r="C102" s="276">
        <v>44561</v>
      </c>
      <c r="D102" s="257" t="s">
        <v>1294</v>
      </c>
      <c r="E102" s="256" t="s">
        <v>1795</v>
      </c>
      <c r="F102" s="256" t="s">
        <v>1893</v>
      </c>
      <c r="G102" s="258">
        <v>22595000000</v>
      </c>
      <c r="H102" s="265">
        <v>0.1</v>
      </c>
      <c r="I102" s="258">
        <v>2259500000</v>
      </c>
      <c r="J102" s="258">
        <v>24854500000</v>
      </c>
      <c r="K102" s="256" t="s">
        <v>1348</v>
      </c>
    </row>
    <row r="103" spans="1:11" x14ac:dyDescent="0.3">
      <c r="A103" s="256">
        <v>42</v>
      </c>
      <c r="B103" s="257" t="s">
        <v>1411</v>
      </c>
      <c r="C103" s="276">
        <v>44561</v>
      </c>
      <c r="D103" s="257" t="s">
        <v>1270</v>
      </c>
      <c r="E103" s="256" t="s">
        <v>1782</v>
      </c>
      <c r="F103" s="256" t="s">
        <v>1676</v>
      </c>
      <c r="G103" s="258">
        <v>14471000000</v>
      </c>
      <c r="H103" s="265">
        <v>0.1</v>
      </c>
      <c r="I103" s="258">
        <v>1447100000</v>
      </c>
      <c r="J103" s="258">
        <v>15918100000</v>
      </c>
      <c r="K103" s="256" t="s">
        <v>1346</v>
      </c>
    </row>
    <row r="104" spans="1:11" x14ac:dyDescent="0.3">
      <c r="A104" s="256">
        <v>43</v>
      </c>
      <c r="B104" s="257" t="s">
        <v>1414</v>
      </c>
      <c r="C104" s="276">
        <v>44561</v>
      </c>
      <c r="D104" s="257" t="s">
        <v>1289</v>
      </c>
      <c r="E104" s="256" t="s">
        <v>1803</v>
      </c>
      <c r="F104" s="256" t="s">
        <v>1893</v>
      </c>
      <c r="G104" s="258">
        <v>34111000000</v>
      </c>
      <c r="H104" s="265">
        <v>0.1</v>
      </c>
      <c r="I104" s="258">
        <v>3411100000</v>
      </c>
      <c r="J104" s="258">
        <v>37522100000</v>
      </c>
      <c r="K104" s="256" t="s">
        <v>1346</v>
      </c>
    </row>
    <row r="105" spans="1:11" x14ac:dyDescent="0.3">
      <c r="A105" s="256">
        <v>44</v>
      </c>
      <c r="B105" s="257" t="s">
        <v>1415</v>
      </c>
      <c r="C105" s="276">
        <v>44561</v>
      </c>
      <c r="D105" s="257" t="s">
        <v>1271</v>
      </c>
      <c r="E105" s="256" t="s">
        <v>1799</v>
      </c>
      <c r="F105" s="256" t="s">
        <v>1676</v>
      </c>
      <c r="G105" s="258">
        <v>17569000000</v>
      </c>
      <c r="H105" s="265">
        <v>0.1</v>
      </c>
      <c r="I105" s="258">
        <v>1756900000</v>
      </c>
      <c r="J105" s="258">
        <v>19325900000</v>
      </c>
      <c r="K105" s="256" t="s">
        <v>1346</v>
      </c>
    </row>
    <row r="106" spans="1:11" x14ac:dyDescent="0.3">
      <c r="A106" s="256">
        <v>45</v>
      </c>
      <c r="B106" s="257" t="s">
        <v>1206</v>
      </c>
      <c r="C106" s="276">
        <v>44561</v>
      </c>
      <c r="D106" s="257" t="s">
        <v>1281</v>
      </c>
      <c r="E106" s="256" t="s">
        <v>1806</v>
      </c>
      <c r="F106" s="256" t="s">
        <v>1676</v>
      </c>
      <c r="G106" s="258">
        <v>55793000000</v>
      </c>
      <c r="H106" s="265">
        <v>0.1</v>
      </c>
      <c r="I106" s="258">
        <v>5579300000</v>
      </c>
      <c r="J106" s="258">
        <v>61372300000</v>
      </c>
      <c r="K106" s="256" t="s">
        <v>1348</v>
      </c>
    </row>
    <row r="107" spans="1:11" x14ac:dyDescent="0.3">
      <c r="A107" s="256">
        <v>46</v>
      </c>
      <c r="B107" s="257" t="s">
        <v>1207</v>
      </c>
      <c r="C107" s="276">
        <v>44561</v>
      </c>
      <c r="D107" s="257" t="s">
        <v>1299</v>
      </c>
      <c r="E107" s="256" t="s">
        <v>1776</v>
      </c>
      <c r="F107" s="256" t="s">
        <v>1676</v>
      </c>
      <c r="G107" s="258">
        <v>44651000000</v>
      </c>
      <c r="H107" s="265">
        <v>0.1</v>
      </c>
      <c r="I107" s="258">
        <v>4465100000</v>
      </c>
      <c r="J107" s="258">
        <v>49116100000</v>
      </c>
      <c r="K107" s="256" t="s">
        <v>1346</v>
      </c>
    </row>
    <row r="108" spans="1:11" x14ac:dyDescent="0.3">
      <c r="A108" s="256">
        <v>47</v>
      </c>
      <c r="B108" s="257" t="s">
        <v>1208</v>
      </c>
      <c r="C108" s="276">
        <v>44561</v>
      </c>
      <c r="D108" s="257" t="s">
        <v>1261</v>
      </c>
      <c r="E108" s="256" t="s">
        <v>1813</v>
      </c>
      <c r="F108" s="256" t="s">
        <v>1676</v>
      </c>
      <c r="G108" s="258">
        <v>22109000000</v>
      </c>
      <c r="H108" s="265">
        <v>0.1</v>
      </c>
      <c r="I108" s="258">
        <v>2210900000</v>
      </c>
      <c r="J108" s="258">
        <v>24319900000</v>
      </c>
      <c r="K108" s="256" t="s">
        <v>1346</v>
      </c>
    </row>
    <row r="109" spans="1:11" x14ac:dyDescent="0.3">
      <c r="A109" s="256">
        <v>48</v>
      </c>
      <c r="B109" s="257" t="s">
        <v>1209</v>
      </c>
      <c r="C109" s="276">
        <v>44561</v>
      </c>
      <c r="D109" s="257" t="s">
        <v>1260</v>
      </c>
      <c r="E109" s="256" t="s">
        <v>1804</v>
      </c>
      <c r="F109" s="256" t="s">
        <v>1893</v>
      </c>
      <c r="G109" s="258">
        <v>35535000000</v>
      </c>
      <c r="H109" s="265">
        <v>0.1</v>
      </c>
      <c r="I109" s="258">
        <v>3553500000</v>
      </c>
      <c r="J109" s="258">
        <v>39088500000</v>
      </c>
      <c r="K109" s="256" t="s">
        <v>1346</v>
      </c>
    </row>
    <row r="110" spans="1:11" x14ac:dyDescent="0.3">
      <c r="A110" s="256">
        <v>49</v>
      </c>
      <c r="B110" s="257" t="s">
        <v>1418</v>
      </c>
      <c r="C110" s="276">
        <v>44561</v>
      </c>
      <c r="D110" s="257" t="s">
        <v>1264</v>
      </c>
      <c r="E110" s="256" t="s">
        <v>1779</v>
      </c>
      <c r="F110" s="256" t="s">
        <v>1676</v>
      </c>
      <c r="G110" s="258">
        <v>47667000000</v>
      </c>
      <c r="H110" s="265">
        <v>0.1</v>
      </c>
      <c r="I110" s="258">
        <v>4766700000</v>
      </c>
      <c r="J110" s="258">
        <v>52433700000</v>
      </c>
      <c r="K110" s="256" t="s">
        <v>1346</v>
      </c>
    </row>
    <row r="111" spans="1:11" x14ac:dyDescent="0.3">
      <c r="A111" s="256">
        <v>50</v>
      </c>
      <c r="B111" s="257" t="s">
        <v>1419</v>
      </c>
      <c r="C111" s="276">
        <v>44561</v>
      </c>
      <c r="D111" s="257" t="s">
        <v>1299</v>
      </c>
      <c r="E111" s="256" t="s">
        <v>1776</v>
      </c>
      <c r="F111" s="256" t="s">
        <v>1676</v>
      </c>
      <c r="G111" s="258">
        <v>50903000000</v>
      </c>
      <c r="H111" s="265">
        <v>0.1</v>
      </c>
      <c r="I111" s="258">
        <v>5090300000</v>
      </c>
      <c r="J111" s="258">
        <v>55993300000</v>
      </c>
      <c r="K111" s="256" t="s">
        <v>1346</v>
      </c>
    </row>
    <row r="112" spans="1:11" x14ac:dyDescent="0.3">
      <c r="A112" s="266" t="s">
        <v>1351</v>
      </c>
      <c r="B112" s="266"/>
      <c r="C112" s="266"/>
      <c r="D112" s="266"/>
      <c r="E112" s="266"/>
      <c r="F112" s="266"/>
      <c r="G112" s="267">
        <f>SUM(G62:G111)</f>
        <v>1915824000000</v>
      </c>
      <c r="H112" s="266"/>
      <c r="I112" s="267">
        <f>SUM(I62:I111)</f>
        <v>170863800000</v>
      </c>
      <c r="J112" s="267">
        <f>SUM(J62:J111)</f>
        <v>2086687800000</v>
      </c>
      <c r="K112" s="266"/>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1975</v>
      </c>
      <c r="C1" s="256"/>
      <c r="D1" s="256"/>
      <c r="E1" s="256"/>
      <c r="F1" s="256"/>
      <c r="G1" s="256"/>
      <c r="H1" s="256"/>
      <c r="I1" s="256"/>
      <c r="J1" s="256"/>
      <c r="K1" s="256"/>
    </row>
    <row r="2" spans="1:11" x14ac:dyDescent="0.3">
      <c r="A2" s="256" t="s">
        <v>1339</v>
      </c>
      <c r="B2" s="257">
        <v>2500230213</v>
      </c>
      <c r="C2" s="256"/>
      <c r="D2" s="256"/>
      <c r="E2" s="256"/>
      <c r="F2" s="256"/>
      <c r="G2" s="256"/>
      <c r="H2" s="256"/>
      <c r="I2" s="256"/>
      <c r="J2" s="256"/>
      <c r="K2" s="256"/>
    </row>
    <row r="3" spans="1:11" x14ac:dyDescent="0.3">
      <c r="A3" s="256" t="s">
        <v>1343</v>
      </c>
      <c r="B3" s="258">
        <v>129248927339</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1475</v>
      </c>
      <c r="C8" s="276">
        <v>44317</v>
      </c>
      <c r="D8" s="257" t="s">
        <v>1302</v>
      </c>
      <c r="E8" s="256" t="s">
        <v>1784</v>
      </c>
      <c r="F8" s="256" t="s">
        <v>1870</v>
      </c>
      <c r="G8" s="258">
        <v>2843000000</v>
      </c>
      <c r="H8" s="265">
        <v>0.1</v>
      </c>
      <c r="I8" s="258">
        <v>284300000</v>
      </c>
      <c r="J8" s="258">
        <v>3127300000</v>
      </c>
      <c r="K8" s="256" t="s">
        <v>1346</v>
      </c>
    </row>
    <row r="9" spans="1:11" x14ac:dyDescent="0.3">
      <c r="A9" s="256">
        <v>2</v>
      </c>
      <c r="B9" s="257" t="s">
        <v>1458</v>
      </c>
      <c r="C9" s="276">
        <v>44318</v>
      </c>
      <c r="D9" s="257" t="s">
        <v>1286</v>
      </c>
      <c r="E9" s="256" t="s">
        <v>1828</v>
      </c>
      <c r="F9" s="256" t="s">
        <v>1868</v>
      </c>
      <c r="G9" s="258">
        <v>1604000000</v>
      </c>
      <c r="H9" s="265">
        <v>0.1</v>
      </c>
      <c r="I9" s="258">
        <v>160400000</v>
      </c>
      <c r="J9" s="258">
        <v>1764400000</v>
      </c>
      <c r="K9" s="256" t="s">
        <v>1346</v>
      </c>
    </row>
    <row r="10" spans="1:11" x14ac:dyDescent="0.3">
      <c r="A10" s="256">
        <v>3</v>
      </c>
      <c r="B10" s="257" t="s">
        <v>1495</v>
      </c>
      <c r="C10" s="276">
        <v>44472</v>
      </c>
      <c r="D10" s="257" t="s">
        <v>1277</v>
      </c>
      <c r="E10" s="256" t="s">
        <v>1783</v>
      </c>
      <c r="F10" s="256" t="s">
        <v>1741</v>
      </c>
      <c r="G10" s="258">
        <v>3013000000</v>
      </c>
      <c r="H10" s="265">
        <v>0.1</v>
      </c>
      <c r="I10" s="258">
        <v>301300000</v>
      </c>
      <c r="J10" s="258">
        <v>3314300000</v>
      </c>
      <c r="K10" s="256" t="s">
        <v>1346</v>
      </c>
    </row>
    <row r="11" spans="1:11" x14ac:dyDescent="0.3">
      <c r="A11" s="256">
        <v>4</v>
      </c>
      <c r="B11" s="257" t="s">
        <v>1481</v>
      </c>
      <c r="C11" s="276">
        <v>44473</v>
      </c>
      <c r="D11" s="257" t="s">
        <v>1289</v>
      </c>
      <c r="E11" s="256" t="s">
        <v>1803</v>
      </c>
      <c r="F11" s="256" t="s">
        <v>1734</v>
      </c>
      <c r="G11" s="258">
        <v>1511000000</v>
      </c>
      <c r="H11" s="265">
        <v>0.1</v>
      </c>
      <c r="I11" s="258">
        <v>151100000</v>
      </c>
      <c r="J11" s="258">
        <v>1662100000</v>
      </c>
      <c r="K11" s="256" t="s">
        <v>1346</v>
      </c>
    </row>
    <row r="12" spans="1:11" x14ac:dyDescent="0.3">
      <c r="A12" s="256">
        <v>5</v>
      </c>
      <c r="B12" s="257" t="s">
        <v>1502</v>
      </c>
      <c r="C12" s="276">
        <v>44474</v>
      </c>
      <c r="D12" s="257" t="s">
        <v>1260</v>
      </c>
      <c r="E12" s="256" t="s">
        <v>1804</v>
      </c>
      <c r="F12" s="256" t="s">
        <v>1731</v>
      </c>
      <c r="G12" s="258">
        <v>1243000000</v>
      </c>
      <c r="H12" s="265">
        <v>0.1</v>
      </c>
      <c r="I12" s="258">
        <v>124300000</v>
      </c>
      <c r="J12" s="258">
        <v>1367300000</v>
      </c>
      <c r="K12" s="256" t="s">
        <v>1346</v>
      </c>
    </row>
    <row r="13" spans="1:11" x14ac:dyDescent="0.3">
      <c r="A13" s="256">
        <v>6</v>
      </c>
      <c r="B13" s="257" t="s">
        <v>1470</v>
      </c>
      <c r="C13" s="276">
        <v>44475</v>
      </c>
      <c r="D13" s="257" t="s">
        <v>1290</v>
      </c>
      <c r="E13" s="256" t="s">
        <v>1796</v>
      </c>
      <c r="F13" s="256" t="s">
        <v>1731</v>
      </c>
      <c r="G13" s="258">
        <v>2679000000</v>
      </c>
      <c r="H13" s="265">
        <v>0.1</v>
      </c>
      <c r="I13" s="258">
        <v>267900000</v>
      </c>
      <c r="J13" s="258">
        <v>2946900000</v>
      </c>
      <c r="K13" s="256" t="s">
        <v>1346</v>
      </c>
    </row>
    <row r="14" spans="1:11" x14ac:dyDescent="0.3">
      <c r="A14" s="256">
        <v>7</v>
      </c>
      <c r="B14" s="257" t="s">
        <v>1411</v>
      </c>
      <c r="C14" s="276">
        <v>44476</v>
      </c>
      <c r="D14" s="257" t="s">
        <v>1258</v>
      </c>
      <c r="E14" s="256" t="s">
        <v>1833</v>
      </c>
      <c r="F14" s="256" t="s">
        <v>1869</v>
      </c>
      <c r="G14" s="258">
        <v>1743000000</v>
      </c>
      <c r="H14" s="265">
        <v>0.1</v>
      </c>
      <c r="I14" s="258">
        <v>174300000</v>
      </c>
      <c r="J14" s="258">
        <v>1917300000</v>
      </c>
      <c r="K14" s="256" t="s">
        <v>1346</v>
      </c>
    </row>
    <row r="15" spans="1:11" x14ac:dyDescent="0.3">
      <c r="A15" s="256">
        <v>8</v>
      </c>
      <c r="B15" s="257" t="s">
        <v>1495</v>
      </c>
      <c r="C15" s="276">
        <v>44477</v>
      </c>
      <c r="D15" s="257" t="s">
        <v>1273</v>
      </c>
      <c r="E15" s="256" t="s">
        <v>1829</v>
      </c>
      <c r="F15" s="256" t="s">
        <v>1731</v>
      </c>
      <c r="G15" s="258">
        <v>1643000000</v>
      </c>
      <c r="H15" s="265">
        <v>0.1</v>
      </c>
      <c r="I15" s="258">
        <v>164300000</v>
      </c>
      <c r="J15" s="258">
        <v>1807300000</v>
      </c>
      <c r="K15" s="256" t="s">
        <v>1346</v>
      </c>
    </row>
    <row r="16" spans="1:11" x14ac:dyDescent="0.3">
      <c r="A16" s="256">
        <v>9</v>
      </c>
      <c r="B16" s="257" t="s">
        <v>1498</v>
      </c>
      <c r="C16" s="276">
        <v>44478</v>
      </c>
      <c r="D16" s="257" t="s">
        <v>1275</v>
      </c>
      <c r="E16" s="256" t="s">
        <v>1808</v>
      </c>
      <c r="F16" s="256" t="s">
        <v>1731</v>
      </c>
      <c r="G16" s="258">
        <v>2967000000</v>
      </c>
      <c r="H16" s="265">
        <v>0.1</v>
      </c>
      <c r="I16" s="258">
        <v>296700000</v>
      </c>
      <c r="J16" s="258">
        <v>3263700000</v>
      </c>
      <c r="K16" s="256" t="s">
        <v>1346</v>
      </c>
    </row>
    <row r="17" spans="1:11" x14ac:dyDescent="0.3">
      <c r="A17" s="256">
        <v>10</v>
      </c>
      <c r="B17" s="257" t="s">
        <v>1495</v>
      </c>
      <c r="C17" s="276">
        <v>44479</v>
      </c>
      <c r="D17" s="257" t="s">
        <v>1288</v>
      </c>
      <c r="E17" s="256" t="s">
        <v>1797</v>
      </c>
      <c r="F17" s="256" t="s">
        <v>1730</v>
      </c>
      <c r="G17" s="258">
        <v>1498000000</v>
      </c>
      <c r="H17" s="265">
        <v>0.1</v>
      </c>
      <c r="I17" s="258">
        <v>149800000</v>
      </c>
      <c r="J17" s="258">
        <v>1647800000</v>
      </c>
      <c r="K17" s="256" t="s">
        <v>1346</v>
      </c>
    </row>
    <row r="18" spans="1:11" x14ac:dyDescent="0.3">
      <c r="A18" s="256">
        <v>11</v>
      </c>
      <c r="B18" s="257" t="s">
        <v>1496</v>
      </c>
      <c r="C18" s="276">
        <v>44480</v>
      </c>
      <c r="D18" s="257" t="s">
        <v>1288</v>
      </c>
      <c r="E18" s="256" t="s">
        <v>1797</v>
      </c>
      <c r="F18" s="256" t="s">
        <v>1869</v>
      </c>
      <c r="G18" s="258">
        <v>1704000000</v>
      </c>
      <c r="H18" s="265">
        <v>0.1</v>
      </c>
      <c r="I18" s="258">
        <v>170400000</v>
      </c>
      <c r="J18" s="258">
        <v>1874400000</v>
      </c>
      <c r="K18" s="256" t="s">
        <v>1346</v>
      </c>
    </row>
    <row r="19" spans="1:11" x14ac:dyDescent="0.3">
      <c r="A19" s="256">
        <v>12</v>
      </c>
      <c r="B19" s="257" t="s">
        <v>1459</v>
      </c>
      <c r="C19" s="276">
        <v>44481</v>
      </c>
      <c r="D19" s="257" t="s">
        <v>1267</v>
      </c>
      <c r="E19" s="256" t="s">
        <v>1810</v>
      </c>
      <c r="F19" s="256" t="s">
        <v>1731</v>
      </c>
      <c r="G19" s="258">
        <v>2847000000</v>
      </c>
      <c r="H19" s="265">
        <v>0.1</v>
      </c>
      <c r="I19" s="258">
        <v>284700000</v>
      </c>
      <c r="J19" s="258">
        <v>3131700000</v>
      </c>
      <c r="K19" s="256" t="s">
        <v>1348</v>
      </c>
    </row>
    <row r="20" spans="1:11" x14ac:dyDescent="0.3">
      <c r="A20" s="256">
        <v>13</v>
      </c>
      <c r="B20" s="257" t="s">
        <v>1456</v>
      </c>
      <c r="C20" s="276">
        <v>44211</v>
      </c>
      <c r="D20" s="257" t="s">
        <v>1292</v>
      </c>
      <c r="E20" s="256" t="s">
        <v>1792</v>
      </c>
      <c r="F20" s="256" t="s">
        <v>1871</v>
      </c>
      <c r="G20" s="258">
        <v>1758000000</v>
      </c>
      <c r="H20" s="265">
        <v>0.1</v>
      </c>
      <c r="I20" s="258">
        <v>175800000</v>
      </c>
      <c r="J20" s="258">
        <v>1933800000</v>
      </c>
      <c r="K20" s="256" t="s">
        <v>1346</v>
      </c>
    </row>
    <row r="21" spans="1:11" x14ac:dyDescent="0.3">
      <c r="A21" s="256">
        <v>14</v>
      </c>
      <c r="B21" s="257" t="s">
        <v>1409</v>
      </c>
      <c r="C21" s="276">
        <v>44242</v>
      </c>
      <c r="D21" s="257" t="s">
        <v>1261</v>
      </c>
      <c r="E21" s="256" t="s">
        <v>1813</v>
      </c>
      <c r="F21" s="256" t="s">
        <v>1730</v>
      </c>
      <c r="G21" s="258">
        <v>2576000000</v>
      </c>
      <c r="H21" s="265">
        <v>0.1</v>
      </c>
      <c r="I21" s="258">
        <v>257600000</v>
      </c>
      <c r="J21" s="258">
        <v>2833600000</v>
      </c>
      <c r="K21" s="256" t="s">
        <v>1346</v>
      </c>
    </row>
    <row r="22" spans="1:11" x14ac:dyDescent="0.3">
      <c r="A22" s="256">
        <v>15</v>
      </c>
      <c r="B22" s="257" t="s">
        <v>1499</v>
      </c>
      <c r="C22" s="276">
        <v>44275</v>
      </c>
      <c r="D22" s="257" t="s">
        <v>1275</v>
      </c>
      <c r="E22" s="256" t="s">
        <v>1808</v>
      </c>
      <c r="F22" s="256" t="s">
        <v>1734</v>
      </c>
      <c r="G22" s="258">
        <v>2791000000</v>
      </c>
      <c r="H22" s="265">
        <v>0.1</v>
      </c>
      <c r="I22" s="258">
        <v>279100000</v>
      </c>
      <c r="J22" s="258">
        <v>3070100000</v>
      </c>
      <c r="K22" s="256" t="s">
        <v>1348</v>
      </c>
    </row>
    <row r="23" spans="1:11" x14ac:dyDescent="0.3">
      <c r="A23" s="256">
        <v>16</v>
      </c>
      <c r="B23" s="257" t="s">
        <v>1208</v>
      </c>
      <c r="C23" s="276">
        <v>44306</v>
      </c>
      <c r="D23" s="257" t="s">
        <v>1298</v>
      </c>
      <c r="E23" s="256" t="s">
        <v>1819</v>
      </c>
      <c r="F23" s="256" t="s">
        <v>1868</v>
      </c>
      <c r="G23" s="258">
        <v>1517000000</v>
      </c>
      <c r="H23" s="265">
        <v>0.1</v>
      </c>
      <c r="I23" s="258">
        <v>151700000</v>
      </c>
      <c r="J23" s="258">
        <v>1668700000</v>
      </c>
      <c r="K23" s="256" t="s">
        <v>1346</v>
      </c>
    </row>
    <row r="24" spans="1:11" x14ac:dyDescent="0.3">
      <c r="A24" s="256">
        <v>17</v>
      </c>
      <c r="B24" s="257" t="s">
        <v>1206</v>
      </c>
      <c r="C24" s="276">
        <v>44336</v>
      </c>
      <c r="D24" s="257" t="s">
        <v>1296</v>
      </c>
      <c r="E24" s="256" t="s">
        <v>1807</v>
      </c>
      <c r="F24" s="256" t="s">
        <v>1734</v>
      </c>
      <c r="G24" s="258">
        <v>2637000000</v>
      </c>
      <c r="H24" s="265">
        <v>0.1</v>
      </c>
      <c r="I24" s="258">
        <v>263700000</v>
      </c>
      <c r="J24" s="258">
        <v>2900700000</v>
      </c>
      <c r="K24" s="256" t="s">
        <v>1346</v>
      </c>
    </row>
    <row r="25" spans="1:11" x14ac:dyDescent="0.3">
      <c r="A25" s="256">
        <v>18</v>
      </c>
      <c r="B25" s="257" t="s">
        <v>1488</v>
      </c>
      <c r="C25" s="276">
        <v>44367</v>
      </c>
      <c r="D25" s="257" t="s">
        <v>1256</v>
      </c>
      <c r="E25" s="256" t="s">
        <v>1802</v>
      </c>
      <c r="F25" s="256" t="s">
        <v>1730</v>
      </c>
      <c r="G25" s="258">
        <v>1446000000</v>
      </c>
      <c r="H25" s="265">
        <v>0.1</v>
      </c>
      <c r="I25" s="258">
        <v>144600000</v>
      </c>
      <c r="J25" s="258">
        <v>1590600000</v>
      </c>
      <c r="K25" s="256" t="s">
        <v>1346</v>
      </c>
    </row>
    <row r="26" spans="1:11" x14ac:dyDescent="0.3">
      <c r="A26" s="256">
        <v>19</v>
      </c>
      <c r="B26" s="257" t="s">
        <v>1210</v>
      </c>
      <c r="C26" s="276">
        <v>44397</v>
      </c>
      <c r="D26" s="257" t="s">
        <v>1274</v>
      </c>
      <c r="E26" s="256" t="s">
        <v>1794</v>
      </c>
      <c r="F26" s="256" t="s">
        <v>1731</v>
      </c>
      <c r="G26" s="258">
        <v>2264000000</v>
      </c>
      <c r="H26" s="265">
        <v>0.1</v>
      </c>
      <c r="I26" s="258">
        <v>226400000</v>
      </c>
      <c r="J26" s="258">
        <v>2490400000</v>
      </c>
      <c r="K26" s="256" t="s">
        <v>1346</v>
      </c>
    </row>
    <row r="27" spans="1:11" x14ac:dyDescent="0.3">
      <c r="A27" s="256">
        <v>20</v>
      </c>
      <c r="B27" s="257" t="s">
        <v>1489</v>
      </c>
      <c r="C27" s="276">
        <v>44428</v>
      </c>
      <c r="D27" s="257" t="s">
        <v>1256</v>
      </c>
      <c r="E27" s="256" t="s">
        <v>1802</v>
      </c>
      <c r="F27" s="256" t="s">
        <v>1730</v>
      </c>
      <c r="G27" s="258">
        <v>1208000000</v>
      </c>
      <c r="H27" s="265">
        <v>0.1</v>
      </c>
      <c r="I27" s="258">
        <v>120800000</v>
      </c>
      <c r="J27" s="258">
        <v>1328800000</v>
      </c>
      <c r="K27" s="256" t="s">
        <v>1346</v>
      </c>
    </row>
    <row r="28" spans="1:11" x14ac:dyDescent="0.3">
      <c r="A28" s="256">
        <v>21</v>
      </c>
      <c r="B28" s="257" t="s">
        <v>1516</v>
      </c>
      <c r="C28" s="276">
        <v>44459</v>
      </c>
      <c r="D28" s="257" t="s">
        <v>1284</v>
      </c>
      <c r="E28" s="256" t="s">
        <v>1786</v>
      </c>
      <c r="F28" s="256" t="s">
        <v>1741</v>
      </c>
      <c r="G28" s="258">
        <v>2260000000</v>
      </c>
      <c r="H28" s="265">
        <v>0.1</v>
      </c>
      <c r="I28" s="258">
        <v>226000000</v>
      </c>
      <c r="J28" s="258">
        <v>2486000000</v>
      </c>
      <c r="K28" s="256" t="s">
        <v>1348</v>
      </c>
    </row>
    <row r="29" spans="1:11" x14ac:dyDescent="0.3">
      <c r="A29" s="256">
        <v>22</v>
      </c>
      <c r="B29" s="257" t="s">
        <v>1456</v>
      </c>
      <c r="C29" s="276">
        <v>44489</v>
      </c>
      <c r="D29" s="257" t="s">
        <v>1297</v>
      </c>
      <c r="E29" s="256" t="s">
        <v>1820</v>
      </c>
      <c r="F29" s="256" t="s">
        <v>1734</v>
      </c>
      <c r="G29" s="258">
        <v>1221000000</v>
      </c>
      <c r="H29" s="265">
        <v>0.1</v>
      </c>
      <c r="I29" s="258">
        <v>122100000</v>
      </c>
      <c r="J29" s="258">
        <v>1343100000</v>
      </c>
      <c r="K29" s="256" t="s">
        <v>1346</v>
      </c>
    </row>
    <row r="30" spans="1:11" x14ac:dyDescent="0.3">
      <c r="A30" s="256">
        <v>23</v>
      </c>
      <c r="B30" s="257" t="s">
        <v>1494</v>
      </c>
      <c r="C30" s="276">
        <v>44520</v>
      </c>
      <c r="D30" s="257" t="s">
        <v>1282</v>
      </c>
      <c r="E30" s="256" t="s">
        <v>1789</v>
      </c>
      <c r="F30" s="256" t="s">
        <v>1741</v>
      </c>
      <c r="G30" s="258">
        <v>2208000000</v>
      </c>
      <c r="H30" s="265">
        <v>0.1</v>
      </c>
      <c r="I30" s="258">
        <v>220800000</v>
      </c>
      <c r="J30" s="258">
        <v>2428800000</v>
      </c>
      <c r="K30" s="256" t="s">
        <v>1346</v>
      </c>
    </row>
    <row r="31" spans="1:11" x14ac:dyDescent="0.3">
      <c r="A31" s="256">
        <v>24</v>
      </c>
      <c r="B31" s="257" t="s">
        <v>1210</v>
      </c>
      <c r="C31" s="276">
        <v>44550</v>
      </c>
      <c r="D31" s="257" t="s">
        <v>1272</v>
      </c>
      <c r="E31" s="256" t="s">
        <v>1805</v>
      </c>
      <c r="F31" s="256" t="s">
        <v>1870</v>
      </c>
      <c r="G31" s="258">
        <v>2246000000</v>
      </c>
      <c r="H31" s="265">
        <v>0.1</v>
      </c>
      <c r="I31" s="258">
        <v>224600000</v>
      </c>
      <c r="J31" s="258">
        <v>2470600000</v>
      </c>
      <c r="K31" s="256" t="s">
        <v>1346</v>
      </c>
    </row>
    <row r="32" spans="1:11" x14ac:dyDescent="0.3">
      <c r="A32" s="256">
        <v>25</v>
      </c>
      <c r="B32" s="257" t="s">
        <v>1488</v>
      </c>
      <c r="C32" s="276">
        <v>44221</v>
      </c>
      <c r="D32" s="257" t="s">
        <v>1279</v>
      </c>
      <c r="E32" s="256" t="s">
        <v>1827</v>
      </c>
      <c r="F32" s="256" t="s">
        <v>1730</v>
      </c>
      <c r="G32" s="258">
        <v>2739000000</v>
      </c>
      <c r="H32" s="265">
        <v>0.1</v>
      </c>
      <c r="I32" s="258">
        <v>273900000</v>
      </c>
      <c r="J32" s="258">
        <v>3012900000</v>
      </c>
      <c r="K32" s="256" t="s">
        <v>1346</v>
      </c>
    </row>
    <row r="33" spans="1:11" x14ac:dyDescent="0.3">
      <c r="A33" s="256">
        <v>26</v>
      </c>
      <c r="B33" s="257" t="s">
        <v>1503</v>
      </c>
      <c r="C33" s="276">
        <v>44255</v>
      </c>
      <c r="D33" s="257" t="s">
        <v>1260</v>
      </c>
      <c r="E33" s="256" t="s">
        <v>1804</v>
      </c>
      <c r="F33" s="256" t="s">
        <v>1869</v>
      </c>
      <c r="G33" s="258">
        <v>2390000000</v>
      </c>
      <c r="H33" s="265">
        <v>0.1</v>
      </c>
      <c r="I33" s="258">
        <v>239000000</v>
      </c>
      <c r="J33" s="258">
        <v>2629000000</v>
      </c>
      <c r="K33" s="256" t="s">
        <v>1346</v>
      </c>
    </row>
    <row r="34" spans="1:11" x14ac:dyDescent="0.3">
      <c r="A34" s="256">
        <v>27</v>
      </c>
      <c r="B34" s="257" t="s">
        <v>1457</v>
      </c>
      <c r="C34" s="276">
        <v>44316</v>
      </c>
      <c r="D34" s="257" t="s">
        <v>1292</v>
      </c>
      <c r="E34" s="256" t="s">
        <v>1792</v>
      </c>
      <c r="F34" s="256" t="s">
        <v>1734</v>
      </c>
      <c r="G34" s="258">
        <v>2703000000</v>
      </c>
      <c r="H34" s="265">
        <v>0.1</v>
      </c>
      <c r="I34" s="258">
        <v>270300000</v>
      </c>
      <c r="J34" s="258">
        <v>2973300000</v>
      </c>
      <c r="K34" s="256" t="s">
        <v>1346</v>
      </c>
    </row>
    <row r="35" spans="1:11" x14ac:dyDescent="0.3">
      <c r="A35" s="256">
        <v>28</v>
      </c>
      <c r="B35" s="257" t="s">
        <v>1211</v>
      </c>
      <c r="C35" s="276">
        <v>44377</v>
      </c>
      <c r="D35" s="257" t="s">
        <v>1272</v>
      </c>
      <c r="E35" s="256" t="s">
        <v>1805</v>
      </c>
      <c r="F35" s="256" t="s">
        <v>1731</v>
      </c>
      <c r="G35" s="258">
        <v>2066000000</v>
      </c>
      <c r="H35" s="265">
        <v>0.1</v>
      </c>
      <c r="I35" s="258">
        <v>206600000</v>
      </c>
      <c r="J35" s="258">
        <v>2272600000</v>
      </c>
      <c r="K35" s="256" t="s">
        <v>1346</v>
      </c>
    </row>
    <row r="36" spans="1:11" x14ac:dyDescent="0.3">
      <c r="A36" s="256">
        <v>29</v>
      </c>
      <c r="B36" s="257" t="s">
        <v>1496</v>
      </c>
      <c r="C36" s="276">
        <v>44469</v>
      </c>
      <c r="D36" s="257" t="s">
        <v>1273</v>
      </c>
      <c r="E36" s="256" t="s">
        <v>1829</v>
      </c>
      <c r="F36" s="256" t="s">
        <v>1868</v>
      </c>
      <c r="G36" s="258">
        <v>2183000000</v>
      </c>
      <c r="H36" s="265">
        <v>0.1</v>
      </c>
      <c r="I36" s="258">
        <v>218300000</v>
      </c>
      <c r="J36" s="258">
        <v>2401300000</v>
      </c>
      <c r="K36" s="256" t="s">
        <v>1346</v>
      </c>
    </row>
    <row r="37" spans="1:11" x14ac:dyDescent="0.3">
      <c r="A37" s="256">
        <v>30</v>
      </c>
      <c r="B37" s="257" t="s">
        <v>1489</v>
      </c>
      <c r="C37" s="276">
        <v>44530</v>
      </c>
      <c r="D37" s="257" t="s">
        <v>1279</v>
      </c>
      <c r="E37" s="256" t="s">
        <v>1827</v>
      </c>
      <c r="F37" s="256" t="s">
        <v>1734</v>
      </c>
      <c r="G37" s="258">
        <v>2206000000</v>
      </c>
      <c r="H37" s="265">
        <v>0.1</v>
      </c>
      <c r="I37" s="258">
        <v>220600000</v>
      </c>
      <c r="J37" s="258">
        <v>2426600000</v>
      </c>
      <c r="K37" s="256" t="s">
        <v>1346</v>
      </c>
    </row>
    <row r="38" spans="1:11" x14ac:dyDescent="0.3">
      <c r="A38" s="256">
        <v>31</v>
      </c>
      <c r="B38" s="257" t="s">
        <v>1457</v>
      </c>
      <c r="C38" s="276">
        <v>44286</v>
      </c>
      <c r="D38" s="257" t="s">
        <v>1297</v>
      </c>
      <c r="E38" s="256" t="s">
        <v>1820</v>
      </c>
      <c r="F38" s="256" t="s">
        <v>1734</v>
      </c>
      <c r="G38" s="258">
        <v>2257000000</v>
      </c>
      <c r="H38" s="265">
        <v>0.1</v>
      </c>
      <c r="I38" s="258">
        <v>225700000</v>
      </c>
      <c r="J38" s="258">
        <v>2482700000</v>
      </c>
      <c r="K38" s="256" t="s">
        <v>1346</v>
      </c>
    </row>
    <row r="39" spans="1:11" x14ac:dyDescent="0.3">
      <c r="A39" s="256">
        <v>32</v>
      </c>
      <c r="B39" s="257" t="s">
        <v>1211</v>
      </c>
      <c r="C39" s="276">
        <v>44347</v>
      </c>
      <c r="D39" s="257" t="s">
        <v>1274</v>
      </c>
      <c r="E39" s="256" t="s">
        <v>1794</v>
      </c>
      <c r="F39" s="256" t="s">
        <v>1871</v>
      </c>
      <c r="G39" s="258">
        <v>1331000000</v>
      </c>
      <c r="H39" s="265">
        <v>0</v>
      </c>
      <c r="I39" s="258">
        <v>0</v>
      </c>
      <c r="J39" s="258">
        <v>1331000000</v>
      </c>
      <c r="K39" s="256" t="s">
        <v>1346</v>
      </c>
    </row>
    <row r="40" spans="1:11" x14ac:dyDescent="0.3">
      <c r="A40" s="256">
        <v>33</v>
      </c>
      <c r="B40" s="257" t="s">
        <v>1504</v>
      </c>
      <c r="C40" s="276">
        <v>44408</v>
      </c>
      <c r="D40" s="257" t="s">
        <v>1260</v>
      </c>
      <c r="E40" s="256" t="s">
        <v>1804</v>
      </c>
      <c r="F40" s="256" t="s">
        <v>1871</v>
      </c>
      <c r="G40" s="258">
        <v>2585000000</v>
      </c>
      <c r="H40" s="265">
        <v>0</v>
      </c>
      <c r="I40" s="258">
        <v>0</v>
      </c>
      <c r="J40" s="258">
        <v>2585000000</v>
      </c>
      <c r="K40" s="256" t="s">
        <v>1346</v>
      </c>
    </row>
    <row r="41" spans="1:11" x14ac:dyDescent="0.3">
      <c r="A41" s="256">
        <v>34</v>
      </c>
      <c r="B41" s="257" t="s">
        <v>1459</v>
      </c>
      <c r="C41" s="276">
        <v>44439</v>
      </c>
      <c r="D41" s="257" t="s">
        <v>1286</v>
      </c>
      <c r="E41" s="256" t="s">
        <v>1828</v>
      </c>
      <c r="F41" s="256" t="s">
        <v>1741</v>
      </c>
      <c r="G41" s="258">
        <v>2469000000</v>
      </c>
      <c r="H41" s="265">
        <v>0.1</v>
      </c>
      <c r="I41" s="258">
        <v>246900000</v>
      </c>
      <c r="J41" s="258">
        <v>2715900000</v>
      </c>
      <c r="K41" s="256" t="s">
        <v>1346</v>
      </c>
    </row>
    <row r="42" spans="1:11" x14ac:dyDescent="0.3">
      <c r="A42" s="256">
        <v>35</v>
      </c>
      <c r="B42" s="257" t="s">
        <v>1478</v>
      </c>
      <c r="C42" s="276">
        <v>44500</v>
      </c>
      <c r="D42" s="257" t="s">
        <v>1299</v>
      </c>
      <c r="E42" s="256" t="s">
        <v>1776</v>
      </c>
      <c r="F42" s="256" t="s">
        <v>1869</v>
      </c>
      <c r="G42" s="258">
        <v>1500000000</v>
      </c>
      <c r="H42" s="265">
        <v>0.1</v>
      </c>
      <c r="I42" s="258">
        <v>150000000</v>
      </c>
      <c r="J42" s="258">
        <v>1650000000</v>
      </c>
      <c r="K42" s="256" t="s">
        <v>1348</v>
      </c>
    </row>
    <row r="43" spans="1:11" x14ac:dyDescent="0.3">
      <c r="A43" s="256">
        <v>36</v>
      </c>
      <c r="B43" s="257" t="s">
        <v>1517</v>
      </c>
      <c r="C43" s="276">
        <v>44561</v>
      </c>
      <c r="D43" s="257" t="s">
        <v>1284</v>
      </c>
      <c r="E43" s="256" t="s">
        <v>1786</v>
      </c>
      <c r="F43" s="256" t="s">
        <v>1741</v>
      </c>
      <c r="G43" s="258">
        <v>1826000000</v>
      </c>
      <c r="H43" s="265">
        <v>0.1</v>
      </c>
      <c r="I43" s="258">
        <v>182600000</v>
      </c>
      <c r="J43" s="258">
        <v>2008600000</v>
      </c>
      <c r="K43" s="256" t="s">
        <v>1346</v>
      </c>
    </row>
    <row r="44" spans="1:11" x14ac:dyDescent="0.3">
      <c r="A44" s="256">
        <v>37</v>
      </c>
      <c r="B44" s="257" t="s">
        <v>1495</v>
      </c>
      <c r="C44" s="276">
        <v>44561</v>
      </c>
      <c r="D44" s="257" t="s">
        <v>1282</v>
      </c>
      <c r="E44" s="256" t="s">
        <v>1789</v>
      </c>
      <c r="F44" s="256" t="s">
        <v>1868</v>
      </c>
      <c r="G44" s="258">
        <v>805000000</v>
      </c>
      <c r="H44" s="265">
        <v>0.1</v>
      </c>
      <c r="I44" s="258">
        <v>80500000</v>
      </c>
      <c r="J44" s="258">
        <v>885500000</v>
      </c>
      <c r="K44" s="256" t="s">
        <v>1346</v>
      </c>
    </row>
    <row r="45" spans="1:11" x14ac:dyDescent="0.3">
      <c r="A45" s="256">
        <v>38</v>
      </c>
      <c r="B45" s="257" t="s">
        <v>1497</v>
      </c>
      <c r="C45" s="276">
        <v>44561</v>
      </c>
      <c r="D45" s="257" t="s">
        <v>1288</v>
      </c>
      <c r="E45" s="256" t="s">
        <v>1797</v>
      </c>
      <c r="F45" s="256" t="s">
        <v>1734</v>
      </c>
      <c r="G45" s="258">
        <v>3011000000</v>
      </c>
      <c r="H45" s="265">
        <v>0.1</v>
      </c>
      <c r="I45" s="258">
        <v>301100000</v>
      </c>
      <c r="J45" s="258">
        <v>3312100000</v>
      </c>
      <c r="K45" s="256" t="s">
        <v>1346</v>
      </c>
    </row>
    <row r="46" spans="1:11" x14ac:dyDescent="0.3">
      <c r="A46" s="256">
        <v>39</v>
      </c>
      <c r="B46" s="257" t="s">
        <v>1460</v>
      </c>
      <c r="C46" s="276">
        <v>44561</v>
      </c>
      <c r="D46" s="257" t="s">
        <v>1286</v>
      </c>
      <c r="E46" s="256" t="s">
        <v>1828</v>
      </c>
      <c r="F46" s="256" t="s">
        <v>1869</v>
      </c>
      <c r="G46" s="258">
        <v>781000000</v>
      </c>
      <c r="H46" s="265">
        <v>0</v>
      </c>
      <c r="I46" s="258">
        <v>0</v>
      </c>
      <c r="J46" s="258">
        <v>781000000</v>
      </c>
      <c r="K46" s="256" t="s">
        <v>1346</v>
      </c>
    </row>
    <row r="47" spans="1:11" x14ac:dyDescent="0.3">
      <c r="A47" s="256">
        <v>40</v>
      </c>
      <c r="B47" s="257" t="s">
        <v>1476</v>
      </c>
      <c r="C47" s="276">
        <v>44561</v>
      </c>
      <c r="D47" s="257" t="s">
        <v>1302</v>
      </c>
      <c r="E47" s="256" t="s">
        <v>1784</v>
      </c>
      <c r="F47" s="256" t="s">
        <v>1868</v>
      </c>
      <c r="G47" s="258">
        <v>1172000000</v>
      </c>
      <c r="H47" s="265">
        <v>0.1</v>
      </c>
      <c r="I47" s="258">
        <v>117200000</v>
      </c>
      <c r="J47" s="258">
        <v>1289200000</v>
      </c>
      <c r="K47" s="256" t="s">
        <v>1346</v>
      </c>
    </row>
    <row r="48" spans="1:11" x14ac:dyDescent="0.3">
      <c r="A48" s="256">
        <v>41</v>
      </c>
      <c r="B48" s="257" t="s">
        <v>1498</v>
      </c>
      <c r="C48" s="276">
        <v>44561</v>
      </c>
      <c r="D48" s="257" t="s">
        <v>1288</v>
      </c>
      <c r="E48" s="256" t="s">
        <v>1797</v>
      </c>
      <c r="F48" s="256" t="s">
        <v>1741</v>
      </c>
      <c r="G48" s="258">
        <v>1558000000</v>
      </c>
      <c r="H48" s="265">
        <v>0.1</v>
      </c>
      <c r="I48" s="258">
        <v>155800000</v>
      </c>
      <c r="J48" s="258">
        <v>1713800000</v>
      </c>
      <c r="K48" s="256" t="s">
        <v>1346</v>
      </c>
    </row>
    <row r="49" spans="1:11" x14ac:dyDescent="0.3">
      <c r="A49" s="256">
        <v>42</v>
      </c>
      <c r="B49" s="257" t="s">
        <v>1511</v>
      </c>
      <c r="C49" s="276">
        <v>44561</v>
      </c>
      <c r="D49" s="257" t="s">
        <v>1304</v>
      </c>
      <c r="E49" s="256" t="s">
        <v>1831</v>
      </c>
      <c r="F49" s="256" t="s">
        <v>1868</v>
      </c>
      <c r="G49" s="258">
        <v>2627000000</v>
      </c>
      <c r="H49" s="265">
        <v>0.1</v>
      </c>
      <c r="I49" s="258">
        <v>262700000</v>
      </c>
      <c r="J49" s="258">
        <v>2889700000</v>
      </c>
      <c r="K49" s="256" t="s">
        <v>1346</v>
      </c>
    </row>
    <row r="50" spans="1:11" x14ac:dyDescent="0.3">
      <c r="A50" s="256">
        <v>43</v>
      </c>
      <c r="B50" s="257" t="s">
        <v>1479</v>
      </c>
      <c r="C50" s="276">
        <v>44561</v>
      </c>
      <c r="D50" s="257" t="s">
        <v>1299</v>
      </c>
      <c r="E50" s="256" t="s">
        <v>1776</v>
      </c>
      <c r="F50" s="256" t="s">
        <v>1741</v>
      </c>
      <c r="G50" s="258">
        <v>1720000000</v>
      </c>
      <c r="H50" s="265">
        <v>0.1</v>
      </c>
      <c r="I50" s="258">
        <v>172000000</v>
      </c>
      <c r="J50" s="258">
        <v>1892000000</v>
      </c>
      <c r="K50" s="256" t="s">
        <v>1346</v>
      </c>
    </row>
    <row r="51" spans="1:11" x14ac:dyDescent="0.3">
      <c r="A51" s="256">
        <v>44</v>
      </c>
      <c r="B51" s="257" t="s">
        <v>1499</v>
      </c>
      <c r="C51" s="276">
        <v>44561</v>
      </c>
      <c r="D51" s="257" t="s">
        <v>1288</v>
      </c>
      <c r="E51" s="256" t="s">
        <v>1797</v>
      </c>
      <c r="F51" s="256" t="s">
        <v>1869</v>
      </c>
      <c r="G51" s="258">
        <v>1413000000</v>
      </c>
      <c r="H51" s="265">
        <v>0.1</v>
      </c>
      <c r="I51" s="258">
        <v>141300000</v>
      </c>
      <c r="J51" s="258">
        <v>1554300000</v>
      </c>
      <c r="K51" s="256" t="s">
        <v>1346</v>
      </c>
    </row>
    <row r="52" spans="1:11" x14ac:dyDescent="0.3">
      <c r="A52" s="256">
        <v>45</v>
      </c>
      <c r="B52" s="257" t="s">
        <v>1475</v>
      </c>
      <c r="C52" s="276">
        <v>44561</v>
      </c>
      <c r="D52" s="257" t="s">
        <v>1264</v>
      </c>
      <c r="E52" s="256" t="s">
        <v>1779</v>
      </c>
      <c r="F52" s="256" t="s">
        <v>1870</v>
      </c>
      <c r="G52" s="258">
        <v>2754000000</v>
      </c>
      <c r="H52" s="265">
        <v>0.1</v>
      </c>
      <c r="I52" s="258">
        <v>275400000</v>
      </c>
      <c r="J52" s="258">
        <v>3029400000</v>
      </c>
      <c r="K52" s="256" t="s">
        <v>1346</v>
      </c>
    </row>
    <row r="53" spans="1:11" x14ac:dyDescent="0.3">
      <c r="A53" s="256">
        <v>46</v>
      </c>
      <c r="B53" s="257" t="s">
        <v>1461</v>
      </c>
      <c r="C53" s="276">
        <v>44561</v>
      </c>
      <c r="D53" s="257" t="s">
        <v>1300</v>
      </c>
      <c r="E53" s="256" t="s">
        <v>1818</v>
      </c>
      <c r="F53" s="256" t="s">
        <v>1870</v>
      </c>
      <c r="G53" s="258">
        <v>1532000000</v>
      </c>
      <c r="H53" s="265">
        <v>0.1</v>
      </c>
      <c r="I53" s="258">
        <v>153200000</v>
      </c>
      <c r="J53" s="258">
        <v>1685200000</v>
      </c>
      <c r="K53" s="256" t="s">
        <v>1346</v>
      </c>
    </row>
    <row r="54" spans="1:11" x14ac:dyDescent="0.3">
      <c r="A54" s="256">
        <v>47</v>
      </c>
      <c r="B54" s="257" t="s">
        <v>1462</v>
      </c>
      <c r="C54" s="276">
        <v>44561</v>
      </c>
      <c r="D54" s="257" t="s">
        <v>1300</v>
      </c>
      <c r="E54" s="256" t="s">
        <v>1818</v>
      </c>
      <c r="F54" s="256" t="s">
        <v>1741</v>
      </c>
      <c r="G54" s="258">
        <v>2253000000</v>
      </c>
      <c r="H54" s="265">
        <v>0.1</v>
      </c>
      <c r="I54" s="258">
        <v>225300000</v>
      </c>
      <c r="J54" s="258">
        <v>2478300000</v>
      </c>
      <c r="K54" s="256" t="s">
        <v>1346</v>
      </c>
    </row>
    <row r="55" spans="1:11" x14ac:dyDescent="0.3">
      <c r="A55" s="256">
        <v>48</v>
      </c>
      <c r="B55" s="257" t="s">
        <v>1502</v>
      </c>
      <c r="C55" s="276">
        <v>44561</v>
      </c>
      <c r="D55" s="257" t="s">
        <v>1281</v>
      </c>
      <c r="E55" s="256" t="s">
        <v>1806</v>
      </c>
      <c r="F55" s="256" t="s">
        <v>1868</v>
      </c>
      <c r="G55" s="258">
        <v>1840000000</v>
      </c>
      <c r="H55" s="265">
        <v>0.1</v>
      </c>
      <c r="I55" s="258">
        <v>184000000</v>
      </c>
      <c r="J55" s="258">
        <v>2024000000</v>
      </c>
      <c r="K55" s="256" t="s">
        <v>1346</v>
      </c>
    </row>
    <row r="56" spans="1:11" x14ac:dyDescent="0.3">
      <c r="A56" s="256">
        <v>49</v>
      </c>
      <c r="B56" s="257" t="s">
        <v>1458</v>
      </c>
      <c r="C56" s="276">
        <v>44561</v>
      </c>
      <c r="D56" s="257" t="s">
        <v>1297</v>
      </c>
      <c r="E56" s="256" t="s">
        <v>1820</v>
      </c>
      <c r="F56" s="256" t="s">
        <v>1741</v>
      </c>
      <c r="G56" s="258">
        <v>2682000000</v>
      </c>
      <c r="H56" s="265">
        <v>0.1</v>
      </c>
      <c r="I56" s="258">
        <v>268200000</v>
      </c>
      <c r="J56" s="258">
        <v>2950200000</v>
      </c>
      <c r="K56" s="256" t="s">
        <v>1346</v>
      </c>
    </row>
    <row r="57" spans="1:11" x14ac:dyDescent="0.3">
      <c r="A57" s="256">
        <v>50</v>
      </c>
      <c r="B57" s="257" t="s">
        <v>1490</v>
      </c>
      <c r="C57" s="276">
        <v>44561</v>
      </c>
      <c r="D57" s="257" t="s">
        <v>1279</v>
      </c>
      <c r="E57" s="256" t="s">
        <v>1827</v>
      </c>
      <c r="F57" s="256" t="s">
        <v>1741</v>
      </c>
      <c r="G57" s="258">
        <v>1444000000</v>
      </c>
      <c r="H57" s="265">
        <v>0.1</v>
      </c>
      <c r="I57" s="258">
        <v>144400000</v>
      </c>
      <c r="J57" s="258">
        <v>1588400000</v>
      </c>
      <c r="K57" s="256" t="s">
        <v>1346</v>
      </c>
    </row>
    <row r="58" spans="1:11" x14ac:dyDescent="0.3">
      <c r="A58" s="266" t="s">
        <v>1351</v>
      </c>
      <c r="B58" s="266"/>
      <c r="C58" s="266"/>
      <c r="D58" s="266"/>
      <c r="E58" s="266"/>
      <c r="F58" s="266"/>
      <c r="G58" s="267">
        <f>SUM(G8:G57)</f>
        <v>101274000000</v>
      </c>
      <c r="H58" s="266"/>
      <c r="I58" s="267">
        <f>SUM(I8:I57)</f>
        <v>9657700000</v>
      </c>
      <c r="J58" s="267">
        <f>SUM(J8:J57)</f>
        <v>110931700000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1264</v>
      </c>
      <c r="E62" s="256" t="s">
        <v>1779</v>
      </c>
      <c r="F62" s="256" t="s">
        <v>1874</v>
      </c>
      <c r="G62" s="258">
        <v>3480000000</v>
      </c>
      <c r="H62" s="265">
        <v>0</v>
      </c>
      <c r="I62" s="258">
        <v>0</v>
      </c>
      <c r="J62" s="258">
        <v>3480000000</v>
      </c>
      <c r="K62" s="256" t="s">
        <v>1346</v>
      </c>
    </row>
    <row r="63" spans="1:11" x14ac:dyDescent="0.3">
      <c r="A63" s="256">
        <v>2</v>
      </c>
      <c r="B63" s="257" t="s">
        <v>1201</v>
      </c>
      <c r="C63" s="276">
        <v>44318</v>
      </c>
      <c r="D63" s="257" t="s">
        <v>1269</v>
      </c>
      <c r="E63" s="256" t="s">
        <v>1823</v>
      </c>
      <c r="F63" s="256" t="s">
        <v>1873</v>
      </c>
      <c r="G63" s="258">
        <v>3279000000</v>
      </c>
      <c r="H63" s="265">
        <v>0.1</v>
      </c>
      <c r="I63" s="258">
        <v>327900000</v>
      </c>
      <c r="J63" s="258">
        <v>3606900000</v>
      </c>
      <c r="K63" s="256" t="s">
        <v>1346</v>
      </c>
    </row>
    <row r="64" spans="1:11" x14ac:dyDescent="0.3">
      <c r="A64" s="256">
        <v>3</v>
      </c>
      <c r="B64" s="257" t="s">
        <v>1202</v>
      </c>
      <c r="C64" s="276">
        <v>44472</v>
      </c>
      <c r="D64" s="257" t="s">
        <v>1264</v>
      </c>
      <c r="E64" s="256" t="s">
        <v>1779</v>
      </c>
      <c r="F64" s="256" t="s">
        <v>1872</v>
      </c>
      <c r="G64" s="258">
        <v>2812000000</v>
      </c>
      <c r="H64" s="265">
        <v>0</v>
      </c>
      <c r="I64" s="258">
        <v>0</v>
      </c>
      <c r="J64" s="258">
        <v>2812000000</v>
      </c>
      <c r="K64" s="256" t="s">
        <v>1346</v>
      </c>
    </row>
    <row r="65" spans="1:11" x14ac:dyDescent="0.3">
      <c r="A65" s="256">
        <v>4</v>
      </c>
      <c r="B65" s="257" t="s">
        <v>1355</v>
      </c>
      <c r="C65" s="276">
        <v>44473</v>
      </c>
      <c r="D65" s="257" t="s">
        <v>1297</v>
      </c>
      <c r="E65" s="256" t="s">
        <v>1820</v>
      </c>
      <c r="F65" s="256" t="s">
        <v>1873</v>
      </c>
      <c r="G65" s="258">
        <v>3691000000</v>
      </c>
      <c r="H65" s="265">
        <v>0.1</v>
      </c>
      <c r="I65" s="258">
        <v>369100000</v>
      </c>
      <c r="J65" s="258">
        <v>4060100000</v>
      </c>
      <c r="K65" s="256" t="s">
        <v>1346</v>
      </c>
    </row>
    <row r="66" spans="1:11" x14ac:dyDescent="0.3">
      <c r="A66" s="256">
        <v>5</v>
      </c>
      <c r="B66" s="257" t="s">
        <v>1356</v>
      </c>
      <c r="C66" s="276">
        <v>44474</v>
      </c>
      <c r="D66" s="257" t="s">
        <v>1277</v>
      </c>
      <c r="E66" s="256" t="s">
        <v>1783</v>
      </c>
      <c r="F66" s="256" t="s">
        <v>1873</v>
      </c>
      <c r="G66" s="258">
        <v>4029000000</v>
      </c>
      <c r="H66" s="265">
        <v>0.1</v>
      </c>
      <c r="I66" s="258">
        <v>402900000</v>
      </c>
      <c r="J66" s="258">
        <v>4431900000</v>
      </c>
      <c r="K66" s="256" t="s">
        <v>1346</v>
      </c>
    </row>
    <row r="67" spans="1:11" x14ac:dyDescent="0.3">
      <c r="A67" s="256">
        <v>6</v>
      </c>
      <c r="B67" s="257" t="s">
        <v>1358</v>
      </c>
      <c r="C67" s="276">
        <v>44475</v>
      </c>
      <c r="D67" s="257" t="s">
        <v>1300</v>
      </c>
      <c r="E67" s="256" t="s">
        <v>1818</v>
      </c>
      <c r="F67" s="256" t="s">
        <v>1874</v>
      </c>
      <c r="G67" s="258">
        <v>1610000000</v>
      </c>
      <c r="H67" s="265">
        <v>0.1</v>
      </c>
      <c r="I67" s="258">
        <v>161000000</v>
      </c>
      <c r="J67" s="258">
        <v>1771000000</v>
      </c>
      <c r="K67" s="256" t="s">
        <v>1346</v>
      </c>
    </row>
    <row r="68" spans="1:11" x14ac:dyDescent="0.3">
      <c r="A68" s="256">
        <v>7</v>
      </c>
      <c r="B68" s="257" t="s">
        <v>1360</v>
      </c>
      <c r="C68" s="276">
        <v>44476</v>
      </c>
      <c r="D68" s="257" t="s">
        <v>1276</v>
      </c>
      <c r="E68" s="256" t="s">
        <v>1822</v>
      </c>
      <c r="F68" s="256" t="s">
        <v>1874</v>
      </c>
      <c r="G68" s="258">
        <v>1549000000</v>
      </c>
      <c r="H68" s="265">
        <v>0.1</v>
      </c>
      <c r="I68" s="258">
        <v>154900000</v>
      </c>
      <c r="J68" s="258">
        <v>1703900000</v>
      </c>
      <c r="K68" s="256" t="s">
        <v>1346</v>
      </c>
    </row>
    <row r="69" spans="1:11" x14ac:dyDescent="0.3">
      <c r="A69" s="256">
        <v>8</v>
      </c>
      <c r="B69" s="257" t="s">
        <v>1362</v>
      </c>
      <c r="C69" s="276">
        <v>44477</v>
      </c>
      <c r="D69" s="257" t="s">
        <v>1276</v>
      </c>
      <c r="E69" s="256" t="s">
        <v>1822</v>
      </c>
      <c r="F69" s="256" t="s">
        <v>1873</v>
      </c>
      <c r="G69" s="258">
        <v>1615000000</v>
      </c>
      <c r="H69" s="265">
        <v>0.1</v>
      </c>
      <c r="I69" s="258">
        <v>161500000</v>
      </c>
      <c r="J69" s="258">
        <v>1776500000</v>
      </c>
      <c r="K69" s="256" t="s">
        <v>1346</v>
      </c>
    </row>
    <row r="70" spans="1:11" x14ac:dyDescent="0.3">
      <c r="A70" s="256">
        <v>9</v>
      </c>
      <c r="B70" s="257" t="s">
        <v>1364</v>
      </c>
      <c r="C70" s="276">
        <v>44478</v>
      </c>
      <c r="D70" s="257" t="s">
        <v>1280</v>
      </c>
      <c r="E70" s="256" t="s">
        <v>1777</v>
      </c>
      <c r="F70" s="256" t="s">
        <v>1875</v>
      </c>
      <c r="G70" s="258">
        <v>1454000000</v>
      </c>
      <c r="H70" s="265">
        <v>0.1</v>
      </c>
      <c r="I70" s="258">
        <v>145400000</v>
      </c>
      <c r="J70" s="258">
        <v>1599400000</v>
      </c>
      <c r="K70" s="256" t="s">
        <v>1346</v>
      </c>
    </row>
    <row r="71" spans="1:11" x14ac:dyDescent="0.3">
      <c r="A71" s="256">
        <v>10</v>
      </c>
      <c r="B71" s="257" t="s">
        <v>1366</v>
      </c>
      <c r="C71" s="276">
        <v>44479</v>
      </c>
      <c r="D71" s="257" t="s">
        <v>1294</v>
      </c>
      <c r="E71" s="256" t="s">
        <v>1795</v>
      </c>
      <c r="F71" s="256" t="s">
        <v>1875</v>
      </c>
      <c r="G71" s="258">
        <v>3250000000</v>
      </c>
      <c r="H71" s="265">
        <v>0.1</v>
      </c>
      <c r="I71" s="258">
        <v>325000000</v>
      </c>
      <c r="J71" s="258">
        <v>3575000000</v>
      </c>
      <c r="K71" s="256" t="s">
        <v>1346</v>
      </c>
    </row>
    <row r="72" spans="1:11" x14ac:dyDescent="0.3">
      <c r="A72" s="256">
        <v>11</v>
      </c>
      <c r="B72" s="257" t="s">
        <v>1368</v>
      </c>
      <c r="C72" s="276">
        <v>44480</v>
      </c>
      <c r="D72" s="257" t="s">
        <v>1290</v>
      </c>
      <c r="E72" s="256" t="s">
        <v>1796</v>
      </c>
      <c r="F72" s="256" t="s">
        <v>1873</v>
      </c>
      <c r="G72" s="258">
        <v>3474000000</v>
      </c>
      <c r="H72" s="265">
        <v>0</v>
      </c>
      <c r="I72" s="258">
        <v>0</v>
      </c>
      <c r="J72" s="258">
        <v>3474000000</v>
      </c>
      <c r="K72" s="256" t="s">
        <v>1348</v>
      </c>
    </row>
    <row r="73" spans="1:11" x14ac:dyDescent="0.3">
      <c r="A73" s="256">
        <v>12</v>
      </c>
      <c r="B73" s="257" t="s">
        <v>1371</v>
      </c>
      <c r="C73" s="276">
        <v>44481</v>
      </c>
      <c r="D73" s="257" t="s">
        <v>1281</v>
      </c>
      <c r="E73" s="256" t="s">
        <v>1806</v>
      </c>
      <c r="F73" s="256" t="s">
        <v>1874</v>
      </c>
      <c r="G73" s="258">
        <v>3417000000</v>
      </c>
      <c r="H73" s="265">
        <v>0.1</v>
      </c>
      <c r="I73" s="258">
        <v>341700000</v>
      </c>
      <c r="J73" s="258">
        <v>3758700000</v>
      </c>
      <c r="K73" s="256" t="s">
        <v>1346</v>
      </c>
    </row>
    <row r="74" spans="1:11" x14ac:dyDescent="0.3">
      <c r="A74" s="256">
        <v>13</v>
      </c>
      <c r="B74" s="257" t="s">
        <v>1373</v>
      </c>
      <c r="C74" s="276">
        <v>44211</v>
      </c>
      <c r="D74" s="257" t="s">
        <v>1263</v>
      </c>
      <c r="E74" s="256" t="s">
        <v>1790</v>
      </c>
      <c r="F74" s="256" t="s">
        <v>1875</v>
      </c>
      <c r="G74" s="258">
        <v>2195000000</v>
      </c>
      <c r="H74" s="265">
        <v>0.1</v>
      </c>
      <c r="I74" s="258">
        <v>219500000</v>
      </c>
      <c r="J74" s="258">
        <v>2414500000</v>
      </c>
      <c r="K74" s="256" t="s">
        <v>1346</v>
      </c>
    </row>
    <row r="75" spans="1:11" x14ac:dyDescent="0.3">
      <c r="A75" s="256">
        <v>14</v>
      </c>
      <c r="B75" s="257" t="s">
        <v>1374</v>
      </c>
      <c r="C75" s="276">
        <v>44242</v>
      </c>
      <c r="D75" s="257" t="s">
        <v>1259</v>
      </c>
      <c r="E75" s="256" t="s">
        <v>1788</v>
      </c>
      <c r="F75" s="256" t="s">
        <v>1873</v>
      </c>
      <c r="G75" s="258">
        <v>3645000000</v>
      </c>
      <c r="H75" s="265">
        <v>0.1</v>
      </c>
      <c r="I75" s="258">
        <v>364500000</v>
      </c>
      <c r="J75" s="258">
        <v>4009500000</v>
      </c>
      <c r="K75" s="256" t="s">
        <v>1346</v>
      </c>
    </row>
    <row r="76" spans="1:11" x14ac:dyDescent="0.3">
      <c r="A76" s="256">
        <v>15</v>
      </c>
      <c r="B76" s="257" t="s">
        <v>1376</v>
      </c>
      <c r="C76" s="276">
        <v>44275</v>
      </c>
      <c r="D76" s="257" t="s">
        <v>1273</v>
      </c>
      <c r="E76" s="256" t="s">
        <v>1829</v>
      </c>
      <c r="F76" s="256" t="s">
        <v>1873</v>
      </c>
      <c r="G76" s="258">
        <v>2760000000</v>
      </c>
      <c r="H76" s="265">
        <v>0</v>
      </c>
      <c r="I76" s="258">
        <v>0</v>
      </c>
      <c r="J76" s="258">
        <v>2760000000</v>
      </c>
      <c r="K76" s="256" t="s">
        <v>1346</v>
      </c>
    </row>
    <row r="77" spans="1:11" x14ac:dyDescent="0.3">
      <c r="A77" s="256">
        <v>16</v>
      </c>
      <c r="B77" s="257" t="s">
        <v>1378</v>
      </c>
      <c r="C77" s="276">
        <v>44306</v>
      </c>
      <c r="D77" s="257" t="s">
        <v>1302</v>
      </c>
      <c r="E77" s="256" t="s">
        <v>1784</v>
      </c>
      <c r="F77" s="256" t="s">
        <v>1873</v>
      </c>
      <c r="G77" s="258">
        <v>3472000000</v>
      </c>
      <c r="H77" s="265">
        <v>0.1</v>
      </c>
      <c r="I77" s="258">
        <v>347200000</v>
      </c>
      <c r="J77" s="258">
        <v>3819200000</v>
      </c>
      <c r="K77" s="256" t="s">
        <v>1348</v>
      </c>
    </row>
    <row r="78" spans="1:11" x14ac:dyDescent="0.3">
      <c r="A78" s="256">
        <v>17</v>
      </c>
      <c r="B78" s="257" t="s">
        <v>1379</v>
      </c>
      <c r="C78" s="276">
        <v>44336</v>
      </c>
      <c r="D78" s="257" t="s">
        <v>1288</v>
      </c>
      <c r="E78" s="256" t="s">
        <v>1797</v>
      </c>
      <c r="F78" s="256" t="s">
        <v>1874</v>
      </c>
      <c r="G78" s="258">
        <v>1306000000</v>
      </c>
      <c r="H78" s="265">
        <v>0.1</v>
      </c>
      <c r="I78" s="258">
        <v>130600000</v>
      </c>
      <c r="J78" s="258">
        <v>1436600000</v>
      </c>
      <c r="K78" s="256" t="s">
        <v>1346</v>
      </c>
    </row>
    <row r="79" spans="1:11" x14ac:dyDescent="0.3">
      <c r="A79" s="256">
        <v>18</v>
      </c>
      <c r="B79" s="257" t="s">
        <v>1381</v>
      </c>
      <c r="C79" s="276">
        <v>44367</v>
      </c>
      <c r="D79" s="257" t="s">
        <v>1302</v>
      </c>
      <c r="E79" s="256" t="s">
        <v>1784</v>
      </c>
      <c r="F79" s="256" t="s">
        <v>1875</v>
      </c>
      <c r="G79" s="258">
        <v>1727000000</v>
      </c>
      <c r="H79" s="265">
        <v>0.1</v>
      </c>
      <c r="I79" s="258">
        <v>172700000</v>
      </c>
      <c r="J79" s="258">
        <v>1899700000</v>
      </c>
      <c r="K79" s="256" t="s">
        <v>1346</v>
      </c>
    </row>
    <row r="80" spans="1:11" x14ac:dyDescent="0.3">
      <c r="A80" s="256">
        <v>19</v>
      </c>
      <c r="B80" s="257" t="s">
        <v>1382</v>
      </c>
      <c r="C80" s="276">
        <v>44397</v>
      </c>
      <c r="D80" s="257" t="s">
        <v>1257</v>
      </c>
      <c r="E80" s="256" t="s">
        <v>1815</v>
      </c>
      <c r="F80" s="256" t="s">
        <v>1872</v>
      </c>
      <c r="G80" s="258">
        <v>1872000000</v>
      </c>
      <c r="H80" s="265">
        <v>0.1</v>
      </c>
      <c r="I80" s="258">
        <v>187200000</v>
      </c>
      <c r="J80" s="258">
        <v>2059200000</v>
      </c>
      <c r="K80" s="256" t="s">
        <v>1346</v>
      </c>
    </row>
    <row r="81" spans="1:11" x14ac:dyDescent="0.3">
      <c r="A81" s="256">
        <v>20</v>
      </c>
      <c r="B81" s="257" t="s">
        <v>1383</v>
      </c>
      <c r="C81" s="276">
        <v>44428</v>
      </c>
      <c r="D81" s="257" t="s">
        <v>1297</v>
      </c>
      <c r="E81" s="256" t="s">
        <v>1820</v>
      </c>
      <c r="F81" s="256" t="s">
        <v>1874</v>
      </c>
      <c r="G81" s="258">
        <v>3377000000</v>
      </c>
      <c r="H81" s="265">
        <v>0.1</v>
      </c>
      <c r="I81" s="258">
        <v>337700000</v>
      </c>
      <c r="J81" s="258">
        <v>3714700000</v>
      </c>
      <c r="K81" s="256" t="s">
        <v>1346</v>
      </c>
    </row>
    <row r="82" spans="1:11" x14ac:dyDescent="0.3">
      <c r="A82" s="256">
        <v>21</v>
      </c>
      <c r="B82" s="257" t="s">
        <v>1203</v>
      </c>
      <c r="C82" s="276">
        <v>44459</v>
      </c>
      <c r="D82" s="257" t="s">
        <v>1291</v>
      </c>
      <c r="E82" s="256" t="s">
        <v>1800</v>
      </c>
      <c r="F82" s="256" t="s">
        <v>1874</v>
      </c>
      <c r="G82" s="258">
        <v>2701000000</v>
      </c>
      <c r="H82" s="265">
        <v>0.1</v>
      </c>
      <c r="I82" s="258">
        <v>270100000</v>
      </c>
      <c r="J82" s="258">
        <v>2971100000</v>
      </c>
      <c r="K82" s="256" t="s">
        <v>1346</v>
      </c>
    </row>
    <row r="83" spans="1:11" x14ac:dyDescent="0.3">
      <c r="A83" s="256">
        <v>22</v>
      </c>
      <c r="B83" s="257" t="s">
        <v>1204</v>
      </c>
      <c r="C83" s="276">
        <v>44489</v>
      </c>
      <c r="D83" s="257" t="s">
        <v>1303</v>
      </c>
      <c r="E83" s="256" t="s">
        <v>1817</v>
      </c>
      <c r="F83" s="256" t="s">
        <v>1874</v>
      </c>
      <c r="G83" s="258">
        <v>2589000000</v>
      </c>
      <c r="H83" s="265">
        <v>0.1</v>
      </c>
      <c r="I83" s="258">
        <v>258900000</v>
      </c>
      <c r="J83" s="258">
        <v>2847900000</v>
      </c>
      <c r="K83" s="256" t="s">
        <v>1346</v>
      </c>
    </row>
    <row r="84" spans="1:11" x14ac:dyDescent="0.3">
      <c r="A84" s="256">
        <v>23</v>
      </c>
      <c r="B84" s="257" t="s">
        <v>1205</v>
      </c>
      <c r="C84" s="276">
        <v>44520</v>
      </c>
      <c r="D84" s="257" t="s">
        <v>1278</v>
      </c>
      <c r="E84" s="256" t="s">
        <v>1785</v>
      </c>
      <c r="F84" s="256" t="s">
        <v>1873</v>
      </c>
      <c r="G84" s="258">
        <v>2306000000</v>
      </c>
      <c r="H84" s="265">
        <v>0.1</v>
      </c>
      <c r="I84" s="258">
        <v>230600000</v>
      </c>
      <c r="J84" s="258">
        <v>2536600000</v>
      </c>
      <c r="K84" s="256" t="s">
        <v>1346</v>
      </c>
    </row>
    <row r="85" spans="1:11" x14ac:dyDescent="0.3">
      <c r="A85" s="256">
        <v>24</v>
      </c>
      <c r="B85" s="257" t="s">
        <v>1385</v>
      </c>
      <c r="C85" s="276">
        <v>44550</v>
      </c>
      <c r="D85" s="257" t="s">
        <v>1283</v>
      </c>
      <c r="E85" s="256" t="s">
        <v>1798</v>
      </c>
      <c r="F85" s="256" t="s">
        <v>1872</v>
      </c>
      <c r="G85" s="258">
        <v>2309000000</v>
      </c>
      <c r="H85" s="265">
        <v>0.1</v>
      </c>
      <c r="I85" s="258">
        <v>230900000</v>
      </c>
      <c r="J85" s="258">
        <v>2539900000</v>
      </c>
      <c r="K85" s="256" t="s">
        <v>1346</v>
      </c>
    </row>
    <row r="86" spans="1:11" x14ac:dyDescent="0.3">
      <c r="A86" s="256">
        <v>25</v>
      </c>
      <c r="B86" s="257" t="s">
        <v>1387</v>
      </c>
      <c r="C86" s="276">
        <v>44221</v>
      </c>
      <c r="D86" s="257" t="s">
        <v>1258</v>
      </c>
      <c r="E86" s="256" t="s">
        <v>1833</v>
      </c>
      <c r="F86" s="256" t="s">
        <v>1874</v>
      </c>
      <c r="G86" s="258">
        <v>3900000000</v>
      </c>
      <c r="H86" s="265">
        <v>0.1</v>
      </c>
      <c r="I86" s="258">
        <v>390000000</v>
      </c>
      <c r="J86" s="258">
        <v>4290000000</v>
      </c>
      <c r="K86" s="256" t="s">
        <v>1346</v>
      </c>
    </row>
    <row r="87" spans="1:11" x14ac:dyDescent="0.3">
      <c r="A87" s="256">
        <v>26</v>
      </c>
      <c r="B87" s="257" t="s">
        <v>1388</v>
      </c>
      <c r="C87" s="276">
        <v>44255</v>
      </c>
      <c r="D87" s="257" t="s">
        <v>1266</v>
      </c>
      <c r="E87" s="256" t="s">
        <v>1824</v>
      </c>
      <c r="F87" s="256" t="s">
        <v>1873</v>
      </c>
      <c r="G87" s="258">
        <v>3496000000</v>
      </c>
      <c r="H87" s="265">
        <v>0.1</v>
      </c>
      <c r="I87" s="258">
        <v>349600000</v>
      </c>
      <c r="J87" s="258">
        <v>3845600000</v>
      </c>
      <c r="K87" s="256" t="s">
        <v>1348</v>
      </c>
    </row>
    <row r="88" spans="1:11" x14ac:dyDescent="0.3">
      <c r="A88" s="256">
        <v>27</v>
      </c>
      <c r="B88" s="257" t="s">
        <v>1391</v>
      </c>
      <c r="C88" s="276">
        <v>44316</v>
      </c>
      <c r="D88" s="257" t="s">
        <v>1280</v>
      </c>
      <c r="E88" s="256" t="s">
        <v>1777</v>
      </c>
      <c r="F88" s="256" t="s">
        <v>1873</v>
      </c>
      <c r="G88" s="258">
        <v>1627000000</v>
      </c>
      <c r="H88" s="265">
        <v>0.1</v>
      </c>
      <c r="I88" s="258">
        <v>162700000</v>
      </c>
      <c r="J88" s="258">
        <v>1789700000</v>
      </c>
      <c r="K88" s="256" t="s">
        <v>1346</v>
      </c>
    </row>
    <row r="89" spans="1:11" x14ac:dyDescent="0.3">
      <c r="A89" s="256">
        <v>28</v>
      </c>
      <c r="B89" s="257" t="s">
        <v>1392</v>
      </c>
      <c r="C89" s="276">
        <v>44377</v>
      </c>
      <c r="D89" s="257" t="s">
        <v>1258</v>
      </c>
      <c r="E89" s="256" t="s">
        <v>1833</v>
      </c>
      <c r="F89" s="256" t="s">
        <v>1874</v>
      </c>
      <c r="G89" s="258">
        <v>3085000000</v>
      </c>
      <c r="H89" s="265">
        <v>0.1</v>
      </c>
      <c r="I89" s="258">
        <v>308500000</v>
      </c>
      <c r="J89" s="258">
        <v>3393500000</v>
      </c>
      <c r="K89" s="256" t="s">
        <v>1348</v>
      </c>
    </row>
    <row r="90" spans="1:11" x14ac:dyDescent="0.3">
      <c r="A90" s="256">
        <v>29</v>
      </c>
      <c r="B90" s="257" t="s">
        <v>1394</v>
      </c>
      <c r="C90" s="276">
        <v>44469</v>
      </c>
      <c r="D90" s="257" t="s">
        <v>1287</v>
      </c>
      <c r="E90" s="256" t="s">
        <v>1801</v>
      </c>
      <c r="F90" s="256" t="s">
        <v>1872</v>
      </c>
      <c r="G90" s="258">
        <v>2130000000</v>
      </c>
      <c r="H90" s="265">
        <v>0.1</v>
      </c>
      <c r="I90" s="258">
        <v>213000000</v>
      </c>
      <c r="J90" s="258">
        <v>2343000000</v>
      </c>
      <c r="K90" s="256" t="s">
        <v>1346</v>
      </c>
    </row>
    <row r="91" spans="1:11" x14ac:dyDescent="0.3">
      <c r="A91" s="256">
        <v>30</v>
      </c>
      <c r="B91" s="257" t="s">
        <v>1396</v>
      </c>
      <c r="C91" s="276">
        <v>44530</v>
      </c>
      <c r="D91" s="257" t="s">
        <v>1292</v>
      </c>
      <c r="E91" s="256" t="s">
        <v>1792</v>
      </c>
      <c r="F91" s="256" t="s">
        <v>1872</v>
      </c>
      <c r="G91" s="258">
        <v>2549000000</v>
      </c>
      <c r="H91" s="265">
        <v>0</v>
      </c>
      <c r="I91" s="258">
        <v>0</v>
      </c>
      <c r="J91" s="258">
        <v>2549000000</v>
      </c>
      <c r="K91" s="256" t="s">
        <v>1346</v>
      </c>
    </row>
    <row r="92" spans="1:11" x14ac:dyDescent="0.3">
      <c r="A92" s="256">
        <v>31</v>
      </c>
      <c r="B92" s="257" t="s">
        <v>1397</v>
      </c>
      <c r="C92" s="276">
        <v>44286</v>
      </c>
      <c r="D92" s="257" t="s">
        <v>1279</v>
      </c>
      <c r="E92" s="256" t="s">
        <v>1827</v>
      </c>
      <c r="F92" s="256" t="s">
        <v>1874</v>
      </c>
      <c r="G92" s="258">
        <v>3432000000</v>
      </c>
      <c r="H92" s="265">
        <v>0.1</v>
      </c>
      <c r="I92" s="258">
        <v>343200000</v>
      </c>
      <c r="J92" s="258">
        <v>3775200000</v>
      </c>
      <c r="K92" s="256" t="s">
        <v>1346</v>
      </c>
    </row>
    <row r="93" spans="1:11" x14ac:dyDescent="0.3">
      <c r="A93" s="256">
        <v>32</v>
      </c>
      <c r="B93" s="257" t="s">
        <v>1398</v>
      </c>
      <c r="C93" s="276">
        <v>44347</v>
      </c>
      <c r="D93" s="257" t="s">
        <v>1262</v>
      </c>
      <c r="E93" s="256" t="s">
        <v>1816</v>
      </c>
      <c r="F93" s="256" t="s">
        <v>1874</v>
      </c>
      <c r="G93" s="258">
        <v>2050000000</v>
      </c>
      <c r="H93" s="265">
        <v>0</v>
      </c>
      <c r="I93" s="258">
        <v>0</v>
      </c>
      <c r="J93" s="258">
        <v>2050000000</v>
      </c>
      <c r="K93" s="256" t="s">
        <v>1348</v>
      </c>
    </row>
    <row r="94" spans="1:11" x14ac:dyDescent="0.3">
      <c r="A94" s="256">
        <v>33</v>
      </c>
      <c r="B94" s="257" t="s">
        <v>1399</v>
      </c>
      <c r="C94" s="276">
        <v>44408</v>
      </c>
      <c r="D94" s="257" t="s">
        <v>1258</v>
      </c>
      <c r="E94" s="256" t="s">
        <v>1833</v>
      </c>
      <c r="F94" s="256" t="s">
        <v>1872</v>
      </c>
      <c r="G94" s="258">
        <v>1312000000</v>
      </c>
      <c r="H94" s="265">
        <v>0.1</v>
      </c>
      <c r="I94" s="258">
        <v>131200000</v>
      </c>
      <c r="J94" s="258">
        <v>1443200000</v>
      </c>
      <c r="K94" s="256" t="s">
        <v>1346</v>
      </c>
    </row>
    <row r="95" spans="1:11" x14ac:dyDescent="0.3">
      <c r="A95" s="256">
        <v>34</v>
      </c>
      <c r="B95" s="257" t="s">
        <v>1401</v>
      </c>
      <c r="C95" s="276">
        <v>44439</v>
      </c>
      <c r="D95" s="257" t="s">
        <v>1270</v>
      </c>
      <c r="E95" s="256" t="s">
        <v>1782</v>
      </c>
      <c r="F95" s="256" t="s">
        <v>1874</v>
      </c>
      <c r="G95" s="258">
        <v>1138000000</v>
      </c>
      <c r="H95" s="265">
        <v>0.1</v>
      </c>
      <c r="I95" s="258">
        <v>113800000</v>
      </c>
      <c r="J95" s="258">
        <v>1251800000</v>
      </c>
      <c r="K95" s="256" t="s">
        <v>1346</v>
      </c>
    </row>
    <row r="96" spans="1:11" x14ac:dyDescent="0.3">
      <c r="A96" s="256">
        <v>35</v>
      </c>
      <c r="B96" s="257" t="s">
        <v>1402</v>
      </c>
      <c r="C96" s="276">
        <v>44500</v>
      </c>
      <c r="D96" s="257" t="s">
        <v>1274</v>
      </c>
      <c r="E96" s="256" t="s">
        <v>1794</v>
      </c>
      <c r="F96" s="256" t="s">
        <v>1874</v>
      </c>
      <c r="G96" s="258">
        <v>2613000000</v>
      </c>
      <c r="H96" s="265">
        <v>0.1</v>
      </c>
      <c r="I96" s="258">
        <v>261300000</v>
      </c>
      <c r="J96" s="258">
        <v>2874300000</v>
      </c>
      <c r="K96" s="256" t="s">
        <v>1348</v>
      </c>
    </row>
    <row r="97" spans="1:11" x14ac:dyDescent="0.3">
      <c r="A97" s="256">
        <v>36</v>
      </c>
      <c r="B97" s="257" t="s">
        <v>1403</v>
      </c>
      <c r="C97" s="276">
        <v>44561</v>
      </c>
      <c r="D97" s="257" t="s">
        <v>1285</v>
      </c>
      <c r="E97" s="256" t="s">
        <v>1793</v>
      </c>
      <c r="F97" s="256" t="s">
        <v>1875</v>
      </c>
      <c r="G97" s="258">
        <v>4130000000</v>
      </c>
      <c r="H97" s="265">
        <v>0.1</v>
      </c>
      <c r="I97" s="258">
        <v>413000000</v>
      </c>
      <c r="J97" s="258">
        <v>4543000000</v>
      </c>
      <c r="K97" s="256" t="s">
        <v>1346</v>
      </c>
    </row>
    <row r="98" spans="1:11" x14ac:dyDescent="0.3">
      <c r="A98" s="256">
        <v>37</v>
      </c>
      <c r="B98" s="257" t="s">
        <v>1404</v>
      </c>
      <c r="C98" s="276">
        <v>44561</v>
      </c>
      <c r="D98" s="257" t="s">
        <v>1267</v>
      </c>
      <c r="E98" s="256" t="s">
        <v>1810</v>
      </c>
      <c r="F98" s="256" t="s">
        <v>1874</v>
      </c>
      <c r="G98" s="258">
        <v>1234000000</v>
      </c>
      <c r="H98" s="265">
        <v>0.1</v>
      </c>
      <c r="I98" s="258">
        <v>123400000</v>
      </c>
      <c r="J98" s="258">
        <v>1357400000</v>
      </c>
      <c r="K98" s="256" t="s">
        <v>1346</v>
      </c>
    </row>
    <row r="99" spans="1:11" x14ac:dyDescent="0.3">
      <c r="A99" s="256">
        <v>38</v>
      </c>
      <c r="B99" s="257" t="s">
        <v>1405</v>
      </c>
      <c r="C99" s="276">
        <v>44561</v>
      </c>
      <c r="D99" s="257" t="s">
        <v>1270</v>
      </c>
      <c r="E99" s="256" t="s">
        <v>1782</v>
      </c>
      <c r="F99" s="256" t="s">
        <v>1873</v>
      </c>
      <c r="G99" s="258">
        <v>2787000000</v>
      </c>
      <c r="H99" s="265">
        <v>0.1</v>
      </c>
      <c r="I99" s="258">
        <v>278700000</v>
      </c>
      <c r="J99" s="258">
        <v>3065700000</v>
      </c>
      <c r="K99" s="256" t="s">
        <v>1346</v>
      </c>
    </row>
    <row r="100" spans="1:11" x14ac:dyDescent="0.3">
      <c r="A100" s="256">
        <v>39</v>
      </c>
      <c r="B100" s="257" t="s">
        <v>1406</v>
      </c>
      <c r="C100" s="276">
        <v>44561</v>
      </c>
      <c r="D100" s="257" t="s">
        <v>1303</v>
      </c>
      <c r="E100" s="256" t="s">
        <v>1817</v>
      </c>
      <c r="F100" s="256" t="s">
        <v>1874</v>
      </c>
      <c r="G100" s="258">
        <v>1104000000</v>
      </c>
      <c r="H100" s="265">
        <v>0.1</v>
      </c>
      <c r="I100" s="258">
        <v>110400000</v>
      </c>
      <c r="J100" s="258">
        <v>1214400000</v>
      </c>
      <c r="K100" s="256" t="s">
        <v>1346</v>
      </c>
    </row>
    <row r="101" spans="1:11" x14ac:dyDescent="0.3">
      <c r="A101" s="256">
        <v>40</v>
      </c>
      <c r="B101" s="257" t="s">
        <v>1408</v>
      </c>
      <c r="C101" s="276">
        <v>44561</v>
      </c>
      <c r="D101" s="257" t="s">
        <v>1301</v>
      </c>
      <c r="E101" s="256" t="s">
        <v>1781</v>
      </c>
      <c r="F101" s="256" t="s">
        <v>1873</v>
      </c>
      <c r="G101" s="258">
        <v>3409000000</v>
      </c>
      <c r="H101" s="265">
        <v>0.1</v>
      </c>
      <c r="I101" s="258">
        <v>340900000</v>
      </c>
      <c r="J101" s="258">
        <v>3749900000</v>
      </c>
      <c r="K101" s="256" t="s">
        <v>1346</v>
      </c>
    </row>
    <row r="102" spans="1:11" x14ac:dyDescent="0.3">
      <c r="A102" s="256">
        <v>41</v>
      </c>
      <c r="B102" s="257" t="s">
        <v>1409</v>
      </c>
      <c r="C102" s="276">
        <v>44561</v>
      </c>
      <c r="D102" s="257" t="s">
        <v>1256</v>
      </c>
      <c r="E102" s="256" t="s">
        <v>1802</v>
      </c>
      <c r="F102" s="256" t="s">
        <v>1872</v>
      </c>
      <c r="G102" s="258">
        <v>4120000000</v>
      </c>
      <c r="H102" s="265">
        <v>0.1</v>
      </c>
      <c r="I102" s="258">
        <v>412000000</v>
      </c>
      <c r="J102" s="258">
        <v>4532000000</v>
      </c>
      <c r="K102" s="256" t="s">
        <v>1346</v>
      </c>
    </row>
    <row r="103" spans="1:11" x14ac:dyDescent="0.3">
      <c r="A103" s="256">
        <v>42</v>
      </c>
      <c r="B103" s="257" t="s">
        <v>1411</v>
      </c>
      <c r="C103" s="276">
        <v>44561</v>
      </c>
      <c r="D103" s="257" t="s">
        <v>1293</v>
      </c>
      <c r="E103" s="256" t="s">
        <v>1826</v>
      </c>
      <c r="F103" s="256" t="s">
        <v>1872</v>
      </c>
      <c r="G103" s="258">
        <v>1188000000</v>
      </c>
      <c r="H103" s="265">
        <v>0.1</v>
      </c>
      <c r="I103" s="258">
        <v>118800000</v>
      </c>
      <c r="J103" s="258">
        <v>1306800000</v>
      </c>
      <c r="K103" s="256" t="s">
        <v>1346</v>
      </c>
    </row>
    <row r="104" spans="1:11" x14ac:dyDescent="0.3">
      <c r="A104" s="256">
        <v>43</v>
      </c>
      <c r="B104" s="257" t="s">
        <v>1414</v>
      </c>
      <c r="C104" s="276">
        <v>44561</v>
      </c>
      <c r="D104" s="257" t="s">
        <v>1290</v>
      </c>
      <c r="E104" s="256" t="s">
        <v>1796</v>
      </c>
      <c r="F104" s="256" t="s">
        <v>1874</v>
      </c>
      <c r="G104" s="258">
        <v>1552000000</v>
      </c>
      <c r="H104" s="265">
        <v>0.1</v>
      </c>
      <c r="I104" s="258">
        <v>155200000</v>
      </c>
      <c r="J104" s="258">
        <v>1707200000</v>
      </c>
      <c r="K104" s="256" t="s">
        <v>1346</v>
      </c>
    </row>
    <row r="105" spans="1:11" x14ac:dyDescent="0.3">
      <c r="A105" s="256">
        <v>44</v>
      </c>
      <c r="B105" s="257" t="s">
        <v>1415</v>
      </c>
      <c r="C105" s="276">
        <v>44561</v>
      </c>
      <c r="D105" s="257" t="s">
        <v>1267</v>
      </c>
      <c r="E105" s="256" t="s">
        <v>1810</v>
      </c>
      <c r="F105" s="256" t="s">
        <v>1874</v>
      </c>
      <c r="G105" s="258">
        <v>3163000000</v>
      </c>
      <c r="H105" s="265">
        <v>0.1</v>
      </c>
      <c r="I105" s="258">
        <v>316300000</v>
      </c>
      <c r="J105" s="258">
        <v>3479300000</v>
      </c>
      <c r="K105" s="256" t="s">
        <v>1346</v>
      </c>
    </row>
    <row r="106" spans="1:11" x14ac:dyDescent="0.3">
      <c r="A106" s="256">
        <v>45</v>
      </c>
      <c r="B106" s="257" t="s">
        <v>1206</v>
      </c>
      <c r="C106" s="276">
        <v>44561</v>
      </c>
      <c r="D106" s="257" t="s">
        <v>1299</v>
      </c>
      <c r="E106" s="256" t="s">
        <v>1776</v>
      </c>
      <c r="F106" s="256" t="s">
        <v>1875</v>
      </c>
      <c r="G106" s="258">
        <v>1202000000</v>
      </c>
      <c r="H106" s="265">
        <v>0.1</v>
      </c>
      <c r="I106" s="258">
        <v>120200000</v>
      </c>
      <c r="J106" s="258">
        <v>1322200000</v>
      </c>
      <c r="K106" s="256" t="s">
        <v>1346</v>
      </c>
    </row>
    <row r="107" spans="1:11" x14ac:dyDescent="0.3">
      <c r="A107" s="256">
        <v>46</v>
      </c>
      <c r="B107" s="257" t="s">
        <v>1207</v>
      </c>
      <c r="C107" s="276">
        <v>44561</v>
      </c>
      <c r="D107" s="257" t="s">
        <v>1257</v>
      </c>
      <c r="E107" s="256" t="s">
        <v>1815</v>
      </c>
      <c r="F107" s="256" t="s">
        <v>1873</v>
      </c>
      <c r="G107" s="258">
        <v>3102000000</v>
      </c>
      <c r="H107" s="265">
        <v>0.1</v>
      </c>
      <c r="I107" s="258">
        <v>310200000</v>
      </c>
      <c r="J107" s="258">
        <v>3412200000</v>
      </c>
      <c r="K107" s="256" t="s">
        <v>1346</v>
      </c>
    </row>
    <row r="108" spans="1:11" x14ac:dyDescent="0.3">
      <c r="A108" s="256">
        <v>47</v>
      </c>
      <c r="B108" s="257" t="s">
        <v>1208</v>
      </c>
      <c r="C108" s="276">
        <v>44561</v>
      </c>
      <c r="D108" s="257" t="s">
        <v>1269</v>
      </c>
      <c r="E108" s="256" t="s">
        <v>1823</v>
      </c>
      <c r="F108" s="256" t="s">
        <v>1874</v>
      </c>
      <c r="G108" s="258">
        <v>1763000000</v>
      </c>
      <c r="H108" s="265">
        <v>0.1</v>
      </c>
      <c r="I108" s="258">
        <v>176300000</v>
      </c>
      <c r="J108" s="258">
        <v>1939300000</v>
      </c>
      <c r="K108" s="256" t="s">
        <v>1346</v>
      </c>
    </row>
    <row r="109" spans="1:11" x14ac:dyDescent="0.3">
      <c r="A109" s="256">
        <v>48</v>
      </c>
      <c r="B109" s="257" t="s">
        <v>1209</v>
      </c>
      <c r="C109" s="276">
        <v>44561</v>
      </c>
      <c r="D109" s="257" t="s">
        <v>1302</v>
      </c>
      <c r="E109" s="256" t="s">
        <v>1784</v>
      </c>
      <c r="F109" s="256" t="s">
        <v>1874</v>
      </c>
      <c r="G109" s="258">
        <v>1443000000</v>
      </c>
      <c r="H109" s="265">
        <v>0.1</v>
      </c>
      <c r="I109" s="258">
        <v>144300000</v>
      </c>
      <c r="J109" s="258">
        <v>1587300000</v>
      </c>
      <c r="K109" s="256" t="s">
        <v>1346</v>
      </c>
    </row>
    <row r="110" spans="1:11" x14ac:dyDescent="0.3">
      <c r="A110" s="256">
        <v>49</v>
      </c>
      <c r="B110" s="257" t="s">
        <v>1418</v>
      </c>
      <c r="C110" s="276">
        <v>44561</v>
      </c>
      <c r="D110" s="257" t="s">
        <v>1261</v>
      </c>
      <c r="E110" s="256" t="s">
        <v>1813</v>
      </c>
      <c r="F110" s="256" t="s">
        <v>1872</v>
      </c>
      <c r="G110" s="258">
        <v>3582000000</v>
      </c>
      <c r="H110" s="265">
        <v>0.1</v>
      </c>
      <c r="I110" s="258">
        <v>358200000</v>
      </c>
      <c r="J110" s="258">
        <v>3940200000</v>
      </c>
      <c r="K110" s="256" t="s">
        <v>1348</v>
      </c>
    </row>
    <row r="111" spans="1:11" x14ac:dyDescent="0.3">
      <c r="A111" s="256">
        <v>50</v>
      </c>
      <c r="B111" s="257" t="s">
        <v>1419</v>
      </c>
      <c r="C111" s="276">
        <v>44561</v>
      </c>
      <c r="D111" s="257" t="s">
        <v>1272</v>
      </c>
      <c r="E111" s="256" t="s">
        <v>1805</v>
      </c>
      <c r="F111" s="256" t="s">
        <v>1872</v>
      </c>
      <c r="G111" s="258">
        <v>2252000000</v>
      </c>
      <c r="H111" s="265">
        <v>0.1</v>
      </c>
      <c r="I111" s="258">
        <v>225200000</v>
      </c>
      <c r="J111" s="258">
        <v>2477200000</v>
      </c>
      <c r="K111" s="256" t="s">
        <v>1346</v>
      </c>
    </row>
    <row r="112" spans="1:11" x14ac:dyDescent="0.3">
      <c r="A112" s="266" t="s">
        <v>1351</v>
      </c>
      <c r="B112" s="266"/>
      <c r="C112" s="266"/>
      <c r="D112" s="266"/>
      <c r="E112" s="266"/>
      <c r="F112" s="266"/>
      <c r="G112" s="267">
        <f>SUM(G62:G111)</f>
        <v>127282000000</v>
      </c>
      <c r="H112" s="266"/>
      <c r="I112" s="267">
        <f>SUM(I62:I111)</f>
        <v>11015700000</v>
      </c>
      <c r="J112" s="267">
        <f>SUM(J62:J111)</f>
        <v>138297700000</v>
      </c>
      <c r="K112" s="266"/>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sheetData>
    <row r="1" spans="1:11" x14ac:dyDescent="0.3">
      <c r="A1" s="256" t="s">
        <v>1340</v>
      </c>
      <c r="B1" s="256" t="s">
        <v>1181</v>
      </c>
      <c r="C1" s="256"/>
      <c r="D1" s="256"/>
      <c r="E1" s="256"/>
      <c r="F1" s="256"/>
      <c r="G1" s="256"/>
      <c r="H1" s="256"/>
      <c r="I1" s="256"/>
      <c r="J1" s="256"/>
      <c r="K1" s="256"/>
    </row>
    <row r="2" spans="1:11" x14ac:dyDescent="0.3">
      <c r="A2" s="256" t="s">
        <v>1339</v>
      </c>
      <c r="B2" s="257">
        <v>2500243660</v>
      </c>
      <c r="C2" s="256"/>
      <c r="D2" s="256"/>
      <c r="E2" s="256"/>
      <c r="F2" s="256"/>
      <c r="G2" s="256"/>
      <c r="H2" s="256"/>
      <c r="I2" s="256"/>
      <c r="J2" s="256"/>
      <c r="K2" s="256"/>
    </row>
    <row r="3" spans="1:11" x14ac:dyDescent="0.3">
      <c r="A3" s="256" t="s">
        <v>1343</v>
      </c>
      <c r="B3" s="258">
        <v>6725792253900</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1456</v>
      </c>
      <c r="C8" s="276">
        <v>44317</v>
      </c>
      <c r="D8" s="257" t="s">
        <v>1291</v>
      </c>
      <c r="E8" s="256" t="s">
        <v>1800</v>
      </c>
      <c r="F8" s="256" t="s">
        <v>1742</v>
      </c>
      <c r="G8" s="258">
        <v>40497000000</v>
      </c>
      <c r="H8" s="265">
        <v>0.1</v>
      </c>
      <c r="I8" s="258">
        <v>4049700000</v>
      </c>
      <c r="J8" s="258">
        <v>44546700000</v>
      </c>
      <c r="K8" s="256" t="s">
        <v>1346</v>
      </c>
    </row>
    <row r="9" spans="1:11" x14ac:dyDescent="0.3">
      <c r="A9" s="256">
        <v>2</v>
      </c>
      <c r="B9" s="257" t="s">
        <v>1486</v>
      </c>
      <c r="C9" s="276">
        <v>44318</v>
      </c>
      <c r="D9" s="257" t="s">
        <v>1266</v>
      </c>
      <c r="E9" s="256" t="s">
        <v>1824</v>
      </c>
      <c r="F9" s="256" t="s">
        <v>1742</v>
      </c>
      <c r="G9" s="258">
        <v>134864000000</v>
      </c>
      <c r="H9" s="265">
        <v>0.1</v>
      </c>
      <c r="I9" s="258">
        <v>13486400000</v>
      </c>
      <c r="J9" s="258">
        <v>148350400000</v>
      </c>
      <c r="K9" s="256" t="s">
        <v>1346</v>
      </c>
    </row>
    <row r="10" spans="1:11" x14ac:dyDescent="0.3">
      <c r="A10" s="256">
        <v>3</v>
      </c>
      <c r="B10" s="257" t="s">
        <v>1485</v>
      </c>
      <c r="C10" s="276">
        <v>44472</v>
      </c>
      <c r="D10" s="257" t="s">
        <v>1268</v>
      </c>
      <c r="E10" s="256" t="s">
        <v>1821</v>
      </c>
      <c r="F10" s="256" t="s">
        <v>1746</v>
      </c>
      <c r="G10" s="258">
        <v>67461000000</v>
      </c>
      <c r="H10" s="265">
        <v>0.1</v>
      </c>
      <c r="I10" s="258">
        <v>6746100000</v>
      </c>
      <c r="J10" s="258">
        <v>74207100000</v>
      </c>
      <c r="K10" s="256" t="s">
        <v>1346</v>
      </c>
    </row>
    <row r="11" spans="1:11" x14ac:dyDescent="0.3">
      <c r="A11" s="256">
        <v>4</v>
      </c>
      <c r="B11" s="257" t="s">
        <v>1500</v>
      </c>
      <c r="C11" s="276">
        <v>44473</v>
      </c>
      <c r="D11" s="257" t="s">
        <v>1275</v>
      </c>
      <c r="E11" s="256" t="s">
        <v>1808</v>
      </c>
      <c r="F11" s="256" t="s">
        <v>1746</v>
      </c>
      <c r="G11" s="258">
        <v>117932000000</v>
      </c>
      <c r="H11" s="265">
        <v>0.1</v>
      </c>
      <c r="I11" s="258">
        <v>11793200000</v>
      </c>
      <c r="J11" s="258">
        <v>129725200000</v>
      </c>
      <c r="K11" s="256" t="s">
        <v>1348</v>
      </c>
    </row>
    <row r="12" spans="1:11" x14ac:dyDescent="0.3">
      <c r="A12" s="256">
        <v>5</v>
      </c>
      <c r="B12" s="257" t="s">
        <v>1496</v>
      </c>
      <c r="C12" s="276">
        <v>44474</v>
      </c>
      <c r="D12" s="257" t="s">
        <v>1282</v>
      </c>
      <c r="E12" s="256" t="s">
        <v>1789</v>
      </c>
      <c r="F12" s="256" t="s">
        <v>1746</v>
      </c>
      <c r="G12" s="258">
        <v>146209000000</v>
      </c>
      <c r="H12" s="265">
        <v>0.1</v>
      </c>
      <c r="I12" s="258">
        <v>14620900000</v>
      </c>
      <c r="J12" s="258">
        <v>160829900000</v>
      </c>
      <c r="K12" s="256" t="s">
        <v>1346</v>
      </c>
    </row>
    <row r="13" spans="1:11" x14ac:dyDescent="0.3">
      <c r="A13" s="256">
        <v>6</v>
      </c>
      <c r="B13" s="257" t="s">
        <v>1477</v>
      </c>
      <c r="C13" s="276">
        <v>44475</v>
      </c>
      <c r="D13" s="257" t="s">
        <v>1302</v>
      </c>
      <c r="E13" s="256" t="s">
        <v>1784</v>
      </c>
      <c r="F13" s="256" t="s">
        <v>1743</v>
      </c>
      <c r="G13" s="258">
        <v>116621000000</v>
      </c>
      <c r="H13" s="265">
        <v>0.1</v>
      </c>
      <c r="I13" s="258">
        <v>11662100000</v>
      </c>
      <c r="J13" s="258">
        <v>128283100000</v>
      </c>
      <c r="K13" s="256" t="s">
        <v>1346</v>
      </c>
    </row>
    <row r="14" spans="1:11" x14ac:dyDescent="0.3">
      <c r="A14" s="256">
        <v>7</v>
      </c>
      <c r="B14" s="257" t="s">
        <v>1482</v>
      </c>
      <c r="C14" s="276">
        <v>44476</v>
      </c>
      <c r="D14" s="257" t="s">
        <v>1289</v>
      </c>
      <c r="E14" s="256" t="s">
        <v>1803</v>
      </c>
      <c r="F14" s="256" t="s">
        <v>1746</v>
      </c>
      <c r="G14" s="258">
        <v>127897000000</v>
      </c>
      <c r="H14" s="265">
        <v>0.1</v>
      </c>
      <c r="I14" s="258">
        <v>12789700000</v>
      </c>
      <c r="J14" s="258">
        <v>140686700000</v>
      </c>
      <c r="K14" s="256" t="s">
        <v>1346</v>
      </c>
    </row>
    <row r="15" spans="1:11" x14ac:dyDescent="0.3">
      <c r="A15" s="256">
        <v>8</v>
      </c>
      <c r="B15" s="257" t="s">
        <v>1490</v>
      </c>
      <c r="C15" s="276">
        <v>44477</v>
      </c>
      <c r="D15" s="257" t="s">
        <v>1256</v>
      </c>
      <c r="E15" s="256" t="s">
        <v>1802</v>
      </c>
      <c r="F15" s="256" t="s">
        <v>1743</v>
      </c>
      <c r="G15" s="258">
        <v>53589000000</v>
      </c>
      <c r="H15" s="265">
        <v>0.1</v>
      </c>
      <c r="I15" s="258">
        <v>5358900000</v>
      </c>
      <c r="J15" s="258">
        <v>58947900000</v>
      </c>
      <c r="K15" s="256" t="s">
        <v>1346</v>
      </c>
    </row>
    <row r="16" spans="1:11" x14ac:dyDescent="0.3">
      <c r="A16" s="256">
        <v>9</v>
      </c>
      <c r="B16" s="257" t="s">
        <v>1506</v>
      </c>
      <c r="C16" s="276">
        <v>44478</v>
      </c>
      <c r="D16" s="257" t="s">
        <v>1271</v>
      </c>
      <c r="E16" s="256" t="s">
        <v>1799</v>
      </c>
      <c r="F16" s="256" t="s">
        <v>1742</v>
      </c>
      <c r="G16" s="258">
        <v>44752000000</v>
      </c>
      <c r="H16" s="265">
        <v>0</v>
      </c>
      <c r="I16" s="258">
        <v>0</v>
      </c>
      <c r="J16" s="258">
        <v>44752000000</v>
      </c>
      <c r="K16" s="256" t="s">
        <v>1348</v>
      </c>
    </row>
    <row r="17" spans="1:11" x14ac:dyDescent="0.3">
      <c r="A17" s="256">
        <v>10</v>
      </c>
      <c r="B17" s="257" t="s">
        <v>1477</v>
      </c>
      <c r="C17" s="276">
        <v>44479</v>
      </c>
      <c r="D17" s="257" t="s">
        <v>1293</v>
      </c>
      <c r="E17" s="256" t="s">
        <v>1826</v>
      </c>
      <c r="F17" s="256" t="s">
        <v>1746</v>
      </c>
      <c r="G17" s="258">
        <v>126228000000</v>
      </c>
      <c r="H17" s="265">
        <v>0.1</v>
      </c>
      <c r="I17" s="258">
        <v>12622800000</v>
      </c>
      <c r="J17" s="258">
        <v>138850800000</v>
      </c>
      <c r="K17" s="256" t="s">
        <v>1346</v>
      </c>
    </row>
    <row r="18" spans="1:11" x14ac:dyDescent="0.3">
      <c r="A18" s="256">
        <v>11</v>
      </c>
      <c r="B18" s="257" t="s">
        <v>1507</v>
      </c>
      <c r="C18" s="276">
        <v>44480</v>
      </c>
      <c r="D18" s="257" t="s">
        <v>1259</v>
      </c>
      <c r="E18" s="256" t="s">
        <v>1788</v>
      </c>
      <c r="F18" s="256" t="s">
        <v>1744</v>
      </c>
      <c r="G18" s="258">
        <v>70586000000</v>
      </c>
      <c r="H18" s="265">
        <v>0</v>
      </c>
      <c r="I18" s="258">
        <v>0</v>
      </c>
      <c r="J18" s="258">
        <v>70586000000</v>
      </c>
      <c r="K18" s="256" t="s">
        <v>1346</v>
      </c>
    </row>
    <row r="19" spans="1:11" x14ac:dyDescent="0.3">
      <c r="A19" s="256">
        <v>12</v>
      </c>
      <c r="B19" s="257" t="s">
        <v>1472</v>
      </c>
      <c r="C19" s="276">
        <v>44481</v>
      </c>
      <c r="D19" s="257" t="s">
        <v>1301</v>
      </c>
      <c r="E19" s="256" t="s">
        <v>1781</v>
      </c>
      <c r="F19" s="256" t="s">
        <v>1745</v>
      </c>
      <c r="G19" s="258">
        <v>46329000000</v>
      </c>
      <c r="H19" s="265">
        <v>0.1</v>
      </c>
      <c r="I19" s="258">
        <v>4632900000</v>
      </c>
      <c r="J19" s="258">
        <v>50961900000</v>
      </c>
      <c r="K19" s="256" t="s">
        <v>1348</v>
      </c>
    </row>
    <row r="20" spans="1:11" x14ac:dyDescent="0.3">
      <c r="A20" s="256">
        <v>13</v>
      </c>
      <c r="B20" s="257" t="s">
        <v>1478</v>
      </c>
      <c r="C20" s="276">
        <v>44211</v>
      </c>
      <c r="D20" s="257" t="s">
        <v>1302</v>
      </c>
      <c r="E20" s="256" t="s">
        <v>1784</v>
      </c>
      <c r="F20" s="256" t="s">
        <v>1745</v>
      </c>
      <c r="G20" s="258">
        <v>66482000000</v>
      </c>
      <c r="H20" s="265">
        <v>0.1</v>
      </c>
      <c r="I20" s="258">
        <v>6648200000</v>
      </c>
      <c r="J20" s="258">
        <v>73130200000</v>
      </c>
      <c r="K20" s="256" t="s">
        <v>1346</v>
      </c>
    </row>
    <row r="21" spans="1:11" x14ac:dyDescent="0.3">
      <c r="A21" s="256">
        <v>14</v>
      </c>
      <c r="B21" s="257" t="s">
        <v>1487</v>
      </c>
      <c r="C21" s="276">
        <v>44242</v>
      </c>
      <c r="D21" s="257" t="s">
        <v>1266</v>
      </c>
      <c r="E21" s="256" t="s">
        <v>1824</v>
      </c>
      <c r="F21" s="256" t="s">
        <v>1741</v>
      </c>
      <c r="G21" s="258">
        <v>103872000000</v>
      </c>
      <c r="H21" s="265">
        <v>0.1</v>
      </c>
      <c r="I21" s="258">
        <v>10387200000</v>
      </c>
      <c r="J21" s="258">
        <v>114259200000</v>
      </c>
      <c r="K21" s="256" t="s">
        <v>1346</v>
      </c>
    </row>
    <row r="22" spans="1:11" x14ac:dyDescent="0.3">
      <c r="A22" s="256">
        <v>15</v>
      </c>
      <c r="B22" s="257" t="s">
        <v>1209</v>
      </c>
      <c r="C22" s="276">
        <v>44275</v>
      </c>
      <c r="D22" s="257" t="s">
        <v>1298</v>
      </c>
      <c r="E22" s="256" t="s">
        <v>1819</v>
      </c>
      <c r="F22" s="256" t="s">
        <v>1746</v>
      </c>
      <c r="G22" s="258">
        <v>43793000000</v>
      </c>
      <c r="H22" s="265">
        <v>0</v>
      </c>
      <c r="I22" s="258">
        <v>0</v>
      </c>
      <c r="J22" s="258">
        <v>43793000000</v>
      </c>
      <c r="K22" s="256" t="s">
        <v>1346</v>
      </c>
    </row>
    <row r="23" spans="1:11" x14ac:dyDescent="0.3">
      <c r="A23" s="256">
        <v>16</v>
      </c>
      <c r="B23" s="257" t="s">
        <v>1456</v>
      </c>
      <c r="C23" s="276">
        <v>44306</v>
      </c>
      <c r="D23" s="257" t="s">
        <v>1294</v>
      </c>
      <c r="E23" s="256" t="s">
        <v>1795</v>
      </c>
      <c r="F23" s="256" t="s">
        <v>1744</v>
      </c>
      <c r="G23" s="258">
        <v>115691000000</v>
      </c>
      <c r="H23" s="265">
        <v>0.1</v>
      </c>
      <c r="I23" s="258">
        <v>11569100000</v>
      </c>
      <c r="J23" s="258">
        <v>127260100000</v>
      </c>
      <c r="K23" s="256" t="s">
        <v>1346</v>
      </c>
    </row>
    <row r="24" spans="1:11" x14ac:dyDescent="0.3">
      <c r="A24" s="256">
        <v>17</v>
      </c>
      <c r="B24" s="257" t="s">
        <v>1414</v>
      </c>
      <c r="C24" s="276">
        <v>44336</v>
      </c>
      <c r="D24" s="257" t="s">
        <v>1258</v>
      </c>
      <c r="E24" s="256" t="s">
        <v>1833</v>
      </c>
      <c r="F24" s="256" t="s">
        <v>1746</v>
      </c>
      <c r="G24" s="258">
        <v>111981000000</v>
      </c>
      <c r="H24" s="265">
        <v>0.1</v>
      </c>
      <c r="I24" s="258">
        <v>11198100000</v>
      </c>
      <c r="J24" s="258">
        <v>123179100000</v>
      </c>
      <c r="K24" s="256" t="s">
        <v>1346</v>
      </c>
    </row>
    <row r="25" spans="1:11" x14ac:dyDescent="0.3">
      <c r="A25" s="256">
        <v>18</v>
      </c>
      <c r="B25" s="257" t="s">
        <v>1491</v>
      </c>
      <c r="C25" s="276">
        <v>44367</v>
      </c>
      <c r="D25" s="257" t="s">
        <v>1279</v>
      </c>
      <c r="E25" s="256" t="s">
        <v>1827</v>
      </c>
      <c r="F25" s="256" t="s">
        <v>1742</v>
      </c>
      <c r="G25" s="258">
        <v>133206000000</v>
      </c>
      <c r="H25" s="265">
        <v>0.1</v>
      </c>
      <c r="I25" s="258">
        <v>13320600000</v>
      </c>
      <c r="J25" s="258">
        <v>146526600000</v>
      </c>
      <c r="K25" s="256" t="s">
        <v>1346</v>
      </c>
    </row>
    <row r="26" spans="1:11" x14ac:dyDescent="0.3">
      <c r="A26" s="256">
        <v>19</v>
      </c>
      <c r="B26" s="257" t="s">
        <v>1457</v>
      </c>
      <c r="C26" s="276">
        <v>44397</v>
      </c>
      <c r="D26" s="257" t="s">
        <v>1291</v>
      </c>
      <c r="E26" s="256" t="s">
        <v>1800</v>
      </c>
      <c r="F26" s="256" t="s">
        <v>1744</v>
      </c>
      <c r="G26" s="258">
        <v>127092000000</v>
      </c>
      <c r="H26" s="265">
        <v>0.1</v>
      </c>
      <c r="I26" s="258">
        <v>12709200000</v>
      </c>
      <c r="J26" s="258">
        <v>139801200000</v>
      </c>
      <c r="K26" s="256" t="s">
        <v>1346</v>
      </c>
    </row>
    <row r="27" spans="1:11" x14ac:dyDescent="0.3">
      <c r="A27" s="256">
        <v>20</v>
      </c>
      <c r="B27" s="257" t="s">
        <v>1459</v>
      </c>
      <c r="C27" s="276">
        <v>44428</v>
      </c>
      <c r="D27" s="257" t="s">
        <v>1287</v>
      </c>
      <c r="E27" s="256" t="s">
        <v>1801</v>
      </c>
      <c r="F27" s="256" t="s">
        <v>1745</v>
      </c>
      <c r="G27" s="258">
        <v>121771000000</v>
      </c>
      <c r="H27" s="265">
        <v>0.1</v>
      </c>
      <c r="I27" s="258">
        <v>12177100000</v>
      </c>
      <c r="J27" s="258">
        <v>133948100000</v>
      </c>
      <c r="K27" s="256" t="s">
        <v>1346</v>
      </c>
    </row>
    <row r="28" spans="1:11" x14ac:dyDescent="0.3">
      <c r="A28" s="256">
        <v>21</v>
      </c>
      <c r="B28" s="257" t="s">
        <v>1480</v>
      </c>
      <c r="C28" s="276">
        <v>44459</v>
      </c>
      <c r="D28" s="257" t="s">
        <v>1278</v>
      </c>
      <c r="E28" s="256" t="s">
        <v>1785</v>
      </c>
      <c r="F28" s="256" t="s">
        <v>1745</v>
      </c>
      <c r="G28" s="258">
        <v>141543000000</v>
      </c>
      <c r="H28" s="265">
        <v>0.1</v>
      </c>
      <c r="I28" s="258">
        <v>14154300000</v>
      </c>
      <c r="J28" s="258">
        <v>155697300000</v>
      </c>
      <c r="K28" s="256" t="s">
        <v>1346</v>
      </c>
    </row>
    <row r="29" spans="1:11" x14ac:dyDescent="0.3">
      <c r="A29" s="256">
        <v>22</v>
      </c>
      <c r="B29" s="257" t="s">
        <v>1512</v>
      </c>
      <c r="C29" s="276">
        <v>44489</v>
      </c>
      <c r="D29" s="257" t="s">
        <v>1304</v>
      </c>
      <c r="E29" s="256" t="s">
        <v>1831</v>
      </c>
      <c r="F29" s="256" t="s">
        <v>1743</v>
      </c>
      <c r="G29" s="258">
        <v>39848000000</v>
      </c>
      <c r="H29" s="265">
        <v>0.1</v>
      </c>
      <c r="I29" s="258">
        <v>3984800000</v>
      </c>
      <c r="J29" s="258">
        <v>43832800000</v>
      </c>
      <c r="K29" s="256" t="s">
        <v>1346</v>
      </c>
    </row>
    <row r="30" spans="1:11" x14ac:dyDescent="0.3">
      <c r="A30" s="256">
        <v>23</v>
      </c>
      <c r="B30" s="257" t="s">
        <v>1507</v>
      </c>
      <c r="C30" s="276">
        <v>44520</v>
      </c>
      <c r="D30" s="257" t="s">
        <v>1271</v>
      </c>
      <c r="E30" s="256" t="s">
        <v>1799</v>
      </c>
      <c r="F30" s="256" t="s">
        <v>1746</v>
      </c>
      <c r="G30" s="258">
        <v>143229000000</v>
      </c>
      <c r="H30" s="265">
        <v>0</v>
      </c>
      <c r="I30" s="258">
        <v>0</v>
      </c>
      <c r="J30" s="258">
        <v>143229000000</v>
      </c>
      <c r="K30" s="256" t="s">
        <v>1346</v>
      </c>
    </row>
    <row r="31" spans="1:11" x14ac:dyDescent="0.3">
      <c r="A31" s="256">
        <v>24</v>
      </c>
      <c r="B31" s="257" t="s">
        <v>1488</v>
      </c>
      <c r="C31" s="276">
        <v>44550</v>
      </c>
      <c r="D31" s="257" t="s">
        <v>1266</v>
      </c>
      <c r="E31" s="256" t="s">
        <v>1824</v>
      </c>
      <c r="F31" s="256" t="s">
        <v>1746</v>
      </c>
      <c r="G31" s="258">
        <v>59232000000</v>
      </c>
      <c r="H31" s="265">
        <v>0.1</v>
      </c>
      <c r="I31" s="258">
        <v>5923200000</v>
      </c>
      <c r="J31" s="258">
        <v>65155200000</v>
      </c>
      <c r="K31" s="256" t="s">
        <v>1346</v>
      </c>
    </row>
    <row r="32" spans="1:11" x14ac:dyDescent="0.3">
      <c r="A32" s="256">
        <v>25</v>
      </c>
      <c r="B32" s="257" t="s">
        <v>1518</v>
      </c>
      <c r="C32" s="276">
        <v>44221</v>
      </c>
      <c r="D32" s="257" t="s">
        <v>1284</v>
      </c>
      <c r="E32" s="256" t="s">
        <v>1786</v>
      </c>
      <c r="F32" s="256" t="s">
        <v>1746</v>
      </c>
      <c r="G32" s="258">
        <v>84974000000</v>
      </c>
      <c r="H32" s="265">
        <v>0.1</v>
      </c>
      <c r="I32" s="258">
        <v>8497400000</v>
      </c>
      <c r="J32" s="258">
        <v>93471400000</v>
      </c>
      <c r="K32" s="256" t="s">
        <v>1346</v>
      </c>
    </row>
    <row r="33" spans="1:11" x14ac:dyDescent="0.3">
      <c r="A33" s="256">
        <v>26</v>
      </c>
      <c r="B33" s="257" t="s">
        <v>1478</v>
      </c>
      <c r="C33" s="276">
        <v>44255</v>
      </c>
      <c r="D33" s="257" t="s">
        <v>1293</v>
      </c>
      <c r="E33" s="256" t="s">
        <v>1826</v>
      </c>
      <c r="F33" s="256" t="s">
        <v>1742</v>
      </c>
      <c r="G33" s="258">
        <v>84888000000</v>
      </c>
      <c r="H33" s="265">
        <v>0.1</v>
      </c>
      <c r="I33" s="258">
        <v>8488800000</v>
      </c>
      <c r="J33" s="258">
        <v>93376800000</v>
      </c>
      <c r="K33" s="256" t="s">
        <v>1346</v>
      </c>
    </row>
    <row r="34" spans="1:11" x14ac:dyDescent="0.3">
      <c r="A34" s="256">
        <v>27</v>
      </c>
      <c r="B34" s="257" t="s">
        <v>1508</v>
      </c>
      <c r="C34" s="276">
        <v>44316</v>
      </c>
      <c r="D34" s="257" t="s">
        <v>1271</v>
      </c>
      <c r="E34" s="256" t="s">
        <v>1799</v>
      </c>
      <c r="F34" s="256" t="s">
        <v>1745</v>
      </c>
      <c r="G34" s="258">
        <v>88138000000</v>
      </c>
      <c r="H34" s="265">
        <v>0.1</v>
      </c>
      <c r="I34" s="258">
        <v>8813800000</v>
      </c>
      <c r="J34" s="258">
        <v>96951800000</v>
      </c>
      <c r="K34" s="256" t="s">
        <v>1346</v>
      </c>
    </row>
    <row r="35" spans="1:11" x14ac:dyDescent="0.3">
      <c r="A35" s="256">
        <v>28</v>
      </c>
      <c r="B35" s="257" t="s">
        <v>1476</v>
      </c>
      <c r="C35" s="276">
        <v>44377</v>
      </c>
      <c r="D35" s="257" t="s">
        <v>1264</v>
      </c>
      <c r="E35" s="256" t="s">
        <v>1779</v>
      </c>
      <c r="F35" s="256" t="s">
        <v>1744</v>
      </c>
      <c r="G35" s="258">
        <v>91923000000</v>
      </c>
      <c r="H35" s="265">
        <v>0.1</v>
      </c>
      <c r="I35" s="258">
        <v>9192300000</v>
      </c>
      <c r="J35" s="258">
        <v>101115300000</v>
      </c>
      <c r="K35" s="256" t="s">
        <v>1346</v>
      </c>
    </row>
    <row r="36" spans="1:11" x14ac:dyDescent="0.3">
      <c r="A36" s="256">
        <v>29</v>
      </c>
      <c r="B36" s="257" t="s">
        <v>1501</v>
      </c>
      <c r="C36" s="276">
        <v>44469</v>
      </c>
      <c r="D36" s="257" t="s">
        <v>1275</v>
      </c>
      <c r="E36" s="256" t="s">
        <v>1808</v>
      </c>
      <c r="F36" s="256" t="s">
        <v>1744</v>
      </c>
      <c r="G36" s="258">
        <v>104368000000</v>
      </c>
      <c r="H36" s="265">
        <v>0.1</v>
      </c>
      <c r="I36" s="258">
        <v>10436800000</v>
      </c>
      <c r="J36" s="258">
        <v>114804800000</v>
      </c>
      <c r="K36" s="256" t="s">
        <v>1346</v>
      </c>
    </row>
    <row r="37" spans="1:11" x14ac:dyDescent="0.3">
      <c r="A37" s="256">
        <v>30</v>
      </c>
      <c r="B37" s="257" t="s">
        <v>1493</v>
      </c>
      <c r="C37" s="276">
        <v>44530</v>
      </c>
      <c r="D37" s="257" t="s">
        <v>1276</v>
      </c>
      <c r="E37" s="256" t="s">
        <v>1822</v>
      </c>
      <c r="F37" s="256" t="s">
        <v>1746</v>
      </c>
      <c r="G37" s="258">
        <v>150834000000</v>
      </c>
      <c r="H37" s="265">
        <v>0.1</v>
      </c>
      <c r="I37" s="258">
        <v>15083400000</v>
      </c>
      <c r="J37" s="258">
        <v>165917400000</v>
      </c>
      <c r="K37" s="256" t="s">
        <v>1346</v>
      </c>
    </row>
    <row r="38" spans="1:11" x14ac:dyDescent="0.3">
      <c r="A38" s="256">
        <v>31</v>
      </c>
      <c r="B38" s="257" t="s">
        <v>1485</v>
      </c>
      <c r="C38" s="276">
        <v>44286</v>
      </c>
      <c r="D38" s="257" t="s">
        <v>1257</v>
      </c>
      <c r="E38" s="256" t="s">
        <v>1815</v>
      </c>
      <c r="F38" s="256" t="s">
        <v>1741</v>
      </c>
      <c r="G38" s="258">
        <v>130123000000</v>
      </c>
      <c r="H38" s="265">
        <v>0.1</v>
      </c>
      <c r="I38" s="258">
        <v>13012300000</v>
      </c>
      <c r="J38" s="258">
        <v>143135300000</v>
      </c>
      <c r="K38" s="256" t="s">
        <v>1346</v>
      </c>
    </row>
    <row r="39" spans="1:11" x14ac:dyDescent="0.3">
      <c r="A39" s="256">
        <v>32</v>
      </c>
      <c r="B39" s="257" t="s">
        <v>1502</v>
      </c>
      <c r="C39" s="276">
        <v>44347</v>
      </c>
      <c r="D39" s="257" t="s">
        <v>1275</v>
      </c>
      <c r="E39" s="256" t="s">
        <v>1808</v>
      </c>
      <c r="F39" s="256" t="s">
        <v>1746</v>
      </c>
      <c r="G39" s="258">
        <v>143649000000</v>
      </c>
      <c r="H39" s="265">
        <v>0.1</v>
      </c>
      <c r="I39" s="258">
        <v>14364900000</v>
      </c>
      <c r="J39" s="258">
        <v>158013900000</v>
      </c>
      <c r="K39" s="256" t="s">
        <v>1346</v>
      </c>
    </row>
    <row r="40" spans="1:11" x14ac:dyDescent="0.3">
      <c r="A40" s="256">
        <v>33</v>
      </c>
      <c r="B40" s="257" t="s">
        <v>1477</v>
      </c>
      <c r="C40" s="276">
        <v>44408</v>
      </c>
      <c r="D40" s="257" t="s">
        <v>1262</v>
      </c>
      <c r="E40" s="256" t="s">
        <v>1816</v>
      </c>
      <c r="F40" s="256" t="s">
        <v>1744</v>
      </c>
      <c r="G40" s="258">
        <v>121322000000</v>
      </c>
      <c r="H40" s="265">
        <v>0.1</v>
      </c>
      <c r="I40" s="258">
        <v>12132200000</v>
      </c>
      <c r="J40" s="258">
        <v>133454200000</v>
      </c>
      <c r="K40" s="256" t="s">
        <v>1348</v>
      </c>
    </row>
    <row r="41" spans="1:11" x14ac:dyDescent="0.3">
      <c r="A41" s="256">
        <v>34</v>
      </c>
      <c r="B41" s="257" t="s">
        <v>1458</v>
      </c>
      <c r="C41" s="276">
        <v>44439</v>
      </c>
      <c r="D41" s="257" t="s">
        <v>1291</v>
      </c>
      <c r="E41" s="256" t="s">
        <v>1800</v>
      </c>
      <c r="F41" s="256" t="s">
        <v>1743</v>
      </c>
      <c r="G41" s="258">
        <v>48523000000</v>
      </c>
      <c r="H41" s="265">
        <v>0.1</v>
      </c>
      <c r="I41" s="258">
        <v>4852300000</v>
      </c>
      <c r="J41" s="258">
        <v>53375300000</v>
      </c>
      <c r="K41" s="256" t="s">
        <v>1348</v>
      </c>
    </row>
    <row r="42" spans="1:11" x14ac:dyDescent="0.3">
      <c r="A42" s="256">
        <v>35</v>
      </c>
      <c r="B42" s="257" t="s">
        <v>1460</v>
      </c>
      <c r="C42" s="276">
        <v>44500</v>
      </c>
      <c r="D42" s="257" t="s">
        <v>1267</v>
      </c>
      <c r="E42" s="256" t="s">
        <v>1810</v>
      </c>
      <c r="F42" s="256" t="s">
        <v>1743</v>
      </c>
      <c r="G42" s="258">
        <v>110816000000</v>
      </c>
      <c r="H42" s="265">
        <v>0.1</v>
      </c>
      <c r="I42" s="258">
        <v>11081600000</v>
      </c>
      <c r="J42" s="258">
        <v>121897600000</v>
      </c>
      <c r="K42" s="256" t="s">
        <v>1346</v>
      </c>
    </row>
    <row r="43" spans="1:11" x14ac:dyDescent="0.3">
      <c r="A43" s="256">
        <v>36</v>
      </c>
      <c r="B43" s="257" t="s">
        <v>1500</v>
      </c>
      <c r="C43" s="276">
        <v>44561</v>
      </c>
      <c r="D43" s="257" t="s">
        <v>1288</v>
      </c>
      <c r="E43" s="256" t="s">
        <v>1797</v>
      </c>
      <c r="F43" s="256" t="s">
        <v>1742</v>
      </c>
      <c r="G43" s="258">
        <v>65136000000</v>
      </c>
      <c r="H43" s="265">
        <v>0.1</v>
      </c>
      <c r="I43" s="258">
        <v>6513600000</v>
      </c>
      <c r="J43" s="258">
        <v>71649600000</v>
      </c>
      <c r="K43" s="256" t="s">
        <v>1346</v>
      </c>
    </row>
    <row r="44" spans="1:11" x14ac:dyDescent="0.3">
      <c r="A44" s="256">
        <v>37</v>
      </c>
      <c r="B44" s="257" t="s">
        <v>1486</v>
      </c>
      <c r="C44" s="276">
        <v>44561</v>
      </c>
      <c r="D44" s="257" t="s">
        <v>1268</v>
      </c>
      <c r="E44" s="256" t="s">
        <v>1821</v>
      </c>
      <c r="F44" s="256" t="s">
        <v>1743</v>
      </c>
      <c r="G44" s="258">
        <v>156972000000</v>
      </c>
      <c r="H44" s="265">
        <v>0.1</v>
      </c>
      <c r="I44" s="258">
        <v>15697200000</v>
      </c>
      <c r="J44" s="258">
        <v>172669200000</v>
      </c>
      <c r="K44" s="256" t="s">
        <v>1348</v>
      </c>
    </row>
    <row r="45" spans="1:11" x14ac:dyDescent="0.3">
      <c r="A45" s="256">
        <v>38</v>
      </c>
      <c r="B45" s="257" t="s">
        <v>1503</v>
      </c>
      <c r="C45" s="276">
        <v>44561</v>
      </c>
      <c r="D45" s="257" t="s">
        <v>1275</v>
      </c>
      <c r="E45" s="256" t="s">
        <v>1808</v>
      </c>
      <c r="F45" s="256" t="s">
        <v>1744</v>
      </c>
      <c r="G45" s="258">
        <v>43153000000</v>
      </c>
      <c r="H45" s="265">
        <v>0.1</v>
      </c>
      <c r="I45" s="258">
        <v>4315300000</v>
      </c>
      <c r="J45" s="258">
        <v>47468300000</v>
      </c>
      <c r="K45" s="256" t="s">
        <v>1346</v>
      </c>
    </row>
    <row r="46" spans="1:11" x14ac:dyDescent="0.3">
      <c r="A46" s="256">
        <v>39</v>
      </c>
      <c r="B46" s="257" t="s">
        <v>1499</v>
      </c>
      <c r="C46" s="276">
        <v>44561</v>
      </c>
      <c r="D46" s="257" t="s">
        <v>1270</v>
      </c>
      <c r="E46" s="256" t="s">
        <v>1782</v>
      </c>
      <c r="F46" s="256" t="s">
        <v>1741</v>
      </c>
      <c r="G46" s="258">
        <v>79005000000</v>
      </c>
      <c r="H46" s="265">
        <v>0.1</v>
      </c>
      <c r="I46" s="258">
        <v>7900500000</v>
      </c>
      <c r="J46" s="258">
        <v>86905500000</v>
      </c>
      <c r="K46" s="256" t="s">
        <v>1346</v>
      </c>
    </row>
    <row r="47" spans="1:11" x14ac:dyDescent="0.3">
      <c r="A47" s="256">
        <v>40</v>
      </c>
      <c r="B47" s="257" t="s">
        <v>1482</v>
      </c>
      <c r="C47" s="276">
        <v>44561</v>
      </c>
      <c r="D47" s="257" t="s">
        <v>1285</v>
      </c>
      <c r="E47" s="256" t="s">
        <v>1793</v>
      </c>
      <c r="F47" s="256" t="s">
        <v>1743</v>
      </c>
      <c r="G47" s="258">
        <v>147558000000</v>
      </c>
      <c r="H47" s="265">
        <v>0.1</v>
      </c>
      <c r="I47" s="258">
        <v>14755800000</v>
      </c>
      <c r="J47" s="258">
        <v>162313800000</v>
      </c>
      <c r="K47" s="256" t="s">
        <v>1346</v>
      </c>
    </row>
    <row r="48" spans="1:11" x14ac:dyDescent="0.3">
      <c r="A48" s="256">
        <v>41</v>
      </c>
      <c r="B48" s="257" t="s">
        <v>1477</v>
      </c>
      <c r="C48" s="276">
        <v>44561</v>
      </c>
      <c r="D48" s="257" t="s">
        <v>1264</v>
      </c>
      <c r="E48" s="256" t="s">
        <v>1779</v>
      </c>
      <c r="F48" s="256" t="s">
        <v>1743</v>
      </c>
      <c r="G48" s="258">
        <v>65165000000</v>
      </c>
      <c r="H48" s="265">
        <v>0.1</v>
      </c>
      <c r="I48" s="258">
        <v>6516500000</v>
      </c>
      <c r="J48" s="258">
        <v>71681500000</v>
      </c>
      <c r="K48" s="256" t="s">
        <v>1346</v>
      </c>
    </row>
    <row r="49" spans="1:11" x14ac:dyDescent="0.3">
      <c r="A49" s="256">
        <v>42</v>
      </c>
      <c r="B49" s="257" t="s">
        <v>1489</v>
      </c>
      <c r="C49" s="276">
        <v>44561</v>
      </c>
      <c r="D49" s="257" t="s">
        <v>1266</v>
      </c>
      <c r="E49" s="256" t="s">
        <v>1824</v>
      </c>
      <c r="F49" s="256" t="s">
        <v>1741</v>
      </c>
      <c r="G49" s="258">
        <v>109789000000</v>
      </c>
      <c r="H49" s="265">
        <v>0.1</v>
      </c>
      <c r="I49" s="258">
        <v>10978900000</v>
      </c>
      <c r="J49" s="258">
        <v>120767900000</v>
      </c>
      <c r="K49" s="256" t="s">
        <v>1346</v>
      </c>
    </row>
    <row r="50" spans="1:11" x14ac:dyDescent="0.3">
      <c r="A50" s="256">
        <v>43</v>
      </c>
      <c r="B50" s="257" t="s">
        <v>1483</v>
      </c>
      <c r="C50" s="276">
        <v>44561</v>
      </c>
      <c r="D50" s="257" t="s">
        <v>1285</v>
      </c>
      <c r="E50" s="256" t="s">
        <v>1793</v>
      </c>
      <c r="F50" s="256" t="s">
        <v>1744</v>
      </c>
      <c r="G50" s="258">
        <v>58129000000</v>
      </c>
      <c r="H50" s="265">
        <v>0.1</v>
      </c>
      <c r="I50" s="258">
        <v>5812900000</v>
      </c>
      <c r="J50" s="258">
        <v>63941900000</v>
      </c>
      <c r="K50" s="256" t="s">
        <v>1346</v>
      </c>
    </row>
    <row r="51" spans="1:11" x14ac:dyDescent="0.3">
      <c r="A51" s="256">
        <v>44</v>
      </c>
      <c r="B51" s="257" t="s">
        <v>1408</v>
      </c>
      <c r="C51" s="276">
        <v>44561</v>
      </c>
      <c r="D51" s="257" t="s">
        <v>1303</v>
      </c>
      <c r="E51" s="256" t="s">
        <v>1817</v>
      </c>
      <c r="F51" s="256" t="s">
        <v>1744</v>
      </c>
      <c r="G51" s="258">
        <v>63047000000</v>
      </c>
      <c r="H51" s="265">
        <v>0.1</v>
      </c>
      <c r="I51" s="258">
        <v>6304700000</v>
      </c>
      <c r="J51" s="258">
        <v>69351700000</v>
      </c>
      <c r="K51" s="256" t="s">
        <v>1346</v>
      </c>
    </row>
    <row r="52" spans="1:11" x14ac:dyDescent="0.3">
      <c r="A52" s="256">
        <v>45</v>
      </c>
      <c r="B52" s="257" t="s">
        <v>1460</v>
      </c>
      <c r="C52" s="276">
        <v>44561</v>
      </c>
      <c r="D52" s="257" t="s">
        <v>1287</v>
      </c>
      <c r="E52" s="256" t="s">
        <v>1801</v>
      </c>
      <c r="F52" s="256" t="s">
        <v>1742</v>
      </c>
      <c r="G52" s="258">
        <v>86870000000</v>
      </c>
      <c r="H52" s="265">
        <v>0.1</v>
      </c>
      <c r="I52" s="258">
        <v>8687000000</v>
      </c>
      <c r="J52" s="258">
        <v>95557000000</v>
      </c>
      <c r="K52" s="256" t="s">
        <v>1346</v>
      </c>
    </row>
    <row r="53" spans="1:11" x14ac:dyDescent="0.3">
      <c r="A53" s="256">
        <v>46</v>
      </c>
      <c r="B53" s="257" t="s">
        <v>1480</v>
      </c>
      <c r="C53" s="276">
        <v>44561</v>
      </c>
      <c r="D53" s="257" t="s">
        <v>1299</v>
      </c>
      <c r="E53" s="256" t="s">
        <v>1776</v>
      </c>
      <c r="F53" s="256" t="s">
        <v>1743</v>
      </c>
      <c r="G53" s="258">
        <v>73955000000</v>
      </c>
      <c r="H53" s="265">
        <v>0.1</v>
      </c>
      <c r="I53" s="258">
        <v>7395500000</v>
      </c>
      <c r="J53" s="258">
        <v>81350500000</v>
      </c>
      <c r="K53" s="256" t="s">
        <v>1346</v>
      </c>
    </row>
    <row r="54" spans="1:11" x14ac:dyDescent="0.3">
      <c r="A54" s="256">
        <v>47</v>
      </c>
      <c r="B54" s="257" t="s">
        <v>1509</v>
      </c>
      <c r="C54" s="276">
        <v>44561</v>
      </c>
      <c r="D54" s="257" t="s">
        <v>1271</v>
      </c>
      <c r="E54" s="256" t="s">
        <v>1799</v>
      </c>
      <c r="F54" s="256" t="s">
        <v>1746</v>
      </c>
      <c r="G54" s="258">
        <v>138925000000</v>
      </c>
      <c r="H54" s="265">
        <v>0.1</v>
      </c>
      <c r="I54" s="258">
        <v>13892500000</v>
      </c>
      <c r="J54" s="258">
        <v>152817500000</v>
      </c>
      <c r="K54" s="256" t="s">
        <v>1346</v>
      </c>
    </row>
    <row r="55" spans="1:11" x14ac:dyDescent="0.3">
      <c r="A55" s="256">
        <v>48</v>
      </c>
      <c r="B55" s="257" t="s">
        <v>1409</v>
      </c>
      <c r="C55" s="276">
        <v>44561</v>
      </c>
      <c r="D55" s="257" t="s">
        <v>1303</v>
      </c>
      <c r="E55" s="256" t="s">
        <v>1817</v>
      </c>
      <c r="F55" s="256" t="s">
        <v>1746</v>
      </c>
      <c r="G55" s="258">
        <v>139238000000</v>
      </c>
      <c r="H55" s="265">
        <v>0.1</v>
      </c>
      <c r="I55" s="258">
        <v>13923800000</v>
      </c>
      <c r="J55" s="258">
        <v>153161800000</v>
      </c>
      <c r="K55" s="256" t="s">
        <v>1346</v>
      </c>
    </row>
    <row r="56" spans="1:11" x14ac:dyDescent="0.3">
      <c r="A56" s="256">
        <v>49</v>
      </c>
      <c r="B56" s="257" t="s">
        <v>1501</v>
      </c>
      <c r="C56" s="276">
        <v>44561</v>
      </c>
      <c r="D56" s="257" t="s">
        <v>1288</v>
      </c>
      <c r="E56" s="256" t="s">
        <v>1797</v>
      </c>
      <c r="F56" s="256" t="s">
        <v>1741</v>
      </c>
      <c r="G56" s="258">
        <v>52023000000</v>
      </c>
      <c r="H56" s="265">
        <v>0.1</v>
      </c>
      <c r="I56" s="258">
        <v>5202300000</v>
      </c>
      <c r="J56" s="258">
        <v>57225300000</v>
      </c>
      <c r="K56" s="256" t="s">
        <v>1346</v>
      </c>
    </row>
    <row r="57" spans="1:11" x14ac:dyDescent="0.3">
      <c r="A57" s="256">
        <v>50</v>
      </c>
      <c r="B57" s="257" t="s">
        <v>1503</v>
      </c>
      <c r="C57" s="276">
        <v>44561</v>
      </c>
      <c r="D57" s="257" t="s">
        <v>1281</v>
      </c>
      <c r="E57" s="256" t="s">
        <v>1806</v>
      </c>
      <c r="F57" s="256" t="s">
        <v>1744</v>
      </c>
      <c r="G57" s="258">
        <v>87887000000</v>
      </c>
      <c r="H57" s="265">
        <v>0.1</v>
      </c>
      <c r="I57" s="258">
        <v>8788700000</v>
      </c>
      <c r="J57" s="258">
        <v>96675700000</v>
      </c>
      <c r="K57" s="256" t="s">
        <v>1346</v>
      </c>
    </row>
    <row r="58" spans="1:11" x14ac:dyDescent="0.3">
      <c r="A58" s="266" t="s">
        <v>1351</v>
      </c>
      <c r="B58" s="266"/>
      <c r="C58" s="266"/>
      <c r="D58" s="266"/>
      <c r="E58" s="266"/>
      <c r="F58" s="266"/>
      <c r="G58" s="267">
        <f>SUM(G8:G57)</f>
        <v>4827115000000</v>
      </c>
      <c r="H58" s="266"/>
      <c r="I58" s="267">
        <f>SUM(I8:I57)</f>
        <v>452475500000</v>
      </c>
      <c r="J58" s="267">
        <f>SUM(J8:J57)</f>
        <v>5279590500000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1259</v>
      </c>
      <c r="E62" s="256" t="s">
        <v>1788</v>
      </c>
      <c r="F62" s="256" t="s">
        <v>1747</v>
      </c>
      <c r="G62" s="258">
        <v>204524000000</v>
      </c>
      <c r="H62" s="265">
        <v>0.1</v>
      </c>
      <c r="I62" s="258">
        <v>20452400000</v>
      </c>
      <c r="J62" s="258">
        <v>224976400000</v>
      </c>
      <c r="K62" s="256" t="s">
        <v>1346</v>
      </c>
    </row>
    <row r="63" spans="1:11" x14ac:dyDescent="0.3">
      <c r="A63" s="256">
        <v>2</v>
      </c>
      <c r="B63" s="257" t="s">
        <v>1201</v>
      </c>
      <c r="C63" s="276">
        <v>44318</v>
      </c>
      <c r="D63" s="257" t="s">
        <v>1287</v>
      </c>
      <c r="E63" s="256" t="s">
        <v>1801</v>
      </c>
      <c r="F63" s="256" t="s">
        <v>1747</v>
      </c>
      <c r="G63" s="258">
        <v>75356000000</v>
      </c>
      <c r="H63" s="265">
        <v>0.1</v>
      </c>
      <c r="I63" s="258">
        <v>7535600000</v>
      </c>
      <c r="J63" s="258">
        <v>82891600000</v>
      </c>
      <c r="K63" s="256" t="s">
        <v>1346</v>
      </c>
    </row>
    <row r="64" spans="1:11" x14ac:dyDescent="0.3">
      <c r="A64" s="256">
        <v>3</v>
      </c>
      <c r="B64" s="257" t="s">
        <v>1202</v>
      </c>
      <c r="C64" s="276">
        <v>44472</v>
      </c>
      <c r="D64" s="257" t="s">
        <v>1290</v>
      </c>
      <c r="E64" s="256" t="s">
        <v>1796</v>
      </c>
      <c r="F64" s="256" t="s">
        <v>1747</v>
      </c>
      <c r="G64" s="258">
        <v>112676000000</v>
      </c>
      <c r="H64" s="265">
        <v>0.1</v>
      </c>
      <c r="I64" s="258">
        <v>11267600000</v>
      </c>
      <c r="J64" s="258">
        <v>123943600000</v>
      </c>
      <c r="K64" s="256" t="s">
        <v>1346</v>
      </c>
    </row>
    <row r="65" spans="1:11" x14ac:dyDescent="0.3">
      <c r="A65" s="256">
        <v>4</v>
      </c>
      <c r="B65" s="257" t="s">
        <v>1355</v>
      </c>
      <c r="C65" s="276">
        <v>44473</v>
      </c>
      <c r="D65" s="257" t="s">
        <v>1257</v>
      </c>
      <c r="E65" s="256" t="s">
        <v>1815</v>
      </c>
      <c r="F65" s="256" t="s">
        <v>1748</v>
      </c>
      <c r="G65" s="258">
        <v>117303000000</v>
      </c>
      <c r="H65" s="265">
        <v>0.1</v>
      </c>
      <c r="I65" s="258">
        <v>11730300000</v>
      </c>
      <c r="J65" s="258">
        <v>129033300000</v>
      </c>
      <c r="K65" s="256" t="s">
        <v>1346</v>
      </c>
    </row>
    <row r="66" spans="1:11" x14ac:dyDescent="0.3">
      <c r="A66" s="256">
        <v>5</v>
      </c>
      <c r="B66" s="257" t="s">
        <v>1356</v>
      </c>
      <c r="C66" s="276">
        <v>44474</v>
      </c>
      <c r="D66" s="257" t="s">
        <v>1272</v>
      </c>
      <c r="E66" s="256" t="s">
        <v>1805</v>
      </c>
      <c r="F66" s="256" t="s">
        <v>1747</v>
      </c>
      <c r="G66" s="258">
        <v>205876000000</v>
      </c>
      <c r="H66" s="265">
        <v>0</v>
      </c>
      <c r="I66" s="258">
        <v>0</v>
      </c>
      <c r="J66" s="258">
        <v>205876000000</v>
      </c>
      <c r="K66" s="256" t="s">
        <v>1346</v>
      </c>
    </row>
    <row r="67" spans="1:11" x14ac:dyDescent="0.3">
      <c r="A67" s="256">
        <v>6</v>
      </c>
      <c r="B67" s="257" t="s">
        <v>1358</v>
      </c>
      <c r="C67" s="276">
        <v>44475</v>
      </c>
      <c r="D67" s="257" t="s">
        <v>1267</v>
      </c>
      <c r="E67" s="256" t="s">
        <v>1810</v>
      </c>
      <c r="F67" s="256" t="s">
        <v>1750</v>
      </c>
      <c r="G67" s="258">
        <v>139538000000</v>
      </c>
      <c r="H67" s="265">
        <v>0.1</v>
      </c>
      <c r="I67" s="258">
        <v>13953800000</v>
      </c>
      <c r="J67" s="258">
        <v>153491800000</v>
      </c>
      <c r="K67" s="256" t="s">
        <v>1346</v>
      </c>
    </row>
    <row r="68" spans="1:11" x14ac:dyDescent="0.3">
      <c r="A68" s="256">
        <v>7</v>
      </c>
      <c r="B68" s="257" t="s">
        <v>1360</v>
      </c>
      <c r="C68" s="276">
        <v>44476</v>
      </c>
      <c r="D68" s="257" t="s">
        <v>1269</v>
      </c>
      <c r="E68" s="256" t="s">
        <v>1823</v>
      </c>
      <c r="F68" s="256" t="s">
        <v>1750</v>
      </c>
      <c r="G68" s="258">
        <v>185725000000</v>
      </c>
      <c r="H68" s="265">
        <v>0.1</v>
      </c>
      <c r="I68" s="258">
        <v>18572500000</v>
      </c>
      <c r="J68" s="258">
        <v>204297500000</v>
      </c>
      <c r="K68" s="256" t="s">
        <v>1348</v>
      </c>
    </row>
    <row r="69" spans="1:11" x14ac:dyDescent="0.3">
      <c r="A69" s="256">
        <v>8</v>
      </c>
      <c r="B69" s="257" t="s">
        <v>1362</v>
      </c>
      <c r="C69" s="276">
        <v>44477</v>
      </c>
      <c r="D69" s="257" t="s">
        <v>1266</v>
      </c>
      <c r="E69" s="256" t="s">
        <v>1824</v>
      </c>
      <c r="F69" s="256" t="s">
        <v>1748</v>
      </c>
      <c r="G69" s="258">
        <v>194268000000</v>
      </c>
      <c r="H69" s="265">
        <v>0.1</v>
      </c>
      <c r="I69" s="258">
        <v>19426800000</v>
      </c>
      <c r="J69" s="258">
        <v>213694800000</v>
      </c>
      <c r="K69" s="256" t="s">
        <v>1346</v>
      </c>
    </row>
    <row r="70" spans="1:11" x14ac:dyDescent="0.3">
      <c r="A70" s="256">
        <v>9</v>
      </c>
      <c r="B70" s="257" t="s">
        <v>1364</v>
      </c>
      <c r="C70" s="276">
        <v>44478</v>
      </c>
      <c r="D70" s="257" t="s">
        <v>1278</v>
      </c>
      <c r="E70" s="256" t="s">
        <v>1785</v>
      </c>
      <c r="F70" s="256" t="s">
        <v>1747</v>
      </c>
      <c r="G70" s="258">
        <v>117946000000</v>
      </c>
      <c r="H70" s="265">
        <v>0</v>
      </c>
      <c r="I70" s="258">
        <v>0</v>
      </c>
      <c r="J70" s="258">
        <v>117946000000</v>
      </c>
      <c r="K70" s="256" t="s">
        <v>1348</v>
      </c>
    </row>
    <row r="71" spans="1:11" x14ac:dyDescent="0.3">
      <c r="A71" s="256">
        <v>10</v>
      </c>
      <c r="B71" s="257" t="s">
        <v>1366</v>
      </c>
      <c r="C71" s="276">
        <v>44479</v>
      </c>
      <c r="D71" s="257" t="s">
        <v>1287</v>
      </c>
      <c r="E71" s="256" t="s">
        <v>1801</v>
      </c>
      <c r="F71" s="256" t="s">
        <v>1747</v>
      </c>
      <c r="G71" s="258">
        <v>179306000000</v>
      </c>
      <c r="H71" s="265">
        <v>0.1</v>
      </c>
      <c r="I71" s="258">
        <v>17930600000</v>
      </c>
      <c r="J71" s="258">
        <v>197236600000</v>
      </c>
      <c r="K71" s="256" t="s">
        <v>1346</v>
      </c>
    </row>
    <row r="72" spans="1:11" x14ac:dyDescent="0.3">
      <c r="A72" s="256">
        <v>11</v>
      </c>
      <c r="B72" s="257" t="s">
        <v>1368</v>
      </c>
      <c r="C72" s="276">
        <v>44480</v>
      </c>
      <c r="D72" s="257" t="s">
        <v>1281</v>
      </c>
      <c r="E72" s="256" t="s">
        <v>1806</v>
      </c>
      <c r="F72" s="256" t="s">
        <v>1750</v>
      </c>
      <c r="G72" s="258">
        <v>63161000000</v>
      </c>
      <c r="H72" s="265">
        <v>0.1</v>
      </c>
      <c r="I72" s="258">
        <v>6316100000</v>
      </c>
      <c r="J72" s="258">
        <v>69477100000</v>
      </c>
      <c r="K72" s="256" t="s">
        <v>1346</v>
      </c>
    </row>
    <row r="73" spans="1:11" x14ac:dyDescent="0.3">
      <c r="A73" s="256">
        <v>12</v>
      </c>
      <c r="B73" s="257" t="s">
        <v>1371</v>
      </c>
      <c r="C73" s="276">
        <v>44481</v>
      </c>
      <c r="D73" s="257" t="s">
        <v>1276</v>
      </c>
      <c r="E73" s="256" t="s">
        <v>1822</v>
      </c>
      <c r="F73" s="256" t="s">
        <v>1748</v>
      </c>
      <c r="G73" s="258">
        <v>129989000000</v>
      </c>
      <c r="H73" s="265">
        <v>0.1</v>
      </c>
      <c r="I73" s="258">
        <v>12998900000</v>
      </c>
      <c r="J73" s="258">
        <v>142987900000</v>
      </c>
      <c r="K73" s="256" t="s">
        <v>1346</v>
      </c>
    </row>
    <row r="74" spans="1:11" x14ac:dyDescent="0.3">
      <c r="A74" s="256">
        <v>13</v>
      </c>
      <c r="B74" s="257" t="s">
        <v>1373</v>
      </c>
      <c r="C74" s="276">
        <v>44211</v>
      </c>
      <c r="D74" s="257" t="s">
        <v>1301</v>
      </c>
      <c r="E74" s="256" t="s">
        <v>1781</v>
      </c>
      <c r="F74" s="256" t="s">
        <v>1747</v>
      </c>
      <c r="G74" s="258">
        <v>126424000000</v>
      </c>
      <c r="H74" s="265">
        <v>0.1</v>
      </c>
      <c r="I74" s="258">
        <v>12642400000</v>
      </c>
      <c r="J74" s="258">
        <v>139066400000</v>
      </c>
      <c r="K74" s="256" t="s">
        <v>1346</v>
      </c>
    </row>
    <row r="75" spans="1:11" x14ac:dyDescent="0.3">
      <c r="A75" s="256">
        <v>14</v>
      </c>
      <c r="B75" s="257" t="s">
        <v>1374</v>
      </c>
      <c r="C75" s="276">
        <v>44242</v>
      </c>
      <c r="D75" s="257" t="s">
        <v>1296</v>
      </c>
      <c r="E75" s="256" t="s">
        <v>1807</v>
      </c>
      <c r="F75" s="256" t="s">
        <v>1747</v>
      </c>
      <c r="G75" s="258">
        <v>201583000000</v>
      </c>
      <c r="H75" s="265">
        <v>0</v>
      </c>
      <c r="I75" s="258">
        <v>0</v>
      </c>
      <c r="J75" s="258">
        <v>201583000000</v>
      </c>
      <c r="K75" s="256" t="s">
        <v>1346</v>
      </c>
    </row>
    <row r="76" spans="1:11" x14ac:dyDescent="0.3">
      <c r="A76" s="256">
        <v>15</v>
      </c>
      <c r="B76" s="257" t="s">
        <v>1376</v>
      </c>
      <c r="C76" s="276">
        <v>44275</v>
      </c>
      <c r="D76" s="257" t="s">
        <v>1278</v>
      </c>
      <c r="E76" s="256" t="s">
        <v>1785</v>
      </c>
      <c r="F76" s="256" t="s">
        <v>1748</v>
      </c>
      <c r="G76" s="258">
        <v>133945000000</v>
      </c>
      <c r="H76" s="265">
        <v>0.1</v>
      </c>
      <c r="I76" s="258">
        <v>13394500000</v>
      </c>
      <c r="J76" s="258">
        <v>147339500000</v>
      </c>
      <c r="K76" s="256" t="s">
        <v>1346</v>
      </c>
    </row>
    <row r="77" spans="1:11" x14ac:dyDescent="0.3">
      <c r="A77" s="256">
        <v>16</v>
      </c>
      <c r="B77" s="257" t="s">
        <v>1378</v>
      </c>
      <c r="C77" s="276">
        <v>44306</v>
      </c>
      <c r="D77" s="257" t="s">
        <v>1304</v>
      </c>
      <c r="E77" s="256" t="s">
        <v>1831</v>
      </c>
      <c r="F77" s="256" t="s">
        <v>1748</v>
      </c>
      <c r="G77" s="258">
        <v>136001000000</v>
      </c>
      <c r="H77" s="265">
        <v>0.1</v>
      </c>
      <c r="I77" s="258">
        <v>13600100000</v>
      </c>
      <c r="J77" s="258">
        <v>149601100000</v>
      </c>
      <c r="K77" s="256" t="s">
        <v>1348</v>
      </c>
    </row>
    <row r="78" spans="1:11" x14ac:dyDescent="0.3">
      <c r="A78" s="256">
        <v>17</v>
      </c>
      <c r="B78" s="257" t="s">
        <v>1379</v>
      </c>
      <c r="C78" s="276">
        <v>44336</v>
      </c>
      <c r="D78" s="257" t="s">
        <v>1302</v>
      </c>
      <c r="E78" s="256" t="s">
        <v>1784</v>
      </c>
      <c r="F78" s="256" t="s">
        <v>1747</v>
      </c>
      <c r="G78" s="258">
        <v>187322000000</v>
      </c>
      <c r="H78" s="265">
        <v>0.1</v>
      </c>
      <c r="I78" s="258">
        <v>18732200000</v>
      </c>
      <c r="J78" s="258">
        <v>206054200000</v>
      </c>
      <c r="K78" s="256" t="s">
        <v>1346</v>
      </c>
    </row>
    <row r="79" spans="1:11" x14ac:dyDescent="0.3">
      <c r="A79" s="256">
        <v>18</v>
      </c>
      <c r="B79" s="257" t="s">
        <v>1381</v>
      </c>
      <c r="C79" s="276">
        <v>44367</v>
      </c>
      <c r="D79" s="257" t="s">
        <v>1284</v>
      </c>
      <c r="E79" s="256" t="s">
        <v>1786</v>
      </c>
      <c r="F79" s="256" t="s">
        <v>1750</v>
      </c>
      <c r="G79" s="258">
        <v>67671000000</v>
      </c>
      <c r="H79" s="265">
        <v>0.1</v>
      </c>
      <c r="I79" s="258">
        <v>6767100000</v>
      </c>
      <c r="J79" s="258">
        <v>74438100000</v>
      </c>
      <c r="K79" s="256" t="s">
        <v>1346</v>
      </c>
    </row>
    <row r="80" spans="1:11" x14ac:dyDescent="0.3">
      <c r="A80" s="256">
        <v>19</v>
      </c>
      <c r="B80" s="257" t="s">
        <v>1382</v>
      </c>
      <c r="C80" s="276">
        <v>44397</v>
      </c>
      <c r="D80" s="257" t="s">
        <v>1276</v>
      </c>
      <c r="E80" s="256" t="s">
        <v>1822</v>
      </c>
      <c r="F80" s="256" t="s">
        <v>1747</v>
      </c>
      <c r="G80" s="258">
        <v>167288000000</v>
      </c>
      <c r="H80" s="265">
        <v>0.1</v>
      </c>
      <c r="I80" s="258">
        <v>16728800000</v>
      </c>
      <c r="J80" s="258">
        <v>184016800000</v>
      </c>
      <c r="K80" s="256" t="s">
        <v>1346</v>
      </c>
    </row>
    <row r="81" spans="1:11" x14ac:dyDescent="0.3">
      <c r="A81" s="256">
        <v>20</v>
      </c>
      <c r="B81" s="257" t="s">
        <v>1383</v>
      </c>
      <c r="C81" s="276">
        <v>44428</v>
      </c>
      <c r="D81" s="257" t="s">
        <v>1261</v>
      </c>
      <c r="E81" s="256" t="s">
        <v>1813</v>
      </c>
      <c r="F81" s="256" t="s">
        <v>1750</v>
      </c>
      <c r="G81" s="258">
        <v>213900000000</v>
      </c>
      <c r="H81" s="265">
        <v>0.1</v>
      </c>
      <c r="I81" s="258">
        <v>21390000000</v>
      </c>
      <c r="J81" s="258">
        <v>235290000000</v>
      </c>
      <c r="K81" s="256" t="s">
        <v>1346</v>
      </c>
    </row>
    <row r="82" spans="1:11" x14ac:dyDescent="0.3">
      <c r="A82" s="256">
        <v>21</v>
      </c>
      <c r="B82" s="257" t="s">
        <v>1203</v>
      </c>
      <c r="C82" s="276">
        <v>44459</v>
      </c>
      <c r="D82" s="257" t="s">
        <v>1274</v>
      </c>
      <c r="E82" s="256" t="s">
        <v>1794</v>
      </c>
      <c r="F82" s="256" t="s">
        <v>1750</v>
      </c>
      <c r="G82" s="258">
        <v>175461000000</v>
      </c>
      <c r="H82" s="265">
        <v>0.1</v>
      </c>
      <c r="I82" s="258">
        <v>17546100000</v>
      </c>
      <c r="J82" s="258">
        <v>193007100000</v>
      </c>
      <c r="K82" s="256" t="s">
        <v>1348</v>
      </c>
    </row>
    <row r="83" spans="1:11" x14ac:dyDescent="0.3">
      <c r="A83" s="256">
        <v>22</v>
      </c>
      <c r="B83" s="257" t="s">
        <v>1204</v>
      </c>
      <c r="C83" s="276">
        <v>44489</v>
      </c>
      <c r="D83" s="257" t="s">
        <v>1297</v>
      </c>
      <c r="E83" s="256" t="s">
        <v>1820</v>
      </c>
      <c r="F83" s="256" t="s">
        <v>1750</v>
      </c>
      <c r="G83" s="258">
        <v>140764000000</v>
      </c>
      <c r="H83" s="265">
        <v>0.1</v>
      </c>
      <c r="I83" s="258">
        <v>14076400000</v>
      </c>
      <c r="J83" s="258">
        <v>154840400000</v>
      </c>
      <c r="K83" s="256" t="s">
        <v>1348</v>
      </c>
    </row>
    <row r="84" spans="1:11" x14ac:dyDescent="0.3">
      <c r="A84" s="256">
        <v>23</v>
      </c>
      <c r="B84" s="257" t="s">
        <v>1205</v>
      </c>
      <c r="C84" s="276">
        <v>44520</v>
      </c>
      <c r="D84" s="257" t="s">
        <v>1278</v>
      </c>
      <c r="E84" s="256" t="s">
        <v>1785</v>
      </c>
      <c r="F84" s="256" t="s">
        <v>1748</v>
      </c>
      <c r="G84" s="258">
        <v>136035000000</v>
      </c>
      <c r="H84" s="265">
        <v>0.1</v>
      </c>
      <c r="I84" s="258">
        <v>13603500000</v>
      </c>
      <c r="J84" s="258">
        <v>149638500000</v>
      </c>
      <c r="K84" s="256" t="s">
        <v>1346</v>
      </c>
    </row>
    <row r="85" spans="1:11" x14ac:dyDescent="0.3">
      <c r="A85" s="256">
        <v>24</v>
      </c>
      <c r="B85" s="257" t="s">
        <v>1385</v>
      </c>
      <c r="C85" s="276">
        <v>44550</v>
      </c>
      <c r="D85" s="257" t="s">
        <v>1266</v>
      </c>
      <c r="E85" s="256" t="s">
        <v>1824</v>
      </c>
      <c r="F85" s="256" t="s">
        <v>1748</v>
      </c>
      <c r="G85" s="258">
        <v>104402000000</v>
      </c>
      <c r="H85" s="265">
        <v>0.1</v>
      </c>
      <c r="I85" s="258">
        <v>10440200000</v>
      </c>
      <c r="J85" s="258">
        <v>114842200000</v>
      </c>
      <c r="K85" s="256" t="s">
        <v>1346</v>
      </c>
    </row>
    <row r="86" spans="1:11" x14ac:dyDescent="0.3">
      <c r="A86" s="256">
        <v>25</v>
      </c>
      <c r="B86" s="257" t="s">
        <v>1387</v>
      </c>
      <c r="C86" s="276">
        <v>44221</v>
      </c>
      <c r="D86" s="257" t="s">
        <v>1295</v>
      </c>
      <c r="E86" s="256" t="s">
        <v>1825</v>
      </c>
      <c r="F86" s="256" t="s">
        <v>1747</v>
      </c>
      <c r="G86" s="258">
        <v>202737000000</v>
      </c>
      <c r="H86" s="265">
        <v>0.1</v>
      </c>
      <c r="I86" s="258">
        <v>20273700000</v>
      </c>
      <c r="J86" s="258">
        <v>223010700000</v>
      </c>
      <c r="K86" s="256" t="s">
        <v>1346</v>
      </c>
    </row>
    <row r="87" spans="1:11" x14ac:dyDescent="0.3">
      <c r="A87" s="256">
        <v>26</v>
      </c>
      <c r="B87" s="257" t="s">
        <v>1388</v>
      </c>
      <c r="C87" s="276">
        <v>44255</v>
      </c>
      <c r="D87" s="257" t="s">
        <v>1270</v>
      </c>
      <c r="E87" s="256" t="s">
        <v>1782</v>
      </c>
      <c r="F87" s="256" t="s">
        <v>1750</v>
      </c>
      <c r="G87" s="258">
        <v>210512000000</v>
      </c>
      <c r="H87" s="265">
        <v>0.1</v>
      </c>
      <c r="I87" s="258">
        <v>21051200000</v>
      </c>
      <c r="J87" s="258">
        <v>231563200000</v>
      </c>
      <c r="K87" s="256" t="s">
        <v>1346</v>
      </c>
    </row>
    <row r="88" spans="1:11" x14ac:dyDescent="0.3">
      <c r="A88" s="256">
        <v>27</v>
      </c>
      <c r="B88" s="257" t="s">
        <v>1391</v>
      </c>
      <c r="C88" s="276">
        <v>44316</v>
      </c>
      <c r="D88" s="257" t="s">
        <v>1301</v>
      </c>
      <c r="E88" s="256" t="s">
        <v>1781</v>
      </c>
      <c r="F88" s="256" t="s">
        <v>1748</v>
      </c>
      <c r="G88" s="258">
        <v>106027000000</v>
      </c>
      <c r="H88" s="265">
        <v>0.1</v>
      </c>
      <c r="I88" s="258">
        <v>10602700000</v>
      </c>
      <c r="J88" s="258">
        <v>116629700000</v>
      </c>
      <c r="K88" s="256" t="s">
        <v>1346</v>
      </c>
    </row>
    <row r="89" spans="1:11" x14ac:dyDescent="0.3">
      <c r="A89" s="256">
        <v>28</v>
      </c>
      <c r="B89" s="257" t="s">
        <v>1392</v>
      </c>
      <c r="C89" s="276">
        <v>44377</v>
      </c>
      <c r="D89" s="257" t="s">
        <v>1289</v>
      </c>
      <c r="E89" s="256" t="s">
        <v>1803</v>
      </c>
      <c r="F89" s="256" t="s">
        <v>1750</v>
      </c>
      <c r="G89" s="258">
        <v>91362000000</v>
      </c>
      <c r="H89" s="265">
        <v>0.1</v>
      </c>
      <c r="I89" s="258">
        <v>9136200000</v>
      </c>
      <c r="J89" s="258">
        <v>100498200000</v>
      </c>
      <c r="K89" s="256" t="s">
        <v>1346</v>
      </c>
    </row>
    <row r="90" spans="1:11" x14ac:dyDescent="0.3">
      <c r="A90" s="256">
        <v>29</v>
      </c>
      <c r="B90" s="257" t="s">
        <v>1394</v>
      </c>
      <c r="C90" s="276">
        <v>44469</v>
      </c>
      <c r="D90" s="257" t="s">
        <v>1286</v>
      </c>
      <c r="E90" s="256" t="s">
        <v>1828</v>
      </c>
      <c r="F90" s="256" t="s">
        <v>1750</v>
      </c>
      <c r="G90" s="258">
        <v>172453000000</v>
      </c>
      <c r="H90" s="265">
        <v>0.1</v>
      </c>
      <c r="I90" s="258">
        <v>17245300000</v>
      </c>
      <c r="J90" s="258">
        <v>189698300000</v>
      </c>
      <c r="K90" s="256" t="s">
        <v>1346</v>
      </c>
    </row>
    <row r="91" spans="1:11" x14ac:dyDescent="0.3">
      <c r="A91" s="256">
        <v>30</v>
      </c>
      <c r="B91" s="257" t="s">
        <v>1396</v>
      </c>
      <c r="C91" s="276">
        <v>44530</v>
      </c>
      <c r="D91" s="257" t="s">
        <v>1279</v>
      </c>
      <c r="E91" s="256" t="s">
        <v>1827</v>
      </c>
      <c r="F91" s="256" t="s">
        <v>1748</v>
      </c>
      <c r="G91" s="258">
        <v>200328000000</v>
      </c>
      <c r="H91" s="265">
        <v>0.1</v>
      </c>
      <c r="I91" s="258">
        <v>20032800000</v>
      </c>
      <c r="J91" s="258">
        <v>220360800000</v>
      </c>
      <c r="K91" s="256" t="s">
        <v>1346</v>
      </c>
    </row>
    <row r="92" spans="1:11" x14ac:dyDescent="0.3">
      <c r="A92" s="256">
        <v>31</v>
      </c>
      <c r="B92" s="257" t="s">
        <v>1397</v>
      </c>
      <c r="C92" s="276">
        <v>44286</v>
      </c>
      <c r="D92" s="257" t="s">
        <v>1302</v>
      </c>
      <c r="E92" s="256" t="s">
        <v>1784</v>
      </c>
      <c r="F92" s="256" t="s">
        <v>1748</v>
      </c>
      <c r="G92" s="258">
        <v>163332000000</v>
      </c>
      <c r="H92" s="265">
        <v>0</v>
      </c>
      <c r="I92" s="258">
        <v>0</v>
      </c>
      <c r="J92" s="258">
        <v>163332000000</v>
      </c>
      <c r="K92" s="256" t="s">
        <v>1346</v>
      </c>
    </row>
    <row r="93" spans="1:11" x14ac:dyDescent="0.3">
      <c r="A93" s="256">
        <v>32</v>
      </c>
      <c r="B93" s="257" t="s">
        <v>1398</v>
      </c>
      <c r="C93" s="276">
        <v>44347</v>
      </c>
      <c r="D93" s="257" t="s">
        <v>1284</v>
      </c>
      <c r="E93" s="256" t="s">
        <v>1786</v>
      </c>
      <c r="F93" s="256" t="s">
        <v>1748</v>
      </c>
      <c r="G93" s="258">
        <v>106404000000</v>
      </c>
      <c r="H93" s="265">
        <v>0.1</v>
      </c>
      <c r="I93" s="258">
        <v>10640400000</v>
      </c>
      <c r="J93" s="258">
        <v>117044400000</v>
      </c>
      <c r="K93" s="256" t="s">
        <v>1346</v>
      </c>
    </row>
    <row r="94" spans="1:11" x14ac:dyDescent="0.3">
      <c r="A94" s="256">
        <v>33</v>
      </c>
      <c r="B94" s="257" t="s">
        <v>1399</v>
      </c>
      <c r="C94" s="276">
        <v>44408</v>
      </c>
      <c r="D94" s="257" t="s">
        <v>1257</v>
      </c>
      <c r="E94" s="256" t="s">
        <v>1815</v>
      </c>
      <c r="F94" s="256" t="s">
        <v>1748</v>
      </c>
      <c r="G94" s="258">
        <v>203143000000</v>
      </c>
      <c r="H94" s="265">
        <v>0.1</v>
      </c>
      <c r="I94" s="258">
        <v>20314300000</v>
      </c>
      <c r="J94" s="258">
        <v>223457300000</v>
      </c>
      <c r="K94" s="256" t="s">
        <v>1346</v>
      </c>
    </row>
    <row r="95" spans="1:11" x14ac:dyDescent="0.3">
      <c r="A95" s="256">
        <v>34</v>
      </c>
      <c r="B95" s="257" t="s">
        <v>1401</v>
      </c>
      <c r="C95" s="276">
        <v>44439</v>
      </c>
      <c r="D95" s="257" t="s">
        <v>1297</v>
      </c>
      <c r="E95" s="256" t="s">
        <v>1820</v>
      </c>
      <c r="F95" s="256" t="s">
        <v>1748</v>
      </c>
      <c r="G95" s="258">
        <v>102637000000</v>
      </c>
      <c r="H95" s="265">
        <v>0</v>
      </c>
      <c r="I95" s="258">
        <v>0</v>
      </c>
      <c r="J95" s="258">
        <v>102637000000</v>
      </c>
      <c r="K95" s="256" t="s">
        <v>1346</v>
      </c>
    </row>
    <row r="96" spans="1:11" x14ac:dyDescent="0.3">
      <c r="A96" s="256">
        <v>35</v>
      </c>
      <c r="B96" s="257" t="s">
        <v>1402</v>
      </c>
      <c r="C96" s="276">
        <v>44500</v>
      </c>
      <c r="D96" s="257" t="s">
        <v>1261</v>
      </c>
      <c r="E96" s="256" t="s">
        <v>1813</v>
      </c>
      <c r="F96" s="256" t="s">
        <v>1747</v>
      </c>
      <c r="G96" s="258">
        <v>186296000000</v>
      </c>
      <c r="H96" s="265">
        <v>0.1</v>
      </c>
      <c r="I96" s="258">
        <v>18629600000</v>
      </c>
      <c r="J96" s="258">
        <v>204925600000</v>
      </c>
      <c r="K96" s="256" t="s">
        <v>1346</v>
      </c>
    </row>
    <row r="97" spans="1:11" x14ac:dyDescent="0.3">
      <c r="A97" s="256">
        <v>36</v>
      </c>
      <c r="B97" s="257" t="s">
        <v>1403</v>
      </c>
      <c r="C97" s="276">
        <v>44561</v>
      </c>
      <c r="D97" s="257" t="s">
        <v>1282</v>
      </c>
      <c r="E97" s="256" t="s">
        <v>1789</v>
      </c>
      <c r="F97" s="256" t="s">
        <v>1748</v>
      </c>
      <c r="G97" s="258">
        <v>182112000000</v>
      </c>
      <c r="H97" s="265">
        <v>0.1</v>
      </c>
      <c r="I97" s="258">
        <v>18211200000</v>
      </c>
      <c r="J97" s="258">
        <v>200323200000</v>
      </c>
      <c r="K97" s="256" t="s">
        <v>1346</v>
      </c>
    </row>
    <row r="98" spans="1:11" x14ac:dyDescent="0.3">
      <c r="A98" s="256">
        <v>37</v>
      </c>
      <c r="B98" s="257" t="s">
        <v>1404</v>
      </c>
      <c r="C98" s="276">
        <v>44561</v>
      </c>
      <c r="D98" s="257" t="s">
        <v>1265</v>
      </c>
      <c r="E98" s="256" t="s">
        <v>1830</v>
      </c>
      <c r="F98" s="256" t="s">
        <v>1747</v>
      </c>
      <c r="G98" s="258">
        <v>111020000000</v>
      </c>
      <c r="H98" s="265">
        <v>0.1</v>
      </c>
      <c r="I98" s="258">
        <v>11102000000</v>
      </c>
      <c r="J98" s="258">
        <v>122122000000</v>
      </c>
      <c r="K98" s="256" t="s">
        <v>1346</v>
      </c>
    </row>
    <row r="99" spans="1:11" x14ac:dyDescent="0.3">
      <c r="A99" s="256">
        <v>38</v>
      </c>
      <c r="B99" s="257" t="s">
        <v>1405</v>
      </c>
      <c r="C99" s="276">
        <v>44561</v>
      </c>
      <c r="D99" s="257" t="s">
        <v>1275</v>
      </c>
      <c r="E99" s="256" t="s">
        <v>1808</v>
      </c>
      <c r="F99" s="256" t="s">
        <v>1747</v>
      </c>
      <c r="G99" s="258">
        <v>199120000000</v>
      </c>
      <c r="H99" s="265">
        <v>0.1</v>
      </c>
      <c r="I99" s="258">
        <v>19912000000</v>
      </c>
      <c r="J99" s="258">
        <v>219032000000</v>
      </c>
      <c r="K99" s="256" t="s">
        <v>1346</v>
      </c>
    </row>
    <row r="100" spans="1:11" x14ac:dyDescent="0.3">
      <c r="A100" s="256">
        <v>39</v>
      </c>
      <c r="B100" s="257" t="s">
        <v>1406</v>
      </c>
      <c r="C100" s="276">
        <v>44561</v>
      </c>
      <c r="D100" s="257" t="s">
        <v>1300</v>
      </c>
      <c r="E100" s="256" t="s">
        <v>1818</v>
      </c>
      <c r="F100" s="256" t="s">
        <v>1748</v>
      </c>
      <c r="G100" s="258">
        <v>129878000000</v>
      </c>
      <c r="H100" s="265">
        <v>0.1</v>
      </c>
      <c r="I100" s="258">
        <v>12987800000</v>
      </c>
      <c r="J100" s="258">
        <v>142865800000</v>
      </c>
      <c r="K100" s="256" t="s">
        <v>1346</v>
      </c>
    </row>
    <row r="101" spans="1:11" x14ac:dyDescent="0.3">
      <c r="A101" s="256">
        <v>40</v>
      </c>
      <c r="B101" s="257" t="s">
        <v>1408</v>
      </c>
      <c r="C101" s="276">
        <v>44561</v>
      </c>
      <c r="D101" s="257" t="s">
        <v>1275</v>
      </c>
      <c r="E101" s="256" t="s">
        <v>1808</v>
      </c>
      <c r="F101" s="256" t="s">
        <v>1747</v>
      </c>
      <c r="G101" s="258">
        <v>114591000000</v>
      </c>
      <c r="H101" s="265">
        <v>0.1</v>
      </c>
      <c r="I101" s="258">
        <v>11459100000</v>
      </c>
      <c r="J101" s="258">
        <v>126050100000</v>
      </c>
      <c r="K101" s="256" t="s">
        <v>1346</v>
      </c>
    </row>
    <row r="102" spans="1:11" x14ac:dyDescent="0.3">
      <c r="A102" s="256">
        <v>41</v>
      </c>
      <c r="B102" s="257" t="s">
        <v>1409</v>
      </c>
      <c r="C102" s="276">
        <v>44561</v>
      </c>
      <c r="D102" s="257" t="s">
        <v>1294</v>
      </c>
      <c r="E102" s="256" t="s">
        <v>1795</v>
      </c>
      <c r="F102" s="256" t="s">
        <v>1750</v>
      </c>
      <c r="G102" s="258">
        <v>86303000000</v>
      </c>
      <c r="H102" s="265">
        <v>0.1</v>
      </c>
      <c r="I102" s="258">
        <v>8630300000</v>
      </c>
      <c r="J102" s="258">
        <v>94933300000</v>
      </c>
      <c r="K102" s="256" t="s">
        <v>1348</v>
      </c>
    </row>
    <row r="103" spans="1:11" x14ac:dyDescent="0.3">
      <c r="A103" s="256">
        <v>42</v>
      </c>
      <c r="B103" s="257" t="s">
        <v>1411</v>
      </c>
      <c r="C103" s="276">
        <v>44561</v>
      </c>
      <c r="D103" s="257" t="s">
        <v>1270</v>
      </c>
      <c r="E103" s="256" t="s">
        <v>1782</v>
      </c>
      <c r="F103" s="256" t="s">
        <v>1748</v>
      </c>
      <c r="G103" s="258">
        <v>55274000000</v>
      </c>
      <c r="H103" s="265">
        <v>0.1</v>
      </c>
      <c r="I103" s="258">
        <v>5527400000</v>
      </c>
      <c r="J103" s="258">
        <v>60801400000</v>
      </c>
      <c r="K103" s="256" t="s">
        <v>1346</v>
      </c>
    </row>
    <row r="104" spans="1:11" x14ac:dyDescent="0.3">
      <c r="A104" s="256">
        <v>43</v>
      </c>
      <c r="B104" s="257" t="s">
        <v>1414</v>
      </c>
      <c r="C104" s="276">
        <v>44561</v>
      </c>
      <c r="D104" s="257" t="s">
        <v>1289</v>
      </c>
      <c r="E104" s="256" t="s">
        <v>1803</v>
      </c>
      <c r="F104" s="256" t="s">
        <v>1750</v>
      </c>
      <c r="G104" s="258">
        <v>130290000000</v>
      </c>
      <c r="H104" s="265">
        <v>0.1</v>
      </c>
      <c r="I104" s="258">
        <v>13029000000</v>
      </c>
      <c r="J104" s="258">
        <v>143319000000</v>
      </c>
      <c r="K104" s="256" t="s">
        <v>1346</v>
      </c>
    </row>
    <row r="105" spans="1:11" x14ac:dyDescent="0.3">
      <c r="A105" s="256">
        <v>44</v>
      </c>
      <c r="B105" s="257" t="s">
        <v>1415</v>
      </c>
      <c r="C105" s="276">
        <v>44561</v>
      </c>
      <c r="D105" s="257" t="s">
        <v>1271</v>
      </c>
      <c r="E105" s="256" t="s">
        <v>1799</v>
      </c>
      <c r="F105" s="256" t="s">
        <v>1748</v>
      </c>
      <c r="G105" s="258">
        <v>67109000000</v>
      </c>
      <c r="H105" s="265">
        <v>0.1</v>
      </c>
      <c r="I105" s="258">
        <v>6710900000</v>
      </c>
      <c r="J105" s="258">
        <v>73819900000</v>
      </c>
      <c r="K105" s="256" t="s">
        <v>1346</v>
      </c>
    </row>
    <row r="106" spans="1:11" x14ac:dyDescent="0.3">
      <c r="A106" s="256">
        <v>45</v>
      </c>
      <c r="B106" s="257" t="s">
        <v>1206</v>
      </c>
      <c r="C106" s="276">
        <v>44561</v>
      </c>
      <c r="D106" s="257" t="s">
        <v>1281</v>
      </c>
      <c r="E106" s="256" t="s">
        <v>1806</v>
      </c>
      <c r="F106" s="256" t="s">
        <v>1748</v>
      </c>
      <c r="G106" s="258">
        <v>213110000000</v>
      </c>
      <c r="H106" s="265">
        <v>0.1</v>
      </c>
      <c r="I106" s="258">
        <v>21311000000</v>
      </c>
      <c r="J106" s="258">
        <v>234421000000</v>
      </c>
      <c r="K106" s="256" t="s">
        <v>1348</v>
      </c>
    </row>
    <row r="107" spans="1:11" x14ac:dyDescent="0.3">
      <c r="A107" s="256">
        <v>46</v>
      </c>
      <c r="B107" s="257" t="s">
        <v>1207</v>
      </c>
      <c r="C107" s="276">
        <v>44561</v>
      </c>
      <c r="D107" s="257" t="s">
        <v>1299</v>
      </c>
      <c r="E107" s="256" t="s">
        <v>1776</v>
      </c>
      <c r="F107" s="256" t="s">
        <v>1748</v>
      </c>
      <c r="G107" s="258">
        <v>170550000000</v>
      </c>
      <c r="H107" s="265">
        <v>0.1</v>
      </c>
      <c r="I107" s="258">
        <v>17055000000</v>
      </c>
      <c r="J107" s="258">
        <v>187605000000</v>
      </c>
      <c r="K107" s="256" t="s">
        <v>1346</v>
      </c>
    </row>
    <row r="108" spans="1:11" x14ac:dyDescent="0.3">
      <c r="A108" s="256">
        <v>47</v>
      </c>
      <c r="B108" s="257" t="s">
        <v>1208</v>
      </c>
      <c r="C108" s="276">
        <v>44561</v>
      </c>
      <c r="D108" s="257" t="s">
        <v>1261</v>
      </c>
      <c r="E108" s="256" t="s">
        <v>1813</v>
      </c>
      <c r="F108" s="256" t="s">
        <v>1748</v>
      </c>
      <c r="G108" s="258">
        <v>84448000000</v>
      </c>
      <c r="H108" s="265">
        <v>0.1</v>
      </c>
      <c r="I108" s="258">
        <v>8444800000</v>
      </c>
      <c r="J108" s="258">
        <v>92892800000</v>
      </c>
      <c r="K108" s="256" t="s">
        <v>1346</v>
      </c>
    </row>
    <row r="109" spans="1:11" x14ac:dyDescent="0.3">
      <c r="A109" s="256">
        <v>48</v>
      </c>
      <c r="B109" s="257" t="s">
        <v>1209</v>
      </c>
      <c r="C109" s="276">
        <v>44561</v>
      </c>
      <c r="D109" s="257" t="s">
        <v>1260</v>
      </c>
      <c r="E109" s="256" t="s">
        <v>1804</v>
      </c>
      <c r="F109" s="256" t="s">
        <v>1750</v>
      </c>
      <c r="G109" s="258">
        <v>135732000000</v>
      </c>
      <c r="H109" s="265">
        <v>0.1</v>
      </c>
      <c r="I109" s="258">
        <v>13573200000</v>
      </c>
      <c r="J109" s="258">
        <v>149305200000</v>
      </c>
      <c r="K109" s="256" t="s">
        <v>1346</v>
      </c>
    </row>
    <row r="110" spans="1:11" x14ac:dyDescent="0.3">
      <c r="A110" s="256">
        <v>49</v>
      </c>
      <c r="B110" s="257" t="s">
        <v>1418</v>
      </c>
      <c r="C110" s="276">
        <v>44561</v>
      </c>
      <c r="D110" s="257" t="s">
        <v>1264</v>
      </c>
      <c r="E110" s="256" t="s">
        <v>1779</v>
      </c>
      <c r="F110" s="256" t="s">
        <v>1748</v>
      </c>
      <c r="G110" s="258">
        <v>182072000000</v>
      </c>
      <c r="H110" s="265">
        <v>0.1</v>
      </c>
      <c r="I110" s="258">
        <v>18207200000</v>
      </c>
      <c r="J110" s="258">
        <v>200279200000</v>
      </c>
      <c r="K110" s="256" t="s">
        <v>1346</v>
      </c>
    </row>
    <row r="111" spans="1:11" x14ac:dyDescent="0.3">
      <c r="A111" s="256">
        <v>50</v>
      </c>
      <c r="B111" s="257" t="s">
        <v>1419</v>
      </c>
      <c r="C111" s="276">
        <v>44561</v>
      </c>
      <c r="D111" s="257" t="s">
        <v>1299</v>
      </c>
      <c r="E111" s="256" t="s">
        <v>1776</v>
      </c>
      <c r="F111" s="256" t="s">
        <v>1748</v>
      </c>
      <c r="G111" s="258">
        <v>194432000000</v>
      </c>
      <c r="H111" s="265">
        <v>0.1</v>
      </c>
      <c r="I111" s="258">
        <v>19443200000</v>
      </c>
      <c r="J111" s="258">
        <v>213875200000</v>
      </c>
      <c r="K111" s="256" t="s">
        <v>1346</v>
      </c>
    </row>
    <row r="112" spans="1:11" x14ac:dyDescent="0.3">
      <c r="A112" s="266" t="s">
        <v>1351</v>
      </c>
      <c r="B112" s="266"/>
      <c r="C112" s="266"/>
      <c r="D112" s="266"/>
      <c r="E112" s="266"/>
      <c r="F112" s="266"/>
      <c r="G112" s="267">
        <f>SUM(G62:G111)</f>
        <v>7317736000000</v>
      </c>
      <c r="H112" s="266"/>
      <c r="I112" s="267">
        <f>SUM(I62:I111)</f>
        <v>652636200000</v>
      </c>
      <c r="J112" s="267">
        <f>SUM(J62:J111)</f>
        <v>7970372200000</v>
      </c>
      <c r="K112" s="266"/>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sheetViews>
  <sheetFormatPr defaultRowHeight="14.4" x14ac:dyDescent="0.3"/>
  <cols>
    <col min="5" max="5" width="18.109375" bestFit="1" customWidth="1"/>
    <col min="6" max="6" width="14.33203125" bestFit="1" customWidth="1"/>
    <col min="7" max="7" width="12.88671875" bestFit="1" customWidth="1"/>
    <col min="10" max="10" width="12.88671875" bestFit="1" customWidth="1"/>
  </cols>
  <sheetData>
    <row r="1" spans="1:11" x14ac:dyDescent="0.3">
      <c r="A1" s="256" t="s">
        <v>1340</v>
      </c>
      <c r="B1" s="256" t="s">
        <v>1189</v>
      </c>
      <c r="C1" s="256"/>
      <c r="D1" s="256"/>
      <c r="E1" s="256"/>
      <c r="F1" s="256"/>
      <c r="G1" s="256"/>
      <c r="H1" s="256"/>
      <c r="I1" s="256"/>
      <c r="J1" s="256"/>
      <c r="K1" s="256"/>
    </row>
    <row r="2" spans="1:11" x14ac:dyDescent="0.3">
      <c r="A2" s="256" t="s">
        <v>1339</v>
      </c>
      <c r="B2" s="257">
        <v>5200886602</v>
      </c>
      <c r="C2" s="256"/>
      <c r="D2" s="256"/>
      <c r="E2" s="256"/>
      <c r="F2" s="256"/>
      <c r="G2" s="256"/>
      <c r="H2" s="256"/>
      <c r="I2" s="256"/>
      <c r="J2" s="256"/>
      <c r="K2" s="256"/>
    </row>
    <row r="3" spans="1:11" x14ac:dyDescent="0.3">
      <c r="A3" s="256" t="s">
        <v>1343</v>
      </c>
      <c r="B3" s="258">
        <v>336946761627</v>
      </c>
      <c r="C3" s="256"/>
      <c r="D3" s="256"/>
      <c r="E3" s="256"/>
      <c r="F3" s="256"/>
      <c r="G3" s="256"/>
      <c r="H3" s="256"/>
      <c r="I3" s="256"/>
      <c r="J3" s="256"/>
      <c r="K3" s="256"/>
    </row>
    <row r="4" spans="1:11" x14ac:dyDescent="0.3">
      <c r="A4" s="256" t="s">
        <v>1345</v>
      </c>
      <c r="B4" s="256">
        <v>2021</v>
      </c>
      <c r="C4" s="256"/>
      <c r="D4" s="256"/>
      <c r="E4" s="256"/>
      <c r="F4" s="256"/>
      <c r="G4" s="256"/>
      <c r="H4" s="256"/>
      <c r="I4" s="256"/>
      <c r="J4" s="256"/>
      <c r="K4" s="256"/>
    </row>
    <row r="5" spans="1:11" x14ac:dyDescent="0.3">
      <c r="A5" s="256"/>
      <c r="B5" s="256"/>
      <c r="C5" s="256"/>
      <c r="D5" s="256"/>
      <c r="E5" s="256"/>
      <c r="F5" s="256"/>
      <c r="G5" s="256"/>
      <c r="H5" s="256"/>
      <c r="I5" s="256"/>
      <c r="J5" s="256"/>
      <c r="K5" s="256"/>
    </row>
    <row r="6" spans="1:11" x14ac:dyDescent="0.3">
      <c r="A6" s="256" t="s">
        <v>1341</v>
      </c>
      <c r="B6" s="256"/>
      <c r="C6" s="256"/>
      <c r="D6" s="256"/>
      <c r="E6" s="256"/>
      <c r="F6" s="256"/>
      <c r="G6" s="256"/>
      <c r="H6" s="256"/>
      <c r="I6" s="256"/>
      <c r="J6" s="256"/>
      <c r="K6" s="256"/>
    </row>
    <row r="7" spans="1:11" x14ac:dyDescent="0.3">
      <c r="A7" s="266" t="s">
        <v>0</v>
      </c>
      <c r="B7" s="266" t="s">
        <v>212</v>
      </c>
      <c r="C7" s="266" t="s">
        <v>1535</v>
      </c>
      <c r="D7" s="266" t="s">
        <v>1536</v>
      </c>
      <c r="E7" s="266" t="s">
        <v>1678</v>
      </c>
      <c r="F7" s="266" t="s">
        <v>1537</v>
      </c>
      <c r="G7" s="266" t="s">
        <v>270</v>
      </c>
      <c r="H7" s="266" t="s">
        <v>1679</v>
      </c>
      <c r="I7" s="266" t="s">
        <v>1539</v>
      </c>
      <c r="J7" s="266" t="s">
        <v>1540</v>
      </c>
      <c r="K7" s="266" t="s">
        <v>1541</v>
      </c>
    </row>
    <row r="8" spans="1:11" x14ac:dyDescent="0.3">
      <c r="A8" s="256">
        <v>1</v>
      </c>
      <c r="B8" s="257" t="s">
        <v>1207</v>
      </c>
      <c r="C8" s="276">
        <v>44317</v>
      </c>
      <c r="D8" s="257" t="s">
        <v>1295</v>
      </c>
      <c r="E8" s="256" t="s">
        <v>1825</v>
      </c>
      <c r="F8" s="256" t="s">
        <v>1731</v>
      </c>
      <c r="G8" s="258">
        <v>3927000000</v>
      </c>
      <c r="H8" s="265">
        <v>0.1</v>
      </c>
      <c r="I8" s="258">
        <v>392700000</v>
      </c>
      <c r="J8" s="258">
        <v>4319700000</v>
      </c>
      <c r="K8" s="256" t="s">
        <v>1346</v>
      </c>
    </row>
    <row r="9" spans="1:11" x14ac:dyDescent="0.3">
      <c r="A9" s="256">
        <v>2</v>
      </c>
      <c r="B9" s="257" t="s">
        <v>1468</v>
      </c>
      <c r="C9" s="276">
        <v>44318</v>
      </c>
      <c r="D9" s="257" t="s">
        <v>1255</v>
      </c>
      <c r="E9" s="273">
        <v>46152</v>
      </c>
      <c r="F9" s="256" t="s">
        <v>1976</v>
      </c>
      <c r="G9" s="258">
        <v>4943000000</v>
      </c>
      <c r="H9" s="265">
        <v>0.1</v>
      </c>
      <c r="I9" s="258">
        <v>494300000</v>
      </c>
      <c r="J9" s="258">
        <v>5437300000</v>
      </c>
      <c r="K9" s="256" t="s">
        <v>1346</v>
      </c>
    </row>
    <row r="10" spans="1:11" x14ac:dyDescent="0.3">
      <c r="A10" s="256">
        <v>3</v>
      </c>
      <c r="B10" s="257" t="s">
        <v>1208</v>
      </c>
      <c r="C10" s="276">
        <v>44472</v>
      </c>
      <c r="D10" s="257" t="s">
        <v>1261</v>
      </c>
      <c r="E10" s="256" t="s">
        <v>1813</v>
      </c>
      <c r="F10" s="256" t="s">
        <v>1977</v>
      </c>
      <c r="G10" s="258">
        <v>3918000000</v>
      </c>
      <c r="H10" s="265">
        <v>0.1</v>
      </c>
      <c r="I10" s="258">
        <v>391800000</v>
      </c>
      <c r="J10" s="258">
        <v>4309800000</v>
      </c>
      <c r="K10" s="256" t="s">
        <v>1346</v>
      </c>
    </row>
    <row r="11" spans="1:11" x14ac:dyDescent="0.3">
      <c r="A11" s="256">
        <v>4</v>
      </c>
      <c r="B11" s="257" t="s">
        <v>1490</v>
      </c>
      <c r="C11" s="276">
        <v>44473</v>
      </c>
      <c r="D11" s="257" t="s">
        <v>1283</v>
      </c>
      <c r="E11" s="256" t="s">
        <v>1798</v>
      </c>
      <c r="F11" s="256" t="s">
        <v>1931</v>
      </c>
      <c r="G11" s="258">
        <v>6277000000</v>
      </c>
      <c r="H11" s="265">
        <v>0.1</v>
      </c>
      <c r="I11" s="258">
        <v>627700000</v>
      </c>
      <c r="J11" s="258">
        <v>6904700000</v>
      </c>
      <c r="K11" s="256" t="s">
        <v>1346</v>
      </c>
    </row>
    <row r="12" spans="1:11" x14ac:dyDescent="0.3">
      <c r="A12" s="256">
        <v>5</v>
      </c>
      <c r="B12" s="257" t="s">
        <v>1480</v>
      </c>
      <c r="C12" s="276">
        <v>44474</v>
      </c>
      <c r="D12" s="257" t="s">
        <v>1301</v>
      </c>
      <c r="E12" s="256" t="s">
        <v>1781</v>
      </c>
      <c r="F12" s="256" t="s">
        <v>1976</v>
      </c>
      <c r="G12" s="258">
        <v>5813000000</v>
      </c>
      <c r="H12" s="265">
        <v>0.1</v>
      </c>
      <c r="I12" s="258">
        <v>581300000</v>
      </c>
      <c r="J12" s="258">
        <v>6394300000</v>
      </c>
      <c r="K12" s="256" t="s">
        <v>1346</v>
      </c>
    </row>
    <row r="13" spans="1:11" x14ac:dyDescent="0.3">
      <c r="A13" s="256">
        <v>6</v>
      </c>
      <c r="B13" s="257" t="s">
        <v>1494</v>
      </c>
      <c r="C13" s="276">
        <v>44475</v>
      </c>
      <c r="D13" s="257" t="s">
        <v>1257</v>
      </c>
      <c r="E13" s="256" t="s">
        <v>1815</v>
      </c>
      <c r="F13" s="256" t="s">
        <v>1977</v>
      </c>
      <c r="G13" s="258">
        <v>2201000000</v>
      </c>
      <c r="H13" s="265">
        <v>0.1</v>
      </c>
      <c r="I13" s="258">
        <v>220100000</v>
      </c>
      <c r="J13" s="258">
        <v>2421100000</v>
      </c>
      <c r="K13" s="256" t="s">
        <v>1346</v>
      </c>
    </row>
    <row r="14" spans="1:11" x14ac:dyDescent="0.3">
      <c r="A14" s="256">
        <v>7</v>
      </c>
      <c r="B14" s="257" t="s">
        <v>1485</v>
      </c>
      <c r="C14" s="276">
        <v>44476</v>
      </c>
      <c r="D14" s="257" t="s">
        <v>1278</v>
      </c>
      <c r="E14" s="256" t="s">
        <v>1785</v>
      </c>
      <c r="F14" s="256" t="s">
        <v>1731</v>
      </c>
      <c r="G14" s="258">
        <v>4274000000</v>
      </c>
      <c r="H14" s="265">
        <v>0.1</v>
      </c>
      <c r="I14" s="258">
        <v>427400000</v>
      </c>
      <c r="J14" s="258">
        <v>4701400000</v>
      </c>
      <c r="K14" s="256" t="s">
        <v>1346</v>
      </c>
    </row>
    <row r="15" spans="1:11" x14ac:dyDescent="0.3">
      <c r="A15" s="256">
        <v>8</v>
      </c>
      <c r="B15" s="257" t="s">
        <v>1497</v>
      </c>
      <c r="C15" s="276">
        <v>44477</v>
      </c>
      <c r="D15" s="257" t="s">
        <v>1266</v>
      </c>
      <c r="E15" s="256" t="s">
        <v>1824</v>
      </c>
      <c r="F15" s="256" t="s">
        <v>1731</v>
      </c>
      <c r="G15" s="258">
        <v>4309000000</v>
      </c>
      <c r="H15" s="265">
        <v>0.1</v>
      </c>
      <c r="I15" s="258">
        <v>430900000</v>
      </c>
      <c r="J15" s="258">
        <v>4739900000</v>
      </c>
      <c r="K15" s="256" t="s">
        <v>1346</v>
      </c>
    </row>
    <row r="16" spans="1:11" x14ac:dyDescent="0.3">
      <c r="A16" s="256">
        <v>9</v>
      </c>
      <c r="B16" s="257" t="s">
        <v>1513</v>
      </c>
      <c r="C16" s="276">
        <v>44478</v>
      </c>
      <c r="D16" s="257" t="s">
        <v>1274</v>
      </c>
      <c r="E16" s="256" t="s">
        <v>1794</v>
      </c>
      <c r="F16" s="256" t="s">
        <v>1931</v>
      </c>
      <c r="G16" s="258">
        <v>7241000000</v>
      </c>
      <c r="H16" s="265">
        <v>0.1</v>
      </c>
      <c r="I16" s="258">
        <v>724100000</v>
      </c>
      <c r="J16" s="258">
        <v>7965100000</v>
      </c>
      <c r="K16" s="256" t="s">
        <v>1346</v>
      </c>
    </row>
    <row r="17" spans="1:11" x14ac:dyDescent="0.3">
      <c r="A17" s="256">
        <v>10</v>
      </c>
      <c r="B17" s="257" t="s">
        <v>1209</v>
      </c>
      <c r="C17" s="276">
        <v>44479</v>
      </c>
      <c r="D17" s="257" t="s">
        <v>1261</v>
      </c>
      <c r="E17" s="256" t="s">
        <v>1813</v>
      </c>
      <c r="F17" s="256" t="s">
        <v>1731</v>
      </c>
      <c r="G17" s="258">
        <v>5227000000</v>
      </c>
      <c r="H17" s="265">
        <v>0</v>
      </c>
      <c r="I17" s="258">
        <v>0</v>
      </c>
      <c r="J17" s="258">
        <v>5227000000</v>
      </c>
      <c r="K17" s="256" t="s">
        <v>1346</v>
      </c>
    </row>
    <row r="18" spans="1:11" x14ac:dyDescent="0.3">
      <c r="A18" s="256">
        <v>11</v>
      </c>
      <c r="B18" s="257" t="s">
        <v>1478</v>
      </c>
      <c r="C18" s="276">
        <v>44480</v>
      </c>
      <c r="D18" s="257" t="s">
        <v>1290</v>
      </c>
      <c r="E18" s="256" t="s">
        <v>1796</v>
      </c>
      <c r="F18" s="256" t="s">
        <v>1976</v>
      </c>
      <c r="G18" s="258">
        <v>2449000000</v>
      </c>
      <c r="H18" s="265">
        <v>0.1</v>
      </c>
      <c r="I18" s="258">
        <v>244900000</v>
      </c>
      <c r="J18" s="258">
        <v>2693900000</v>
      </c>
      <c r="K18" s="256" t="s">
        <v>1346</v>
      </c>
    </row>
    <row r="19" spans="1:11" x14ac:dyDescent="0.3">
      <c r="A19" s="256">
        <v>12</v>
      </c>
      <c r="B19" s="257" t="s">
        <v>1465</v>
      </c>
      <c r="C19" s="276">
        <v>44481</v>
      </c>
      <c r="D19" s="257" t="s">
        <v>1287</v>
      </c>
      <c r="E19" s="256" t="s">
        <v>1801</v>
      </c>
      <c r="F19" s="256" t="s">
        <v>1977</v>
      </c>
      <c r="G19" s="258">
        <v>5197000000</v>
      </c>
      <c r="H19" s="265">
        <v>0</v>
      </c>
      <c r="I19" s="258">
        <v>0</v>
      </c>
      <c r="J19" s="258">
        <v>5197000000</v>
      </c>
      <c r="K19" s="256" t="s">
        <v>1346</v>
      </c>
    </row>
    <row r="20" spans="1:11" x14ac:dyDescent="0.3">
      <c r="A20" s="256">
        <v>13</v>
      </c>
      <c r="B20" s="257" t="s">
        <v>1500</v>
      </c>
      <c r="C20" s="276">
        <v>44211</v>
      </c>
      <c r="D20" s="257" t="s">
        <v>1276</v>
      </c>
      <c r="E20" s="256" t="s">
        <v>1822</v>
      </c>
      <c r="F20" s="256" t="s">
        <v>1978</v>
      </c>
      <c r="G20" s="258">
        <v>6015000000</v>
      </c>
      <c r="H20" s="265">
        <v>0.1</v>
      </c>
      <c r="I20" s="258">
        <v>601500000</v>
      </c>
      <c r="J20" s="258">
        <v>6616500000</v>
      </c>
      <c r="K20" s="256" t="s">
        <v>1348</v>
      </c>
    </row>
    <row r="21" spans="1:11" x14ac:dyDescent="0.3">
      <c r="A21" s="256">
        <v>14</v>
      </c>
      <c r="B21" s="257" t="s">
        <v>1418</v>
      </c>
      <c r="C21" s="276">
        <v>44242</v>
      </c>
      <c r="D21" s="257" t="s">
        <v>1303</v>
      </c>
      <c r="E21" s="256" t="s">
        <v>1817</v>
      </c>
      <c r="F21" s="256" t="s">
        <v>1976</v>
      </c>
      <c r="G21" s="258">
        <v>2645000000</v>
      </c>
      <c r="H21" s="265">
        <v>0.1</v>
      </c>
      <c r="I21" s="258">
        <v>264500000</v>
      </c>
      <c r="J21" s="258">
        <v>2909500000</v>
      </c>
      <c r="K21" s="256" t="s">
        <v>1346</v>
      </c>
    </row>
    <row r="22" spans="1:11" x14ac:dyDescent="0.3">
      <c r="A22" s="256">
        <v>15</v>
      </c>
      <c r="B22" s="257" t="s">
        <v>1460</v>
      </c>
      <c r="C22" s="276">
        <v>44275</v>
      </c>
      <c r="D22" s="257" t="s">
        <v>1294</v>
      </c>
      <c r="E22" s="256" t="s">
        <v>1795</v>
      </c>
      <c r="F22" s="256" t="s">
        <v>1979</v>
      </c>
      <c r="G22" s="258">
        <v>4643000000</v>
      </c>
      <c r="H22" s="265">
        <v>0.1</v>
      </c>
      <c r="I22" s="258">
        <v>464300000</v>
      </c>
      <c r="J22" s="258">
        <v>5107300000</v>
      </c>
      <c r="K22" s="256" t="s">
        <v>1346</v>
      </c>
    </row>
    <row r="23" spans="1:11" x14ac:dyDescent="0.3">
      <c r="A23" s="256">
        <v>16</v>
      </c>
      <c r="B23" s="257" t="s">
        <v>1990</v>
      </c>
      <c r="C23" s="276">
        <v>44306</v>
      </c>
      <c r="D23" s="257" t="s">
        <v>1284</v>
      </c>
      <c r="E23" s="256" t="s">
        <v>1786</v>
      </c>
      <c r="F23" s="256" t="s">
        <v>1978</v>
      </c>
      <c r="G23" s="258">
        <v>4020000000</v>
      </c>
      <c r="H23" s="265">
        <v>0.1</v>
      </c>
      <c r="I23" s="258">
        <v>402000000</v>
      </c>
      <c r="J23" s="258">
        <v>4422000000</v>
      </c>
      <c r="K23" s="256" t="s">
        <v>1346</v>
      </c>
    </row>
    <row r="24" spans="1:11" x14ac:dyDescent="0.3">
      <c r="A24" s="256">
        <v>17</v>
      </c>
      <c r="B24" s="257" t="s">
        <v>1473</v>
      </c>
      <c r="C24" s="276">
        <v>44336</v>
      </c>
      <c r="D24" s="257" t="s">
        <v>1269</v>
      </c>
      <c r="E24" s="256" t="s">
        <v>1823</v>
      </c>
      <c r="F24" s="256" t="s">
        <v>1731</v>
      </c>
      <c r="G24" s="258">
        <v>2963000000</v>
      </c>
      <c r="H24" s="265">
        <v>0.1</v>
      </c>
      <c r="I24" s="258">
        <v>296300000</v>
      </c>
      <c r="J24" s="258">
        <v>3259300000</v>
      </c>
      <c r="K24" s="256" t="s">
        <v>1346</v>
      </c>
    </row>
    <row r="25" spans="1:11" x14ac:dyDescent="0.3">
      <c r="A25" s="256">
        <v>18</v>
      </c>
      <c r="B25" s="257" t="s">
        <v>1511</v>
      </c>
      <c r="C25" s="276">
        <v>44367</v>
      </c>
      <c r="D25" s="257" t="s">
        <v>1272</v>
      </c>
      <c r="E25" s="256" t="s">
        <v>1805</v>
      </c>
      <c r="F25" s="256" t="s">
        <v>1978</v>
      </c>
      <c r="G25" s="258">
        <v>5058000000</v>
      </c>
      <c r="H25" s="265">
        <v>0</v>
      </c>
      <c r="I25" s="258">
        <v>0</v>
      </c>
      <c r="J25" s="258">
        <v>5058000000</v>
      </c>
      <c r="K25" s="256" t="s">
        <v>1348</v>
      </c>
    </row>
    <row r="26" spans="1:11" x14ac:dyDescent="0.3">
      <c r="A26" s="256">
        <v>19</v>
      </c>
      <c r="B26" s="257" t="s">
        <v>1494</v>
      </c>
      <c r="C26" s="276">
        <v>44397</v>
      </c>
      <c r="D26" s="257" t="s">
        <v>1263</v>
      </c>
      <c r="E26" s="256" t="s">
        <v>1790</v>
      </c>
      <c r="F26" s="256" t="s">
        <v>1931</v>
      </c>
      <c r="G26" s="258">
        <v>5309000000</v>
      </c>
      <c r="H26" s="265">
        <v>0.1</v>
      </c>
      <c r="I26" s="258">
        <v>530900000</v>
      </c>
      <c r="J26" s="258">
        <v>5839900000</v>
      </c>
      <c r="K26" s="256" t="s">
        <v>1346</v>
      </c>
    </row>
    <row r="27" spans="1:11" x14ac:dyDescent="0.3">
      <c r="A27" s="256">
        <v>20</v>
      </c>
      <c r="B27" s="257" t="s">
        <v>1470</v>
      </c>
      <c r="C27" s="276">
        <v>44428</v>
      </c>
      <c r="D27" s="257" t="s">
        <v>1300</v>
      </c>
      <c r="E27" s="256" t="s">
        <v>1818</v>
      </c>
      <c r="F27" s="256" t="s">
        <v>1979</v>
      </c>
      <c r="G27" s="258">
        <v>5005000000</v>
      </c>
      <c r="H27" s="265">
        <v>0.1</v>
      </c>
      <c r="I27" s="258">
        <v>500500000</v>
      </c>
      <c r="J27" s="258">
        <v>5505500000</v>
      </c>
      <c r="K27" s="256" t="s">
        <v>1346</v>
      </c>
    </row>
    <row r="28" spans="1:11" x14ac:dyDescent="0.3">
      <c r="A28" s="256">
        <v>21</v>
      </c>
      <c r="B28" s="257" t="s">
        <v>1498</v>
      </c>
      <c r="C28" s="276">
        <v>44459</v>
      </c>
      <c r="D28" s="257" t="s">
        <v>1279</v>
      </c>
      <c r="E28" s="256" t="s">
        <v>1827</v>
      </c>
      <c r="F28" s="256" t="s">
        <v>1976</v>
      </c>
      <c r="G28" s="258">
        <v>6810000000</v>
      </c>
      <c r="H28" s="265">
        <v>0.1</v>
      </c>
      <c r="I28" s="258">
        <v>681000000</v>
      </c>
      <c r="J28" s="258">
        <v>7491000000</v>
      </c>
      <c r="K28" s="256" t="s">
        <v>1346</v>
      </c>
    </row>
    <row r="29" spans="1:11" x14ac:dyDescent="0.3">
      <c r="A29" s="256">
        <v>22</v>
      </c>
      <c r="B29" s="257" t="s">
        <v>1418</v>
      </c>
      <c r="C29" s="276">
        <v>44489</v>
      </c>
      <c r="D29" s="257" t="s">
        <v>1261</v>
      </c>
      <c r="E29" s="256" t="s">
        <v>1813</v>
      </c>
      <c r="F29" s="256" t="s">
        <v>1978</v>
      </c>
      <c r="G29" s="258">
        <v>4334000000</v>
      </c>
      <c r="H29" s="265">
        <v>0.1</v>
      </c>
      <c r="I29" s="258">
        <v>433400000</v>
      </c>
      <c r="J29" s="258">
        <v>4767400000</v>
      </c>
      <c r="K29" s="256" t="s">
        <v>1346</v>
      </c>
    </row>
    <row r="30" spans="1:11" x14ac:dyDescent="0.3">
      <c r="A30" s="256">
        <v>23</v>
      </c>
      <c r="B30" s="257" t="s">
        <v>1208</v>
      </c>
      <c r="C30" s="276">
        <v>44520</v>
      </c>
      <c r="D30" s="257" t="s">
        <v>1295</v>
      </c>
      <c r="E30" s="256" t="s">
        <v>1825</v>
      </c>
      <c r="F30" s="256" t="s">
        <v>1931</v>
      </c>
      <c r="G30" s="258">
        <v>2659000000</v>
      </c>
      <c r="H30" s="265">
        <v>0.1</v>
      </c>
      <c r="I30" s="258">
        <v>265900000</v>
      </c>
      <c r="J30" s="258">
        <v>2924900000</v>
      </c>
      <c r="K30" s="256" t="s">
        <v>1346</v>
      </c>
    </row>
    <row r="31" spans="1:11" x14ac:dyDescent="0.3">
      <c r="A31" s="256">
        <v>24</v>
      </c>
      <c r="B31" s="257" t="s">
        <v>1521</v>
      </c>
      <c r="C31" s="276">
        <v>44550</v>
      </c>
      <c r="D31" s="257" t="s">
        <v>1271</v>
      </c>
      <c r="E31" s="256" t="s">
        <v>1799</v>
      </c>
      <c r="F31" s="256" t="s">
        <v>1978</v>
      </c>
      <c r="G31" s="258">
        <v>2574000000</v>
      </c>
      <c r="H31" s="265">
        <v>0.1</v>
      </c>
      <c r="I31" s="258">
        <v>257400000</v>
      </c>
      <c r="J31" s="258">
        <v>2831400000</v>
      </c>
      <c r="K31" s="256" t="s">
        <v>1348</v>
      </c>
    </row>
    <row r="32" spans="1:11" x14ac:dyDescent="0.3">
      <c r="A32" s="256">
        <v>25</v>
      </c>
      <c r="B32" s="257" t="s">
        <v>1474</v>
      </c>
      <c r="C32" s="276">
        <v>44221</v>
      </c>
      <c r="D32" s="257" t="s">
        <v>1269</v>
      </c>
      <c r="E32" s="256" t="s">
        <v>1823</v>
      </c>
      <c r="F32" s="256" t="s">
        <v>1978</v>
      </c>
      <c r="G32" s="258">
        <v>5123000000</v>
      </c>
      <c r="H32" s="265">
        <v>0.1</v>
      </c>
      <c r="I32" s="258">
        <v>512300000</v>
      </c>
      <c r="J32" s="258">
        <v>5635300000</v>
      </c>
      <c r="K32" s="256" t="s">
        <v>1346</v>
      </c>
    </row>
    <row r="33" spans="1:11" x14ac:dyDescent="0.3">
      <c r="A33" s="256">
        <v>26</v>
      </c>
      <c r="B33" s="257" t="s">
        <v>1470</v>
      </c>
      <c r="C33" s="276">
        <v>44255</v>
      </c>
      <c r="D33" s="257" t="s">
        <v>1267</v>
      </c>
      <c r="E33" s="256" t="s">
        <v>1810</v>
      </c>
      <c r="F33" s="256" t="s">
        <v>1977</v>
      </c>
      <c r="G33" s="258">
        <v>7018000000</v>
      </c>
      <c r="H33" s="265">
        <v>0</v>
      </c>
      <c r="I33" s="258">
        <v>0</v>
      </c>
      <c r="J33" s="258">
        <v>7018000000</v>
      </c>
      <c r="K33" s="256" t="s">
        <v>1348</v>
      </c>
    </row>
    <row r="34" spans="1:11" x14ac:dyDescent="0.3">
      <c r="A34" s="256">
        <v>27</v>
      </c>
      <c r="B34" s="257" t="s">
        <v>1491</v>
      </c>
      <c r="C34" s="276">
        <v>44316</v>
      </c>
      <c r="D34" s="257" t="s">
        <v>1283</v>
      </c>
      <c r="E34" s="256" t="s">
        <v>1798</v>
      </c>
      <c r="F34" s="256" t="s">
        <v>1978</v>
      </c>
      <c r="G34" s="258">
        <v>5185000000</v>
      </c>
      <c r="H34" s="265">
        <v>0.1</v>
      </c>
      <c r="I34" s="258">
        <v>518500000</v>
      </c>
      <c r="J34" s="258">
        <v>5703500000</v>
      </c>
      <c r="K34" s="256" t="s">
        <v>1346</v>
      </c>
    </row>
    <row r="35" spans="1:11" x14ac:dyDescent="0.3">
      <c r="A35" s="256">
        <v>28</v>
      </c>
      <c r="B35" s="257" t="s">
        <v>1495</v>
      </c>
      <c r="C35" s="276">
        <v>44377</v>
      </c>
      <c r="D35" s="257" t="s">
        <v>1257</v>
      </c>
      <c r="E35" s="256" t="s">
        <v>1815</v>
      </c>
      <c r="F35" s="256" t="s">
        <v>1977</v>
      </c>
      <c r="G35" s="258">
        <v>2697000000</v>
      </c>
      <c r="H35" s="265">
        <v>0.1</v>
      </c>
      <c r="I35" s="258">
        <v>269700000</v>
      </c>
      <c r="J35" s="258">
        <v>2966700000</v>
      </c>
      <c r="K35" s="256" t="s">
        <v>1346</v>
      </c>
    </row>
    <row r="36" spans="1:11" x14ac:dyDescent="0.3">
      <c r="A36" s="256">
        <v>29</v>
      </c>
      <c r="B36" s="257" t="s">
        <v>1498</v>
      </c>
      <c r="C36" s="276">
        <v>44469</v>
      </c>
      <c r="D36" s="257" t="s">
        <v>1266</v>
      </c>
      <c r="E36" s="256" t="s">
        <v>1824</v>
      </c>
      <c r="F36" s="256" t="s">
        <v>1976</v>
      </c>
      <c r="G36" s="258">
        <v>3406000000</v>
      </c>
      <c r="H36" s="265">
        <v>0.1</v>
      </c>
      <c r="I36" s="258">
        <v>340600000</v>
      </c>
      <c r="J36" s="258">
        <v>3746600000</v>
      </c>
      <c r="K36" s="256" t="s">
        <v>1346</v>
      </c>
    </row>
    <row r="37" spans="1:11" x14ac:dyDescent="0.3">
      <c r="A37" s="256">
        <v>30</v>
      </c>
      <c r="B37" s="257" t="s">
        <v>1489</v>
      </c>
      <c r="C37" s="276">
        <v>44530</v>
      </c>
      <c r="D37" s="257" t="s">
        <v>1302</v>
      </c>
      <c r="E37" s="256" t="s">
        <v>1784</v>
      </c>
      <c r="F37" s="256" t="s">
        <v>1931</v>
      </c>
      <c r="G37" s="258">
        <v>3596000000</v>
      </c>
      <c r="H37" s="265">
        <v>0.1</v>
      </c>
      <c r="I37" s="258">
        <v>359600000</v>
      </c>
      <c r="J37" s="258">
        <v>3955600000</v>
      </c>
      <c r="K37" s="256" t="s">
        <v>1346</v>
      </c>
    </row>
    <row r="38" spans="1:11" x14ac:dyDescent="0.3">
      <c r="A38" s="256">
        <v>31</v>
      </c>
      <c r="B38" s="257" t="s">
        <v>1485</v>
      </c>
      <c r="C38" s="276">
        <v>44286</v>
      </c>
      <c r="D38" s="257" t="s">
        <v>1280</v>
      </c>
      <c r="E38" s="256" t="s">
        <v>1777</v>
      </c>
      <c r="F38" s="256" t="s">
        <v>1979</v>
      </c>
      <c r="G38" s="258">
        <v>6719000000</v>
      </c>
      <c r="H38" s="265">
        <v>0.1</v>
      </c>
      <c r="I38" s="258">
        <v>671900000</v>
      </c>
      <c r="J38" s="258">
        <v>7390900000</v>
      </c>
      <c r="K38" s="256" t="s">
        <v>1346</v>
      </c>
    </row>
    <row r="39" spans="1:11" x14ac:dyDescent="0.3">
      <c r="A39" s="256">
        <v>32</v>
      </c>
      <c r="B39" s="257" t="s">
        <v>1506</v>
      </c>
      <c r="C39" s="276">
        <v>44347</v>
      </c>
      <c r="D39" s="257" t="s">
        <v>1270</v>
      </c>
      <c r="E39" s="256" t="s">
        <v>1782</v>
      </c>
      <c r="F39" s="256" t="s">
        <v>1931</v>
      </c>
      <c r="G39" s="258">
        <v>3602000000</v>
      </c>
      <c r="H39" s="265">
        <v>0.1</v>
      </c>
      <c r="I39" s="258">
        <v>360200000</v>
      </c>
      <c r="J39" s="258">
        <v>3962200000</v>
      </c>
      <c r="K39" s="256" t="s">
        <v>1346</v>
      </c>
    </row>
    <row r="40" spans="1:11" x14ac:dyDescent="0.3">
      <c r="A40" s="256">
        <v>33</v>
      </c>
      <c r="B40" s="257" t="s">
        <v>1508</v>
      </c>
      <c r="C40" s="276">
        <v>44408</v>
      </c>
      <c r="D40" s="257" t="s">
        <v>1281</v>
      </c>
      <c r="E40" s="256" t="s">
        <v>1806</v>
      </c>
      <c r="F40" s="256" t="s">
        <v>1978</v>
      </c>
      <c r="G40" s="258">
        <v>2282000000</v>
      </c>
      <c r="H40" s="265">
        <v>0.1</v>
      </c>
      <c r="I40" s="258">
        <v>228200000</v>
      </c>
      <c r="J40" s="258">
        <v>2510200000</v>
      </c>
      <c r="K40" s="256" t="s">
        <v>1346</v>
      </c>
    </row>
    <row r="41" spans="1:11" x14ac:dyDescent="0.3">
      <c r="A41" s="256">
        <v>34</v>
      </c>
      <c r="B41" s="257" t="s">
        <v>1466</v>
      </c>
      <c r="C41" s="276">
        <v>44439</v>
      </c>
      <c r="D41" s="257" t="s">
        <v>1287</v>
      </c>
      <c r="E41" s="256" t="s">
        <v>1801</v>
      </c>
      <c r="F41" s="256" t="s">
        <v>1931</v>
      </c>
      <c r="G41" s="258">
        <v>7079000000</v>
      </c>
      <c r="H41" s="265">
        <v>0.1</v>
      </c>
      <c r="I41" s="258">
        <v>707900000</v>
      </c>
      <c r="J41" s="258">
        <v>7786900000</v>
      </c>
      <c r="K41" s="256" t="s">
        <v>1346</v>
      </c>
    </row>
    <row r="42" spans="1:11" x14ac:dyDescent="0.3">
      <c r="A42" s="256">
        <v>35</v>
      </c>
      <c r="B42" s="257" t="s">
        <v>1499</v>
      </c>
      <c r="C42" s="276">
        <v>44500</v>
      </c>
      <c r="D42" s="257" t="s">
        <v>1279</v>
      </c>
      <c r="E42" s="256" t="s">
        <v>1827</v>
      </c>
      <c r="F42" s="256" t="s">
        <v>1979</v>
      </c>
      <c r="G42" s="258">
        <v>3463000000</v>
      </c>
      <c r="H42" s="265">
        <v>0.1</v>
      </c>
      <c r="I42" s="258">
        <v>346300000</v>
      </c>
      <c r="J42" s="258">
        <v>3809300000</v>
      </c>
      <c r="K42" s="256" t="s">
        <v>1346</v>
      </c>
    </row>
    <row r="43" spans="1:11" x14ac:dyDescent="0.3">
      <c r="A43" s="256">
        <v>36</v>
      </c>
      <c r="B43" s="257" t="s">
        <v>1418</v>
      </c>
      <c r="C43" s="276">
        <v>44561</v>
      </c>
      <c r="D43" s="257" t="s">
        <v>1258</v>
      </c>
      <c r="E43" s="256" t="s">
        <v>1833</v>
      </c>
      <c r="F43" s="256" t="s">
        <v>1931</v>
      </c>
      <c r="G43" s="258">
        <v>3104000000</v>
      </c>
      <c r="H43" s="265">
        <v>0.1</v>
      </c>
      <c r="I43" s="258">
        <v>310400000</v>
      </c>
      <c r="J43" s="258">
        <v>3414400000</v>
      </c>
      <c r="K43" s="256" t="s">
        <v>1346</v>
      </c>
    </row>
    <row r="44" spans="1:11" x14ac:dyDescent="0.3">
      <c r="A44" s="256">
        <v>37</v>
      </c>
      <c r="B44" s="257" t="s">
        <v>1984</v>
      </c>
      <c r="C44" s="276">
        <v>44561</v>
      </c>
      <c r="D44" s="257" t="s">
        <v>1271</v>
      </c>
      <c r="E44" s="256" t="s">
        <v>1799</v>
      </c>
      <c r="F44" s="256" t="s">
        <v>1931</v>
      </c>
      <c r="G44" s="258">
        <v>7599000000</v>
      </c>
      <c r="H44" s="265">
        <v>0.1</v>
      </c>
      <c r="I44" s="258">
        <v>759900000</v>
      </c>
      <c r="J44" s="258">
        <v>8358900000</v>
      </c>
      <c r="K44" s="256" t="s">
        <v>1346</v>
      </c>
    </row>
    <row r="45" spans="1:11" x14ac:dyDescent="0.3">
      <c r="A45" s="256">
        <v>38</v>
      </c>
      <c r="B45" s="257" t="s">
        <v>1458</v>
      </c>
      <c r="C45" s="276">
        <v>44561</v>
      </c>
      <c r="D45" s="257" t="s">
        <v>1298</v>
      </c>
      <c r="E45" s="256" t="s">
        <v>1819</v>
      </c>
      <c r="F45" s="256" t="s">
        <v>1979</v>
      </c>
      <c r="G45" s="258">
        <v>2582000000</v>
      </c>
      <c r="H45" s="265">
        <v>0.1</v>
      </c>
      <c r="I45" s="258">
        <v>258200000</v>
      </c>
      <c r="J45" s="258">
        <v>2840200000</v>
      </c>
      <c r="K45" s="256" t="s">
        <v>1346</v>
      </c>
    </row>
    <row r="46" spans="1:11" x14ac:dyDescent="0.3">
      <c r="A46" s="256">
        <v>39</v>
      </c>
      <c r="B46" s="257" t="s">
        <v>1419</v>
      </c>
      <c r="C46" s="276">
        <v>44561</v>
      </c>
      <c r="D46" s="257" t="s">
        <v>1261</v>
      </c>
      <c r="E46" s="256" t="s">
        <v>1813</v>
      </c>
      <c r="F46" s="256" t="s">
        <v>1731</v>
      </c>
      <c r="G46" s="258">
        <v>2089000000</v>
      </c>
      <c r="H46" s="265">
        <v>0.1</v>
      </c>
      <c r="I46" s="258">
        <v>208900000</v>
      </c>
      <c r="J46" s="258">
        <v>2297900000</v>
      </c>
      <c r="K46" s="256" t="s">
        <v>1346</v>
      </c>
    </row>
    <row r="47" spans="1:11" x14ac:dyDescent="0.3">
      <c r="A47" s="256">
        <v>40</v>
      </c>
      <c r="B47" s="257" t="s">
        <v>1479</v>
      </c>
      <c r="C47" s="276">
        <v>44561</v>
      </c>
      <c r="D47" s="257" t="s">
        <v>1290</v>
      </c>
      <c r="E47" s="256" t="s">
        <v>1796</v>
      </c>
      <c r="F47" s="256" t="s">
        <v>1979</v>
      </c>
      <c r="G47" s="258">
        <v>5965000000</v>
      </c>
      <c r="H47" s="265">
        <v>0.1</v>
      </c>
      <c r="I47" s="258">
        <v>596500000</v>
      </c>
      <c r="J47" s="258">
        <v>6561500000</v>
      </c>
      <c r="K47" s="256" t="s">
        <v>1346</v>
      </c>
    </row>
    <row r="48" spans="1:11" x14ac:dyDescent="0.3">
      <c r="A48" s="256">
        <v>41</v>
      </c>
      <c r="B48" s="257" t="s">
        <v>1509</v>
      </c>
      <c r="C48" s="276">
        <v>44561</v>
      </c>
      <c r="D48" s="257" t="s">
        <v>1260</v>
      </c>
      <c r="E48" s="256" t="s">
        <v>1804</v>
      </c>
      <c r="F48" s="256" t="s">
        <v>1731</v>
      </c>
      <c r="G48" s="258">
        <v>3001000000</v>
      </c>
      <c r="H48" s="265">
        <v>0.1</v>
      </c>
      <c r="I48" s="258">
        <v>300100000</v>
      </c>
      <c r="J48" s="258">
        <v>3301100000</v>
      </c>
      <c r="K48" s="256" t="s">
        <v>1346</v>
      </c>
    </row>
    <row r="49" spans="1:11" x14ac:dyDescent="0.3">
      <c r="A49" s="256">
        <v>42</v>
      </c>
      <c r="B49" s="257" t="s">
        <v>1991</v>
      </c>
      <c r="C49" s="276">
        <v>44561</v>
      </c>
      <c r="D49" s="257" t="s">
        <v>1284</v>
      </c>
      <c r="E49" s="256" t="s">
        <v>1786</v>
      </c>
      <c r="F49" s="256" t="s">
        <v>1978</v>
      </c>
      <c r="G49" s="258">
        <v>5738000000</v>
      </c>
      <c r="H49" s="265">
        <v>0</v>
      </c>
      <c r="I49" s="258">
        <v>0</v>
      </c>
      <c r="J49" s="258">
        <v>5738000000</v>
      </c>
      <c r="K49" s="256" t="s">
        <v>1346</v>
      </c>
    </row>
    <row r="50" spans="1:11" x14ac:dyDescent="0.3">
      <c r="A50" s="256">
        <v>43</v>
      </c>
      <c r="B50" s="257" t="s">
        <v>1471</v>
      </c>
      <c r="C50" s="276">
        <v>44561</v>
      </c>
      <c r="D50" s="257" t="s">
        <v>1267</v>
      </c>
      <c r="E50" s="256" t="s">
        <v>1810</v>
      </c>
      <c r="F50" s="256" t="s">
        <v>1731</v>
      </c>
      <c r="G50" s="258">
        <v>5143000000</v>
      </c>
      <c r="H50" s="265">
        <v>0.1</v>
      </c>
      <c r="I50" s="258">
        <v>514300000</v>
      </c>
      <c r="J50" s="258">
        <v>5657300000</v>
      </c>
      <c r="K50" s="256" t="s">
        <v>1346</v>
      </c>
    </row>
    <row r="51" spans="1:11" x14ac:dyDescent="0.3">
      <c r="A51" s="256">
        <v>44</v>
      </c>
      <c r="B51" s="257" t="s">
        <v>1465</v>
      </c>
      <c r="C51" s="276">
        <v>44561</v>
      </c>
      <c r="D51" s="257" t="s">
        <v>1291</v>
      </c>
      <c r="E51" s="256" t="s">
        <v>1800</v>
      </c>
      <c r="F51" s="256" t="s">
        <v>1976</v>
      </c>
      <c r="G51" s="258">
        <v>7641000000</v>
      </c>
      <c r="H51" s="265">
        <v>0.1</v>
      </c>
      <c r="I51" s="258">
        <v>764100000</v>
      </c>
      <c r="J51" s="258">
        <v>8405100000</v>
      </c>
      <c r="K51" s="256" t="s">
        <v>1346</v>
      </c>
    </row>
    <row r="52" spans="1:11" x14ac:dyDescent="0.3">
      <c r="A52" s="256">
        <v>45</v>
      </c>
      <c r="B52" s="257" t="s">
        <v>1461</v>
      </c>
      <c r="C52" s="276">
        <v>44561</v>
      </c>
      <c r="D52" s="257" t="s">
        <v>1294</v>
      </c>
      <c r="E52" s="256" t="s">
        <v>1795</v>
      </c>
      <c r="F52" s="256" t="s">
        <v>1979</v>
      </c>
      <c r="G52" s="258">
        <v>2220000000</v>
      </c>
      <c r="H52" s="265">
        <v>0.1</v>
      </c>
      <c r="I52" s="258">
        <v>222000000</v>
      </c>
      <c r="J52" s="258">
        <v>2442000000</v>
      </c>
      <c r="K52" s="256" t="s">
        <v>1346</v>
      </c>
    </row>
    <row r="53" spans="1:11" x14ac:dyDescent="0.3">
      <c r="A53" s="256">
        <v>46</v>
      </c>
      <c r="B53" s="257" t="s">
        <v>1992</v>
      </c>
      <c r="C53" s="276">
        <v>44561</v>
      </c>
      <c r="D53" s="257" t="s">
        <v>1284</v>
      </c>
      <c r="E53" s="256" t="s">
        <v>1786</v>
      </c>
      <c r="F53" s="256" t="s">
        <v>1976</v>
      </c>
      <c r="G53" s="258">
        <v>7114000000</v>
      </c>
      <c r="H53" s="265">
        <v>0.1</v>
      </c>
      <c r="I53" s="258">
        <v>711400000</v>
      </c>
      <c r="J53" s="258">
        <v>7825400000</v>
      </c>
      <c r="K53" s="256" t="s">
        <v>1348</v>
      </c>
    </row>
    <row r="54" spans="1:11" x14ac:dyDescent="0.3">
      <c r="A54" s="256">
        <v>47</v>
      </c>
      <c r="B54" s="257" t="s">
        <v>1467</v>
      </c>
      <c r="C54" s="276">
        <v>44561</v>
      </c>
      <c r="D54" s="257" t="s">
        <v>1286</v>
      </c>
      <c r="E54" s="256" t="s">
        <v>1828</v>
      </c>
      <c r="F54" s="256" t="s">
        <v>1931</v>
      </c>
      <c r="G54" s="258">
        <v>5391000000</v>
      </c>
      <c r="H54" s="265">
        <v>0.1</v>
      </c>
      <c r="I54" s="258">
        <v>539100000</v>
      </c>
      <c r="J54" s="258">
        <v>5930100000</v>
      </c>
      <c r="K54" s="256" t="s">
        <v>1348</v>
      </c>
    </row>
    <row r="55" spans="1:11" x14ac:dyDescent="0.3">
      <c r="A55" s="256">
        <v>48</v>
      </c>
      <c r="B55" s="257" t="s">
        <v>1465</v>
      </c>
      <c r="C55" s="276">
        <v>44561</v>
      </c>
      <c r="D55" s="257" t="s">
        <v>1297</v>
      </c>
      <c r="E55" s="256" t="s">
        <v>1820</v>
      </c>
      <c r="F55" s="256" t="s">
        <v>1931</v>
      </c>
      <c r="G55" s="258">
        <v>2246000000</v>
      </c>
      <c r="H55" s="265">
        <v>0.1</v>
      </c>
      <c r="I55" s="258">
        <v>224600000</v>
      </c>
      <c r="J55" s="258">
        <v>2470600000</v>
      </c>
      <c r="K55" s="256" t="s">
        <v>1348</v>
      </c>
    </row>
    <row r="56" spans="1:11" x14ac:dyDescent="0.3">
      <c r="A56" s="256">
        <v>49</v>
      </c>
      <c r="B56" s="257" t="s">
        <v>1466</v>
      </c>
      <c r="C56" s="276">
        <v>44561</v>
      </c>
      <c r="D56" s="257" t="s">
        <v>1291</v>
      </c>
      <c r="E56" s="256" t="s">
        <v>1800</v>
      </c>
      <c r="F56" s="256" t="s">
        <v>1979</v>
      </c>
      <c r="G56" s="258">
        <v>6509000000</v>
      </c>
      <c r="H56" s="265">
        <v>0.1</v>
      </c>
      <c r="I56" s="258">
        <v>650900000</v>
      </c>
      <c r="J56" s="258">
        <v>7159900000</v>
      </c>
      <c r="K56" s="256" t="s">
        <v>1346</v>
      </c>
    </row>
    <row r="57" spans="1:11" x14ac:dyDescent="0.3">
      <c r="A57" s="256">
        <v>50</v>
      </c>
      <c r="B57" s="257" t="s">
        <v>1466</v>
      </c>
      <c r="C57" s="276">
        <v>44561</v>
      </c>
      <c r="D57" s="257" t="s">
        <v>1297</v>
      </c>
      <c r="E57" s="256" t="s">
        <v>1820</v>
      </c>
      <c r="F57" s="256" t="s">
        <v>1977</v>
      </c>
      <c r="G57" s="258">
        <v>5952000000</v>
      </c>
      <c r="H57" s="265">
        <v>0.1</v>
      </c>
      <c r="I57" s="258">
        <v>595200000</v>
      </c>
      <c r="J57" s="258">
        <v>6547200000</v>
      </c>
      <c r="K57" s="256" t="s">
        <v>1346</v>
      </c>
    </row>
    <row r="58" spans="1:11" x14ac:dyDescent="0.3">
      <c r="A58" s="266" t="s">
        <v>1351</v>
      </c>
      <c r="B58" s="266"/>
      <c r="C58" s="266"/>
      <c r="D58" s="266"/>
      <c r="E58" s="266"/>
      <c r="F58" s="266"/>
      <c r="G58" s="267">
        <f>SUM(G8:G57)</f>
        <v>230275000000</v>
      </c>
      <c r="H58" s="266"/>
      <c r="I58" s="267">
        <f>SUM(I8:I57)</f>
        <v>20203700000</v>
      </c>
      <c r="J58" s="267">
        <f>SUM(J8:J57)</f>
        <v>250478700000</v>
      </c>
      <c r="K58" s="266"/>
    </row>
    <row r="59" spans="1:11" x14ac:dyDescent="0.3">
      <c r="A59" s="256"/>
      <c r="B59" s="256"/>
      <c r="C59" s="256"/>
      <c r="D59" s="256"/>
      <c r="E59" s="256"/>
      <c r="F59" s="256"/>
      <c r="G59" s="256"/>
      <c r="H59" s="256"/>
      <c r="I59" s="256"/>
      <c r="J59" s="256"/>
      <c r="K59" s="256"/>
    </row>
    <row r="60" spans="1:11" x14ac:dyDescent="0.3">
      <c r="A60" s="256" t="s">
        <v>1420</v>
      </c>
      <c r="B60" s="256"/>
      <c r="C60" s="256"/>
      <c r="D60" s="256"/>
      <c r="E60" s="256"/>
      <c r="F60" s="256"/>
      <c r="G60" s="256"/>
      <c r="H60" s="256"/>
      <c r="I60" s="256"/>
      <c r="J60" s="256"/>
      <c r="K60" s="256"/>
    </row>
    <row r="61" spans="1:11" x14ac:dyDescent="0.3">
      <c r="A61" s="266" t="s">
        <v>0</v>
      </c>
      <c r="B61" s="266" t="s">
        <v>212</v>
      </c>
      <c r="C61" s="266" t="s">
        <v>1535</v>
      </c>
      <c r="D61" s="266" t="s">
        <v>1586</v>
      </c>
      <c r="E61" s="266" t="s">
        <v>1684</v>
      </c>
      <c r="F61" s="266" t="s">
        <v>1537</v>
      </c>
      <c r="G61" s="266" t="s">
        <v>270</v>
      </c>
      <c r="H61" s="266" t="s">
        <v>1679</v>
      </c>
      <c r="I61" s="266" t="s">
        <v>1539</v>
      </c>
      <c r="J61" s="266" t="s">
        <v>1540</v>
      </c>
      <c r="K61" s="266" t="s">
        <v>1541</v>
      </c>
    </row>
    <row r="62" spans="1:11" x14ac:dyDescent="0.3">
      <c r="A62" s="256">
        <v>1</v>
      </c>
      <c r="B62" s="257" t="s">
        <v>1200</v>
      </c>
      <c r="C62" s="276">
        <v>44317</v>
      </c>
      <c r="D62" s="257" t="s">
        <v>1290</v>
      </c>
      <c r="E62" s="256" t="s">
        <v>1796</v>
      </c>
      <c r="F62" s="256" t="s">
        <v>1980</v>
      </c>
      <c r="G62" s="258">
        <v>9057000000</v>
      </c>
      <c r="H62" s="265">
        <v>0</v>
      </c>
      <c r="I62" s="258">
        <v>0</v>
      </c>
      <c r="J62" s="258">
        <v>9057000000</v>
      </c>
      <c r="K62" s="256" t="s">
        <v>1348</v>
      </c>
    </row>
    <row r="63" spans="1:11" x14ac:dyDescent="0.3">
      <c r="A63" s="256">
        <v>2</v>
      </c>
      <c r="B63" s="257" t="s">
        <v>1201</v>
      </c>
      <c r="C63" s="276">
        <v>44318</v>
      </c>
      <c r="D63" s="257" t="s">
        <v>1281</v>
      </c>
      <c r="E63" s="256" t="s">
        <v>1806</v>
      </c>
      <c r="F63" s="256" t="s">
        <v>1981</v>
      </c>
      <c r="G63" s="258">
        <v>8908000000</v>
      </c>
      <c r="H63" s="265">
        <v>0.1</v>
      </c>
      <c r="I63" s="258">
        <v>890800000</v>
      </c>
      <c r="J63" s="258">
        <v>9798800000</v>
      </c>
      <c r="K63" s="256" t="s">
        <v>1346</v>
      </c>
    </row>
    <row r="64" spans="1:11" x14ac:dyDescent="0.3">
      <c r="A64" s="256">
        <v>3</v>
      </c>
      <c r="B64" s="257" t="s">
        <v>1202</v>
      </c>
      <c r="C64" s="276">
        <v>44472</v>
      </c>
      <c r="D64" s="257" t="s">
        <v>1263</v>
      </c>
      <c r="E64" s="256" t="s">
        <v>1790</v>
      </c>
      <c r="F64" s="256" t="s">
        <v>1982</v>
      </c>
      <c r="G64" s="258">
        <v>5723000000</v>
      </c>
      <c r="H64" s="265">
        <v>0.1</v>
      </c>
      <c r="I64" s="258">
        <v>572300000</v>
      </c>
      <c r="J64" s="258">
        <v>6295300000</v>
      </c>
      <c r="K64" s="256" t="s">
        <v>1346</v>
      </c>
    </row>
    <row r="65" spans="1:11" x14ac:dyDescent="0.3">
      <c r="A65" s="256">
        <v>4</v>
      </c>
      <c r="B65" s="257" t="s">
        <v>1355</v>
      </c>
      <c r="C65" s="276">
        <v>44473</v>
      </c>
      <c r="D65" s="257" t="s">
        <v>1259</v>
      </c>
      <c r="E65" s="256" t="s">
        <v>1788</v>
      </c>
      <c r="F65" s="256" t="s">
        <v>1980</v>
      </c>
      <c r="G65" s="258">
        <v>9503000000</v>
      </c>
      <c r="H65" s="265">
        <v>0.1</v>
      </c>
      <c r="I65" s="258">
        <v>950300000</v>
      </c>
      <c r="J65" s="258">
        <v>10453300000</v>
      </c>
      <c r="K65" s="256" t="s">
        <v>1346</v>
      </c>
    </row>
    <row r="66" spans="1:11" x14ac:dyDescent="0.3">
      <c r="A66" s="256">
        <v>5</v>
      </c>
      <c r="B66" s="257" t="s">
        <v>1356</v>
      </c>
      <c r="C66" s="276">
        <v>44474</v>
      </c>
      <c r="D66" s="257" t="s">
        <v>1273</v>
      </c>
      <c r="E66" s="256" t="s">
        <v>1829</v>
      </c>
      <c r="F66" s="256" t="s">
        <v>1980</v>
      </c>
      <c r="G66" s="258">
        <v>7195000000</v>
      </c>
      <c r="H66" s="265">
        <v>0</v>
      </c>
      <c r="I66" s="258">
        <v>0</v>
      </c>
      <c r="J66" s="258">
        <v>7195000000</v>
      </c>
      <c r="K66" s="256" t="s">
        <v>1346</v>
      </c>
    </row>
    <row r="67" spans="1:11" x14ac:dyDescent="0.3">
      <c r="A67" s="256">
        <v>6</v>
      </c>
      <c r="B67" s="257" t="s">
        <v>1358</v>
      </c>
      <c r="C67" s="276">
        <v>44475</v>
      </c>
      <c r="D67" s="257" t="s">
        <v>1302</v>
      </c>
      <c r="E67" s="256" t="s">
        <v>1784</v>
      </c>
      <c r="F67" s="256" t="s">
        <v>1980</v>
      </c>
      <c r="G67" s="258">
        <v>9053000000</v>
      </c>
      <c r="H67" s="265">
        <v>0.1</v>
      </c>
      <c r="I67" s="258">
        <v>905300000</v>
      </c>
      <c r="J67" s="258">
        <v>9958300000</v>
      </c>
      <c r="K67" s="256" t="s">
        <v>1348</v>
      </c>
    </row>
    <row r="68" spans="1:11" x14ac:dyDescent="0.3">
      <c r="A68" s="256">
        <v>7</v>
      </c>
      <c r="B68" s="257" t="s">
        <v>1360</v>
      </c>
      <c r="C68" s="276">
        <v>44476</v>
      </c>
      <c r="D68" s="257" t="s">
        <v>1288</v>
      </c>
      <c r="E68" s="256" t="s">
        <v>1797</v>
      </c>
      <c r="F68" s="256" t="s">
        <v>1981</v>
      </c>
      <c r="G68" s="258">
        <v>3405000000</v>
      </c>
      <c r="H68" s="265">
        <v>0.1</v>
      </c>
      <c r="I68" s="258">
        <v>340500000</v>
      </c>
      <c r="J68" s="258">
        <v>3745500000</v>
      </c>
      <c r="K68" s="256" t="s">
        <v>1346</v>
      </c>
    </row>
    <row r="69" spans="1:11" x14ac:dyDescent="0.3">
      <c r="A69" s="256">
        <v>8</v>
      </c>
      <c r="B69" s="257" t="s">
        <v>1362</v>
      </c>
      <c r="C69" s="276">
        <v>44477</v>
      </c>
      <c r="D69" s="257" t="s">
        <v>1302</v>
      </c>
      <c r="E69" s="256" t="s">
        <v>1784</v>
      </c>
      <c r="F69" s="256" t="s">
        <v>1982</v>
      </c>
      <c r="G69" s="258">
        <v>4503000000</v>
      </c>
      <c r="H69" s="265">
        <v>0.1</v>
      </c>
      <c r="I69" s="258">
        <v>450300000</v>
      </c>
      <c r="J69" s="258">
        <v>4953300000</v>
      </c>
      <c r="K69" s="256" t="s">
        <v>1346</v>
      </c>
    </row>
    <row r="70" spans="1:11" x14ac:dyDescent="0.3">
      <c r="A70" s="256">
        <v>9</v>
      </c>
      <c r="B70" s="257" t="s">
        <v>1364</v>
      </c>
      <c r="C70" s="276">
        <v>44478</v>
      </c>
      <c r="D70" s="257" t="s">
        <v>1257</v>
      </c>
      <c r="E70" s="256" t="s">
        <v>1815</v>
      </c>
      <c r="F70" s="256" t="s">
        <v>1983</v>
      </c>
      <c r="G70" s="258">
        <v>4880000000</v>
      </c>
      <c r="H70" s="265">
        <v>0.1</v>
      </c>
      <c r="I70" s="258">
        <v>488000000</v>
      </c>
      <c r="J70" s="258">
        <v>5368000000</v>
      </c>
      <c r="K70" s="256" t="s">
        <v>1346</v>
      </c>
    </row>
    <row r="71" spans="1:11" x14ac:dyDescent="0.3">
      <c r="A71" s="256">
        <v>10</v>
      </c>
      <c r="B71" s="257" t="s">
        <v>1366</v>
      </c>
      <c r="C71" s="276">
        <v>44479</v>
      </c>
      <c r="D71" s="257" t="s">
        <v>1297</v>
      </c>
      <c r="E71" s="256" t="s">
        <v>1820</v>
      </c>
      <c r="F71" s="256" t="s">
        <v>1981</v>
      </c>
      <c r="G71" s="258">
        <v>8803000000</v>
      </c>
      <c r="H71" s="265">
        <v>0.1</v>
      </c>
      <c r="I71" s="258">
        <v>880300000</v>
      </c>
      <c r="J71" s="258">
        <v>9683300000</v>
      </c>
      <c r="K71" s="256" t="s">
        <v>1346</v>
      </c>
    </row>
    <row r="72" spans="1:11" x14ac:dyDescent="0.3">
      <c r="A72" s="256">
        <v>11</v>
      </c>
      <c r="B72" s="257" t="s">
        <v>1368</v>
      </c>
      <c r="C72" s="276">
        <v>44480</v>
      </c>
      <c r="D72" s="257" t="s">
        <v>1291</v>
      </c>
      <c r="E72" s="256" t="s">
        <v>1800</v>
      </c>
      <c r="F72" s="256" t="s">
        <v>1981</v>
      </c>
      <c r="G72" s="258">
        <v>7040000000</v>
      </c>
      <c r="H72" s="265">
        <v>0.1</v>
      </c>
      <c r="I72" s="258">
        <v>704000000</v>
      </c>
      <c r="J72" s="258">
        <v>7744000000</v>
      </c>
      <c r="K72" s="256" t="s">
        <v>1346</v>
      </c>
    </row>
    <row r="73" spans="1:11" x14ac:dyDescent="0.3">
      <c r="A73" s="256">
        <v>12</v>
      </c>
      <c r="B73" s="257" t="s">
        <v>1371</v>
      </c>
      <c r="C73" s="276">
        <v>44481</v>
      </c>
      <c r="D73" s="257" t="s">
        <v>1303</v>
      </c>
      <c r="E73" s="256" t="s">
        <v>1817</v>
      </c>
      <c r="F73" s="256" t="s">
        <v>1981</v>
      </c>
      <c r="G73" s="258">
        <v>6748000000</v>
      </c>
      <c r="H73" s="265">
        <v>0.1</v>
      </c>
      <c r="I73" s="258">
        <v>674800000</v>
      </c>
      <c r="J73" s="258">
        <v>7422800000</v>
      </c>
      <c r="K73" s="256" t="s">
        <v>1346</v>
      </c>
    </row>
    <row r="74" spans="1:11" x14ac:dyDescent="0.3">
      <c r="A74" s="256">
        <v>13</v>
      </c>
      <c r="B74" s="257" t="s">
        <v>1373</v>
      </c>
      <c r="C74" s="276">
        <v>44211</v>
      </c>
      <c r="D74" s="257" t="s">
        <v>1278</v>
      </c>
      <c r="E74" s="256" t="s">
        <v>1785</v>
      </c>
      <c r="F74" s="256" t="s">
        <v>1980</v>
      </c>
      <c r="G74" s="258">
        <v>6011000000</v>
      </c>
      <c r="H74" s="265">
        <v>0.1</v>
      </c>
      <c r="I74" s="258">
        <v>601100000</v>
      </c>
      <c r="J74" s="258">
        <v>6612100000</v>
      </c>
      <c r="K74" s="256" t="s">
        <v>1346</v>
      </c>
    </row>
    <row r="75" spans="1:11" x14ac:dyDescent="0.3">
      <c r="A75" s="256">
        <v>14</v>
      </c>
      <c r="B75" s="257" t="s">
        <v>1374</v>
      </c>
      <c r="C75" s="276">
        <v>44242</v>
      </c>
      <c r="D75" s="257" t="s">
        <v>1283</v>
      </c>
      <c r="E75" s="256" t="s">
        <v>1798</v>
      </c>
      <c r="F75" s="256" t="s">
        <v>1983</v>
      </c>
      <c r="G75" s="258">
        <v>6020000000</v>
      </c>
      <c r="H75" s="265">
        <v>0.1</v>
      </c>
      <c r="I75" s="258">
        <v>602000000</v>
      </c>
      <c r="J75" s="258">
        <v>6622000000</v>
      </c>
      <c r="K75" s="256" t="s">
        <v>1346</v>
      </c>
    </row>
    <row r="76" spans="1:11" x14ac:dyDescent="0.3">
      <c r="A76" s="256">
        <v>15</v>
      </c>
      <c r="B76" s="257" t="s">
        <v>1376</v>
      </c>
      <c r="C76" s="276">
        <v>44275</v>
      </c>
      <c r="D76" s="257" t="s">
        <v>1258</v>
      </c>
      <c r="E76" s="256" t="s">
        <v>1833</v>
      </c>
      <c r="F76" s="256" t="s">
        <v>1981</v>
      </c>
      <c r="G76" s="258">
        <v>10168000000</v>
      </c>
      <c r="H76" s="265">
        <v>0.1</v>
      </c>
      <c r="I76" s="258">
        <v>1016800000</v>
      </c>
      <c r="J76" s="258">
        <v>11184800000</v>
      </c>
      <c r="K76" s="256" t="s">
        <v>1346</v>
      </c>
    </row>
    <row r="77" spans="1:11" x14ac:dyDescent="0.3">
      <c r="A77" s="256">
        <v>16</v>
      </c>
      <c r="B77" s="257" t="s">
        <v>1378</v>
      </c>
      <c r="C77" s="276">
        <v>44306</v>
      </c>
      <c r="D77" s="257" t="s">
        <v>1266</v>
      </c>
      <c r="E77" s="256" t="s">
        <v>1824</v>
      </c>
      <c r="F77" s="256" t="s">
        <v>1980</v>
      </c>
      <c r="G77" s="258">
        <v>9114000000</v>
      </c>
      <c r="H77" s="265">
        <v>0.1</v>
      </c>
      <c r="I77" s="258">
        <v>911400000</v>
      </c>
      <c r="J77" s="258">
        <v>10025400000</v>
      </c>
      <c r="K77" s="256" t="s">
        <v>1348</v>
      </c>
    </row>
    <row r="78" spans="1:11" x14ac:dyDescent="0.3">
      <c r="A78" s="256">
        <v>17</v>
      </c>
      <c r="B78" s="257" t="s">
        <v>1379</v>
      </c>
      <c r="C78" s="276">
        <v>44336</v>
      </c>
      <c r="D78" s="257" t="s">
        <v>1280</v>
      </c>
      <c r="E78" s="256" t="s">
        <v>1777</v>
      </c>
      <c r="F78" s="256" t="s">
        <v>1980</v>
      </c>
      <c r="G78" s="258">
        <v>4243000000</v>
      </c>
      <c r="H78" s="265">
        <v>0.1</v>
      </c>
      <c r="I78" s="258">
        <v>424300000</v>
      </c>
      <c r="J78" s="258">
        <v>4667300000</v>
      </c>
      <c r="K78" s="256" t="s">
        <v>1346</v>
      </c>
    </row>
    <row r="79" spans="1:11" x14ac:dyDescent="0.3">
      <c r="A79" s="256">
        <v>18</v>
      </c>
      <c r="B79" s="257" t="s">
        <v>1381</v>
      </c>
      <c r="C79" s="276">
        <v>44367</v>
      </c>
      <c r="D79" s="257" t="s">
        <v>1258</v>
      </c>
      <c r="E79" s="256" t="s">
        <v>1833</v>
      </c>
      <c r="F79" s="256" t="s">
        <v>1981</v>
      </c>
      <c r="G79" s="258">
        <v>8043000000</v>
      </c>
      <c r="H79" s="265">
        <v>0.1</v>
      </c>
      <c r="I79" s="258">
        <v>804300000</v>
      </c>
      <c r="J79" s="258">
        <v>8847300000</v>
      </c>
      <c r="K79" s="256" t="s">
        <v>1348</v>
      </c>
    </row>
    <row r="80" spans="1:11" x14ac:dyDescent="0.3">
      <c r="A80" s="256">
        <v>19</v>
      </c>
      <c r="B80" s="257" t="s">
        <v>1382</v>
      </c>
      <c r="C80" s="276">
        <v>44397</v>
      </c>
      <c r="D80" s="257" t="s">
        <v>1287</v>
      </c>
      <c r="E80" s="256" t="s">
        <v>1801</v>
      </c>
      <c r="F80" s="256" t="s">
        <v>1983</v>
      </c>
      <c r="G80" s="258">
        <v>5553000000</v>
      </c>
      <c r="H80" s="265">
        <v>0.1</v>
      </c>
      <c r="I80" s="258">
        <v>555300000</v>
      </c>
      <c r="J80" s="258">
        <v>6108300000</v>
      </c>
      <c r="K80" s="256" t="s">
        <v>1346</v>
      </c>
    </row>
    <row r="81" spans="1:11" x14ac:dyDescent="0.3">
      <c r="A81" s="256">
        <v>20</v>
      </c>
      <c r="B81" s="257" t="s">
        <v>1383</v>
      </c>
      <c r="C81" s="276">
        <v>44428</v>
      </c>
      <c r="D81" s="257" t="s">
        <v>1292</v>
      </c>
      <c r="E81" s="256" t="s">
        <v>1792</v>
      </c>
      <c r="F81" s="256" t="s">
        <v>1983</v>
      </c>
      <c r="G81" s="258">
        <v>6644000000</v>
      </c>
      <c r="H81" s="265">
        <v>0</v>
      </c>
      <c r="I81" s="258">
        <v>0</v>
      </c>
      <c r="J81" s="258">
        <v>6644000000</v>
      </c>
      <c r="K81" s="256" t="s">
        <v>1346</v>
      </c>
    </row>
    <row r="82" spans="1:11" x14ac:dyDescent="0.3">
      <c r="A82" s="256">
        <v>21</v>
      </c>
      <c r="B82" s="257" t="s">
        <v>1203</v>
      </c>
      <c r="C82" s="276">
        <v>44459</v>
      </c>
      <c r="D82" s="257" t="s">
        <v>1279</v>
      </c>
      <c r="E82" s="256" t="s">
        <v>1827</v>
      </c>
      <c r="F82" s="256" t="s">
        <v>1981</v>
      </c>
      <c r="G82" s="258">
        <v>8947000000</v>
      </c>
      <c r="H82" s="265">
        <v>0.1</v>
      </c>
      <c r="I82" s="258">
        <v>894700000</v>
      </c>
      <c r="J82" s="258">
        <v>9841700000</v>
      </c>
      <c r="K82" s="256" t="s">
        <v>1346</v>
      </c>
    </row>
    <row r="83" spans="1:11" x14ac:dyDescent="0.3">
      <c r="A83" s="256">
        <v>22</v>
      </c>
      <c r="B83" s="257" t="s">
        <v>1204</v>
      </c>
      <c r="C83" s="276">
        <v>44489</v>
      </c>
      <c r="D83" s="257" t="s">
        <v>1262</v>
      </c>
      <c r="E83" s="256" t="s">
        <v>1816</v>
      </c>
      <c r="F83" s="256" t="s">
        <v>1981</v>
      </c>
      <c r="G83" s="258">
        <v>5343000000</v>
      </c>
      <c r="H83" s="265">
        <v>0</v>
      </c>
      <c r="I83" s="258">
        <v>0</v>
      </c>
      <c r="J83" s="258">
        <v>5343000000</v>
      </c>
      <c r="K83" s="256" t="s">
        <v>1348</v>
      </c>
    </row>
    <row r="84" spans="1:11" x14ac:dyDescent="0.3">
      <c r="A84" s="256">
        <v>23</v>
      </c>
      <c r="B84" s="257" t="s">
        <v>1205</v>
      </c>
      <c r="C84" s="276">
        <v>44520</v>
      </c>
      <c r="D84" s="257" t="s">
        <v>1258</v>
      </c>
      <c r="E84" s="256" t="s">
        <v>1833</v>
      </c>
      <c r="F84" s="256" t="s">
        <v>1983</v>
      </c>
      <c r="G84" s="258">
        <v>3420000000</v>
      </c>
      <c r="H84" s="265">
        <v>0.1</v>
      </c>
      <c r="I84" s="258">
        <v>342000000</v>
      </c>
      <c r="J84" s="258">
        <v>3762000000</v>
      </c>
      <c r="K84" s="256" t="s">
        <v>1346</v>
      </c>
    </row>
    <row r="85" spans="1:11" x14ac:dyDescent="0.3">
      <c r="A85" s="256">
        <v>24</v>
      </c>
      <c r="B85" s="257" t="s">
        <v>1385</v>
      </c>
      <c r="C85" s="276">
        <v>44550</v>
      </c>
      <c r="D85" s="257" t="s">
        <v>1270</v>
      </c>
      <c r="E85" s="256" t="s">
        <v>1782</v>
      </c>
      <c r="F85" s="256" t="s">
        <v>1981</v>
      </c>
      <c r="G85" s="258">
        <v>2966000000</v>
      </c>
      <c r="H85" s="265">
        <v>0.1</v>
      </c>
      <c r="I85" s="258">
        <v>296600000</v>
      </c>
      <c r="J85" s="258">
        <v>3262600000</v>
      </c>
      <c r="K85" s="256" t="s">
        <v>1346</v>
      </c>
    </row>
    <row r="86" spans="1:11" x14ac:dyDescent="0.3">
      <c r="A86" s="256">
        <v>25</v>
      </c>
      <c r="B86" s="257" t="s">
        <v>1387</v>
      </c>
      <c r="C86" s="276">
        <v>44221</v>
      </c>
      <c r="D86" s="257" t="s">
        <v>1274</v>
      </c>
      <c r="E86" s="256" t="s">
        <v>1794</v>
      </c>
      <c r="F86" s="256" t="s">
        <v>1981</v>
      </c>
      <c r="G86" s="258">
        <v>6811000000</v>
      </c>
      <c r="H86" s="265">
        <v>0.1</v>
      </c>
      <c r="I86" s="258">
        <v>681100000</v>
      </c>
      <c r="J86" s="258">
        <v>7492100000</v>
      </c>
      <c r="K86" s="256" t="s">
        <v>1348</v>
      </c>
    </row>
    <row r="87" spans="1:11" x14ac:dyDescent="0.3">
      <c r="A87" s="256">
        <v>26</v>
      </c>
      <c r="B87" s="257" t="s">
        <v>1388</v>
      </c>
      <c r="C87" s="276">
        <v>44255</v>
      </c>
      <c r="D87" s="257" t="s">
        <v>1285</v>
      </c>
      <c r="E87" s="256" t="s">
        <v>1793</v>
      </c>
      <c r="F87" s="256" t="s">
        <v>1982</v>
      </c>
      <c r="G87" s="258">
        <v>10768000000</v>
      </c>
      <c r="H87" s="265">
        <v>0.1</v>
      </c>
      <c r="I87" s="258">
        <v>1076800000</v>
      </c>
      <c r="J87" s="258">
        <v>11844800000</v>
      </c>
      <c r="K87" s="256" t="s">
        <v>1346</v>
      </c>
    </row>
    <row r="88" spans="1:11" x14ac:dyDescent="0.3">
      <c r="A88" s="256">
        <v>27</v>
      </c>
      <c r="B88" s="257" t="s">
        <v>1391</v>
      </c>
      <c r="C88" s="276">
        <v>44316</v>
      </c>
      <c r="D88" s="257" t="s">
        <v>1267</v>
      </c>
      <c r="E88" s="256" t="s">
        <v>1810</v>
      </c>
      <c r="F88" s="256" t="s">
        <v>1981</v>
      </c>
      <c r="G88" s="258">
        <v>3218000000</v>
      </c>
      <c r="H88" s="265">
        <v>0.1</v>
      </c>
      <c r="I88" s="258">
        <v>321800000</v>
      </c>
      <c r="J88" s="258">
        <v>3539800000</v>
      </c>
      <c r="K88" s="256" t="s">
        <v>1346</v>
      </c>
    </row>
    <row r="89" spans="1:11" x14ac:dyDescent="0.3">
      <c r="A89" s="256">
        <v>28</v>
      </c>
      <c r="B89" s="257" t="s">
        <v>1392</v>
      </c>
      <c r="C89" s="276">
        <v>44377</v>
      </c>
      <c r="D89" s="257" t="s">
        <v>1270</v>
      </c>
      <c r="E89" s="256" t="s">
        <v>1782</v>
      </c>
      <c r="F89" s="256" t="s">
        <v>1980</v>
      </c>
      <c r="G89" s="258">
        <v>7265000000</v>
      </c>
      <c r="H89" s="265">
        <v>0.1</v>
      </c>
      <c r="I89" s="258">
        <v>726500000</v>
      </c>
      <c r="J89" s="258">
        <v>7991500000</v>
      </c>
      <c r="K89" s="256" t="s">
        <v>1346</v>
      </c>
    </row>
    <row r="90" spans="1:11" x14ac:dyDescent="0.3">
      <c r="A90" s="256">
        <v>29</v>
      </c>
      <c r="B90" s="257" t="s">
        <v>1394</v>
      </c>
      <c r="C90" s="276">
        <v>44469</v>
      </c>
      <c r="D90" s="257" t="s">
        <v>1303</v>
      </c>
      <c r="E90" s="256" t="s">
        <v>1817</v>
      </c>
      <c r="F90" s="256" t="s">
        <v>1981</v>
      </c>
      <c r="G90" s="258">
        <v>2878000000</v>
      </c>
      <c r="H90" s="265">
        <v>0.1</v>
      </c>
      <c r="I90" s="258">
        <v>287800000</v>
      </c>
      <c r="J90" s="258">
        <v>3165800000</v>
      </c>
      <c r="K90" s="256" t="s">
        <v>1346</v>
      </c>
    </row>
    <row r="91" spans="1:11" x14ac:dyDescent="0.3">
      <c r="A91" s="256">
        <v>30</v>
      </c>
      <c r="B91" s="257" t="s">
        <v>1396</v>
      </c>
      <c r="C91" s="276">
        <v>44530</v>
      </c>
      <c r="D91" s="257" t="s">
        <v>1301</v>
      </c>
      <c r="E91" s="256" t="s">
        <v>1781</v>
      </c>
      <c r="F91" s="256" t="s">
        <v>1980</v>
      </c>
      <c r="G91" s="258">
        <v>8888000000</v>
      </c>
      <c r="H91" s="265">
        <v>0.1</v>
      </c>
      <c r="I91" s="258">
        <v>888800000</v>
      </c>
      <c r="J91" s="258">
        <v>9776800000</v>
      </c>
      <c r="K91" s="256" t="s">
        <v>1346</v>
      </c>
    </row>
    <row r="92" spans="1:11" x14ac:dyDescent="0.3">
      <c r="A92" s="256">
        <v>31</v>
      </c>
      <c r="B92" s="257" t="s">
        <v>1397</v>
      </c>
      <c r="C92" s="276">
        <v>44286</v>
      </c>
      <c r="D92" s="257" t="s">
        <v>1256</v>
      </c>
      <c r="E92" s="256" t="s">
        <v>1802</v>
      </c>
      <c r="F92" s="256" t="s">
        <v>1983</v>
      </c>
      <c r="G92" s="258">
        <v>10740000000</v>
      </c>
      <c r="H92" s="265">
        <v>0.1</v>
      </c>
      <c r="I92" s="258">
        <v>1074000000</v>
      </c>
      <c r="J92" s="258">
        <v>11814000000</v>
      </c>
      <c r="K92" s="256" t="s">
        <v>1346</v>
      </c>
    </row>
    <row r="93" spans="1:11" x14ac:dyDescent="0.3">
      <c r="A93" s="256">
        <v>32</v>
      </c>
      <c r="B93" s="257" t="s">
        <v>1398</v>
      </c>
      <c r="C93" s="276">
        <v>44347</v>
      </c>
      <c r="D93" s="257" t="s">
        <v>1293</v>
      </c>
      <c r="E93" s="256" t="s">
        <v>1826</v>
      </c>
      <c r="F93" s="256" t="s">
        <v>1983</v>
      </c>
      <c r="G93" s="258">
        <v>3097000000</v>
      </c>
      <c r="H93" s="265">
        <v>0.1</v>
      </c>
      <c r="I93" s="258">
        <v>309700000</v>
      </c>
      <c r="J93" s="258">
        <v>3406700000</v>
      </c>
      <c r="K93" s="256" t="s">
        <v>1346</v>
      </c>
    </row>
    <row r="94" spans="1:11" x14ac:dyDescent="0.3">
      <c r="A94" s="256">
        <v>33</v>
      </c>
      <c r="B94" s="257" t="s">
        <v>1399</v>
      </c>
      <c r="C94" s="276">
        <v>44408</v>
      </c>
      <c r="D94" s="257" t="s">
        <v>1290</v>
      </c>
      <c r="E94" s="256" t="s">
        <v>1796</v>
      </c>
      <c r="F94" s="256" t="s">
        <v>1981</v>
      </c>
      <c r="G94" s="258">
        <v>4047000000</v>
      </c>
      <c r="H94" s="265">
        <v>0.1</v>
      </c>
      <c r="I94" s="258">
        <v>404700000</v>
      </c>
      <c r="J94" s="258">
        <v>4451700000</v>
      </c>
      <c r="K94" s="256" t="s">
        <v>1346</v>
      </c>
    </row>
    <row r="95" spans="1:11" x14ac:dyDescent="0.3">
      <c r="A95" s="256">
        <v>34</v>
      </c>
      <c r="B95" s="257" t="s">
        <v>1401</v>
      </c>
      <c r="C95" s="276">
        <v>44439</v>
      </c>
      <c r="D95" s="257" t="s">
        <v>1267</v>
      </c>
      <c r="E95" s="256" t="s">
        <v>1810</v>
      </c>
      <c r="F95" s="256" t="s">
        <v>1981</v>
      </c>
      <c r="G95" s="258">
        <v>8245000000</v>
      </c>
      <c r="H95" s="265">
        <v>0.1</v>
      </c>
      <c r="I95" s="258">
        <v>824500000</v>
      </c>
      <c r="J95" s="258">
        <v>9069500000</v>
      </c>
      <c r="K95" s="256" t="s">
        <v>1346</v>
      </c>
    </row>
    <row r="96" spans="1:11" x14ac:dyDescent="0.3">
      <c r="A96" s="256">
        <v>35</v>
      </c>
      <c r="B96" s="257" t="s">
        <v>1402</v>
      </c>
      <c r="C96" s="276">
        <v>44500</v>
      </c>
      <c r="D96" s="257" t="s">
        <v>1299</v>
      </c>
      <c r="E96" s="256" t="s">
        <v>1776</v>
      </c>
      <c r="F96" s="256" t="s">
        <v>1982</v>
      </c>
      <c r="G96" s="258">
        <v>3134000000</v>
      </c>
      <c r="H96" s="265">
        <v>0.1</v>
      </c>
      <c r="I96" s="258">
        <v>313400000</v>
      </c>
      <c r="J96" s="258">
        <v>3447400000</v>
      </c>
      <c r="K96" s="256" t="s">
        <v>1346</v>
      </c>
    </row>
    <row r="97" spans="1:11" x14ac:dyDescent="0.3">
      <c r="A97" s="256">
        <v>36</v>
      </c>
      <c r="B97" s="257" t="s">
        <v>1403</v>
      </c>
      <c r="C97" s="276">
        <v>44561</v>
      </c>
      <c r="D97" s="257" t="s">
        <v>1257</v>
      </c>
      <c r="E97" s="256" t="s">
        <v>1815</v>
      </c>
      <c r="F97" s="256" t="s">
        <v>1980</v>
      </c>
      <c r="G97" s="258">
        <v>8086000000</v>
      </c>
      <c r="H97" s="265">
        <v>0.1</v>
      </c>
      <c r="I97" s="258">
        <v>808600000</v>
      </c>
      <c r="J97" s="258">
        <v>8894600000</v>
      </c>
      <c r="K97" s="256" t="s">
        <v>1346</v>
      </c>
    </row>
    <row r="98" spans="1:11" x14ac:dyDescent="0.3">
      <c r="A98" s="256">
        <v>37</v>
      </c>
      <c r="B98" s="257" t="s">
        <v>1404</v>
      </c>
      <c r="C98" s="276">
        <v>44561</v>
      </c>
      <c r="D98" s="257" t="s">
        <v>1269</v>
      </c>
      <c r="E98" s="256" t="s">
        <v>1823</v>
      </c>
      <c r="F98" s="256" t="s">
        <v>1981</v>
      </c>
      <c r="G98" s="258">
        <v>4597000000</v>
      </c>
      <c r="H98" s="265">
        <v>0.1</v>
      </c>
      <c r="I98" s="258">
        <v>459700000</v>
      </c>
      <c r="J98" s="258">
        <v>5056700000</v>
      </c>
      <c r="K98" s="256" t="s">
        <v>1346</v>
      </c>
    </row>
    <row r="99" spans="1:11" x14ac:dyDescent="0.3">
      <c r="A99" s="256">
        <v>38</v>
      </c>
      <c r="B99" s="257" t="s">
        <v>1405</v>
      </c>
      <c r="C99" s="276">
        <v>44561</v>
      </c>
      <c r="D99" s="257" t="s">
        <v>1302</v>
      </c>
      <c r="E99" s="256" t="s">
        <v>1784</v>
      </c>
      <c r="F99" s="256" t="s">
        <v>1981</v>
      </c>
      <c r="G99" s="258">
        <v>3761000000</v>
      </c>
      <c r="H99" s="265">
        <v>0.1</v>
      </c>
      <c r="I99" s="258">
        <v>376100000</v>
      </c>
      <c r="J99" s="258">
        <v>4137100000</v>
      </c>
      <c r="K99" s="256" t="s">
        <v>1346</v>
      </c>
    </row>
    <row r="100" spans="1:11" x14ac:dyDescent="0.3">
      <c r="A100" s="256">
        <v>39</v>
      </c>
      <c r="B100" s="257" t="s">
        <v>1406</v>
      </c>
      <c r="C100" s="276">
        <v>44561</v>
      </c>
      <c r="D100" s="257" t="s">
        <v>1261</v>
      </c>
      <c r="E100" s="256" t="s">
        <v>1813</v>
      </c>
      <c r="F100" s="256" t="s">
        <v>1983</v>
      </c>
      <c r="G100" s="258">
        <v>9337000000</v>
      </c>
      <c r="H100" s="265">
        <v>0.1</v>
      </c>
      <c r="I100" s="258">
        <v>933700000</v>
      </c>
      <c r="J100" s="258">
        <v>10270700000</v>
      </c>
      <c r="K100" s="256" t="s">
        <v>1348</v>
      </c>
    </row>
    <row r="101" spans="1:11" x14ac:dyDescent="0.3">
      <c r="A101" s="256">
        <v>40</v>
      </c>
      <c r="B101" s="257" t="s">
        <v>1408</v>
      </c>
      <c r="C101" s="276">
        <v>44561</v>
      </c>
      <c r="D101" s="257" t="s">
        <v>1272</v>
      </c>
      <c r="E101" s="256" t="s">
        <v>1805</v>
      </c>
      <c r="F101" s="256" t="s">
        <v>1983</v>
      </c>
      <c r="G101" s="258">
        <v>5872000000</v>
      </c>
      <c r="H101" s="265">
        <v>0.1</v>
      </c>
      <c r="I101" s="258">
        <v>587200000</v>
      </c>
      <c r="J101" s="258">
        <v>6459200000</v>
      </c>
      <c r="K101" s="256" t="s">
        <v>1346</v>
      </c>
    </row>
    <row r="102" spans="1:11" x14ac:dyDescent="0.3">
      <c r="A102" s="256">
        <v>41</v>
      </c>
      <c r="B102" s="257" t="s">
        <v>1409</v>
      </c>
      <c r="C102" s="276">
        <v>44561</v>
      </c>
      <c r="D102" s="257" t="s">
        <v>1286</v>
      </c>
      <c r="E102" s="256" t="s">
        <v>1828</v>
      </c>
      <c r="F102" s="256" t="s">
        <v>1981</v>
      </c>
      <c r="G102" s="258">
        <v>4578000000</v>
      </c>
      <c r="H102" s="265">
        <v>0.1</v>
      </c>
      <c r="I102" s="258">
        <v>457800000</v>
      </c>
      <c r="J102" s="258">
        <v>5035800000</v>
      </c>
      <c r="K102" s="256" t="s">
        <v>1346</v>
      </c>
    </row>
    <row r="103" spans="1:11" x14ac:dyDescent="0.3">
      <c r="A103" s="256">
        <v>42</v>
      </c>
      <c r="B103" s="257" t="s">
        <v>1411</v>
      </c>
      <c r="C103" s="276">
        <v>44561</v>
      </c>
      <c r="D103" s="257" t="s">
        <v>1269</v>
      </c>
      <c r="E103" s="256" t="s">
        <v>1823</v>
      </c>
      <c r="F103" s="256" t="s">
        <v>1980</v>
      </c>
      <c r="G103" s="258">
        <v>10604000000</v>
      </c>
      <c r="H103" s="265">
        <v>0.1</v>
      </c>
      <c r="I103" s="258">
        <v>1060400000</v>
      </c>
      <c r="J103" s="258">
        <v>11664400000</v>
      </c>
      <c r="K103" s="256" t="s">
        <v>1346</v>
      </c>
    </row>
    <row r="104" spans="1:11" x14ac:dyDescent="0.3">
      <c r="A104" s="256">
        <v>43</v>
      </c>
      <c r="B104" s="257" t="s">
        <v>1414</v>
      </c>
      <c r="C104" s="276">
        <v>44561</v>
      </c>
      <c r="D104" s="257" t="s">
        <v>1285</v>
      </c>
      <c r="E104" s="256" t="s">
        <v>1793</v>
      </c>
      <c r="F104" s="256" t="s">
        <v>1982</v>
      </c>
      <c r="G104" s="258">
        <v>8155000000</v>
      </c>
      <c r="H104" s="265">
        <v>0.1</v>
      </c>
      <c r="I104" s="258">
        <v>815500000</v>
      </c>
      <c r="J104" s="258">
        <v>8970500000</v>
      </c>
      <c r="K104" s="256" t="s">
        <v>1346</v>
      </c>
    </row>
    <row r="105" spans="1:11" x14ac:dyDescent="0.3">
      <c r="A105" s="256">
        <v>44</v>
      </c>
      <c r="B105" s="257" t="s">
        <v>1415</v>
      </c>
      <c r="C105" s="276">
        <v>44561</v>
      </c>
      <c r="D105" s="257" t="s">
        <v>1284</v>
      </c>
      <c r="E105" s="256" t="s">
        <v>1786</v>
      </c>
      <c r="F105" s="256" t="s">
        <v>1983</v>
      </c>
      <c r="G105" s="258">
        <v>5232000000</v>
      </c>
      <c r="H105" s="265">
        <v>0.1</v>
      </c>
      <c r="I105" s="258">
        <v>523200000</v>
      </c>
      <c r="J105" s="258">
        <v>5755200000</v>
      </c>
      <c r="K105" s="256" t="s">
        <v>1346</v>
      </c>
    </row>
    <row r="106" spans="1:11" x14ac:dyDescent="0.3">
      <c r="A106" s="256">
        <v>45</v>
      </c>
      <c r="B106" s="257" t="s">
        <v>1206</v>
      </c>
      <c r="C106" s="276">
        <v>44561</v>
      </c>
      <c r="D106" s="257" t="s">
        <v>1286</v>
      </c>
      <c r="E106" s="256" t="s">
        <v>1828</v>
      </c>
      <c r="F106" s="256" t="s">
        <v>1980</v>
      </c>
      <c r="G106" s="258">
        <v>2863000000</v>
      </c>
      <c r="H106" s="265">
        <v>0.1</v>
      </c>
      <c r="I106" s="258">
        <v>286300000</v>
      </c>
      <c r="J106" s="258">
        <v>3149300000</v>
      </c>
      <c r="K106" s="256" t="s">
        <v>1346</v>
      </c>
    </row>
    <row r="107" spans="1:11" x14ac:dyDescent="0.3">
      <c r="A107" s="256">
        <v>46</v>
      </c>
      <c r="B107" s="257" t="s">
        <v>1207</v>
      </c>
      <c r="C107" s="276">
        <v>44561</v>
      </c>
      <c r="D107" s="257" t="s">
        <v>1286</v>
      </c>
      <c r="E107" s="256" t="s">
        <v>1828</v>
      </c>
      <c r="F107" s="256" t="s">
        <v>1980</v>
      </c>
      <c r="G107" s="258">
        <v>5035000000</v>
      </c>
      <c r="H107" s="265">
        <v>0</v>
      </c>
      <c r="I107" s="258">
        <v>0</v>
      </c>
      <c r="J107" s="258">
        <v>5035000000</v>
      </c>
      <c r="K107" s="256" t="s">
        <v>1346</v>
      </c>
    </row>
    <row r="108" spans="1:11" x14ac:dyDescent="0.3">
      <c r="A108" s="256">
        <v>47</v>
      </c>
      <c r="B108" s="257" t="s">
        <v>1208</v>
      </c>
      <c r="C108" s="276">
        <v>44561</v>
      </c>
      <c r="D108" s="257" t="s">
        <v>1273</v>
      </c>
      <c r="E108" s="256" t="s">
        <v>1829</v>
      </c>
      <c r="F108" s="256" t="s">
        <v>1982</v>
      </c>
      <c r="G108" s="258">
        <v>6777000000</v>
      </c>
      <c r="H108" s="265">
        <v>0.1</v>
      </c>
      <c r="I108" s="258">
        <v>677700000</v>
      </c>
      <c r="J108" s="258">
        <v>7454700000</v>
      </c>
      <c r="K108" s="256" t="s">
        <v>1346</v>
      </c>
    </row>
    <row r="109" spans="1:11" x14ac:dyDescent="0.3">
      <c r="A109" s="256">
        <v>48</v>
      </c>
      <c r="B109" s="257" t="s">
        <v>1209</v>
      </c>
      <c r="C109" s="276">
        <v>44561</v>
      </c>
      <c r="D109" s="257" t="s">
        <v>1297</v>
      </c>
      <c r="E109" s="256" t="s">
        <v>1820</v>
      </c>
      <c r="F109" s="256" t="s">
        <v>1981</v>
      </c>
      <c r="G109" s="258">
        <v>10458000000</v>
      </c>
      <c r="H109" s="265">
        <v>0.1</v>
      </c>
      <c r="I109" s="258">
        <v>1045800000</v>
      </c>
      <c r="J109" s="258">
        <v>11503800000</v>
      </c>
      <c r="K109" s="256" t="s">
        <v>1346</v>
      </c>
    </row>
    <row r="110" spans="1:11" x14ac:dyDescent="0.3">
      <c r="A110" s="256">
        <v>49</v>
      </c>
      <c r="B110" s="257" t="s">
        <v>1418</v>
      </c>
      <c r="C110" s="276">
        <v>44561</v>
      </c>
      <c r="D110" s="257" t="s">
        <v>1262</v>
      </c>
      <c r="E110" s="256" t="s">
        <v>1816</v>
      </c>
      <c r="F110" s="256" t="s">
        <v>1981</v>
      </c>
      <c r="G110" s="258">
        <v>4028000000</v>
      </c>
      <c r="H110" s="265">
        <v>0.1</v>
      </c>
      <c r="I110" s="258">
        <v>402800000</v>
      </c>
      <c r="J110" s="258">
        <v>4430800000</v>
      </c>
      <c r="K110" s="256" t="s">
        <v>1346</v>
      </c>
    </row>
    <row r="111" spans="1:11" x14ac:dyDescent="0.3">
      <c r="A111" s="256">
        <v>50</v>
      </c>
      <c r="B111" s="257" t="s">
        <v>1419</v>
      </c>
      <c r="C111" s="276">
        <v>44561</v>
      </c>
      <c r="D111" s="257" t="s">
        <v>1271</v>
      </c>
      <c r="E111" s="256" t="s">
        <v>1799</v>
      </c>
      <c r="F111" s="256" t="s">
        <v>1983</v>
      </c>
      <c r="G111" s="258">
        <v>9814000000</v>
      </c>
      <c r="H111" s="265">
        <v>0.1</v>
      </c>
      <c r="I111" s="258">
        <v>981400000</v>
      </c>
      <c r="J111" s="258">
        <v>10795400000</v>
      </c>
      <c r="K111" s="256" t="s">
        <v>1346</v>
      </c>
    </row>
    <row r="112" spans="1:11" x14ac:dyDescent="0.3">
      <c r="A112" s="266" t="s">
        <v>1351</v>
      </c>
      <c r="B112" s="266"/>
      <c r="C112" s="266"/>
      <c r="D112" s="266"/>
      <c r="E112" s="266"/>
      <c r="F112" s="266"/>
      <c r="G112" s="267">
        <f>SUM(G62:G111)</f>
        <v>329578000000</v>
      </c>
      <c r="H112" s="266"/>
      <c r="I112" s="267">
        <f>SUM(I62:I111)</f>
        <v>29630400000</v>
      </c>
      <c r="J112" s="267">
        <f>SUM(J62:J111)</f>
        <v>359208400000</v>
      </c>
      <c r="K112" s="26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91</vt:i4>
      </vt:variant>
    </vt:vector>
  </HeadingPairs>
  <TitlesOfParts>
    <vt:vector size="91" baseType="lpstr">
      <vt:lpstr>100MST</vt:lpstr>
      <vt:lpstr>BCTC_2021</vt:lpstr>
      <vt:lpstr>HĐ_Đầu_Vào</vt:lpstr>
      <vt:lpstr>HĐ_Bán_Ra</vt:lpstr>
      <vt:lpstr>2021</vt:lpstr>
      <vt:lpstr>0100100590</vt:lpstr>
      <vt:lpstr>0100101072</vt:lpstr>
      <vt:lpstr>0100101308</vt:lpstr>
      <vt:lpstr>0100101403</vt:lpstr>
      <vt:lpstr>0100105503</vt:lpstr>
      <vt:lpstr>0100113494</vt:lpstr>
      <vt:lpstr>0100373485</vt:lpstr>
      <vt:lpstr>0100680623</vt:lpstr>
      <vt:lpstr>0100902202</vt:lpstr>
      <vt:lpstr>0101056111</vt:lpstr>
      <vt:lpstr>0101225306</vt:lpstr>
      <vt:lpstr>0101329672</vt:lpstr>
      <vt:lpstr>0101377820</vt:lpstr>
      <vt:lpstr>0101380936</vt:lpstr>
      <vt:lpstr>0101435247</vt:lpstr>
      <vt:lpstr>0101437981</vt:lpstr>
      <vt:lpstr>0101452549</vt:lpstr>
      <vt:lpstr>0101454070</vt:lpstr>
      <vt:lpstr>0101598393</vt:lpstr>
      <vt:lpstr>0101601092</vt:lpstr>
      <vt:lpstr>0101639000</vt:lpstr>
      <vt:lpstr>0101770848</vt:lpstr>
      <vt:lpstr>0102159423</vt:lpstr>
      <vt:lpstr>0102191498</vt:lpstr>
      <vt:lpstr>0102264812</vt:lpstr>
      <vt:lpstr>0102311149</vt:lpstr>
      <vt:lpstr>0102331787</vt:lpstr>
      <vt:lpstr>0102625829</vt:lpstr>
      <vt:lpstr>0102712091</vt:lpstr>
      <vt:lpstr>0103240765</vt:lpstr>
      <vt:lpstr>0103711478</vt:lpstr>
      <vt:lpstr>0103769372</vt:lpstr>
      <vt:lpstr>0104141407</vt:lpstr>
      <vt:lpstr>0104220419</vt:lpstr>
      <vt:lpstr>0104380966</vt:lpstr>
      <vt:lpstr>0104630172</vt:lpstr>
      <vt:lpstr>0104976614</vt:lpstr>
      <vt:lpstr>0105189320</vt:lpstr>
      <vt:lpstr>0105294741</vt:lpstr>
      <vt:lpstr>0105327316</vt:lpstr>
      <vt:lpstr>0105492983</vt:lpstr>
      <vt:lpstr>0105853894</vt:lpstr>
      <vt:lpstr>0105908818</vt:lpstr>
      <vt:lpstr>0106112810</vt:lpstr>
      <vt:lpstr>0106116043</vt:lpstr>
      <vt:lpstr>0106187171</vt:lpstr>
      <vt:lpstr>0106255939</vt:lpstr>
      <vt:lpstr>0106300187</vt:lpstr>
      <vt:lpstr>0106395904</vt:lpstr>
      <vt:lpstr>0106399994</vt:lpstr>
      <vt:lpstr>0106467242</vt:lpstr>
      <vt:lpstr>0106682049</vt:lpstr>
      <vt:lpstr>0106980045</vt:lpstr>
      <vt:lpstr>0107383796</vt:lpstr>
      <vt:lpstr>0107422036</vt:lpstr>
      <vt:lpstr>0107572987</vt:lpstr>
      <vt:lpstr>0107658306</vt:lpstr>
      <vt:lpstr>0107720360</vt:lpstr>
      <vt:lpstr>0107720402</vt:lpstr>
      <vt:lpstr>0107721413</vt:lpstr>
      <vt:lpstr>0107832875</vt:lpstr>
      <vt:lpstr>0107833244</vt:lpstr>
      <vt:lpstr>0108076653</vt:lpstr>
      <vt:lpstr>0108261864</vt:lpstr>
      <vt:lpstr>0108394624</vt:lpstr>
      <vt:lpstr>0108568493</vt:lpstr>
      <vt:lpstr>0108742656</vt:lpstr>
      <vt:lpstr>0108831225</vt:lpstr>
      <vt:lpstr>0109009554</vt:lpstr>
      <vt:lpstr>0109082787</vt:lpstr>
      <vt:lpstr>0109119042</vt:lpstr>
      <vt:lpstr>0109281574</vt:lpstr>
      <vt:lpstr>0109509638</vt:lpstr>
      <vt:lpstr>0109528912</vt:lpstr>
      <vt:lpstr>0109534352</vt:lpstr>
      <vt:lpstr>0500415210</vt:lpstr>
      <vt:lpstr>0500416750</vt:lpstr>
      <vt:lpstr>0500436556</vt:lpstr>
      <vt:lpstr>0500448216</vt:lpstr>
      <vt:lpstr>0500467547</vt:lpstr>
      <vt:lpstr>0500469512</vt:lpstr>
      <vt:lpstr>0500556370</vt:lpstr>
      <vt:lpstr>02500214518</vt:lpstr>
      <vt:lpstr>02500230213</vt:lpstr>
      <vt:lpstr>02500243660</vt:lpstr>
      <vt:lpstr>05200886602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2026-04-24T14:55:43Z</dcterms:created>
  <dcterms:modified xsi:type="dcterms:W3CDTF">2026-07-24T14:35:59Z</dcterms:modified>
</cp:coreProperties>
</file>